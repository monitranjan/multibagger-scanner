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Universe'!$A$1:$J$409</definedName>
    <definedName name="_xlnm._FilterDatabase" localSheetId="3" hidden="1">'Confluence Overlap'!$A$1:$K$94</definedName>
    <definedName name="_xlnm._FilterDatabase" localSheetId="4" hidden="1">'Monit Non Financial'!$A$1:$CE$363</definedName>
    <definedName name="_xlnm._FilterDatabase" localSheetId="5" hidden="1">'Monit Banks NBFC'!$A$1:$CA$47</definedName>
    <definedName name="_xlnm._FilterDatabase" localSheetId="6" hidden="1">'Scanner Non Financial'!$A$1:$CJ$22</definedName>
    <definedName name="_xlnm._FilterDatabase" localSheetId="7" hidden="1">'Scanner Banks NBFC'!$A$1:$CF$2</definedName>
    <definedName name="_xlnm._FilterDatabase" localSheetId="8" hidden="1">'Scan Match Non Financial'!$A$1:$CG$94</definedName>
    <definedName name="_xlnm._FilterDatabase" localSheetId="9" hidden="1">'Scan Match Banks NBFC'!$A$1:$CC$8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Friday, 04 September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5" customWidth="1" min="2" max="2"/>
    <col width="18" customWidth="1" min="3" max="3"/>
    <col width="47" customWidth="1" min="4" max="4"/>
    <col width="25" customWidth="1" min="5" max="5"/>
    <col width="47" customWidth="1" min="6" max="6"/>
    <col width="25" customWidth="1" min="7" max="7"/>
    <col width="19" customWidth="1" min="8" max="8"/>
    <col width="11" customWidth="1" min="9" max="9"/>
    <col width="49" customWidth="1" min="10" max="10"/>
    <col width="21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690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100</v>
      </c>
      <c r="G6" s="19" t="n">
        <v>69682.94</v>
      </c>
      <c r="H6" s="18" t="inlineStr">
        <is>
          <t>Potential Leader</t>
        </is>
      </c>
      <c r="J6" s="18" t="inlineStr">
        <is>
          <t>textiles</t>
        </is>
      </c>
      <c r="K6" s="16" t="n">
        <v>78</v>
      </c>
      <c r="L6" s="16" t="n">
        <v>53</v>
      </c>
      <c r="M6" s="20" t="inlineStr">
        <is>
          <t>47.2%</t>
        </is>
      </c>
    </row>
    <row r="7">
      <c r="A7" s="16" t="n">
        <v>2</v>
      </c>
      <c r="B7" s="17" t="n">
        <v>582</v>
      </c>
      <c r="C7" s="17" t="inlineStr">
        <is>
          <t>BLSE</t>
        </is>
      </c>
      <c r="D7" s="18" t="inlineStr">
        <is>
          <t>BLS E-Services Ltd</t>
        </is>
      </c>
      <c r="E7" s="18" t="inlineStr">
        <is>
          <t>i.t</t>
        </is>
      </c>
      <c r="F7" s="16" t="n">
        <v>82</v>
      </c>
      <c r="G7" s="19" t="n">
        <v>2940.57</v>
      </c>
      <c r="H7" s="18" t="inlineStr">
        <is>
          <t>Potential Leader</t>
        </is>
      </c>
      <c r="J7" s="18" t="inlineStr">
        <is>
          <t>energy</t>
        </is>
      </c>
      <c r="K7" s="16" t="n">
        <v>69</v>
      </c>
      <c r="L7" s="16" t="n">
        <v>49</v>
      </c>
      <c r="M7" s="20" t="inlineStr">
        <is>
          <t>40.8%</t>
        </is>
      </c>
    </row>
    <row r="8">
      <c r="A8" s="16" t="n">
        <v>3</v>
      </c>
      <c r="B8" s="17" t="n">
        <v>504</v>
      </c>
      <c r="C8" s="17" t="inlineStr">
        <is>
          <t>CUPID</t>
        </is>
      </c>
      <c r="D8" s="18" t="inlineStr">
        <is>
          <t>Cupid Limited</t>
        </is>
      </c>
      <c r="E8" s="18" t="inlineStr">
        <is>
          <t>fmcg</t>
        </is>
      </c>
      <c r="F8" s="16" t="n">
        <v>69</v>
      </c>
      <c r="G8" s="19" t="n">
        <v>37643.78</v>
      </c>
      <c r="H8" s="18" t="inlineStr">
        <is>
          <t>Potential Leader</t>
        </is>
      </c>
      <c r="J8" s="18" t="inlineStr">
        <is>
          <t>power &amp; utilities</t>
        </is>
      </c>
      <c r="K8" s="16" t="n">
        <v>7</v>
      </c>
      <c r="L8" s="16" t="n">
        <v>6</v>
      </c>
      <c r="M8" s="20" t="inlineStr">
        <is>
          <t>16.7%</t>
        </is>
      </c>
    </row>
    <row r="9">
      <c r="A9" s="16" t="n">
        <v>4</v>
      </c>
      <c r="B9" s="17" t="n">
        <v>444</v>
      </c>
      <c r="C9" s="17" t="inlineStr">
        <is>
          <t>VADILALIND</t>
        </is>
      </c>
      <c r="D9" s="18" t="inlineStr">
        <is>
          <t>Vadilal Industries Limited</t>
        </is>
      </c>
      <c r="E9" s="18" t="inlineStr">
        <is>
          <t>fmcg</t>
        </is>
      </c>
      <c r="F9" s="16" t="n">
        <v>59</v>
      </c>
      <c r="G9" s="19" t="n">
        <v>5473.53</v>
      </c>
      <c r="H9" s="18" t="inlineStr">
        <is>
          <t>Potential Leader</t>
        </is>
      </c>
      <c r="J9" s="18" t="inlineStr">
        <is>
          <t>media</t>
        </is>
      </c>
      <c r="K9" s="16" t="n">
        <v>15</v>
      </c>
      <c r="L9" s="16" t="n">
        <v>13</v>
      </c>
      <c r="M9" s="20" t="inlineStr">
        <is>
          <t>15.4%</t>
        </is>
      </c>
    </row>
    <row r="10">
      <c r="A10" s="16" t="n">
        <v>5</v>
      </c>
      <c r="B10" s="17" t="n">
        <v>426</v>
      </c>
      <c r="C10" s="17" t="inlineStr">
        <is>
          <t>HITECHCORP</t>
        </is>
      </c>
      <c r="D10" s="18" t="inlineStr">
        <is>
          <t>Hitech Corporation</t>
        </is>
      </c>
      <c r="E10" s="18" t="inlineStr">
        <is>
          <t>industrials</t>
        </is>
      </c>
      <c r="F10" s="16" t="n">
        <v>56</v>
      </c>
      <c r="G10" s="19" t="n">
        <v>578.8200000000001</v>
      </c>
      <c r="H10" s="18" t="inlineStr">
        <is>
          <t>Potential Leader</t>
        </is>
      </c>
      <c r="J10" s="18" t="inlineStr">
        <is>
          <t>miscellaneous</t>
        </is>
      </c>
      <c r="K10" s="16" t="n">
        <v>47</v>
      </c>
      <c r="L10" s="16" t="n">
        <v>41</v>
      </c>
      <c r="M10" s="20" t="inlineStr">
        <is>
          <t>14.6%</t>
        </is>
      </c>
    </row>
    <row r="11">
      <c r="A11" s="16" t="n">
        <v>6</v>
      </c>
      <c r="B11" s="17" t="n">
        <v>378</v>
      </c>
      <c r="C11" s="17" t="inlineStr">
        <is>
          <t>CYIENTDLM</t>
        </is>
      </c>
      <c r="D11" s="18" t="inlineStr">
        <is>
          <t>Cyient DLM Ltd</t>
        </is>
      </c>
      <c r="E11" s="18" t="inlineStr">
        <is>
          <t>aerospace &amp; defence</t>
        </is>
      </c>
      <c r="F11" s="16" t="n">
        <v>48</v>
      </c>
      <c r="G11" s="19" t="n">
        <v>6640.82</v>
      </c>
      <c r="H11" s="18" t="inlineStr">
        <is>
          <t>Potential Leader</t>
        </is>
      </c>
      <c r="J11" s="18" t="inlineStr">
        <is>
          <t>healthcare</t>
        </is>
      </c>
      <c r="K11" s="16" t="n">
        <v>250</v>
      </c>
      <c r="L11" s="16" t="n">
        <v>224</v>
      </c>
      <c r="M11" s="20" t="inlineStr">
        <is>
          <t>11.6%</t>
        </is>
      </c>
    </row>
    <row r="12">
      <c r="A12" s="16" t="n">
        <v>7</v>
      </c>
      <c r="B12" s="17" t="n">
        <v>378</v>
      </c>
      <c r="C12" s="17" t="inlineStr">
        <is>
          <t>IRISDOREME</t>
        </is>
      </c>
      <c r="D12" s="18" t="inlineStr">
        <is>
          <t>Iris Clothings Ltd</t>
        </is>
      </c>
      <c r="E12" s="18" t="inlineStr">
        <is>
          <t>consumer discretionary</t>
        </is>
      </c>
      <c r="F12" s="16" t="n">
        <v>48</v>
      </c>
      <c r="G12" s="19" t="n">
        <v>1141.61</v>
      </c>
      <c r="H12" s="18" t="inlineStr">
        <is>
          <t>Potential Leader</t>
        </is>
      </c>
      <c r="J12" s="18" t="inlineStr">
        <is>
          <t>building materials</t>
        </is>
      </c>
      <c r="K12" s="16" t="n">
        <v>58</v>
      </c>
      <c r="L12" s="16" t="n">
        <v>54</v>
      </c>
      <c r="M12" s="20" t="inlineStr">
        <is>
          <t>7.4%</t>
        </is>
      </c>
    </row>
    <row r="13">
      <c r="A13" s="16" t="n">
        <v>8</v>
      </c>
      <c r="B13" s="17" t="n">
        <v>372</v>
      </c>
      <c r="C13" s="17" t="inlineStr">
        <is>
          <t>SETL</t>
        </is>
      </c>
      <c r="D13" s="18" t="inlineStr">
        <is>
          <t>Standard Enginnering Technology Ltd</t>
        </is>
      </c>
      <c r="E13" s="18" t="inlineStr">
        <is>
          <t>industrials</t>
        </is>
      </c>
      <c r="F13" s="16" t="n">
        <v>47</v>
      </c>
      <c r="G13" s="19" t="n">
        <v>7803.12</v>
      </c>
      <c r="H13" s="18" t="inlineStr">
        <is>
          <t>Potential Leader</t>
        </is>
      </c>
      <c r="J13" s="18" t="inlineStr">
        <is>
          <t>metals &amp; mining</t>
        </is>
      </c>
      <c r="K13" s="16" t="n">
        <v>137</v>
      </c>
      <c r="L13" s="16" t="n">
        <v>129</v>
      </c>
      <c r="M13" s="20" t="inlineStr">
        <is>
          <t>6.2%</t>
        </is>
      </c>
    </row>
    <row r="14">
      <c r="A14" s="16" t="n">
        <v>9</v>
      </c>
      <c r="B14" s="17" t="n">
        <v>360</v>
      </c>
      <c r="C14" s="17" t="inlineStr">
        <is>
          <t>HAPPYFORGE</t>
        </is>
      </c>
      <c r="D14" s="18" t="inlineStr">
        <is>
          <t>Happy Forgings Ltd</t>
        </is>
      </c>
      <c r="E14" s="18" t="inlineStr">
        <is>
          <t>industrials</t>
        </is>
      </c>
      <c r="F14" s="16" t="n">
        <v>45</v>
      </c>
      <c r="G14" s="19" t="n">
        <v>21654.26</v>
      </c>
      <c r="H14" s="18" t="inlineStr">
        <is>
          <t>Potential Leader</t>
        </is>
      </c>
      <c r="J14" s="18" t="inlineStr">
        <is>
          <t>industrials</t>
        </is>
      </c>
      <c r="K14" s="16" t="n">
        <v>288</v>
      </c>
      <c r="L14" s="16" t="n">
        <v>287</v>
      </c>
      <c r="M14" s="20" t="inlineStr">
        <is>
          <t>0.3%</t>
        </is>
      </c>
    </row>
    <row r="15">
      <c r="A15" s="16" t="n">
        <v>10</v>
      </c>
      <c r="B15" s="17" t="n">
        <v>330</v>
      </c>
      <c r="C15" s="17" t="inlineStr">
        <is>
          <t>SUNDRMFAST</t>
        </is>
      </c>
      <c r="D15" s="18" t="inlineStr">
        <is>
          <t>Sundram Fasteners Limited</t>
        </is>
      </c>
      <c r="E15" s="18" t="inlineStr">
        <is>
          <t>auto</t>
        </is>
      </c>
      <c r="F15" s="16" t="n">
        <v>40</v>
      </c>
      <c r="G15" s="19" t="n">
        <v>25196.49</v>
      </c>
      <c r="H15" s="18" t="inlineStr">
        <is>
          <t>Potential Leader</t>
        </is>
      </c>
      <c r="J15" s="18" t="inlineStr">
        <is>
          <t>co-working</t>
        </is>
      </c>
      <c r="K15" s="16" t="n">
        <v>5</v>
      </c>
      <c r="L15" s="16" t="n">
        <v>5</v>
      </c>
      <c r="M15" s="20" t="inlineStr">
        <is>
          <t>0.0%</t>
        </is>
      </c>
    </row>
    <row r="16">
      <c r="A16" s="16" t="n">
        <v>11</v>
      </c>
      <c r="B16" s="17" t="n">
        <v>306</v>
      </c>
      <c r="C16" s="17" t="inlineStr">
        <is>
          <t>KABRAEXTRU</t>
        </is>
      </c>
      <c r="D16" s="18" t="inlineStr">
        <is>
          <t>Kabra Extrusion Technik Limited</t>
        </is>
      </c>
      <c r="E16" s="18" t="inlineStr">
        <is>
          <t>industrials</t>
        </is>
      </c>
      <c r="F16" s="16" t="n">
        <v>36</v>
      </c>
      <c r="G16" s="19" t="n">
        <v>1975.27</v>
      </c>
      <c r="H16" s="18" t="inlineStr">
        <is>
          <t>Potential Leader</t>
        </is>
      </c>
      <c r="J16" s="18" t="inlineStr">
        <is>
          <t>bank</t>
        </is>
      </c>
      <c r="K16" s="16" t="n">
        <v>57</v>
      </c>
      <c r="L16" s="16" t="n">
        <v>60</v>
      </c>
      <c r="M16" s="21" t="inlineStr">
        <is>
          <t>-5.0%</t>
        </is>
      </c>
    </row>
    <row r="17">
      <c r="A17" s="16" t="n">
        <v>12</v>
      </c>
      <c r="B17" s="17" t="n">
        <v>306</v>
      </c>
      <c r="C17" s="17" t="inlineStr">
        <is>
          <t>QUESS</t>
        </is>
      </c>
      <c r="D17" s="18" t="inlineStr">
        <is>
          <t>Quess Corp Limited</t>
        </is>
      </c>
      <c r="E17" s="18" t="inlineStr">
        <is>
          <t>miscellaneous</t>
        </is>
      </c>
      <c r="F17" s="16" t="n">
        <v>36</v>
      </c>
      <c r="G17" s="19" t="n">
        <v>5474.79</v>
      </c>
      <c r="H17" s="18" t="inlineStr">
        <is>
          <t>Potential Leader</t>
        </is>
      </c>
      <c r="J17" s="18" t="inlineStr">
        <is>
          <t>transportation</t>
        </is>
      </c>
      <c r="K17" s="16" t="n">
        <v>33</v>
      </c>
      <c r="L17" s="16" t="n">
        <v>35</v>
      </c>
      <c r="M17" s="21" t="inlineStr">
        <is>
          <t>-5.7%</t>
        </is>
      </c>
    </row>
    <row r="18">
      <c r="A18" s="16" t="n">
        <v>13</v>
      </c>
      <c r="B18" s="17" t="n">
        <v>294</v>
      </c>
      <c r="C18" s="17" t="inlineStr">
        <is>
          <t>BAJAJ-AUTO</t>
        </is>
      </c>
      <c r="D18" s="18" t="inlineStr">
        <is>
          <t>Bajaj Auto Limited</t>
        </is>
      </c>
      <c r="E18" s="18" t="inlineStr">
        <is>
          <t>auto</t>
        </is>
      </c>
      <c r="F18" s="16" t="n">
        <v>34</v>
      </c>
      <c r="G18" s="19" t="n">
        <v>333161.42</v>
      </c>
      <c r="H18" s="18" t="inlineStr">
        <is>
          <t>Potential Leader</t>
        </is>
      </c>
      <c r="J18" s="18" t="inlineStr">
        <is>
          <t>financials</t>
        </is>
      </c>
      <c r="K18" s="16" t="n">
        <v>124</v>
      </c>
      <c r="L18" s="16" t="n">
        <v>133</v>
      </c>
      <c r="M18" s="21" t="inlineStr">
        <is>
          <t>-6.8%</t>
        </is>
      </c>
    </row>
    <row r="19">
      <c r="A19" s="16" t="n">
        <v>14</v>
      </c>
      <c r="B19" s="17" t="n">
        <v>294</v>
      </c>
      <c r="C19" s="17" t="inlineStr">
        <is>
          <t>DIVISLAB</t>
        </is>
      </c>
      <c r="D19" s="18" t="inlineStr">
        <is>
          <t>Divi's Laboratories Limited</t>
        </is>
      </c>
      <c r="E19" s="18" t="inlineStr">
        <is>
          <t>healthcare</t>
        </is>
      </c>
      <c r="F19" s="16" t="n">
        <v>34</v>
      </c>
      <c r="G19" s="19" t="n">
        <v>245558.44</v>
      </c>
      <c r="H19" s="18" t="inlineStr">
        <is>
          <t>Potential Leader</t>
        </is>
      </c>
      <c r="J19" s="18" t="inlineStr">
        <is>
          <t>consumer discretionary</t>
        </is>
      </c>
      <c r="K19" s="16" t="n">
        <v>122</v>
      </c>
      <c r="L19" s="16" t="n">
        <v>131</v>
      </c>
      <c r="M19" s="21" t="inlineStr">
        <is>
          <t>-6.9%</t>
        </is>
      </c>
    </row>
    <row r="20">
      <c r="A20" s="16" t="n">
        <v>15</v>
      </c>
      <c r="B20" s="17" t="n">
        <v>294</v>
      </c>
      <c r="C20" s="17" t="inlineStr">
        <is>
          <t>HEG</t>
        </is>
      </c>
      <c r="D20" s="18" t="inlineStr">
        <is>
          <t>Heg Limited</t>
        </is>
      </c>
      <c r="E20" s="18" t="inlineStr">
        <is>
          <t>industrials</t>
        </is>
      </c>
      <c r="F20" s="16" t="n">
        <v>34</v>
      </c>
      <c r="G20" s="19" t="n">
        <v>13652.2</v>
      </c>
      <c r="H20" s="18" t="inlineStr">
        <is>
          <t>Potential Leader</t>
        </is>
      </c>
      <c r="J20" s="18" t="inlineStr">
        <is>
          <t>i.t</t>
        </is>
      </c>
      <c r="K20" s="16" t="n">
        <v>90</v>
      </c>
      <c r="L20" s="16" t="n">
        <v>99</v>
      </c>
      <c r="M20" s="21" t="inlineStr">
        <is>
          <t>-9.1%</t>
        </is>
      </c>
    </row>
    <row r="21">
      <c r="A21" s="16" t="n">
        <v>16</v>
      </c>
      <c r="B21" s="17" t="n">
        <v>294</v>
      </c>
      <c r="C21" s="17" t="inlineStr">
        <is>
          <t>MENONBE</t>
        </is>
      </c>
      <c r="D21" s="18" t="inlineStr">
        <is>
          <t>Menon Bearings Limited</t>
        </is>
      </c>
      <c r="E21" s="18" t="inlineStr">
        <is>
          <t>auto</t>
        </is>
      </c>
      <c r="F21" s="16" t="n">
        <v>34</v>
      </c>
      <c r="G21" s="19" t="n">
        <v>1729.11</v>
      </c>
      <c r="H21" s="18" t="inlineStr">
        <is>
          <t>Potential Leader</t>
        </is>
      </c>
    </row>
    <row r="22">
      <c r="A22" s="16" t="n">
        <v>17</v>
      </c>
      <c r="B22" s="17" t="n">
        <v>294</v>
      </c>
      <c r="C22" s="17" t="inlineStr">
        <is>
          <t>TFCILTD</t>
        </is>
      </c>
      <c r="D22" s="18" t="inlineStr">
        <is>
          <t>Tourism Finance Corporation Of India Limited</t>
        </is>
      </c>
      <c r="E22" s="18" t="inlineStr">
        <is>
          <t>financials</t>
        </is>
      </c>
      <c r="F22" s="16" t="n">
        <v>34</v>
      </c>
      <c r="G22" s="19" t="n">
        <v>6792.34</v>
      </c>
      <c r="H22" s="18" t="inlineStr">
        <is>
          <t>Potential Leader</t>
        </is>
      </c>
    </row>
    <row r="23">
      <c r="A23" s="16" t="n">
        <v>18</v>
      </c>
      <c r="B23" s="17" t="n">
        <v>294</v>
      </c>
      <c r="C23" s="17" t="inlineStr">
        <is>
          <t>VSSL</t>
        </is>
      </c>
      <c r="D23" s="18" t="inlineStr">
        <is>
          <t>Vardhman Special Steels Limited</t>
        </is>
      </c>
      <c r="E23" s="18" t="inlineStr">
        <is>
          <t>metals &amp; mining</t>
        </is>
      </c>
      <c r="F23" s="16" t="n">
        <v>34</v>
      </c>
      <c r="G23" s="19" t="n">
        <v>3518.88</v>
      </c>
      <c r="H23" s="18" t="inlineStr">
        <is>
          <t>Potential Leader</t>
        </is>
      </c>
    </row>
    <row r="24">
      <c r="A24" s="16" t="n">
        <v>19</v>
      </c>
      <c r="B24" s="17" t="n">
        <v>288</v>
      </c>
      <c r="C24" s="17" t="inlineStr">
        <is>
          <t>NILKAMAL</t>
        </is>
      </c>
      <c r="D24" s="18" t="inlineStr">
        <is>
          <t>Nilkamal Limited</t>
        </is>
      </c>
      <c r="E24" s="18" t="inlineStr">
        <is>
          <t>plastic products</t>
        </is>
      </c>
      <c r="F24" s="16" t="n">
        <v>33</v>
      </c>
      <c r="G24" s="19" t="n">
        <v>3150.29</v>
      </c>
      <c r="H24" s="18" t="inlineStr">
        <is>
          <t>Potential Leader</t>
        </is>
      </c>
    </row>
    <row r="25">
      <c r="A25" s="16" t="n">
        <v>20</v>
      </c>
      <c r="B25" s="17" t="n">
        <v>282</v>
      </c>
      <c r="C25" s="17" t="inlineStr">
        <is>
          <t>WSTCSTPAPR</t>
        </is>
      </c>
      <c r="D25" s="18" t="inlineStr">
        <is>
          <t>West Coast Paper Mills Limited</t>
        </is>
      </c>
      <c r="E25" s="18" t="inlineStr">
        <is>
          <t>building materials</t>
        </is>
      </c>
      <c r="F25" s="16" t="n">
        <v>32</v>
      </c>
      <c r="G25" s="19" t="n">
        <v>4339.08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THEMISMED</t>
        </is>
      </c>
      <c r="B30" s="18" t="inlineStr">
        <is>
          <t>Themis Medicare Limited</t>
        </is>
      </c>
      <c r="C30" s="18" t="inlineStr">
        <is>
          <t>healthcare</t>
        </is>
      </c>
      <c r="D30" s="16" t="n">
        <v>10</v>
      </c>
      <c r="E30" s="16" t="n">
        <v>1</v>
      </c>
      <c r="F30" s="19" t="n">
        <v>1150.05</v>
      </c>
      <c r="J30" s="17" t="inlineStr">
        <is>
          <t>VADILALIND</t>
        </is>
      </c>
      <c r="K30" s="18" t="inlineStr">
        <is>
          <t>fmcg</t>
        </is>
      </c>
      <c r="L30" s="19" t="n">
        <v>302</v>
      </c>
      <c r="M30" s="19" t="n">
        <v>5473.53</v>
      </c>
      <c r="N30" s="16" t="n">
        <v>30</v>
      </c>
    </row>
    <row r="31">
      <c r="A31" s="17" t="inlineStr">
        <is>
          <t>CHALET</t>
        </is>
      </c>
      <c r="B31" s="18" t="inlineStr">
        <is>
          <t>Chalet Hotels Ltd</t>
        </is>
      </c>
      <c r="C31" s="18" t="inlineStr">
        <is>
          <t>services</t>
        </is>
      </c>
      <c r="D31" s="16" t="n">
        <v>10</v>
      </c>
      <c r="E31" s="16" t="n">
        <v>1</v>
      </c>
      <c r="F31" s="19" t="n">
        <v>19506.9</v>
      </c>
      <c r="J31" s="17" t="inlineStr">
        <is>
          <t>VINDHYATEL</t>
        </is>
      </c>
      <c r="K31" s="18" t="inlineStr">
        <is>
          <t>realty</t>
        </is>
      </c>
      <c r="L31" s="19" t="n">
        <v>298</v>
      </c>
      <c r="M31" s="19" t="n">
        <v>3242.63</v>
      </c>
      <c r="N31" s="16" t="n">
        <v>25</v>
      </c>
    </row>
    <row r="32">
      <c r="A32" s="17" t="inlineStr">
        <is>
          <t>20MICRONS</t>
        </is>
      </c>
      <c r="B32" s="18" t="inlineStr">
        <is>
          <t>20 Microns Limited</t>
        </is>
      </c>
      <c r="C32" s="18" t="inlineStr">
        <is>
          <t>metals &amp; mining</t>
        </is>
      </c>
      <c r="D32" s="16" t="n">
        <v>10</v>
      </c>
      <c r="E32" s="16" t="n">
        <v>2</v>
      </c>
      <c r="F32" s="19" t="n">
        <v>768.61</v>
      </c>
      <c r="J32" s="17" t="inlineStr">
        <is>
          <t>MENONBE</t>
        </is>
      </c>
      <c r="K32" s="18" t="inlineStr">
        <is>
          <t>auto</t>
        </is>
      </c>
      <c r="L32" s="19" t="n">
        <v>295</v>
      </c>
      <c r="M32" s="19" t="n">
        <v>1729.11</v>
      </c>
      <c r="N32" s="16" t="n">
        <v>30</v>
      </c>
    </row>
    <row r="33">
      <c r="A33" s="17" t="inlineStr">
        <is>
          <t>VIDHIING</t>
        </is>
      </c>
      <c r="B33" s="18" t="inlineStr">
        <is>
          <t>Vidhi Specialty Food Ingredients</t>
        </is>
      </c>
      <c r="C33" s="18" t="inlineStr">
        <is>
          <t>chemicals</t>
        </is>
      </c>
      <c r="D33" s="16" t="n">
        <v>10</v>
      </c>
      <c r="E33" s="16" t="n">
        <v>0</v>
      </c>
      <c r="F33" s="19" t="n">
        <v>1712.11</v>
      </c>
      <c r="J33" s="17" t="inlineStr">
        <is>
          <t>PREMIERPOL</t>
        </is>
      </c>
      <c r="K33" s="18" t="inlineStr">
        <is>
          <t>plastic products</t>
        </is>
      </c>
      <c r="L33" s="19" t="n">
        <v>295</v>
      </c>
      <c r="M33" s="19" t="n">
        <v>967.3</v>
      </c>
      <c r="N33" s="16" t="n">
        <v>21</v>
      </c>
    </row>
    <row r="34">
      <c r="A34" s="17" t="inlineStr">
        <is>
          <t>IMAGICAA</t>
        </is>
      </c>
      <c r="B34" s="18" t="inlineStr">
        <is>
          <t>Imagicaaworld Entertainment Ltd</t>
        </is>
      </c>
      <c r="C34" s="18" t="inlineStr">
        <is>
          <t>media</t>
        </is>
      </c>
      <c r="D34" s="16" t="n">
        <v>10</v>
      </c>
      <c r="E34" s="16" t="n">
        <v>0</v>
      </c>
      <c r="F34" s="19" t="n">
        <v>3086.77</v>
      </c>
      <c r="J34" s="17" t="inlineStr">
        <is>
          <t>TMB</t>
        </is>
      </c>
      <c r="K34" s="18" t="inlineStr">
        <is>
          <t>bank</t>
        </is>
      </c>
      <c r="L34" s="19" t="n">
        <v>295</v>
      </c>
      <c r="M34" s="19" t="n">
        <v>14923.83</v>
      </c>
      <c r="N34" s="16" t="n">
        <v>25</v>
      </c>
    </row>
    <row r="35">
      <c r="A35" s="17" t="inlineStr">
        <is>
          <t>UDS</t>
        </is>
      </c>
      <c r="B35" s="18" t="inlineStr">
        <is>
          <t>Updater Services Ltd</t>
        </is>
      </c>
      <c r="C35" s="18" t="inlineStr">
        <is>
          <t>miscellaneous</t>
        </is>
      </c>
      <c r="D35" s="16" t="n">
        <v>10</v>
      </c>
      <c r="E35" s="16" t="n">
        <v>2</v>
      </c>
      <c r="F35" s="19" t="n">
        <v>1584.18</v>
      </c>
      <c r="J35" s="17" t="inlineStr">
        <is>
          <t>BLUSPRING</t>
        </is>
      </c>
      <c r="K35" s="18" t="inlineStr">
        <is>
          <t>miscellaneous</t>
        </is>
      </c>
      <c r="L35" s="19" t="n">
        <v>293</v>
      </c>
      <c r="M35" s="19" t="n">
        <v>2006.25</v>
      </c>
      <c r="N35" s="16" t="n">
        <v>19</v>
      </c>
    </row>
    <row r="36">
      <c r="A36" s="17" t="inlineStr">
        <is>
          <t>MAWANASUG</t>
        </is>
      </c>
      <c r="B36" s="18" t="inlineStr">
        <is>
          <t>Mawana Sugars Limited</t>
        </is>
      </c>
      <c r="C36" s="18" t="inlineStr">
        <is>
          <t>fmcg</t>
        </is>
      </c>
      <c r="D36" s="16" t="n">
        <v>10</v>
      </c>
      <c r="E36" s="16" t="n">
        <v>2</v>
      </c>
      <c r="F36" s="19" t="n">
        <v>572.16</v>
      </c>
      <c r="J36" s="17" t="inlineStr">
        <is>
          <t>SUVEN</t>
        </is>
      </c>
      <c r="K36" s="18" t="inlineStr">
        <is>
          <t>healthcare</t>
        </is>
      </c>
      <c r="L36" s="19" t="n">
        <v>290</v>
      </c>
      <c r="M36" s="19" t="n">
        <v>730.92</v>
      </c>
      <c r="N36" s="16" t="n">
        <v>19</v>
      </c>
    </row>
    <row r="37">
      <c r="A37" s="17" t="inlineStr">
        <is>
          <t>SHANTIGEAR</t>
        </is>
      </c>
      <c r="B37" s="18" t="inlineStr">
        <is>
          <t>Shanthi Gears Limited</t>
        </is>
      </c>
      <c r="C37" s="18" t="inlineStr">
        <is>
          <t>industrials</t>
        </is>
      </c>
      <c r="D37" s="16" t="n">
        <v>10</v>
      </c>
      <c r="E37" s="16" t="n">
        <v>0</v>
      </c>
      <c r="F37" s="19" t="n">
        <v>4471</v>
      </c>
      <c r="J37" s="17" t="inlineStr">
        <is>
          <t>SCPL</t>
        </is>
      </c>
      <c r="K37" s="18" t="inlineStr">
        <is>
          <t>fmcg</t>
        </is>
      </c>
      <c r="L37" s="19" t="n">
        <v>290</v>
      </c>
      <c r="M37" s="19" t="n">
        <v>674</v>
      </c>
      <c r="N37" s="16" t="n">
        <v>26</v>
      </c>
    </row>
    <row r="38">
      <c r="A38" s="17" t="inlineStr">
        <is>
          <t>BALUFORGE</t>
        </is>
      </c>
      <c r="B38" s="18" t="inlineStr">
        <is>
          <t>Balu Forge Industries Ltd</t>
        </is>
      </c>
      <c r="C38" s="18" t="inlineStr">
        <is>
          <t>industrials</t>
        </is>
      </c>
      <c r="D38" s="16" t="n">
        <v>10</v>
      </c>
      <c r="E38" s="16" t="n">
        <v>0</v>
      </c>
      <c r="F38" s="19" t="n">
        <v>6826.06</v>
      </c>
      <c r="J38" s="17" t="inlineStr">
        <is>
          <t>PAISALO</t>
        </is>
      </c>
      <c r="K38" s="18" t="inlineStr">
        <is>
          <t>financials</t>
        </is>
      </c>
      <c r="L38" s="19" t="n">
        <v>290</v>
      </c>
      <c r="M38" s="19" t="n">
        <v>6392.12</v>
      </c>
      <c r="N38" s="16" t="n">
        <v>8</v>
      </c>
    </row>
    <row r="39">
      <c r="A39" s="17" t="inlineStr">
        <is>
          <t>CDSL</t>
        </is>
      </c>
      <c r="B39" s="18" t="inlineStr">
        <is>
          <t>Central Depository Services Ltd</t>
        </is>
      </c>
      <c r="C39" s="18" t="inlineStr">
        <is>
          <t>financials</t>
        </is>
      </c>
      <c r="D39" s="16" t="n">
        <v>9</v>
      </c>
      <c r="E39" s="16" t="n">
        <v>1</v>
      </c>
      <c r="F39" s="19" t="n">
        <v>29134.6</v>
      </c>
      <c r="J39" s="17" t="inlineStr">
        <is>
          <t>VISHNU</t>
        </is>
      </c>
      <c r="K39" s="18" t="inlineStr">
        <is>
          <t>chemicals</t>
        </is>
      </c>
      <c r="L39" s="19" t="n">
        <v>288</v>
      </c>
      <c r="M39" s="19" t="n">
        <v>4634.32</v>
      </c>
      <c r="N39" s="16" t="n">
        <v>17</v>
      </c>
    </row>
    <row r="40">
      <c r="A40" s="17" t="inlineStr">
        <is>
          <t>ALEMBICLTD</t>
        </is>
      </c>
      <c r="B40" s="18" t="inlineStr">
        <is>
          <t>Alembic Limited</t>
        </is>
      </c>
      <c r="C40" s="18" t="inlineStr">
        <is>
          <t>realty</t>
        </is>
      </c>
      <c r="D40" s="16" t="n">
        <v>9</v>
      </c>
      <c r="E40" s="16" t="n">
        <v>1</v>
      </c>
      <c r="F40" s="19" t="n">
        <v>2812.02</v>
      </c>
      <c r="J40" s="17" t="inlineStr">
        <is>
          <t>MSTCLTD</t>
        </is>
      </c>
      <c r="K40" s="18" t="inlineStr">
        <is>
          <t>i.t</t>
        </is>
      </c>
      <c r="L40" s="19" t="n">
        <v>288</v>
      </c>
      <c r="M40" s="19" t="n">
        <v>5239.52</v>
      </c>
      <c r="N40" s="16" t="n">
        <v>15</v>
      </c>
    </row>
    <row r="41">
      <c r="A41" s="17" t="inlineStr">
        <is>
          <t>BRIGADE</t>
        </is>
      </c>
      <c r="B41" s="18" t="inlineStr">
        <is>
          <t>Brigade Enterprises Limited</t>
        </is>
      </c>
      <c r="C41" s="18" t="inlineStr">
        <is>
          <t>realty</t>
        </is>
      </c>
      <c r="D41" s="16" t="n">
        <v>9</v>
      </c>
      <c r="E41" s="16" t="n">
        <v>0</v>
      </c>
      <c r="F41" s="19" t="n">
        <v>23232.55</v>
      </c>
      <c r="J41" s="17" t="inlineStr">
        <is>
          <t>ORIENTBELL</t>
        </is>
      </c>
      <c r="K41" s="18" t="inlineStr">
        <is>
          <t>building materials</t>
        </is>
      </c>
      <c r="L41" s="19" t="n">
        <v>288</v>
      </c>
      <c r="M41" s="19" t="n">
        <v>607.03</v>
      </c>
      <c r="N41" s="16" t="n">
        <v>16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107.91</v>
      </c>
      <c r="D47" s="28" t="n">
        <v>260</v>
      </c>
      <c r="E47" s="17" t="inlineStr">
        <is>
          <t>STLTECH</t>
        </is>
      </c>
      <c r="F47" s="18" t="inlineStr">
        <is>
          <t>Sterlite Technologies Limited</t>
        </is>
      </c>
      <c r="G47" s="18" t="inlineStr">
        <is>
          <t>industrials</t>
        </is>
      </c>
      <c r="H47" s="19" t="n">
        <v>36653.64</v>
      </c>
    </row>
    <row r="48">
      <c r="A48" s="16" t="n">
        <v>2</v>
      </c>
      <c r="B48" s="27" t="n">
        <v>99</v>
      </c>
      <c r="C48" s="28" t="n">
        <v>94.2</v>
      </c>
      <c r="D48" s="28" t="n">
        <v>287</v>
      </c>
      <c r="E48" s="17" t="inlineStr">
        <is>
          <t>CUPID</t>
        </is>
      </c>
      <c r="F48" s="18" t="inlineStr">
        <is>
          <t>Cupid Limited</t>
        </is>
      </c>
      <c r="G48" s="18" t="inlineStr">
        <is>
          <t>fmcg</t>
        </is>
      </c>
      <c r="H48" s="19" t="n">
        <v>37643.78</v>
      </c>
    </row>
    <row r="49">
      <c r="A49" s="16" t="n">
        <v>3</v>
      </c>
      <c r="B49" s="27" t="n">
        <v>99</v>
      </c>
      <c r="C49" s="28" t="n">
        <v>74.81</v>
      </c>
      <c r="D49" s="28" t="n">
        <v>285</v>
      </c>
      <c r="E49" s="17" t="inlineStr">
        <is>
          <t>TBZ</t>
        </is>
      </c>
      <c r="F49" s="18" t="inlineStr">
        <is>
          <t>Tribhovandas Bhimji Zaveri Limited</t>
        </is>
      </c>
      <c r="G49" s="18" t="inlineStr">
        <is>
          <t>consumer discretionary</t>
        </is>
      </c>
      <c r="H49" s="19" t="n">
        <v>2917.13</v>
      </c>
    </row>
    <row r="50">
      <c r="A50" s="16" t="n">
        <v>4</v>
      </c>
      <c r="B50" s="27" t="n">
        <v>98</v>
      </c>
      <c r="C50" s="28" t="n">
        <v>68.25</v>
      </c>
      <c r="D50" s="28" t="n">
        <v>258</v>
      </c>
      <c r="E50" s="17" t="inlineStr">
        <is>
          <t>SIGMAADV</t>
        </is>
      </c>
      <c r="F50" s="18" t="inlineStr">
        <is>
          <t>Sigma Advanced System Ltd</t>
        </is>
      </c>
      <c r="G50" s="18" t="inlineStr">
        <is>
          <t>aerospace &amp; defence</t>
        </is>
      </c>
      <c r="H50" s="19" t="n">
        <v>14303.17</v>
      </c>
    </row>
    <row r="51">
      <c r="A51" s="16" t="n">
        <v>5</v>
      </c>
      <c r="B51" s="27" t="n">
        <v>98</v>
      </c>
      <c r="C51" s="28" t="n">
        <v>67.75</v>
      </c>
      <c r="D51" s="28" t="n">
        <v>295</v>
      </c>
      <c r="E51" s="17" t="inlineStr">
        <is>
          <t>MENONBE</t>
        </is>
      </c>
      <c r="F51" s="18" t="inlineStr">
        <is>
          <t>Menon Bearings Limited</t>
        </is>
      </c>
      <c r="G51" s="18" t="inlineStr">
        <is>
          <t>auto</t>
        </is>
      </c>
      <c r="H51" s="19" t="n">
        <v>1729.11</v>
      </c>
    </row>
    <row r="52">
      <c r="A52" s="16" t="n">
        <v>6</v>
      </c>
      <c r="B52" s="27" t="n">
        <v>98</v>
      </c>
      <c r="C52" s="28" t="n">
        <v>67.08</v>
      </c>
      <c r="D52" s="28" t="n">
        <v>285</v>
      </c>
      <c r="E52" s="17" t="inlineStr">
        <is>
          <t>RPEL</t>
        </is>
      </c>
      <c r="F52" s="18" t="inlineStr">
        <is>
          <t>Raghav Productivity Enhancers Ltd</t>
        </is>
      </c>
      <c r="G52" s="18" t="inlineStr">
        <is>
          <t>building materials</t>
        </is>
      </c>
      <c r="H52" s="19" t="n">
        <v>8657.209999999999</v>
      </c>
    </row>
    <row r="53">
      <c r="A53" s="16" t="n">
        <v>7</v>
      </c>
      <c r="B53" s="27" t="n">
        <v>98</v>
      </c>
      <c r="C53" s="28" t="n">
        <v>63.66</v>
      </c>
      <c r="D53" s="28" t="n">
        <v>273</v>
      </c>
      <c r="E53" s="17" t="inlineStr">
        <is>
          <t>SETL</t>
        </is>
      </c>
      <c r="F53" s="18" t="inlineStr">
        <is>
          <t>Standard Enginnering Technology Ltd</t>
        </is>
      </c>
      <c r="G53" s="18" t="inlineStr">
        <is>
          <t>industrials</t>
        </is>
      </c>
      <c r="H53" s="19" t="n">
        <v>7803.12</v>
      </c>
    </row>
    <row r="54">
      <c r="A54" s="16" t="n">
        <v>8</v>
      </c>
      <c r="B54" s="27" t="n">
        <v>97</v>
      </c>
      <c r="C54" s="28" t="n">
        <v>61.94</v>
      </c>
      <c r="D54" s="28" t="n">
        <v>277</v>
      </c>
      <c r="E54" s="17" t="inlineStr">
        <is>
          <t>MOREPENLAB</t>
        </is>
      </c>
      <c r="F54" s="18" t="inlineStr">
        <is>
          <t>Morepen Laboratories Limited</t>
        </is>
      </c>
      <c r="G54" s="18" t="inlineStr">
        <is>
          <t>healthcare</t>
        </is>
      </c>
      <c r="H54" s="19" t="n">
        <v>6435.72</v>
      </c>
    </row>
    <row r="55">
      <c r="A55" s="16" t="n">
        <v>9</v>
      </c>
      <c r="B55" s="27" t="n">
        <v>97</v>
      </c>
      <c r="C55" s="28" t="n">
        <v>60.54</v>
      </c>
      <c r="D55" s="28" t="n">
        <v>277</v>
      </c>
      <c r="E55" s="17" t="inlineStr">
        <is>
          <t>INDSWFTLAB</t>
        </is>
      </c>
      <c r="F55" s="18" t="inlineStr">
        <is>
          <t>Ind-swift Laboratories Limited</t>
        </is>
      </c>
      <c r="G55" s="18" t="inlineStr">
        <is>
          <t>healthcare</t>
        </is>
      </c>
      <c r="H55" s="19" t="n">
        <v>3241.06</v>
      </c>
    </row>
    <row r="56">
      <c r="A56" s="16" t="n">
        <v>10</v>
      </c>
      <c r="B56" s="27" t="n">
        <v>97</v>
      </c>
      <c r="C56" s="28" t="n">
        <v>60.03</v>
      </c>
      <c r="D56" s="28" t="n">
        <v>283</v>
      </c>
      <c r="E56" s="17" t="inlineStr">
        <is>
          <t>ATHERENERG</t>
        </is>
      </c>
      <c r="F56" s="18" t="inlineStr">
        <is>
          <t>Ather Energy Ltd</t>
        </is>
      </c>
      <c r="G56" s="18" t="inlineStr">
        <is>
          <t>auto</t>
        </is>
      </c>
      <c r="H56" s="19" t="n">
        <v>64593.2</v>
      </c>
    </row>
    <row r="57">
      <c r="A57" s="16" t="n">
        <v>11</v>
      </c>
      <c r="B57" s="27" t="n">
        <v>97</v>
      </c>
      <c r="C57" s="28" t="n">
        <v>56.14</v>
      </c>
      <c r="D57" s="28" t="n">
        <v>285</v>
      </c>
      <c r="E57" s="17" t="inlineStr">
        <is>
          <t>BIRLACABLE</t>
        </is>
      </c>
      <c r="F57" s="18" t="inlineStr">
        <is>
          <t>Birla Cable Limited</t>
        </is>
      </c>
      <c r="G57" s="18" t="inlineStr">
        <is>
          <t>industrials</t>
        </is>
      </c>
      <c r="H57" s="19" t="n">
        <v>1075.95</v>
      </c>
    </row>
    <row r="58">
      <c r="A58" s="16" t="n">
        <v>12</v>
      </c>
      <c r="B58" s="27" t="n">
        <v>97</v>
      </c>
      <c r="C58" s="28" t="n">
        <v>55.72</v>
      </c>
      <c r="D58" s="28" t="n">
        <v>275</v>
      </c>
      <c r="E58" s="17" t="inlineStr">
        <is>
          <t>KABRAEXTRU</t>
        </is>
      </c>
      <c r="F58" s="18" t="inlineStr">
        <is>
          <t>Kabra Extrusion Technik Limited</t>
        </is>
      </c>
      <c r="G58" s="18" t="inlineStr">
        <is>
          <t>industrials</t>
        </is>
      </c>
      <c r="H58" s="19" t="n">
        <v>1975.27</v>
      </c>
    </row>
    <row r="59">
      <c r="A59" s="16" t="n">
        <v>13</v>
      </c>
      <c r="B59" s="27" t="n">
        <v>96</v>
      </c>
      <c r="C59" s="28" t="n">
        <v>55.49</v>
      </c>
      <c r="D59" s="28" t="n">
        <v>280</v>
      </c>
      <c r="E59" s="17" t="inlineStr">
        <is>
          <t>WELCORP</t>
        </is>
      </c>
      <c r="F59" s="18" t="inlineStr">
        <is>
          <t>Welspun Corp Limited</t>
        </is>
      </c>
      <c r="G59" s="18" t="inlineStr">
        <is>
          <t>industrials</t>
        </is>
      </c>
      <c r="H59" s="19" t="n">
        <v>69682.94</v>
      </c>
    </row>
    <row r="60">
      <c r="A60" s="16" t="n">
        <v>14</v>
      </c>
      <c r="B60" s="27" t="n">
        <v>96</v>
      </c>
      <c r="C60" s="28" t="n">
        <v>53.52</v>
      </c>
      <c r="D60" s="28" t="n">
        <v>270</v>
      </c>
      <c r="E60" s="17" t="inlineStr">
        <is>
          <t>PVP</t>
        </is>
      </c>
      <c r="F60" s="18" t="inlineStr">
        <is>
          <t>Pvp Ventures Limited</t>
        </is>
      </c>
      <c r="G60" s="18" t="inlineStr">
        <is>
          <t>realty</t>
        </is>
      </c>
      <c r="H60" s="19" t="n">
        <v>1690.02</v>
      </c>
    </row>
    <row r="61">
      <c r="A61" s="16" t="n">
        <v>15</v>
      </c>
      <c r="B61" s="27" t="n">
        <v>96</v>
      </c>
      <c r="C61" s="28" t="n">
        <v>53.36</v>
      </c>
      <c r="D61" s="28" t="n">
        <v>278</v>
      </c>
      <c r="E61" s="17" t="inlineStr">
        <is>
          <t>UNIVASTU</t>
        </is>
      </c>
      <c r="F61" s="18" t="inlineStr">
        <is>
          <t>Univastu India Ltd</t>
        </is>
      </c>
      <c r="G61" s="18" t="inlineStr">
        <is>
          <t>realty</t>
        </is>
      </c>
      <c r="H61" s="19" t="n">
        <v>636.39</v>
      </c>
    </row>
    <row r="62">
      <c r="A62" s="16" t="n">
        <v>16</v>
      </c>
      <c r="B62" s="27" t="n">
        <v>96</v>
      </c>
      <c r="C62" s="28" t="n">
        <v>53.21</v>
      </c>
      <c r="D62" s="28" t="n">
        <v>233</v>
      </c>
      <c r="E62" s="17" t="inlineStr">
        <is>
          <t>SALSTEEL</t>
        </is>
      </c>
      <c r="F62" s="18" t="inlineStr">
        <is>
          <t>SAL Steel</t>
        </is>
      </c>
      <c r="G62" s="18" t="inlineStr">
        <is>
          <t>metals &amp; mining</t>
        </is>
      </c>
      <c r="H62" s="19" t="n">
        <v>1187.67</v>
      </c>
    </row>
    <row r="63">
      <c r="A63" s="16" t="n">
        <v>17</v>
      </c>
      <c r="B63" s="27" t="n">
        <v>95</v>
      </c>
      <c r="C63" s="28" t="n">
        <v>52.41</v>
      </c>
      <c r="D63" s="28" t="n">
        <v>265</v>
      </c>
      <c r="E63" s="17" t="inlineStr">
        <is>
          <t>BODALCHEM</t>
        </is>
      </c>
      <c r="F63" s="18" t="inlineStr">
        <is>
          <t>Bodal Chemicals Limited</t>
        </is>
      </c>
      <c r="G63" s="18" t="inlineStr">
        <is>
          <t>chemicals</t>
        </is>
      </c>
      <c r="H63" s="19" t="n">
        <v>1898.73</v>
      </c>
    </row>
    <row r="64">
      <c r="A64" s="16" t="n">
        <v>18</v>
      </c>
      <c r="B64" s="27" t="n">
        <v>95</v>
      </c>
      <c r="C64" s="28" t="n">
        <v>51.86</v>
      </c>
      <c r="D64" s="28" t="n">
        <v>248</v>
      </c>
      <c r="E64" s="17" t="inlineStr">
        <is>
          <t>SWANDEF</t>
        </is>
      </c>
      <c r="F64" s="18" t="inlineStr">
        <is>
          <t>Swan Defence and Heavy Industries Ltd</t>
        </is>
      </c>
      <c r="G64" s="18" t="inlineStr">
        <is>
          <t>transportation</t>
        </is>
      </c>
      <c r="H64" s="19" t="n">
        <v>13117.86</v>
      </c>
    </row>
    <row r="65">
      <c r="A65" s="16" t="n">
        <v>19</v>
      </c>
      <c r="B65" s="27" t="n">
        <v>95</v>
      </c>
      <c r="C65" s="28" t="n">
        <v>49.34</v>
      </c>
      <c r="D65" s="28" t="n">
        <v>270</v>
      </c>
      <c r="E65" s="17" t="inlineStr">
        <is>
          <t>BLISSGVS</t>
        </is>
      </c>
      <c r="F65" s="18" t="inlineStr">
        <is>
          <t>Bliss Gvs Pharma Limited</t>
        </is>
      </c>
      <c r="G65" s="18" t="inlineStr">
        <is>
          <t>healthcare</t>
        </is>
      </c>
      <c r="H65" s="19" t="n">
        <v>6780.7</v>
      </c>
    </row>
    <row r="66">
      <c r="A66" s="16" t="n">
        <v>20</v>
      </c>
      <c r="B66" s="27" t="n">
        <v>95</v>
      </c>
      <c r="C66" s="28" t="n">
        <v>48.22</v>
      </c>
      <c r="D66" s="28" t="n">
        <v>278</v>
      </c>
      <c r="E66" s="17" t="inlineStr">
        <is>
          <t>CYIENTDLM</t>
        </is>
      </c>
      <c r="F66" s="18" t="inlineStr">
        <is>
          <t>Cyient DLM Ltd</t>
        </is>
      </c>
      <c r="G66" s="18" t="inlineStr">
        <is>
          <t>aerospace &amp; defence</t>
        </is>
      </c>
      <c r="H66" s="19" t="n">
        <v>6640.82</v>
      </c>
    </row>
    <row r="67">
      <c r="A67" s="16" t="n">
        <v>21</v>
      </c>
      <c r="B67" s="29" t="n">
        <v>94</v>
      </c>
      <c r="C67" s="28" t="n">
        <v>47.63</v>
      </c>
      <c r="D67" s="28" t="n">
        <v>260</v>
      </c>
      <c r="E67" s="17" t="inlineStr">
        <is>
          <t>AEROFLEX</t>
        </is>
      </c>
      <c r="F67" s="18" t="inlineStr">
        <is>
          <t>Aeroflex Industries Ltd</t>
        </is>
      </c>
      <c r="G67" s="18" t="inlineStr">
        <is>
          <t>metals &amp; mining</t>
        </is>
      </c>
      <c r="H67" s="19" t="n">
        <v>7174.31</v>
      </c>
    </row>
    <row r="68">
      <c r="A68" s="16" t="n">
        <v>22</v>
      </c>
      <c r="B68" s="29" t="n">
        <v>94</v>
      </c>
      <c r="C68" s="28" t="n">
        <v>44.65</v>
      </c>
      <c r="D68" s="28" t="n">
        <v>275</v>
      </c>
      <c r="E68" s="17" t="inlineStr">
        <is>
          <t>KMEW</t>
        </is>
      </c>
      <c r="F68" s="18" t="inlineStr">
        <is>
          <t>Knowledge Marine &amp; Engineering Works Ltd</t>
        </is>
      </c>
      <c r="G68" s="18" t="inlineStr">
        <is>
          <t>transportation</t>
        </is>
      </c>
      <c r="H68" s="19" t="n">
        <v>7700.87</v>
      </c>
    </row>
    <row r="69">
      <c r="A69" s="16" t="n">
        <v>23</v>
      </c>
      <c r="B69" s="29" t="n">
        <v>94</v>
      </c>
      <c r="C69" s="28" t="n">
        <v>44.05</v>
      </c>
      <c r="D69" s="28" t="n">
        <v>275</v>
      </c>
      <c r="E69" s="17" t="inlineStr">
        <is>
          <t>MODISONLTD</t>
        </is>
      </c>
      <c r="F69" s="18" t="inlineStr">
        <is>
          <t>Modison Ltd</t>
        </is>
      </c>
      <c r="G69" s="18" t="inlineStr">
        <is>
          <t>industrials</t>
        </is>
      </c>
      <c r="H69" s="19" t="n">
        <v>1605.14</v>
      </c>
    </row>
    <row r="70">
      <c r="A70" s="16" t="n">
        <v>24</v>
      </c>
      <c r="B70" s="29" t="n">
        <v>94</v>
      </c>
      <c r="C70" s="28" t="n">
        <v>43.45</v>
      </c>
      <c r="D70" s="28" t="n">
        <v>258</v>
      </c>
      <c r="E70" s="17" t="inlineStr">
        <is>
          <t>MTARTECH</t>
        </is>
      </c>
      <c r="F70" s="18" t="inlineStr">
        <is>
          <t>MTAR Technologies Ltd</t>
        </is>
      </c>
      <c r="G70" s="18" t="inlineStr">
        <is>
          <t>aerospace &amp; defence</t>
        </is>
      </c>
      <c r="H70" s="19" t="n">
        <v>20978.04</v>
      </c>
    </row>
    <row r="71">
      <c r="A71" s="16" t="n">
        <v>25</v>
      </c>
      <c r="B71" s="29" t="n">
        <v>94</v>
      </c>
      <c r="C71" s="28" t="n">
        <v>43.19</v>
      </c>
      <c r="D71" s="28" t="n">
        <v>267</v>
      </c>
      <c r="E71" s="17" t="inlineStr">
        <is>
          <t>HFCL</t>
        </is>
      </c>
      <c r="F71" s="18" t="inlineStr">
        <is>
          <t>HFCL Limited</t>
        </is>
      </c>
      <c r="G71" s="18" t="inlineStr">
        <is>
          <t>Technology</t>
        </is>
      </c>
      <c r="H71" s="19" t="n">
        <v>35416.42</v>
      </c>
    </row>
    <row r="72">
      <c r="A72" s="16" t="n">
        <v>26</v>
      </c>
      <c r="B72" s="29" t="n">
        <v>93</v>
      </c>
      <c r="C72" s="28" t="n">
        <v>43.06</v>
      </c>
      <c r="D72" s="28" t="n">
        <v>298</v>
      </c>
      <c r="E72" s="17" t="inlineStr">
        <is>
          <t>VINDHYATEL</t>
        </is>
      </c>
      <c r="F72" s="18" t="inlineStr">
        <is>
          <t>Vindhya Telelinks Limited</t>
        </is>
      </c>
      <c r="G72" s="18" t="inlineStr">
        <is>
          <t>realty</t>
        </is>
      </c>
      <c r="H72" s="19" t="n">
        <v>3242.63</v>
      </c>
    </row>
    <row r="73">
      <c r="A73" s="16" t="n">
        <v>27</v>
      </c>
      <c r="B73" s="29" t="n">
        <v>93</v>
      </c>
      <c r="C73" s="28" t="n">
        <v>42.9</v>
      </c>
      <c r="D73" s="28" t="n">
        <v>243</v>
      </c>
      <c r="E73" s="17" t="inlineStr">
        <is>
          <t>RATNAVEER</t>
        </is>
      </c>
      <c r="F73" s="18" t="inlineStr">
        <is>
          <t>Ratnaveer Precision Engineering Ltd</t>
        </is>
      </c>
      <c r="G73" s="18" t="inlineStr">
        <is>
          <t>metals &amp; mining</t>
        </is>
      </c>
      <c r="H73" s="19" t="n">
        <v>2043.52</v>
      </c>
    </row>
    <row r="74">
      <c r="A74" s="16" t="n">
        <v>28</v>
      </c>
      <c r="B74" s="29" t="n">
        <v>93</v>
      </c>
      <c r="C74" s="28" t="n">
        <v>42.87</v>
      </c>
      <c r="D74" s="28" t="n">
        <v>290</v>
      </c>
      <c r="E74" s="17" t="inlineStr">
        <is>
          <t>SCPL</t>
        </is>
      </c>
      <c r="F74" s="18" t="inlineStr">
        <is>
          <t>Sheetal Cool Products Ltd</t>
        </is>
      </c>
      <c r="G74" s="18" t="inlineStr">
        <is>
          <t>fmcg</t>
        </is>
      </c>
      <c r="H74" s="19" t="n">
        <v>674</v>
      </c>
    </row>
    <row r="75">
      <c r="A75" s="16" t="n">
        <v>29</v>
      </c>
      <c r="B75" s="29" t="n">
        <v>93</v>
      </c>
      <c r="C75" s="28" t="n">
        <v>42.64</v>
      </c>
      <c r="D75" s="28" t="n">
        <v>270</v>
      </c>
      <c r="E75" s="17" t="inlineStr">
        <is>
          <t>BAFNAPH</t>
        </is>
      </c>
      <c r="F75" s="18" t="inlineStr">
        <is>
          <t>Bafna Pharmaceuticals Ltd</t>
        </is>
      </c>
      <c r="G75" s="18" t="inlineStr">
        <is>
          <t>healthcare</t>
        </is>
      </c>
      <c r="H75" s="19" t="n">
        <v>714.0700000000001</v>
      </c>
    </row>
    <row r="76">
      <c r="A76" s="16" t="n">
        <v>30</v>
      </c>
      <c r="B76" s="29" t="n">
        <v>92</v>
      </c>
      <c r="C76" s="28" t="n">
        <v>41.72</v>
      </c>
      <c r="D76" s="28" t="n">
        <v>248</v>
      </c>
      <c r="E76" s="17" t="inlineStr">
        <is>
          <t>MAHASTEEL</t>
        </is>
      </c>
      <c r="F76" s="18" t="inlineStr">
        <is>
          <t>Mahamaya Steel Industries Limited</t>
        </is>
      </c>
      <c r="G76" s="18" t="inlineStr">
        <is>
          <t>metals &amp; mining</t>
        </is>
      </c>
      <c r="H76" s="19" t="n">
        <v>2067.78</v>
      </c>
    </row>
    <row r="77">
      <c r="A77" s="16" t="n">
        <v>31</v>
      </c>
      <c r="B77" s="29" t="n">
        <v>92</v>
      </c>
      <c r="C77" s="28" t="n">
        <v>40.25</v>
      </c>
      <c r="D77" s="28" t="n">
        <v>265</v>
      </c>
      <c r="E77" s="17" t="inlineStr">
        <is>
          <t>MACPOWER</t>
        </is>
      </c>
      <c r="F77" s="18" t="inlineStr">
        <is>
          <t>Macpower CNC Machines Ltd</t>
        </is>
      </c>
      <c r="G77" s="18" t="inlineStr">
        <is>
          <t>industrials</t>
        </is>
      </c>
      <c r="H77" s="19" t="n">
        <v>1944.91</v>
      </c>
    </row>
    <row r="78">
      <c r="A78" s="16" t="n">
        <v>32</v>
      </c>
      <c r="B78" s="29" t="n">
        <v>92</v>
      </c>
      <c r="C78" s="28" t="n">
        <v>40.09</v>
      </c>
      <c r="D78" s="28" t="n">
        <v>230</v>
      </c>
      <c r="E78" s="17" t="inlineStr">
        <is>
          <t>SOTL</t>
        </is>
      </c>
      <c r="F78" s="18" t="inlineStr">
        <is>
          <t>Savita Oil Technologies Limited</t>
        </is>
      </c>
      <c r="G78" s="18" t="inlineStr">
        <is>
          <t>energy</t>
        </is>
      </c>
      <c r="H78" s="19" t="n">
        <v>5055.3</v>
      </c>
    </row>
    <row r="79">
      <c r="A79" s="16" t="n">
        <v>33</v>
      </c>
      <c r="B79" s="29" t="n">
        <v>92</v>
      </c>
      <c r="C79" s="28" t="n">
        <v>39.84</v>
      </c>
      <c r="D79" s="28" t="n">
        <v>272</v>
      </c>
      <c r="E79" s="17" t="inlineStr">
        <is>
          <t>SHILPAMED</t>
        </is>
      </c>
      <c r="F79" s="18" t="inlineStr">
        <is>
          <t>Shilpa Medicare Limited</t>
        </is>
      </c>
      <c r="G79" s="18" t="inlineStr">
        <is>
          <t>healthcare</t>
        </is>
      </c>
      <c r="H79" s="19" t="n">
        <v>18700.56</v>
      </c>
    </row>
    <row r="80">
      <c r="A80" s="16" t="n">
        <v>34</v>
      </c>
      <c r="B80" s="29" t="n">
        <v>92</v>
      </c>
      <c r="C80" s="28" t="n">
        <v>39.77</v>
      </c>
      <c r="D80" s="28" t="n">
        <v>282</v>
      </c>
      <c r="E80" s="17" t="inlineStr">
        <is>
          <t>KPL</t>
        </is>
      </c>
      <c r="F80" s="18" t="inlineStr">
        <is>
          <t>Kwality Pharmaceuticals Limited</t>
        </is>
      </c>
      <c r="G80" s="18" t="inlineStr">
        <is>
          <t>Healthcare</t>
        </is>
      </c>
      <c r="H80" s="19" t="n">
        <v>3417.82</v>
      </c>
    </row>
    <row r="81">
      <c r="A81" s="16" t="n">
        <v>35</v>
      </c>
      <c r="B81" s="29" t="n">
        <v>91</v>
      </c>
      <c r="C81" s="28" t="n">
        <v>39.2</v>
      </c>
      <c r="D81" s="28" t="n">
        <v>260</v>
      </c>
      <c r="E81" s="17" t="inlineStr">
        <is>
          <t>SBCL</t>
        </is>
      </c>
      <c r="F81" s="18" t="inlineStr">
        <is>
          <t>Shivalik Bimetal Controls Ltd</t>
        </is>
      </c>
      <c r="G81" s="18" t="inlineStr">
        <is>
          <t>metals &amp; mining</t>
        </is>
      </c>
      <c r="H81" s="19" t="n">
        <v>6658.47</v>
      </c>
    </row>
    <row r="82">
      <c r="A82" s="16" t="n">
        <v>36</v>
      </c>
      <c r="B82" s="29" t="n">
        <v>91</v>
      </c>
      <c r="C82" s="28" t="n">
        <v>38.82</v>
      </c>
      <c r="D82" s="28" t="n">
        <v>270</v>
      </c>
      <c r="E82" s="17" t="inlineStr">
        <is>
          <t>KENNAMET</t>
        </is>
      </c>
      <c r="F82" s="18" t="inlineStr">
        <is>
          <t>Kennametal India Ltd</t>
        </is>
      </c>
      <c r="G82" s="18" t="inlineStr">
        <is>
          <t>industrials</t>
        </is>
      </c>
      <c r="H82" s="19" t="n">
        <v>9960.98</v>
      </c>
    </row>
    <row r="83">
      <c r="A83" s="16" t="n">
        <v>37</v>
      </c>
      <c r="B83" s="29" t="n">
        <v>91</v>
      </c>
      <c r="C83" s="28" t="n">
        <v>38.81</v>
      </c>
      <c r="D83" s="28" t="n">
        <v>268</v>
      </c>
      <c r="E83" s="17" t="inlineStr">
        <is>
          <t>COMSYN</t>
        </is>
      </c>
      <c r="F83" s="18" t="inlineStr">
        <is>
          <t>Commercial Syn Bags Ltd</t>
        </is>
      </c>
      <c r="G83" s="18" t="inlineStr">
        <is>
          <t>industrials</t>
        </is>
      </c>
      <c r="H83" s="19" t="n">
        <v>1221.07</v>
      </c>
    </row>
    <row r="84">
      <c r="A84" s="16" t="n">
        <v>38</v>
      </c>
      <c r="B84" s="29" t="n">
        <v>91</v>
      </c>
      <c r="C84" s="28" t="n">
        <v>38.42</v>
      </c>
      <c r="D84" s="28" t="n">
        <v>272</v>
      </c>
      <c r="E84" s="17" t="inlineStr">
        <is>
          <t>TFCILTD</t>
        </is>
      </c>
      <c r="F84" s="18" t="inlineStr">
        <is>
          <t>Tourism Finance Corporation Of India Limited</t>
        </is>
      </c>
      <c r="G84" s="18" t="inlineStr">
        <is>
          <t>financials</t>
        </is>
      </c>
      <c r="H84" s="19" t="n">
        <v>6792.34</v>
      </c>
    </row>
    <row r="85">
      <c r="A85" s="16" t="n">
        <v>39</v>
      </c>
      <c r="B85" s="29" t="n">
        <v>90</v>
      </c>
      <c r="C85" s="28" t="n">
        <v>37.67</v>
      </c>
      <c r="D85" s="28" t="n">
        <v>275</v>
      </c>
      <c r="E85" s="17" t="inlineStr">
        <is>
          <t>MARINE</t>
        </is>
      </c>
      <c r="F85" s="18" t="inlineStr">
        <is>
          <t>Marine Electricals (India) Ltd</t>
        </is>
      </c>
      <c r="G85" s="18" t="inlineStr">
        <is>
          <t>industrials</t>
        </is>
      </c>
      <c r="H85" s="19" t="n">
        <v>6023.21</v>
      </c>
    </row>
    <row r="86">
      <c r="A86" s="16" t="n">
        <v>40</v>
      </c>
      <c r="B86" s="29" t="n">
        <v>90</v>
      </c>
      <c r="C86" s="28" t="n">
        <v>36.82</v>
      </c>
      <c r="D86" s="28" t="n">
        <v>263</v>
      </c>
      <c r="E86" s="17" t="inlineStr">
        <is>
          <t>KAPSTON</t>
        </is>
      </c>
      <c r="F86" s="18" t="inlineStr">
        <is>
          <t>Kapston Services Ltd</t>
        </is>
      </c>
      <c r="G86" s="18" t="inlineStr">
        <is>
          <t>miscellaneous</t>
        </is>
      </c>
      <c r="H86" s="19" t="n">
        <v>1769.18</v>
      </c>
    </row>
    <row r="87">
      <c r="A87" s="16" t="n">
        <v>41</v>
      </c>
      <c r="B87" s="29" t="n">
        <v>90</v>
      </c>
      <c r="C87" s="28" t="n">
        <v>35.98</v>
      </c>
      <c r="D87" s="28" t="n">
        <v>213</v>
      </c>
      <c r="E87" s="17" t="inlineStr">
        <is>
          <t>UEL</t>
        </is>
      </c>
      <c r="F87" s="18" t="inlineStr">
        <is>
          <t>Ujaas Energy Ltd</t>
        </is>
      </c>
      <c r="G87" s="18" t="inlineStr">
        <is>
          <t>power &amp; utilities</t>
        </is>
      </c>
      <c r="H87" s="19" t="n">
        <v>3069.48</v>
      </c>
    </row>
    <row r="88">
      <c r="A88" s="16" t="n">
        <v>42</v>
      </c>
      <c r="B88" s="29" t="n">
        <v>90</v>
      </c>
      <c r="C88" s="28" t="n">
        <v>35.95</v>
      </c>
      <c r="D88" s="28" t="n">
        <v>268</v>
      </c>
      <c r="E88" s="17" t="inlineStr">
        <is>
          <t>JINDWORLD</t>
        </is>
      </c>
      <c r="F88" s="18" t="inlineStr">
        <is>
          <t>Jindal Worldwide Limited</t>
        </is>
      </c>
      <c r="G88" s="18" t="inlineStr">
        <is>
          <t>textiles</t>
        </is>
      </c>
      <c r="H88" s="19" t="n">
        <v>4827.53</v>
      </c>
    </row>
    <row r="89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JINDWORLD</t>
        </is>
      </c>
      <c r="B2" s="31" t="inlineStr">
        <is>
          <t>Jindal Worldwide Limited</t>
        </is>
      </c>
      <c r="C2" s="31" t="inlineStr">
        <is>
          <t>textiles</t>
        </is>
      </c>
      <c r="D2" s="31" t="inlineStr">
        <is>
          <t>textiles - products</t>
        </is>
      </c>
      <c r="E2" s="31" t="inlineStr">
        <is>
          <t>smallcap</t>
        </is>
      </c>
      <c r="F2" s="31" t="n">
        <v>4827.53</v>
      </c>
      <c r="G2" s="31" t="n">
        <v>57.51</v>
      </c>
      <c r="H2" s="31" t="n">
        <v>19.44</v>
      </c>
      <c r="I2" s="31" t="n">
        <v>188275533</v>
      </c>
      <c r="J2" s="31" t="inlineStr">
        <is>
          <t>531543</t>
        </is>
      </c>
    </row>
    <row r="3">
      <c r="A3" s="31" t="inlineStr">
        <is>
          <t>NRAIL</t>
        </is>
      </c>
      <c r="B3" s="31" t="inlineStr">
        <is>
          <t>N R Agarwal Industries Ltd</t>
        </is>
      </c>
      <c r="C3" s="31" t="inlineStr">
        <is>
          <t>building materials</t>
        </is>
      </c>
      <c r="D3" s="31" t="inlineStr">
        <is>
          <t>paper</t>
        </is>
      </c>
      <c r="E3" s="31" t="inlineStr">
        <is>
          <t>smallcap</t>
        </is>
      </c>
      <c r="F3" s="31" t="n">
        <v>844.23</v>
      </c>
      <c r="G3" s="31" t="n">
        <v>584</v>
      </c>
      <c r="H3" s="31" t="n">
        <v>17.73</v>
      </c>
      <c r="I3" s="31" t="n">
        <v>157426</v>
      </c>
      <c r="J3" s="31" t="inlineStr">
        <is>
          <t>516082</t>
        </is>
      </c>
    </row>
    <row r="4">
      <c r="A4" s="31" t="inlineStr">
        <is>
          <t>NIACL</t>
        </is>
      </c>
      <c r="B4" s="31" t="inlineStr">
        <is>
          <t>New India Assurance Company Ltd</t>
        </is>
      </c>
      <c r="C4" s="31" t="inlineStr">
        <is>
          <t>financials</t>
        </is>
      </c>
      <c r="D4" s="31" t="inlineStr">
        <is>
          <t>finance &amp; investments</t>
        </is>
      </c>
      <c r="E4" s="31" t="inlineStr">
        <is>
          <t>largecap</t>
        </is>
      </c>
      <c r="F4" s="31" t="n">
        <v>32190.38</v>
      </c>
      <c r="G4" s="31" t="n">
        <v>229.91</v>
      </c>
      <c r="H4" s="31" t="n">
        <v>17.7</v>
      </c>
      <c r="I4" s="31" t="n">
        <v>66928665</v>
      </c>
      <c r="J4" s="31" t="inlineStr">
        <is>
          <t>540769</t>
        </is>
      </c>
    </row>
    <row r="5">
      <c r="A5" s="31" t="inlineStr">
        <is>
          <t>RADHIKAJWE</t>
        </is>
      </c>
      <c r="B5" s="31" t="inlineStr">
        <is>
          <t>Radhika Jeweltech Ltd</t>
        </is>
      </c>
      <c r="C5" s="31" t="inlineStr">
        <is>
          <t>consumer discretionary</t>
        </is>
      </c>
      <c r="D5" s="31" t="inlineStr">
        <is>
          <t>diamond cutting / jewellery</t>
        </is>
      </c>
      <c r="E5" s="31" t="inlineStr">
        <is>
          <t>smallcap</t>
        </is>
      </c>
      <c r="F5" s="31" t="n">
        <v>841.58</v>
      </c>
      <c r="G5" s="31" t="n">
        <v>83.16</v>
      </c>
      <c r="H5" s="31" t="n">
        <v>16.6</v>
      </c>
      <c r="I5" s="31" t="n">
        <v>14544177</v>
      </c>
      <c r="J5" s="31" t="inlineStr">
        <is>
          <t>540125</t>
        </is>
      </c>
    </row>
    <row r="6">
      <c r="A6" s="31" t="inlineStr">
        <is>
          <t>RML</t>
        </is>
      </c>
      <c r="B6" s="31" t="inlineStr">
        <is>
          <t>Rane (madras) Limited</t>
        </is>
      </c>
      <c r="C6" s="31" t="inlineStr">
        <is>
          <t>auto</t>
        </is>
      </c>
      <c r="D6" s="31" t="inlineStr">
        <is>
          <t>auto ancillaries</t>
        </is>
      </c>
      <c r="E6" s="31" t="inlineStr">
        <is>
          <t>smallcap</t>
        </is>
      </c>
      <c r="F6" s="31" t="n">
        <v>3115.81</v>
      </c>
      <c r="G6" s="31" t="n">
        <v>1295.9</v>
      </c>
      <c r="H6" s="31" t="n">
        <v>14.95</v>
      </c>
      <c r="I6" s="31" t="n">
        <v>2195205</v>
      </c>
      <c r="J6" s="31" t="inlineStr">
        <is>
          <t>532661</t>
        </is>
      </c>
    </row>
    <row r="7">
      <c r="A7" s="31" t="inlineStr">
        <is>
          <t>SMLMAH</t>
        </is>
      </c>
      <c r="B7" s="31" t="inlineStr">
        <is>
          <t>SML Mahindra Ltd</t>
        </is>
      </c>
      <c r="C7" s="31" t="inlineStr">
        <is>
          <t>auto</t>
        </is>
      </c>
      <c r="D7" s="31" t="inlineStr">
        <is>
          <t>automobiles - lcvs / hcvs</t>
        </is>
      </c>
      <c r="E7" s="31" t="inlineStr">
        <is>
          <t>midcap</t>
        </is>
      </c>
      <c r="F7" s="31" t="n">
        <v>8286.459999999999</v>
      </c>
      <c r="G7" s="31" t="n">
        <v>6298.5</v>
      </c>
      <c r="H7" s="31" t="n">
        <v>10</v>
      </c>
      <c r="I7" s="31" t="n">
        <v>427607</v>
      </c>
      <c r="J7" s="31" t="inlineStr">
        <is>
          <t>505192</t>
        </is>
      </c>
    </row>
    <row r="8">
      <c r="A8" s="31" t="inlineStr">
        <is>
          <t>TBZ</t>
        </is>
      </c>
      <c r="B8" s="31" t="inlineStr">
        <is>
          <t>Tribhovandas Bhimji Zaveri Limited</t>
        </is>
      </c>
      <c r="C8" s="31" t="inlineStr">
        <is>
          <t>consumer discretionary</t>
        </is>
      </c>
      <c r="D8" s="31" t="inlineStr">
        <is>
          <t>diamond cutting / jewellery</t>
        </is>
      </c>
      <c r="E8" s="31" t="inlineStr">
        <is>
          <t>smallcap</t>
        </is>
      </c>
      <c r="F8" s="31" t="n">
        <v>2917.13</v>
      </c>
      <c r="G8" s="31" t="n">
        <v>480.85</v>
      </c>
      <c r="H8" s="31" t="n">
        <v>10</v>
      </c>
      <c r="I8" s="31" t="n">
        <v>3486401</v>
      </c>
      <c r="J8" s="31" t="inlineStr">
        <is>
          <t>534369</t>
        </is>
      </c>
    </row>
    <row r="9">
      <c r="A9" s="31" t="inlineStr">
        <is>
          <t>MUKKA</t>
        </is>
      </c>
      <c r="B9" s="31" t="inlineStr">
        <is>
          <t>Mukka Proteins Ltd</t>
        </is>
      </c>
      <c r="C9" s="31" t="inlineStr">
        <is>
          <t>fmcg</t>
        </is>
      </c>
      <c r="D9" s="31" t="inlineStr">
        <is>
          <t>food - processing - indian</t>
        </is>
      </c>
      <c r="E9" s="31" t="inlineStr">
        <is>
          <t>smallcap</t>
        </is>
      </c>
      <c r="F9" s="31" t="n">
        <v>861.6</v>
      </c>
      <c r="G9" s="31" t="n">
        <v>31.34</v>
      </c>
      <c r="H9" s="31" t="n">
        <v>9.119999999999999</v>
      </c>
      <c r="I9" s="31" t="n">
        <v>6910108</v>
      </c>
      <c r="J9" s="31" t="inlineStr">
        <is>
          <t>544135</t>
        </is>
      </c>
    </row>
    <row r="10">
      <c r="A10" s="31" t="inlineStr">
        <is>
          <t>RGL</t>
        </is>
      </c>
      <c r="B10" s="31" t="inlineStr">
        <is>
          <t>Renaissance Global Ltd</t>
        </is>
      </c>
      <c r="C10" s="31" t="inlineStr">
        <is>
          <t>consumer discretionary</t>
        </is>
      </c>
      <c r="D10" s="31" t="inlineStr">
        <is>
          <t>diamond cutting / jewellery</t>
        </is>
      </c>
      <c r="E10" s="31" t="inlineStr">
        <is>
          <t>smallcap</t>
        </is>
      </c>
      <c r="F10" s="31" t="n">
        <v>1472.24</v>
      </c>
      <c r="G10" s="31" t="n">
        <v>149.26</v>
      </c>
      <c r="H10" s="31" t="n">
        <v>8.85</v>
      </c>
      <c r="I10" s="31" t="n">
        <v>3035236</v>
      </c>
      <c r="J10" s="31" t="inlineStr">
        <is>
          <t>532923</t>
        </is>
      </c>
    </row>
    <row r="11">
      <c r="A11" s="31" t="inlineStr">
        <is>
          <t>DOLPHIN</t>
        </is>
      </c>
      <c r="B11" s="31" t="inlineStr">
        <is>
          <t>Dolphin Offshore Enterprises (India) Ltd</t>
        </is>
      </c>
      <c r="C11" s="31" t="inlineStr">
        <is>
          <t>energy</t>
        </is>
      </c>
      <c r="D11" s="31" t="inlineStr">
        <is>
          <t>oil drilling / allied services</t>
        </is>
      </c>
      <c r="E11" s="31" t="inlineStr">
        <is>
          <t>smallcap</t>
        </is>
      </c>
      <c r="F11" s="31" t="n">
        <v>2478.68</v>
      </c>
      <c r="G11" s="31" t="n">
        <v>674</v>
      </c>
      <c r="H11" s="31" t="n">
        <v>8.779999999999999</v>
      </c>
      <c r="I11" s="31" t="n">
        <v>169333</v>
      </c>
      <c r="J11" s="31" t="inlineStr">
        <is>
          <t>522261</t>
        </is>
      </c>
    </row>
    <row r="12">
      <c r="A12" s="31" t="inlineStr">
        <is>
          <t>TEJASNET</t>
        </is>
      </c>
      <c r="B12" s="31" t="inlineStr">
        <is>
          <t>Tejas Networks Ltd</t>
        </is>
      </c>
      <c r="C12" s="31" t="inlineStr">
        <is>
          <t>telecom</t>
        </is>
      </c>
      <c r="D12" s="31" t="inlineStr">
        <is>
          <t>telecommunications - equipment</t>
        </is>
      </c>
      <c r="E12" s="31" t="inlineStr">
        <is>
          <t>midcap</t>
        </is>
      </c>
      <c r="F12" s="31" t="n">
        <v>10099.13</v>
      </c>
      <c r="G12" s="31" t="n">
        <v>614.15</v>
      </c>
      <c r="H12" s="31" t="n">
        <v>8.23</v>
      </c>
      <c r="I12" s="31" t="n">
        <v>26085952</v>
      </c>
      <c r="J12" s="31" t="inlineStr">
        <is>
          <t>540595</t>
        </is>
      </c>
    </row>
    <row r="13">
      <c r="A13" s="31" t="inlineStr">
        <is>
          <t>SKIPPER</t>
        </is>
      </c>
      <c r="B13" s="31" t="inlineStr">
        <is>
          <t>Skipper Limited</t>
        </is>
      </c>
      <c r="C13" s="31" t="inlineStr">
        <is>
          <t>industrials</t>
        </is>
      </c>
      <c r="D13" s="31" t="inlineStr">
        <is>
          <t>engineering</t>
        </is>
      </c>
      <c r="E13" s="31" t="inlineStr">
        <is>
          <t>midcap</t>
        </is>
      </c>
      <c r="F13" s="31" t="n">
        <v>6679.15</v>
      </c>
      <c r="G13" s="31" t="n">
        <v>591.1</v>
      </c>
      <c r="H13" s="31" t="n">
        <v>8.08</v>
      </c>
      <c r="I13" s="31" t="n">
        <v>10118419</v>
      </c>
      <c r="J13" s="31" t="inlineStr">
        <is>
          <t>538562</t>
        </is>
      </c>
    </row>
    <row r="14">
      <c r="A14" s="31" t="inlineStr">
        <is>
          <t>MOTISONS</t>
        </is>
      </c>
      <c r="B14" s="31" t="inlineStr">
        <is>
          <t>Motisons Jewellers Ltd</t>
        </is>
      </c>
      <c r="C14" s="31" t="inlineStr">
        <is>
          <t>consumer discretionary</t>
        </is>
      </c>
      <c r="D14" s="31" t="inlineStr">
        <is>
          <t>diamond cutting / jewellery</t>
        </is>
      </c>
      <c r="E14" s="31" t="inlineStr">
        <is>
          <t>smallcap</t>
        </is>
      </c>
      <c r="F14" s="31" t="n">
        <v>1748.35</v>
      </c>
      <c r="G14" s="31" t="n">
        <v>16.48</v>
      </c>
      <c r="H14" s="31" t="n">
        <v>7.22</v>
      </c>
      <c r="I14" s="31" t="n">
        <v>123701270</v>
      </c>
      <c r="J14" s="31" t="inlineStr">
        <is>
          <t>544053</t>
        </is>
      </c>
    </row>
    <row r="15">
      <c r="A15" s="31" t="inlineStr">
        <is>
          <t>OMAXE</t>
        </is>
      </c>
      <c r="B15" s="31" t="inlineStr">
        <is>
          <t>Omaxe Limited</t>
        </is>
      </c>
      <c r="C15" s="31" t="inlineStr">
        <is>
          <t>realty</t>
        </is>
      </c>
      <c r="D15" s="31" t="inlineStr">
        <is>
          <t>construction</t>
        </is>
      </c>
      <c r="E15" s="31" t="inlineStr">
        <is>
          <t>smallcap</t>
        </is>
      </c>
      <c r="F15" s="31" t="n">
        <v>2328.14</v>
      </c>
      <c r="G15" s="31" t="n">
        <v>136.38</v>
      </c>
      <c r="H15" s="31" t="n">
        <v>7.14</v>
      </c>
      <c r="I15" s="31" t="n">
        <v>5607789</v>
      </c>
      <c r="J15" s="31" t="inlineStr">
        <is>
          <t>532880</t>
        </is>
      </c>
    </row>
    <row r="16">
      <c r="A16" s="31" t="inlineStr">
        <is>
          <t>WOCKPHARMA</t>
        </is>
      </c>
      <c r="B16" s="31" t="inlineStr">
        <is>
          <t>Wockhardt Limited</t>
        </is>
      </c>
      <c r="C16" s="31" t="inlineStr">
        <is>
          <t>healthcare</t>
        </is>
      </c>
      <c r="D16" s="31" t="inlineStr">
        <is>
          <t>pharmaceuticals - indian - bulk drugs &amp; formln</t>
        </is>
      </c>
      <c r="E16" s="31" t="inlineStr">
        <is>
          <t>largecap</t>
        </is>
      </c>
      <c r="F16" s="31" t="n">
        <v>31695.72</v>
      </c>
      <c r="G16" s="31" t="n">
        <v>2088.7</v>
      </c>
      <c r="H16" s="31" t="n">
        <v>7.08</v>
      </c>
      <c r="I16" s="31" t="n">
        <v>3557646</v>
      </c>
      <c r="J16" s="31" t="inlineStr">
        <is>
          <t>532300</t>
        </is>
      </c>
    </row>
    <row r="17">
      <c r="A17" s="31" t="inlineStr">
        <is>
          <t>IONEXCHANG</t>
        </is>
      </c>
      <c r="B17" s="31" t="inlineStr">
        <is>
          <t>Ion Exchange (India) Ltd</t>
        </is>
      </c>
      <c r="C17" s="31" t="inlineStr">
        <is>
          <t>realty</t>
        </is>
      </c>
      <c r="D17" s="31" t="inlineStr">
        <is>
          <t>engineering - turnkey services</t>
        </is>
      </c>
      <c r="E17" s="31" t="inlineStr">
        <is>
          <t>midcap</t>
        </is>
      </c>
      <c r="F17" s="31" t="n">
        <v>5605.6</v>
      </c>
      <c r="G17" s="31" t="n">
        <v>409.2</v>
      </c>
      <c r="H17" s="31" t="n">
        <v>7.06</v>
      </c>
      <c r="I17" s="31" t="n">
        <v>1293430</v>
      </c>
      <c r="J17" s="31" t="inlineStr">
        <is>
          <t>500214</t>
        </is>
      </c>
    </row>
    <row r="18">
      <c r="A18" s="31" t="inlineStr">
        <is>
          <t>EXICOM</t>
        </is>
      </c>
      <c r="B18" s="31" t="inlineStr">
        <is>
          <t>Exicom Tele-Systems Ltd</t>
        </is>
      </c>
      <c r="C18" s="31" t="inlineStr">
        <is>
          <t>industrials</t>
        </is>
      </c>
      <c r="D18" s="31" t="inlineStr">
        <is>
          <t>electric equipment</t>
        </is>
      </c>
      <c r="E18" s="31" t="inlineStr">
        <is>
          <t>smallcap</t>
        </is>
      </c>
      <c r="F18" s="31" t="n">
        <v>2310.53</v>
      </c>
      <c r="G18" s="31" t="n">
        <v>177.85</v>
      </c>
      <c r="H18" s="31" t="n">
        <v>7.05</v>
      </c>
      <c r="I18" s="31" t="n">
        <v>5389417</v>
      </c>
      <c r="J18" s="31" t="inlineStr">
        <is>
          <t>544133</t>
        </is>
      </c>
    </row>
    <row r="19">
      <c r="A19" s="31" t="inlineStr">
        <is>
          <t>GMMPFAUDLR</t>
        </is>
      </c>
      <c r="B19" s="31" t="inlineStr">
        <is>
          <t>GMM Pfaudler Ltd</t>
        </is>
      </c>
      <c r="C19" s="31" t="inlineStr">
        <is>
          <t>industrials</t>
        </is>
      </c>
      <c r="D19" s="31" t="inlineStr">
        <is>
          <t>engineering</t>
        </is>
      </c>
      <c r="E19" s="31" t="inlineStr">
        <is>
          <t>smallcap</t>
        </is>
      </c>
      <c r="F19" s="31" t="n">
        <v>4826.16</v>
      </c>
      <c r="G19" s="31" t="n">
        <v>1147.9</v>
      </c>
      <c r="H19" s="31" t="n">
        <v>6.93</v>
      </c>
      <c r="I19" s="31" t="n">
        <v>1049404</v>
      </c>
      <c r="J19" s="31" t="inlineStr">
        <is>
          <t>505255</t>
        </is>
      </c>
    </row>
    <row r="20">
      <c r="A20" s="31" t="inlineStr">
        <is>
          <t>SHANTIGEAR</t>
        </is>
      </c>
      <c r="B20" s="31" t="inlineStr">
        <is>
          <t>Shanthi Gears Limited</t>
        </is>
      </c>
      <c r="C20" s="31" t="inlineStr">
        <is>
          <t>industrials</t>
        </is>
      </c>
      <c r="D20" s="31" t="inlineStr">
        <is>
          <t>engineering</t>
        </is>
      </c>
      <c r="E20" s="31" t="inlineStr">
        <is>
          <t>smallcap</t>
        </is>
      </c>
      <c r="F20" s="31" t="n">
        <v>4471</v>
      </c>
      <c r="G20" s="31" t="n">
        <v>621.75</v>
      </c>
      <c r="H20" s="31" t="n">
        <v>6.68</v>
      </c>
      <c r="I20" s="31" t="n">
        <v>1612281</v>
      </c>
      <c r="J20" s="31" t="inlineStr">
        <is>
          <t>522034</t>
        </is>
      </c>
    </row>
    <row r="21">
      <c r="A21" s="31" t="inlineStr">
        <is>
          <t>RATNAVEER</t>
        </is>
      </c>
      <c r="B21" s="31" t="inlineStr">
        <is>
          <t>Ratnaveer Precision Engineering Ltd</t>
        </is>
      </c>
      <c r="C21" s="31" t="inlineStr">
        <is>
          <t>metals &amp; mining</t>
        </is>
      </c>
      <c r="D21" s="31" t="inlineStr">
        <is>
          <t>steel - medium / small</t>
        </is>
      </c>
      <c r="E21" s="31" t="inlineStr">
        <is>
          <t>smallcap</t>
        </is>
      </c>
      <c r="F21" s="31" t="n">
        <v>2043.52</v>
      </c>
      <c r="G21" s="31" t="n">
        <v>304.75</v>
      </c>
      <c r="H21" s="31" t="n">
        <v>6.52</v>
      </c>
      <c r="I21" s="31" t="n">
        <v>4493978</v>
      </c>
      <c r="J21" s="31" t="inlineStr">
        <is>
          <t>543978</t>
        </is>
      </c>
    </row>
    <row r="22">
      <c r="A22" s="31" t="inlineStr">
        <is>
          <t>FCL</t>
        </is>
      </c>
      <c r="B22" s="31" t="inlineStr">
        <is>
          <t>Fineotex Chemical Limited</t>
        </is>
      </c>
      <c r="C22" s="31" t="inlineStr">
        <is>
          <t>chemicals</t>
        </is>
      </c>
      <c r="D22" s="31" t="inlineStr">
        <is>
          <t>chemicals</t>
        </is>
      </c>
      <c r="E22" s="31" t="inlineStr">
        <is>
          <t>midcap</t>
        </is>
      </c>
      <c r="F22" s="31" t="n">
        <v>5637.35</v>
      </c>
      <c r="G22" s="31" t="n">
        <v>51.51</v>
      </c>
      <c r="H22" s="31" t="n">
        <v>6.4</v>
      </c>
      <c r="I22" s="31" t="n">
        <v>20692198</v>
      </c>
      <c r="J22" s="31" t="inlineStr">
        <is>
          <t>533333</t>
        </is>
      </c>
    </row>
    <row r="23">
      <c r="A23" s="31" t="inlineStr">
        <is>
          <t>WELENT</t>
        </is>
      </c>
      <c r="B23" s="31" t="inlineStr">
        <is>
          <t>Welspun Enterprises Limited</t>
        </is>
      </c>
      <c r="C23" s="31" t="inlineStr">
        <is>
          <t>realty</t>
        </is>
      </c>
      <c r="D23" s="31" t="inlineStr">
        <is>
          <t>construction</t>
        </is>
      </c>
      <c r="E23" s="31" t="inlineStr">
        <is>
          <t>midcap</t>
        </is>
      </c>
      <c r="F23" s="31" t="n">
        <v>10585.2</v>
      </c>
      <c r="G23" s="31" t="n">
        <v>813.6</v>
      </c>
      <c r="H23" s="31" t="n">
        <v>6.39</v>
      </c>
      <c r="I23" s="31" t="n">
        <v>2915318</v>
      </c>
      <c r="J23" s="31" t="inlineStr">
        <is>
          <t>532553</t>
        </is>
      </c>
    </row>
    <row r="24">
      <c r="A24" s="31" t="inlineStr">
        <is>
          <t>IRISDOREME</t>
        </is>
      </c>
      <c r="B24" s="31" t="inlineStr">
        <is>
          <t>Iris Clothings Ltd</t>
        </is>
      </c>
      <c r="C24" s="31" t="inlineStr">
        <is>
          <t>consumer discretionary</t>
        </is>
      </c>
      <c r="D24" s="31" t="inlineStr">
        <is>
          <t>textiles - products</t>
        </is>
      </c>
      <c r="E24" s="31" t="inlineStr">
        <is>
          <t>smallcap</t>
        </is>
      </c>
      <c r="F24" s="31" t="n">
        <v>1141.61</v>
      </c>
      <c r="G24" s="31" t="n">
        <v>63.58</v>
      </c>
      <c r="H24" s="31" t="n">
        <v>6</v>
      </c>
      <c r="I24" s="31" t="n">
        <v>2431238</v>
      </c>
      <c r="J24" s="31" t="inlineStr">
        <is>
          <t>535123</t>
        </is>
      </c>
    </row>
    <row r="25">
      <c r="A25" s="31" t="inlineStr">
        <is>
          <t>INDORAMA</t>
        </is>
      </c>
      <c r="B25" s="31" t="inlineStr">
        <is>
          <t>Indo Rama Synthetics (india) Limited</t>
        </is>
      </c>
      <c r="C25" s="31" t="inlineStr">
        <is>
          <t>textiles</t>
        </is>
      </c>
      <c r="D25" s="31" t="inlineStr">
        <is>
          <t>textiles - manmade</t>
        </is>
      </c>
      <c r="E25" s="31" t="inlineStr">
        <is>
          <t>smallcap</t>
        </is>
      </c>
      <c r="F25" s="31" t="n">
        <v>1798.29</v>
      </c>
      <c r="G25" s="31" t="n">
        <v>72.95999999999999</v>
      </c>
      <c r="H25" s="31" t="n">
        <v>5.94</v>
      </c>
      <c r="I25" s="31" t="n">
        <v>1609101</v>
      </c>
      <c r="J25" s="31" t="inlineStr">
        <is>
          <t>500207</t>
        </is>
      </c>
    </row>
    <row r="26">
      <c r="A26" s="31" t="inlineStr">
        <is>
          <t>DICIND</t>
        </is>
      </c>
      <c r="B26" s="31" t="inlineStr">
        <is>
          <t>Dic India Limited</t>
        </is>
      </c>
      <c r="C26" s="31" t="inlineStr">
        <is>
          <t>chemicals</t>
        </is>
      </c>
      <c r="D26" s="31" t="inlineStr">
        <is>
          <t>chemicals</t>
        </is>
      </c>
      <c r="E26" s="31" t="inlineStr">
        <is>
          <t>smallcap</t>
        </is>
      </c>
      <c r="F26" s="31" t="n">
        <v>536.05</v>
      </c>
      <c r="G26" s="31" t="n">
        <v>618.6</v>
      </c>
      <c r="H26" s="31" t="n">
        <v>5.92</v>
      </c>
      <c r="I26" s="31" t="n">
        <v>45846</v>
      </c>
      <c r="J26" s="31" t="inlineStr">
        <is>
          <t>500089</t>
        </is>
      </c>
    </row>
    <row r="27">
      <c r="A27" s="31" t="inlineStr">
        <is>
          <t>SBC</t>
        </is>
      </c>
      <c r="B27" s="31" t="inlineStr">
        <is>
          <t>SBC Exports Ltd</t>
        </is>
      </c>
      <c r="C27" s="31" t="inlineStr">
        <is>
          <t>textiles</t>
        </is>
      </c>
      <c r="D27" s="31" t="inlineStr">
        <is>
          <t>textiles - products</t>
        </is>
      </c>
      <c r="E27" s="31" t="inlineStr">
        <is>
          <t>smallcap</t>
        </is>
      </c>
      <c r="F27" s="31" t="n">
        <v>2059.52</v>
      </c>
      <c r="G27" s="31" t="n">
        <v>45.76</v>
      </c>
      <c r="H27" s="31" t="n">
        <v>5.8</v>
      </c>
      <c r="I27" s="31" t="n">
        <v>13241116</v>
      </c>
      <c r="J27" s="31" t="inlineStr">
        <is>
          <t>542725</t>
        </is>
      </c>
    </row>
    <row r="28">
      <c r="A28" s="31" t="inlineStr">
        <is>
          <t>IFCI</t>
        </is>
      </c>
      <c r="B28" s="31" t="inlineStr">
        <is>
          <t>Ifci Limited</t>
        </is>
      </c>
      <c r="C28" s="31" t="inlineStr">
        <is>
          <t>financials</t>
        </is>
      </c>
      <c r="D28" s="31" t="inlineStr">
        <is>
          <t>finance - term-lending institutions</t>
        </is>
      </c>
      <c r="E28" s="31" t="inlineStr">
        <is>
          <t>largecap</t>
        </is>
      </c>
      <c r="F28" s="31" t="n">
        <v>25841.17</v>
      </c>
      <c r="G28" s="31" t="n">
        <v>101.38</v>
      </c>
      <c r="H28" s="31" t="n">
        <v>5.7</v>
      </c>
      <c r="I28" s="31" t="n">
        <v>407352536</v>
      </c>
      <c r="J28" s="31" t="inlineStr">
        <is>
          <t>500106</t>
        </is>
      </c>
    </row>
    <row r="29">
      <c r="A29" s="31" t="inlineStr">
        <is>
          <t>DEEPINDS</t>
        </is>
      </c>
      <c r="B29" s="31" t="inlineStr">
        <is>
          <t>Deep Industries Ltd</t>
        </is>
      </c>
      <c r="C29" s="31" t="inlineStr">
        <is>
          <t>energy</t>
        </is>
      </c>
      <c r="D29" s="31" t="inlineStr">
        <is>
          <t>oil drilling / allied services</t>
        </is>
      </c>
      <c r="E29" s="31" t="inlineStr">
        <is>
          <t>smallcap</t>
        </is>
      </c>
      <c r="F29" s="31" t="n">
        <v>4767.04</v>
      </c>
      <c r="G29" s="31" t="n">
        <v>786.45</v>
      </c>
      <c r="H29" s="31" t="n">
        <v>5.59</v>
      </c>
      <c r="I29" s="31" t="n">
        <v>1324171</v>
      </c>
      <c r="J29" s="31" t="inlineStr">
        <is>
          <t>543288</t>
        </is>
      </c>
    </row>
    <row r="30">
      <c r="A30" s="31" t="inlineStr">
        <is>
          <t>PAISALO</t>
        </is>
      </c>
      <c r="B30" s="31" t="inlineStr">
        <is>
          <t>Paisalo Digital Ltd</t>
        </is>
      </c>
      <c r="C30" s="31" t="inlineStr">
        <is>
          <t>financials</t>
        </is>
      </c>
      <c r="D30" s="31" t="inlineStr">
        <is>
          <t>finance &amp; investments</t>
        </is>
      </c>
      <c r="E30" s="31" t="inlineStr">
        <is>
          <t>midcap</t>
        </is>
      </c>
      <c r="F30" s="31" t="n">
        <v>6392.12</v>
      </c>
      <c r="G30" s="31" t="n">
        <v>74.09999999999999</v>
      </c>
      <c r="H30" s="31" t="n">
        <v>5.44</v>
      </c>
      <c r="I30" s="31" t="n">
        <v>31201929</v>
      </c>
      <c r="J30" s="31" t="inlineStr">
        <is>
          <t>532900</t>
        </is>
      </c>
    </row>
    <row r="31">
      <c r="A31" s="31" t="inlineStr">
        <is>
          <t>MAHSEAMLES</t>
        </is>
      </c>
      <c r="B31" s="31" t="inlineStr">
        <is>
          <t>Maharashtra Seamless Limited</t>
        </is>
      </c>
      <c r="C31" s="31" t="inlineStr">
        <is>
          <t>metals &amp; mining</t>
        </is>
      </c>
      <c r="D31" s="31" t="inlineStr">
        <is>
          <t>steel - medium / small</t>
        </is>
      </c>
      <c r="E31" s="31" t="inlineStr">
        <is>
          <t>midcap</t>
        </is>
      </c>
      <c r="F31" s="31" t="n">
        <v>8756.85</v>
      </c>
      <c r="G31" s="31" t="n">
        <v>688.1</v>
      </c>
      <c r="H31" s="31" t="n">
        <v>5.29</v>
      </c>
      <c r="I31" s="31" t="n">
        <v>1179393</v>
      </c>
      <c r="J31" s="31" t="inlineStr">
        <is>
          <t>500265</t>
        </is>
      </c>
    </row>
    <row r="32">
      <c r="A32" s="31" t="inlineStr">
        <is>
          <t>PFOCUS</t>
        </is>
      </c>
      <c r="B32" s="31" t="inlineStr">
        <is>
          <t>Prime Focus Limited</t>
        </is>
      </c>
      <c r="C32" s="31" t="inlineStr">
        <is>
          <t>realty</t>
        </is>
      </c>
      <c r="D32" s="31" t="inlineStr">
        <is>
          <t>miscellaneous</t>
        </is>
      </c>
      <c r="E32" s="31" t="inlineStr">
        <is>
          <t>largecap</t>
        </is>
      </c>
      <c r="F32" s="31" t="n">
        <v>22646.35</v>
      </c>
      <c r="G32" s="31" t="n">
        <v>307</v>
      </c>
      <c r="H32" s="31" t="n">
        <v>5.26</v>
      </c>
      <c r="I32" s="31" t="n">
        <v>1960283</v>
      </c>
      <c r="J32" s="31" t="inlineStr">
        <is>
          <t>532748</t>
        </is>
      </c>
    </row>
    <row r="33">
      <c r="A33" s="31" t="inlineStr">
        <is>
          <t>TATVA</t>
        </is>
      </c>
      <c r="B33" s="31" t="inlineStr">
        <is>
          <t>Tatva Chintan Pharma Chem Ltd</t>
        </is>
      </c>
      <c r="C33" s="31" t="inlineStr">
        <is>
          <t>chemicals</t>
        </is>
      </c>
      <c r="D33" s="31" t="inlineStr">
        <is>
          <t>chemicals</t>
        </is>
      </c>
      <c r="E33" s="31" t="inlineStr">
        <is>
          <t>smallcap</t>
        </is>
      </c>
      <c r="F33" s="31" t="n">
        <v>3733.84</v>
      </c>
      <c r="G33" s="31" t="n">
        <v>1678.5</v>
      </c>
      <c r="H33" s="31" t="n">
        <v>5.16</v>
      </c>
      <c r="I33" s="31" t="n">
        <v>85803</v>
      </c>
      <c r="J33" s="31" t="inlineStr">
        <is>
          <t>543321</t>
        </is>
      </c>
    </row>
    <row r="34">
      <c r="A34" s="31" t="inlineStr">
        <is>
          <t>MAITHANALL</t>
        </is>
      </c>
      <c r="B34" s="31" t="inlineStr">
        <is>
          <t>Maithan Alloys Limited</t>
        </is>
      </c>
      <c r="C34" s="31" t="inlineStr">
        <is>
          <t>metals &amp; mining</t>
        </is>
      </c>
      <c r="D34" s="31" t="inlineStr">
        <is>
          <t>mining / minerals / metals</t>
        </is>
      </c>
      <c r="E34" s="31" t="inlineStr">
        <is>
          <t>smallcap</t>
        </is>
      </c>
      <c r="F34" s="31" t="n">
        <v>3023.23</v>
      </c>
      <c r="G34" s="31" t="n">
        <v>1090.55</v>
      </c>
      <c r="H34" s="31" t="n">
        <v>5.01</v>
      </c>
      <c r="I34" s="31" t="n">
        <v>400161</v>
      </c>
      <c r="J34" s="31" t="inlineStr">
        <is>
          <t>590078</t>
        </is>
      </c>
    </row>
    <row r="35">
      <c r="A35" s="31" t="inlineStr">
        <is>
          <t>SPECTRUM</t>
        </is>
      </c>
      <c r="B35" s="31" t="inlineStr">
        <is>
          <t>Spectrum Electrical Industries Ltd</t>
        </is>
      </c>
      <c r="C35" s="31" t="inlineStr">
        <is>
          <t>industrials</t>
        </is>
      </c>
      <c r="D35" s="31" t="inlineStr">
        <is>
          <t>electric equipment</t>
        </is>
      </c>
      <c r="E35" s="31" t="inlineStr">
        <is>
          <t>smallcap</t>
        </is>
      </c>
      <c r="F35" s="31" t="n">
        <v>3544.57</v>
      </c>
      <c r="G35" s="31" t="n">
        <v>2368.4</v>
      </c>
      <c r="H35" s="31" t="n">
        <v>5</v>
      </c>
      <c r="I35" s="31" t="n">
        <v>14242</v>
      </c>
      <c r="J35" s="31" t="inlineStr">
        <is>
          <t>535112</t>
        </is>
      </c>
    </row>
    <row r="36">
      <c r="A36" s="31" t="inlineStr">
        <is>
          <t>BHAGERIA</t>
        </is>
      </c>
      <c r="B36" s="31" t="inlineStr">
        <is>
          <t>Bhageria Industries Limited</t>
        </is>
      </c>
      <c r="C36" s="31" t="inlineStr">
        <is>
          <t>chemicals</t>
        </is>
      </c>
      <c r="D36" s="31" t="inlineStr">
        <is>
          <t>dyes and pigments</t>
        </is>
      </c>
      <c r="E36" s="31" t="inlineStr">
        <is>
          <t>smallcap</t>
        </is>
      </c>
      <c r="F36" s="31" t="n">
        <v>1266.34</v>
      </c>
      <c r="G36" s="31" t="n">
        <v>304.65</v>
      </c>
      <c r="H36" s="31" t="n">
        <v>5</v>
      </c>
      <c r="I36" s="31" t="n">
        <v>218809</v>
      </c>
      <c r="J36" s="31" t="inlineStr">
        <is>
          <t>530803</t>
        </is>
      </c>
    </row>
    <row r="37">
      <c r="A37" s="31" t="inlineStr">
        <is>
          <t>UEL</t>
        </is>
      </c>
      <c r="B37" s="31" t="inlineStr">
        <is>
          <t>Ujaas Energy Ltd</t>
        </is>
      </c>
      <c r="C37" s="31" t="inlineStr">
        <is>
          <t>power &amp; utilities</t>
        </is>
      </c>
      <c r="D37" s="31" t="inlineStr">
        <is>
          <t>power generation and supply</t>
        </is>
      </c>
      <c r="E37" s="31" t="inlineStr">
        <is>
          <t>smallcap</t>
        </is>
      </c>
      <c r="F37" s="31" t="n">
        <v>3069.48</v>
      </c>
      <c r="G37" s="31" t="n">
        <v>241.6</v>
      </c>
      <c r="H37" s="31" t="n">
        <v>5</v>
      </c>
      <c r="I37" s="31" t="n">
        <v>18811</v>
      </c>
      <c r="J37" s="31" t="inlineStr">
        <is>
          <t>533644</t>
        </is>
      </c>
    </row>
    <row r="38">
      <c r="A38" s="31" t="inlineStr">
        <is>
          <t>QPOWER</t>
        </is>
      </c>
      <c r="B38" s="31" t="inlineStr">
        <is>
          <t>Quality Power Electrical Equipments Ltd</t>
        </is>
      </c>
      <c r="C38" s="31" t="inlineStr">
        <is>
          <t>industrials</t>
        </is>
      </c>
      <c r="D38" s="31" t="inlineStr">
        <is>
          <t>electric equipment</t>
        </is>
      </c>
      <c r="E38" s="31" t="inlineStr">
        <is>
          <t>midcap</t>
        </is>
      </c>
      <c r="F38" s="31" t="n">
        <v>11028.81</v>
      </c>
      <c r="G38" s="31" t="n">
        <v>1495.3</v>
      </c>
      <c r="H38" s="31" t="n">
        <v>5</v>
      </c>
      <c r="I38" s="31" t="n">
        <v>228191</v>
      </c>
      <c r="J38" s="31" t="inlineStr">
        <is>
          <t>544367</t>
        </is>
      </c>
    </row>
    <row r="39">
      <c r="A39" s="31" t="inlineStr">
        <is>
          <t>STLTECH</t>
        </is>
      </c>
      <c r="B39" s="31" t="inlineStr">
        <is>
          <t>Sterlite Technologies Limited</t>
        </is>
      </c>
      <c r="C39" s="31" t="inlineStr">
        <is>
          <t>industrials</t>
        </is>
      </c>
      <c r="D39" s="31" t="inlineStr">
        <is>
          <t>cables - telephone</t>
        </is>
      </c>
      <c r="E39" s="31" t="inlineStr">
        <is>
          <t>largecap</t>
        </is>
      </c>
      <c r="F39" s="31" t="n">
        <v>36653.64</v>
      </c>
      <c r="G39" s="31" t="n">
        <v>748.9</v>
      </c>
      <c r="H39" s="31" t="n">
        <v>5</v>
      </c>
      <c r="I39" s="31" t="n">
        <v>295544</v>
      </c>
      <c r="J39" s="31" t="inlineStr">
        <is>
          <t>532374</t>
        </is>
      </c>
    </row>
    <row r="40">
      <c r="A40" s="31" t="inlineStr">
        <is>
          <t>MTARTECH</t>
        </is>
      </c>
      <c r="B40" s="31" t="inlineStr">
        <is>
          <t>MTAR Technologies Ltd</t>
        </is>
      </c>
      <c r="C40" s="31" t="inlineStr">
        <is>
          <t>aerospace &amp; defence</t>
        </is>
      </c>
      <c r="D40" s="31" t="inlineStr">
        <is>
          <t>engineering</t>
        </is>
      </c>
      <c r="E40" s="31" t="inlineStr">
        <is>
          <t>largecap</t>
        </is>
      </c>
      <c r="F40" s="31" t="n">
        <v>20978.04</v>
      </c>
      <c r="G40" s="31" t="n">
        <v>7161</v>
      </c>
      <c r="H40" s="31" t="n">
        <v>5</v>
      </c>
      <c r="I40" s="31" t="n">
        <v>222417</v>
      </c>
      <c r="J40" s="31" t="inlineStr">
        <is>
          <t>543270</t>
        </is>
      </c>
    </row>
    <row r="41">
      <c r="A41" s="31" t="inlineStr">
        <is>
          <t>EMAMIPAP</t>
        </is>
      </c>
      <c r="B41" s="31" t="inlineStr">
        <is>
          <t>Emami Paper Mills Ltd</t>
        </is>
      </c>
      <c r="C41" s="31" t="inlineStr">
        <is>
          <t>building materials</t>
        </is>
      </c>
      <c r="D41" s="31" t="inlineStr">
        <is>
          <t>paper</t>
        </is>
      </c>
      <c r="E41" s="31" t="inlineStr">
        <is>
          <t>smallcap</t>
        </is>
      </c>
      <c r="F41" s="31" t="n">
        <v>667.91</v>
      </c>
      <c r="G41" s="31" t="n">
        <v>115.92</v>
      </c>
      <c r="H41" s="31" t="n">
        <v>5</v>
      </c>
      <c r="I41" s="31" t="n">
        <v>35403</v>
      </c>
      <c r="J41" s="31" t="inlineStr">
        <is>
          <t>533208</t>
        </is>
      </c>
    </row>
    <row r="42">
      <c r="A42" s="31" t="inlineStr">
        <is>
          <t>CONSOFINVT</t>
        </is>
      </c>
      <c r="B42" s="31" t="inlineStr">
        <is>
          <t>Consolidated Finvest &amp; Holdings Limited</t>
        </is>
      </c>
      <c r="C42" s="31" t="inlineStr">
        <is>
          <t>financials</t>
        </is>
      </c>
      <c r="D42" s="31" t="inlineStr">
        <is>
          <t>finance &amp; investments</t>
        </is>
      </c>
      <c r="E42" s="31" t="inlineStr">
        <is>
          <t>smallcap</t>
        </is>
      </c>
      <c r="F42" s="31" t="n">
        <v>887.6799999999999</v>
      </c>
      <c r="G42" s="31" t="n">
        <v>288.3</v>
      </c>
      <c r="H42" s="31" t="n">
        <v>4.99</v>
      </c>
      <c r="I42" s="31" t="n">
        <v>21811</v>
      </c>
      <c r="J42" s="31" t="inlineStr">
        <is>
          <t>500226</t>
        </is>
      </c>
    </row>
    <row r="43">
      <c r="A43" s="31" t="inlineStr">
        <is>
          <t>VALIANTLAB</t>
        </is>
      </c>
      <c r="B43" s="31" t="inlineStr">
        <is>
          <t>Valiant Laboratories Ltd</t>
        </is>
      </c>
      <c r="C43" s="31" t="inlineStr">
        <is>
          <t>healthcare</t>
        </is>
      </c>
      <c r="D43" s="31" t="inlineStr">
        <is>
          <t>pharmaceuticals - indian - bulk drugs &amp; formln</t>
        </is>
      </c>
      <c r="E43" s="31" t="inlineStr">
        <is>
          <t>smallcap</t>
        </is>
      </c>
      <c r="F43" s="31" t="n">
        <v>548.1799999999999</v>
      </c>
      <c r="G43" s="31" t="n">
        <v>105.97</v>
      </c>
      <c r="H43" s="31" t="n">
        <v>4.99</v>
      </c>
      <c r="I43" s="31" t="n">
        <v>71202</v>
      </c>
      <c r="J43" s="31" t="n"/>
    </row>
    <row r="44">
      <c r="A44" s="31" t="inlineStr">
        <is>
          <t>BIRLACABLE</t>
        </is>
      </c>
      <c r="B44" s="31" t="inlineStr">
        <is>
          <t>Birla Cable Limited</t>
        </is>
      </c>
      <c r="C44" s="31" t="inlineStr">
        <is>
          <t>industrials</t>
        </is>
      </c>
      <c r="D44" s="31" t="inlineStr">
        <is>
          <t>cables - telephone</t>
        </is>
      </c>
      <c r="E44" s="31" t="inlineStr">
        <is>
          <t>smallcap</t>
        </is>
      </c>
      <c r="F44" s="31" t="n">
        <v>1075.95</v>
      </c>
      <c r="G44" s="31" t="n">
        <v>376.55</v>
      </c>
      <c r="H44" s="31" t="n">
        <v>4.99</v>
      </c>
      <c r="I44" s="31" t="n">
        <v>174752</v>
      </c>
      <c r="J44" s="31" t="inlineStr">
        <is>
          <t>500060</t>
        </is>
      </c>
    </row>
    <row r="45">
      <c r="A45" s="31" t="inlineStr">
        <is>
          <t>BLISSGVS</t>
        </is>
      </c>
      <c r="B45" s="31" t="inlineStr">
        <is>
          <t>Bliss Gvs Pharma Limited</t>
        </is>
      </c>
      <c r="C45" s="31" t="inlineStr">
        <is>
          <t>healthcare</t>
        </is>
      </c>
      <c r="D45" s="31" t="inlineStr">
        <is>
          <t>pharmaceuticals - indian - formulations</t>
        </is>
      </c>
      <c r="E45" s="31" t="inlineStr">
        <is>
          <t>midcap</t>
        </is>
      </c>
      <c r="F45" s="31" t="n">
        <v>6780.7</v>
      </c>
      <c r="G45" s="31" t="n">
        <v>671</v>
      </c>
      <c r="H45" s="31" t="n">
        <v>4.95</v>
      </c>
      <c r="I45" s="31" t="n">
        <v>347698</v>
      </c>
      <c r="J45" s="31" t="inlineStr">
        <is>
          <t>506197</t>
        </is>
      </c>
    </row>
    <row r="46">
      <c r="A46" s="31" t="inlineStr">
        <is>
          <t>SUTLEJTEX</t>
        </is>
      </c>
      <c r="B46" s="31" t="inlineStr">
        <is>
          <t>Sutlej Textiles And Industries Limited</t>
        </is>
      </c>
      <c r="C46" s="31" t="inlineStr">
        <is>
          <t>textiles</t>
        </is>
      </c>
      <c r="D46" s="31" t="inlineStr">
        <is>
          <t>textiles - cotton/blended</t>
        </is>
      </c>
      <c r="E46" s="31" t="inlineStr">
        <is>
          <t>smallcap</t>
        </is>
      </c>
      <c r="F46" s="31" t="n">
        <v>638.28</v>
      </c>
      <c r="G46" s="31" t="n">
        <v>40.89</v>
      </c>
      <c r="H46" s="31" t="n">
        <v>4.95</v>
      </c>
      <c r="I46" s="31" t="n">
        <v>71822</v>
      </c>
      <c r="J46" s="31" t="inlineStr">
        <is>
          <t>532782</t>
        </is>
      </c>
    </row>
    <row r="47">
      <c r="A47" s="31" t="inlineStr">
        <is>
          <t>UNIVPHOTO</t>
        </is>
      </c>
      <c r="B47" s="31" t="inlineStr">
        <is>
          <t>Universus Photo Imagings Ltd</t>
        </is>
      </c>
      <c r="C47" s="31" t="inlineStr">
        <is>
          <t>consumer discretionary</t>
        </is>
      </c>
      <c r="D47" s="31" t="inlineStr">
        <is>
          <t>photographic and allied products</t>
        </is>
      </c>
      <c r="E47" s="31" t="inlineStr">
        <is>
          <t>smallcap</t>
        </is>
      </c>
      <c r="F47" s="31" t="n">
        <v>511.48</v>
      </c>
      <c r="G47" s="31" t="n">
        <v>490.4</v>
      </c>
      <c r="H47" s="31" t="n">
        <v>4.95</v>
      </c>
      <c r="I47" s="31" t="n">
        <v>2480</v>
      </c>
      <c r="J47" s="31" t="inlineStr">
        <is>
          <t>542933</t>
        </is>
      </c>
    </row>
    <row r="48">
      <c r="A48" s="31" t="inlineStr">
        <is>
          <t>SMSPHARMA</t>
        </is>
      </c>
      <c r="B48" s="31" t="inlineStr">
        <is>
          <t>Sms Pharmaceuticals Limited</t>
        </is>
      </c>
      <c r="C48" s="31" t="inlineStr">
        <is>
          <t>healthcare</t>
        </is>
      </c>
      <c r="D48" s="31" t="inlineStr">
        <is>
          <t>pharmaceuticals - indian - bulk drugs</t>
        </is>
      </c>
      <c r="E48" s="31" t="inlineStr">
        <is>
          <t>smallcap</t>
        </is>
      </c>
      <c r="F48" s="31" t="n">
        <v>3503.99</v>
      </c>
      <c r="G48" s="31" t="n">
        <v>392.5</v>
      </c>
      <c r="H48" s="31" t="n">
        <v>4.9</v>
      </c>
      <c r="I48" s="31" t="n">
        <v>473075</v>
      </c>
      <c r="J48" s="31" t="inlineStr">
        <is>
          <t>532815</t>
        </is>
      </c>
    </row>
    <row r="49">
      <c r="A49" s="31" t="inlineStr">
        <is>
          <t>KILITCH</t>
        </is>
      </c>
      <c r="B49" s="31" t="inlineStr">
        <is>
          <t>Kilitch Drugs (india) Limited</t>
        </is>
      </c>
      <c r="C49" s="31" t="inlineStr">
        <is>
          <t>healthcare</t>
        </is>
      </c>
      <c r="D49" s="31" t="inlineStr">
        <is>
          <t>pharmaceuticals - indian - formulations</t>
        </is>
      </c>
      <c r="E49" s="31" t="inlineStr">
        <is>
          <t>smallcap</t>
        </is>
      </c>
      <c r="F49" s="31" t="n">
        <v>603.16</v>
      </c>
      <c r="G49" s="31" t="n">
        <v>180.95</v>
      </c>
      <c r="H49" s="31" t="n">
        <v>4.89</v>
      </c>
      <c r="I49" s="31" t="n">
        <v>33164</v>
      </c>
      <c r="J49" s="31" t="inlineStr">
        <is>
          <t>524500</t>
        </is>
      </c>
    </row>
    <row r="50">
      <c r="A50" s="31" t="inlineStr">
        <is>
          <t>KRN</t>
        </is>
      </c>
      <c r="B50" s="31" t="inlineStr">
        <is>
          <t>KRN Heat Exchanger and Refrigeration Ltd</t>
        </is>
      </c>
      <c r="C50" s="31" t="inlineStr">
        <is>
          <t>industrials</t>
        </is>
      </c>
      <c r="D50" s="31" t="inlineStr">
        <is>
          <t>engineering</t>
        </is>
      </c>
      <c r="E50" s="31" t="inlineStr">
        <is>
          <t>midcap</t>
        </is>
      </c>
      <c r="F50" s="31" t="n">
        <v>9857.389999999999</v>
      </c>
      <c r="G50" s="31" t="n">
        <v>1578.7</v>
      </c>
      <c r="H50" s="31" t="n">
        <v>4.83</v>
      </c>
      <c r="I50" s="31" t="n">
        <v>408862</v>
      </c>
      <c r="J50" s="31" t="inlineStr">
        <is>
          <t>544263</t>
        </is>
      </c>
    </row>
    <row r="51">
      <c r="A51" s="31" t="inlineStr">
        <is>
          <t>SHALPAINTS</t>
        </is>
      </c>
      <c r="B51" s="31" t="inlineStr">
        <is>
          <t>Shalimar Paints Limited</t>
        </is>
      </c>
      <c r="C51" s="31" t="inlineStr">
        <is>
          <t>building materials</t>
        </is>
      </c>
      <c r="D51" s="31" t="inlineStr">
        <is>
          <t>paints / varnishes</t>
        </is>
      </c>
      <c r="E51" s="31" t="inlineStr">
        <is>
          <t>smallcap</t>
        </is>
      </c>
      <c r="F51" s="31" t="n">
        <v>682.66</v>
      </c>
      <c r="G51" s="31" t="n">
        <v>85.47</v>
      </c>
      <c r="H51" s="31" t="n">
        <v>4.81</v>
      </c>
      <c r="I51" s="31" t="n">
        <v>141870</v>
      </c>
      <c r="J51" s="31" t="inlineStr">
        <is>
          <t>509874</t>
        </is>
      </c>
    </row>
    <row r="52">
      <c r="A52" s="31" t="inlineStr">
        <is>
          <t>ARROWGREEN</t>
        </is>
      </c>
      <c r="B52" s="31" t="inlineStr">
        <is>
          <t>Arrow Greentech Limited</t>
        </is>
      </c>
      <c r="C52" s="31" t="inlineStr">
        <is>
          <t>plastic products</t>
        </is>
      </c>
      <c r="D52" s="31" t="inlineStr">
        <is>
          <t>plastics products</t>
        </is>
      </c>
      <c r="E52" s="31" t="inlineStr">
        <is>
          <t>smallcap</t>
        </is>
      </c>
      <c r="F52" s="31" t="n">
        <v>1172.94</v>
      </c>
      <c r="G52" s="31" t="n">
        <v>814.1</v>
      </c>
      <c r="H52" s="31" t="n">
        <v>4.72</v>
      </c>
      <c r="I52" s="31" t="n">
        <v>41808</v>
      </c>
      <c r="J52" s="31" t="inlineStr">
        <is>
          <t>516064</t>
        </is>
      </c>
    </row>
    <row r="53">
      <c r="A53" s="31" t="inlineStr">
        <is>
          <t>RUBYMILLS</t>
        </is>
      </c>
      <c r="B53" s="31" t="inlineStr">
        <is>
          <t>The Ruby Mills Limited</t>
        </is>
      </c>
      <c r="C53" s="31" t="inlineStr">
        <is>
          <t>textiles</t>
        </is>
      </c>
      <c r="D53" s="31" t="inlineStr">
        <is>
          <t>textiles - composite</t>
        </is>
      </c>
      <c r="E53" s="31" t="inlineStr">
        <is>
          <t>smallcap</t>
        </is>
      </c>
      <c r="F53" s="31" t="n">
        <v>1367.86</v>
      </c>
      <c r="G53" s="31" t="n">
        <v>428.3</v>
      </c>
      <c r="H53" s="31" t="n">
        <v>4.71</v>
      </c>
      <c r="I53" s="31" t="n">
        <v>23319</v>
      </c>
      <c r="J53" s="31" t="inlineStr">
        <is>
          <t>503169</t>
        </is>
      </c>
    </row>
    <row r="54">
      <c r="A54" s="31" t="inlineStr">
        <is>
          <t>BLUESTONE</t>
        </is>
      </c>
      <c r="B54" s="31" t="inlineStr">
        <is>
          <t>Bluestone Jewellery and Lifestyle Ltd</t>
        </is>
      </c>
      <c r="C54" s="31" t="inlineStr">
        <is>
          <t>consumer discretionary</t>
        </is>
      </c>
      <c r="D54" s="31" t="inlineStr">
        <is>
          <t>diamond cutting / jewellery</t>
        </is>
      </c>
      <c r="E54" s="31" t="inlineStr">
        <is>
          <t>midcap</t>
        </is>
      </c>
      <c r="F54" s="31" t="n">
        <v>12266.82</v>
      </c>
      <c r="G54" s="31" t="n">
        <v>842.75</v>
      </c>
      <c r="H54" s="31" t="n">
        <v>4.7</v>
      </c>
      <c r="I54" s="31" t="n">
        <v>1065449</v>
      </c>
      <c r="J54" s="31" t="n"/>
    </row>
    <row r="55">
      <c r="A55" s="31" t="inlineStr">
        <is>
          <t>RBZJEWEL</t>
        </is>
      </c>
      <c r="B55" s="31" t="inlineStr">
        <is>
          <t>RBZ Jewellers Ltd</t>
        </is>
      </c>
      <c r="C55" s="31" t="inlineStr">
        <is>
          <t>consumer discretionary</t>
        </is>
      </c>
      <c r="D55" s="31" t="inlineStr">
        <is>
          <t>diamond cutting / jewellery</t>
        </is>
      </c>
      <c r="E55" s="31" t="inlineStr">
        <is>
          <t>smallcap</t>
        </is>
      </c>
      <c r="F55" s="31" t="n">
        <v>766.72</v>
      </c>
      <c r="G55" s="31" t="n">
        <v>200.69</v>
      </c>
      <c r="H55" s="31" t="n">
        <v>4.7</v>
      </c>
      <c r="I55" s="31" t="n">
        <v>6929954</v>
      </c>
      <c r="J55" s="31" t="inlineStr">
        <is>
          <t>544060</t>
        </is>
      </c>
    </row>
    <row r="56">
      <c r="A56" s="31" t="inlineStr">
        <is>
          <t>PVP</t>
        </is>
      </c>
      <c r="B56" s="31" t="inlineStr">
        <is>
          <t>Pvp Ventures Limited</t>
        </is>
      </c>
      <c r="C56" s="31" t="inlineStr">
        <is>
          <t>realty</t>
        </is>
      </c>
      <c r="D56" s="31" t="inlineStr">
        <is>
          <t>construction</t>
        </is>
      </c>
      <c r="E56" s="31" t="inlineStr">
        <is>
          <t>smallcap</t>
        </is>
      </c>
      <c r="F56" s="31" t="n">
        <v>1690.02</v>
      </c>
      <c r="G56" s="31" t="n">
        <v>67.94</v>
      </c>
      <c r="H56" s="31" t="n">
        <v>4.68</v>
      </c>
      <c r="I56" s="31" t="n">
        <v>5145513</v>
      </c>
      <c r="J56" s="31" t="inlineStr">
        <is>
          <t>517556</t>
        </is>
      </c>
    </row>
    <row r="57">
      <c r="A57" s="31" t="inlineStr">
        <is>
          <t>LOTUSDEV</t>
        </is>
      </c>
      <c r="B57" s="31" t="inlineStr">
        <is>
          <t>Sri Lotus Developers &amp; Realty Ltd</t>
        </is>
      </c>
      <c r="C57" s="31" t="inlineStr">
        <is>
          <t>realty</t>
        </is>
      </c>
      <c r="D57" s="31" t="inlineStr">
        <is>
          <t>construction</t>
        </is>
      </c>
      <c r="E57" s="31" t="inlineStr">
        <is>
          <t>midcap</t>
        </is>
      </c>
      <c r="F57" s="31" t="n">
        <v>9023.790000000001</v>
      </c>
      <c r="G57" s="31" t="n">
        <v>193.25</v>
      </c>
      <c r="H57" s="31" t="n">
        <v>4.66</v>
      </c>
      <c r="I57" s="31" t="n">
        <v>1589932</v>
      </c>
      <c r="J57" s="31" t="inlineStr">
        <is>
          <t>544469</t>
        </is>
      </c>
    </row>
    <row r="58">
      <c r="A58" s="31" t="inlineStr">
        <is>
          <t>SHANTIGOLD</t>
        </is>
      </c>
      <c r="B58" s="31" t="inlineStr">
        <is>
          <t>Shanti Gold International Ltd</t>
        </is>
      </c>
      <c r="C58" s="31" t="inlineStr">
        <is>
          <t>consumer discretionary</t>
        </is>
      </c>
      <c r="D58" s="31" t="inlineStr">
        <is>
          <t>diamond cutting / jewellery</t>
        </is>
      </c>
      <c r="E58" s="31" t="inlineStr">
        <is>
          <t>smallcap</t>
        </is>
      </c>
      <c r="F58" s="31" t="n">
        <v>1880.5</v>
      </c>
      <c r="G58" s="31" t="n">
        <v>256.34</v>
      </c>
      <c r="H58" s="31" t="n">
        <v>4.61</v>
      </c>
      <c r="I58" s="31" t="n">
        <v>2489253</v>
      </c>
      <c r="J58" s="31" t="inlineStr">
        <is>
          <t>544459</t>
        </is>
      </c>
    </row>
    <row r="59">
      <c r="A59" s="31" t="inlineStr">
        <is>
          <t>MVGJL</t>
        </is>
      </c>
      <c r="B59" s="31" t="inlineStr">
        <is>
          <t>Manoj Vaibhav Gems N Jewellers Ltd</t>
        </is>
      </c>
      <c r="C59" s="31" t="inlineStr">
        <is>
          <t>consumer discretionary</t>
        </is>
      </c>
      <c r="D59" s="31" t="inlineStr">
        <is>
          <t>diamond cutting / jewellery</t>
        </is>
      </c>
      <c r="E59" s="31" t="inlineStr">
        <is>
          <t>smallcap</t>
        </is>
      </c>
      <c r="F59" s="31" t="n">
        <v>840.03</v>
      </c>
      <c r="G59" s="31" t="n">
        <v>179.9</v>
      </c>
      <c r="H59" s="31" t="n">
        <v>4.61</v>
      </c>
      <c r="I59" s="31" t="n">
        <v>1146917</v>
      </c>
      <c r="J59" s="31" t="inlineStr">
        <is>
          <t>543995</t>
        </is>
      </c>
    </row>
    <row r="60">
      <c r="A60" s="31" t="inlineStr">
        <is>
          <t>SETL</t>
        </is>
      </c>
      <c r="B60" s="31" t="inlineStr">
        <is>
          <t>Standard Enginnering Technology Ltd</t>
        </is>
      </c>
      <c r="C60" s="31" t="inlineStr">
        <is>
          <t>industrials</t>
        </is>
      </c>
      <c r="D60" s="31" t="inlineStr">
        <is>
          <t>engineering</t>
        </is>
      </c>
      <c r="E60" s="31" t="inlineStr">
        <is>
          <t>midcap</t>
        </is>
      </c>
      <c r="F60" s="31" t="n">
        <v>7803.12</v>
      </c>
      <c r="G60" s="31" t="n">
        <v>408.95</v>
      </c>
      <c r="H60" s="31" t="n">
        <v>4.55</v>
      </c>
      <c r="I60" s="31" t="n">
        <v>1430578</v>
      </c>
      <c r="J60" s="31" t="inlineStr">
        <is>
          <t>544333</t>
        </is>
      </c>
    </row>
    <row r="61">
      <c r="A61" s="31" t="inlineStr">
        <is>
          <t>BALAMINES</t>
        </is>
      </c>
      <c r="B61" s="31" t="inlineStr">
        <is>
          <t>Balaji Amines Limited</t>
        </is>
      </c>
      <c r="C61" s="31" t="inlineStr">
        <is>
          <t>chemicals</t>
        </is>
      </c>
      <c r="D61" s="31" t="inlineStr">
        <is>
          <t>chemicals</t>
        </is>
      </c>
      <c r="E61" s="31" t="inlineStr">
        <is>
          <t>midcap</t>
        </is>
      </c>
      <c r="F61" s="31" t="n">
        <v>7833.91</v>
      </c>
      <c r="G61" s="31" t="n">
        <v>2525.2</v>
      </c>
      <c r="H61" s="31" t="n">
        <v>4.44</v>
      </c>
      <c r="I61" s="31" t="n">
        <v>608894</v>
      </c>
      <c r="J61" s="31" t="inlineStr">
        <is>
          <t>530999</t>
        </is>
      </c>
    </row>
    <row r="62">
      <c r="A62" s="31" t="inlineStr">
        <is>
          <t>INNOVACAP</t>
        </is>
      </c>
      <c r="B62" s="31" t="inlineStr">
        <is>
          <t>Innova Captab Ltd</t>
        </is>
      </c>
      <c r="C62" s="31" t="inlineStr">
        <is>
          <t>healthcare</t>
        </is>
      </c>
      <c r="D62" s="31" t="inlineStr">
        <is>
          <t>pharmaceuticals - indian - bulk drugs &amp; formln</t>
        </is>
      </c>
      <c r="E62" s="31" t="inlineStr">
        <is>
          <t>midcap</t>
        </is>
      </c>
      <c r="F62" s="31" t="n">
        <v>6440.09</v>
      </c>
      <c r="G62" s="31" t="n">
        <v>1175.4</v>
      </c>
      <c r="H62" s="31" t="n">
        <v>4.44</v>
      </c>
      <c r="I62" s="31" t="n">
        <v>321751</v>
      </c>
      <c r="J62" s="31" t="inlineStr">
        <is>
          <t>544067</t>
        </is>
      </c>
    </row>
    <row r="63">
      <c r="A63" s="31" t="inlineStr">
        <is>
          <t>INDNIPPON</t>
        </is>
      </c>
      <c r="B63" s="31" t="inlineStr">
        <is>
          <t>India Nippon Electricals Limited</t>
        </is>
      </c>
      <c r="C63" s="31" t="inlineStr">
        <is>
          <t>auto</t>
        </is>
      </c>
      <c r="D63" s="31" t="inlineStr">
        <is>
          <t>auto ancillaries</t>
        </is>
      </c>
      <c r="E63" s="31" t="inlineStr">
        <is>
          <t>smallcap</t>
        </is>
      </c>
      <c r="F63" s="31" t="n">
        <v>2509.62</v>
      </c>
      <c r="G63" s="31" t="n">
        <v>1158.2</v>
      </c>
      <c r="H63" s="31" t="n">
        <v>4.4</v>
      </c>
      <c r="I63" s="31" t="n">
        <v>63581</v>
      </c>
      <c r="J63" s="31" t="inlineStr">
        <is>
          <t>532240</t>
        </is>
      </c>
    </row>
    <row r="64">
      <c r="A64" s="31" t="inlineStr">
        <is>
          <t>ONEPOINT</t>
        </is>
      </c>
      <c r="B64" s="31" t="inlineStr">
        <is>
          <t>One Point One Solutions Ltd</t>
        </is>
      </c>
      <c r="C64" s="31" t="inlineStr">
        <is>
          <t>i.t</t>
        </is>
      </c>
      <c r="D64" s="31" t="inlineStr">
        <is>
          <t>computers - software - medium / small</t>
        </is>
      </c>
      <c r="E64" s="31" t="inlineStr">
        <is>
          <t>smallcap</t>
        </is>
      </c>
      <c r="F64" s="31" t="n">
        <v>1436.16</v>
      </c>
      <c r="G64" s="31" t="n">
        <v>57.01</v>
      </c>
      <c r="H64" s="31" t="n">
        <v>4.38</v>
      </c>
      <c r="I64" s="31" t="n">
        <v>2688123</v>
      </c>
      <c r="J64" s="31" t="inlineStr">
        <is>
          <t>535039</t>
        </is>
      </c>
    </row>
    <row r="65">
      <c r="A65" s="31" t="inlineStr">
        <is>
          <t>PRABHA</t>
        </is>
      </c>
      <c r="B65" s="31" t="inlineStr">
        <is>
          <t>Prabha Energy Ltd</t>
        </is>
      </c>
      <c r="C65" s="31" t="inlineStr">
        <is>
          <t>energy</t>
        </is>
      </c>
      <c r="D65" s="31" t="inlineStr">
        <is>
          <t>oil drilling / allied services</t>
        </is>
      </c>
      <c r="E65" s="31" t="inlineStr">
        <is>
          <t>smallcap</t>
        </is>
      </c>
      <c r="F65" s="31" t="n">
        <v>3238.82</v>
      </c>
      <c r="G65" s="31" t="n">
        <v>230.6</v>
      </c>
      <c r="H65" s="31" t="n">
        <v>4.36</v>
      </c>
      <c r="I65" s="31" t="n">
        <v>11908766</v>
      </c>
      <c r="J65" s="31" t="inlineStr">
        <is>
          <t>544379</t>
        </is>
      </c>
    </row>
    <row r="66">
      <c r="A66" s="31" t="inlineStr">
        <is>
          <t>SRHHYPOLTD</t>
        </is>
      </c>
      <c r="B66" s="31" t="inlineStr">
        <is>
          <t>Sree Rayalaseema Hi-strength Hypo Limited</t>
        </is>
      </c>
      <c r="C66" s="31" t="inlineStr">
        <is>
          <t>chemicals</t>
        </is>
      </c>
      <c r="D66" s="31" t="inlineStr">
        <is>
          <t>chemicals</t>
        </is>
      </c>
      <c r="E66" s="31" t="inlineStr">
        <is>
          <t>smallcap</t>
        </is>
      </c>
      <c r="F66" s="31" t="n">
        <v>873.52</v>
      </c>
      <c r="G66" s="31" t="n">
        <v>531.05</v>
      </c>
      <c r="H66" s="31" t="n">
        <v>4.35</v>
      </c>
      <c r="I66" s="31" t="n">
        <v>49199</v>
      </c>
      <c r="J66" s="31" t="inlineStr">
        <is>
          <t>532842</t>
        </is>
      </c>
    </row>
    <row r="67">
      <c r="A67" s="31" t="inlineStr">
        <is>
          <t>WHEELS</t>
        </is>
      </c>
      <c r="B67" s="31" t="inlineStr">
        <is>
          <t>Wheels India Limited</t>
        </is>
      </c>
      <c r="C67" s="31" t="inlineStr">
        <is>
          <t>auto</t>
        </is>
      </c>
      <c r="D67" s="31" t="inlineStr">
        <is>
          <t>auto ancillaries</t>
        </is>
      </c>
      <c r="E67" s="31" t="inlineStr">
        <is>
          <t>smallcap</t>
        </is>
      </c>
      <c r="F67" s="31" t="n">
        <v>4042.2</v>
      </c>
      <c r="G67" s="31" t="n">
        <v>1724.9</v>
      </c>
      <c r="H67" s="31" t="n">
        <v>4.26</v>
      </c>
      <c r="I67" s="31" t="n">
        <v>336451</v>
      </c>
      <c r="J67" s="31" t="inlineStr">
        <is>
          <t>590073</t>
        </is>
      </c>
    </row>
    <row r="68">
      <c r="A68" s="31" t="inlineStr">
        <is>
          <t>APLAPOLLO</t>
        </is>
      </c>
      <c r="B68" s="31" t="inlineStr">
        <is>
          <t>Apl Apollo Tubes Limited</t>
        </is>
      </c>
      <c r="C68" s="31" t="inlineStr">
        <is>
          <t>industrials</t>
        </is>
      </c>
      <c r="D68" s="31" t="inlineStr">
        <is>
          <t>steel - large</t>
        </is>
      </c>
      <c r="E68" s="31" t="inlineStr">
        <is>
          <t>largecap</t>
        </is>
      </c>
      <c r="F68" s="31" t="n">
        <v>59957.56</v>
      </c>
      <c r="G68" s="31" t="n">
        <v>2250</v>
      </c>
      <c r="H68" s="31" t="n">
        <v>4.2</v>
      </c>
      <c r="I68" s="31" t="n">
        <v>955928</v>
      </c>
      <c r="J68" s="31" t="inlineStr">
        <is>
          <t>533758</t>
        </is>
      </c>
    </row>
    <row r="69">
      <c r="A69" s="31" t="inlineStr">
        <is>
          <t>MENONBE</t>
        </is>
      </c>
      <c r="B69" s="31" t="inlineStr">
        <is>
          <t>Menon Bearings Limited</t>
        </is>
      </c>
      <c r="C69" s="31" t="inlineStr">
        <is>
          <t>auto</t>
        </is>
      </c>
      <c r="D69" s="31" t="inlineStr">
        <is>
          <t>auto ancillaries</t>
        </is>
      </c>
      <c r="E69" s="31" t="inlineStr">
        <is>
          <t>smallcap</t>
        </is>
      </c>
      <c r="F69" s="31" t="n">
        <v>1729.11</v>
      </c>
      <c r="G69" s="31" t="n">
        <v>321.4</v>
      </c>
      <c r="H69" s="31" t="n">
        <v>4.16</v>
      </c>
      <c r="I69" s="31" t="n">
        <v>202288</v>
      </c>
      <c r="J69" s="31" t="inlineStr">
        <is>
          <t>523828</t>
        </is>
      </c>
    </row>
    <row r="70">
      <c r="A70" s="31" t="inlineStr">
        <is>
          <t>ARTEMISMED</t>
        </is>
      </c>
      <c r="B70" s="31" t="inlineStr">
        <is>
          <t>Artemis Medicare Services Ltd</t>
        </is>
      </c>
      <c r="C70" s="31" t="inlineStr">
        <is>
          <t>healthcare</t>
        </is>
      </c>
      <c r="D70" s="31" t="inlineStr">
        <is>
          <t>healthcare</t>
        </is>
      </c>
      <c r="E70" s="31" t="inlineStr">
        <is>
          <t>midcap</t>
        </is>
      </c>
      <c r="F70" s="31" t="n">
        <v>5063.43</v>
      </c>
      <c r="G70" s="31" t="n">
        <v>332.8</v>
      </c>
      <c r="H70" s="31" t="n">
        <v>4.05</v>
      </c>
      <c r="I70" s="31" t="n">
        <v>885338</v>
      </c>
      <c r="J70" s="31" t="inlineStr">
        <is>
          <t>542919</t>
        </is>
      </c>
    </row>
    <row r="71">
      <c r="A71" s="31" t="inlineStr">
        <is>
          <t>ACMESOLAR</t>
        </is>
      </c>
      <c r="B71" s="31" t="inlineStr">
        <is>
          <t>ACME Solar Holdings Ltd</t>
        </is>
      </c>
      <c r="C71" s="31" t="inlineStr">
        <is>
          <t>realty</t>
        </is>
      </c>
      <c r="D71" s="31" t="inlineStr">
        <is>
          <t>engineering - turnkey services</t>
        </is>
      </c>
      <c r="E71" s="31" t="inlineStr">
        <is>
          <t>largecap</t>
        </is>
      </c>
      <c r="F71" s="31" t="n">
        <v>28409.28</v>
      </c>
      <c r="G71" s="31" t="n">
        <v>418</v>
      </c>
      <c r="H71" s="31" t="n">
        <v>4.01</v>
      </c>
      <c r="I71" s="31" t="n">
        <v>6203953</v>
      </c>
      <c r="J71" s="31" t="inlineStr">
        <is>
          <t>544283</t>
        </is>
      </c>
    </row>
    <row r="72">
      <c r="A72" s="31" t="inlineStr">
        <is>
          <t>GREENPLY</t>
        </is>
      </c>
      <c r="B72" s="31" t="inlineStr">
        <is>
          <t>Greenply Industries Limited</t>
        </is>
      </c>
      <c r="C72" s="31" t="inlineStr">
        <is>
          <t>building materials</t>
        </is>
      </c>
      <c r="D72" s="31" t="inlineStr">
        <is>
          <t>miscellaneous</t>
        </is>
      </c>
      <c r="E72" s="31" t="inlineStr">
        <is>
          <t>smallcap</t>
        </is>
      </c>
      <c r="F72" s="31" t="n">
        <v>3659.63</v>
      </c>
      <c r="G72" s="31" t="n">
        <v>304.7</v>
      </c>
      <c r="H72" s="31" t="n">
        <v>3.99</v>
      </c>
      <c r="I72" s="31" t="n">
        <v>387224</v>
      </c>
      <c r="J72" s="31" t="inlineStr">
        <is>
          <t>526797</t>
        </is>
      </c>
    </row>
    <row r="73">
      <c r="A73" s="31" t="inlineStr">
        <is>
          <t>WELSPUNLIV</t>
        </is>
      </c>
      <c r="B73" s="31" t="inlineStr">
        <is>
          <t>Welspun Living Ltd</t>
        </is>
      </c>
      <c r="C73" s="31" t="inlineStr">
        <is>
          <t>textiles</t>
        </is>
      </c>
      <c r="D73" s="31" t="inlineStr">
        <is>
          <t>textiles - products</t>
        </is>
      </c>
      <c r="E73" s="31" t="inlineStr">
        <is>
          <t>midcap</t>
        </is>
      </c>
      <c r="F73" s="31" t="n">
        <v>18952.68</v>
      </c>
      <c r="G73" s="31" t="n">
        <v>208.51</v>
      </c>
      <c r="H73" s="31" t="n">
        <v>3.94</v>
      </c>
      <c r="I73" s="31" t="n">
        <v>7470859</v>
      </c>
      <c r="J73" s="31" t="inlineStr">
        <is>
          <t>514162</t>
        </is>
      </c>
    </row>
    <row r="74">
      <c r="A74" s="31" t="inlineStr">
        <is>
          <t>EMCURE</t>
        </is>
      </c>
      <c r="B74" s="31" t="inlineStr">
        <is>
          <t>Emcure Pharmaceuticals Ltd</t>
        </is>
      </c>
      <c r="C74" s="31" t="inlineStr">
        <is>
          <t>healthcare</t>
        </is>
      </c>
      <c r="D74" s="31" t="inlineStr">
        <is>
          <t>pharmaceuticals - indian - bulk drugs &amp; formln</t>
        </is>
      </c>
      <c r="E74" s="31" t="inlineStr">
        <is>
          <t>largecap</t>
        </is>
      </c>
      <c r="F74" s="31" t="n">
        <v>35179.98</v>
      </c>
      <c r="G74" s="31" t="n">
        <v>1927.6</v>
      </c>
      <c r="H74" s="31" t="n">
        <v>3.93</v>
      </c>
      <c r="I74" s="31" t="n">
        <v>276608</v>
      </c>
      <c r="J74" s="31" t="inlineStr">
        <is>
          <t>544210</t>
        </is>
      </c>
    </row>
    <row r="75">
      <c r="A75" s="31" t="inlineStr">
        <is>
          <t>ARMANFIN</t>
        </is>
      </c>
      <c r="B75" s="31" t="inlineStr">
        <is>
          <t>Arman Financial Services Limited</t>
        </is>
      </c>
      <c r="C75" s="31" t="inlineStr">
        <is>
          <t>financials</t>
        </is>
      </c>
      <c r="D75" s="31" t="inlineStr">
        <is>
          <t>finance &amp; investments</t>
        </is>
      </c>
      <c r="E75" s="31" t="inlineStr">
        <is>
          <t>smallcap</t>
        </is>
      </c>
      <c r="F75" s="31" t="n">
        <v>2094.44</v>
      </c>
      <c r="G75" s="31" t="n">
        <v>2069.3</v>
      </c>
      <c r="H75" s="31" t="n">
        <v>3.89</v>
      </c>
      <c r="I75" s="31" t="n">
        <v>42583</v>
      </c>
      <c r="J75" s="31" t="inlineStr">
        <is>
          <t>531179</t>
        </is>
      </c>
    </row>
    <row r="76">
      <c r="A76" s="31" t="inlineStr">
        <is>
          <t>IDEA</t>
        </is>
      </c>
      <c r="B76" s="31" t="inlineStr">
        <is>
          <t>Vodafone Idea Ltd</t>
        </is>
      </c>
      <c r="C76" s="31" t="inlineStr">
        <is>
          <t>telecom-service</t>
        </is>
      </c>
      <c r="D76" s="31" t="inlineStr">
        <is>
          <t>telecommunications - service provider</t>
        </is>
      </c>
      <c r="E76" s="31" t="inlineStr">
        <is>
          <t>largecap</t>
        </is>
      </c>
      <c r="F76" s="31" t="n">
        <v>156880.71</v>
      </c>
      <c r="G76" s="31" t="n">
        <v>15.02</v>
      </c>
      <c r="H76" s="31" t="n">
        <v>3.73</v>
      </c>
      <c r="I76" s="31" t="n">
        <v>525960563</v>
      </c>
      <c r="J76" s="31" t="inlineStr">
        <is>
          <t>532822</t>
        </is>
      </c>
    </row>
    <row r="77">
      <c r="A77" s="31" t="inlineStr">
        <is>
          <t>MEDANTA</t>
        </is>
      </c>
      <c r="B77" s="31" t="inlineStr">
        <is>
          <t>Global Health Ltd</t>
        </is>
      </c>
      <c r="C77" s="31" t="inlineStr">
        <is>
          <t>healthcare</t>
        </is>
      </c>
      <c r="D77" s="31" t="inlineStr">
        <is>
          <t>healthcare</t>
        </is>
      </c>
      <c r="E77" s="31" t="inlineStr">
        <is>
          <t>largecap</t>
        </is>
      </c>
      <c r="F77" s="31" t="n">
        <v>38107.2</v>
      </c>
      <c r="G77" s="31" t="n">
        <v>1469.8</v>
      </c>
      <c r="H77" s="31" t="n">
        <v>3.7</v>
      </c>
      <c r="I77" s="31" t="n">
        <v>470026</v>
      </c>
      <c r="J77" s="31" t="inlineStr">
        <is>
          <t>543654</t>
        </is>
      </c>
    </row>
    <row r="78">
      <c r="A78" s="31" t="inlineStr">
        <is>
          <t>GNA</t>
        </is>
      </c>
      <c r="B78" s="31" t="inlineStr">
        <is>
          <t>Gna Axles Limited</t>
        </is>
      </c>
      <c r="C78" s="31" t="inlineStr">
        <is>
          <t>auto</t>
        </is>
      </c>
      <c r="D78" s="31" t="inlineStr">
        <is>
          <t>auto ancillaries</t>
        </is>
      </c>
      <c r="E78" s="31" t="inlineStr">
        <is>
          <t>smallcap</t>
        </is>
      </c>
      <c r="F78" s="31" t="n">
        <v>2283.06</v>
      </c>
      <c r="G78" s="31" t="n">
        <v>551.05</v>
      </c>
      <c r="H78" s="31" t="n">
        <v>3.62</v>
      </c>
      <c r="I78" s="31" t="n">
        <v>276542</v>
      </c>
      <c r="J78" s="31" t="inlineStr">
        <is>
          <t>540124</t>
        </is>
      </c>
    </row>
    <row r="79">
      <c r="A79" s="31" t="inlineStr">
        <is>
          <t>GLOBAL</t>
        </is>
      </c>
      <c r="B79" s="31" t="inlineStr">
        <is>
          <t>Global Education Ltd</t>
        </is>
      </c>
      <c r="C79" s="31" t="inlineStr">
        <is>
          <t>services</t>
        </is>
      </c>
      <c r="D79" s="31" t="inlineStr">
        <is>
          <t>miscellaneous</t>
        </is>
      </c>
      <c r="E79" s="31" t="inlineStr">
        <is>
          <t>smallcap</t>
        </is>
      </c>
      <c r="F79" s="31" t="n">
        <v>591.83</v>
      </c>
      <c r="G79" s="31" t="n">
        <v>120.45</v>
      </c>
      <c r="H79" s="31" t="n">
        <v>3.6</v>
      </c>
      <c r="I79" s="31" t="n">
        <v>570402</v>
      </c>
      <c r="J79" s="31" t="inlineStr">
        <is>
          <t>538406</t>
        </is>
      </c>
    </row>
    <row r="80">
      <c r="A80" s="31" t="inlineStr">
        <is>
          <t>BLUSPRING</t>
        </is>
      </c>
      <c r="B80" s="31" t="inlineStr">
        <is>
          <t>Bluspring Enterprises Ltd</t>
        </is>
      </c>
      <c r="C80" s="31" t="inlineStr">
        <is>
          <t>miscellaneous</t>
        </is>
      </c>
      <c r="D80" s="31" t="inlineStr">
        <is>
          <t>diversified - large</t>
        </is>
      </c>
      <c r="E80" s="31" t="inlineStr">
        <is>
          <t>smallcap</t>
        </is>
      </c>
      <c r="F80" s="31" t="n">
        <v>2006.25</v>
      </c>
      <c r="G80" s="31" t="n">
        <v>138.96</v>
      </c>
      <c r="H80" s="31" t="n">
        <v>3.51</v>
      </c>
      <c r="I80" s="31" t="n">
        <v>605059</v>
      </c>
      <c r="J80" s="31" t="inlineStr">
        <is>
          <t>544414</t>
        </is>
      </c>
    </row>
    <row r="81">
      <c r="A81" s="31" t="inlineStr">
        <is>
          <t>OAL</t>
        </is>
      </c>
      <c r="B81" s="31" t="inlineStr">
        <is>
          <t>Oriental Aromatics Ltd</t>
        </is>
      </c>
      <c r="C81" s="31" t="inlineStr">
        <is>
          <t>chemicals</t>
        </is>
      </c>
      <c r="D81" s="31" t="inlineStr">
        <is>
          <t>chemicals</t>
        </is>
      </c>
      <c r="E81" s="31" t="inlineStr">
        <is>
          <t>smallcap</t>
        </is>
      </c>
      <c r="F81" s="31" t="n">
        <v>1690.42</v>
      </c>
      <c r="G81" s="31" t="n">
        <v>519.9</v>
      </c>
      <c r="H81" s="31" t="n">
        <v>3.5</v>
      </c>
      <c r="I81" s="31" t="n">
        <v>181436</v>
      </c>
      <c r="J81" s="31" t="inlineStr">
        <is>
          <t>500078</t>
        </is>
      </c>
    </row>
    <row r="82">
      <c r="A82" s="31" t="inlineStr">
        <is>
          <t>XPROINDIA</t>
        </is>
      </c>
      <c r="B82" s="31" t="inlineStr">
        <is>
          <t>Xpro India Limited</t>
        </is>
      </c>
      <c r="C82" s="31" t="inlineStr">
        <is>
          <t>industrials</t>
        </is>
      </c>
      <c r="D82" s="31" t="inlineStr">
        <is>
          <t>packaging</t>
        </is>
      </c>
      <c r="E82" s="31" t="inlineStr">
        <is>
          <t>smallcap</t>
        </is>
      </c>
      <c r="F82" s="31" t="n">
        <v>3004.91</v>
      </c>
      <c r="G82" s="31" t="n">
        <v>1325.1</v>
      </c>
      <c r="H82" s="31" t="n">
        <v>3.5</v>
      </c>
      <c r="I82" s="31" t="n">
        <v>154351</v>
      </c>
      <c r="J82" s="31" t="inlineStr">
        <is>
          <t>590013</t>
        </is>
      </c>
    </row>
    <row r="83">
      <c r="A83" s="31" t="inlineStr">
        <is>
          <t>KENNAMET</t>
        </is>
      </c>
      <c r="B83" s="31" t="inlineStr">
        <is>
          <t>Kennametal India Ltd</t>
        </is>
      </c>
      <c r="C83" s="31" t="inlineStr">
        <is>
          <t>industrials</t>
        </is>
      </c>
      <c r="D83" s="31" t="inlineStr">
        <is>
          <t>castings &amp; forgings</t>
        </is>
      </c>
      <c r="E83" s="31" t="inlineStr">
        <is>
          <t>midcap</t>
        </is>
      </c>
      <c r="F83" s="31" t="n">
        <v>9960.98</v>
      </c>
      <c r="G83" s="31" t="n">
        <v>4688.5</v>
      </c>
      <c r="H83" s="31" t="n">
        <v>3.45</v>
      </c>
      <c r="I83" s="31" t="n">
        <v>21846</v>
      </c>
      <c r="J83" s="31" t="inlineStr">
        <is>
          <t>505890</t>
        </is>
      </c>
    </row>
    <row r="84">
      <c r="A84" s="31" t="inlineStr">
        <is>
          <t>TCPLPACK</t>
        </is>
      </c>
      <c r="B84" s="31" t="inlineStr">
        <is>
          <t>TCPL Packaging Ltd</t>
        </is>
      </c>
      <c r="C84" s="31" t="inlineStr">
        <is>
          <t>industrials</t>
        </is>
      </c>
      <c r="D84" s="31" t="inlineStr">
        <is>
          <t>packaging</t>
        </is>
      </c>
      <c r="E84" s="31" t="inlineStr">
        <is>
          <t>smallcap</t>
        </is>
      </c>
      <c r="F84" s="31" t="n">
        <v>3600.51</v>
      </c>
      <c r="G84" s="31" t="n">
        <v>4091.9</v>
      </c>
      <c r="H84" s="31" t="n">
        <v>3.42</v>
      </c>
      <c r="I84" s="31" t="n">
        <v>15468</v>
      </c>
      <c r="J84" s="31" t="inlineStr">
        <is>
          <t>523301</t>
        </is>
      </c>
    </row>
    <row r="85">
      <c r="A85" s="31" t="inlineStr">
        <is>
          <t>IGPL</t>
        </is>
      </c>
      <c r="B85" s="31" t="inlineStr">
        <is>
          <t>Ig Petrochemicals Limited</t>
        </is>
      </c>
      <c r="C85" s="31" t="inlineStr">
        <is>
          <t>chemicals</t>
        </is>
      </c>
      <c r="D85" s="31" t="inlineStr">
        <is>
          <t>chemicals</t>
        </is>
      </c>
      <c r="E85" s="31" t="inlineStr">
        <is>
          <t>smallcap</t>
        </is>
      </c>
      <c r="F85" s="31" t="n">
        <v>1690.18</v>
      </c>
      <c r="G85" s="31" t="n">
        <v>567.4</v>
      </c>
      <c r="H85" s="31" t="n">
        <v>3.38</v>
      </c>
      <c r="I85" s="31" t="n">
        <v>200277</v>
      </c>
      <c r="J85" s="31" t="inlineStr">
        <is>
          <t>500199</t>
        </is>
      </c>
    </row>
    <row r="86">
      <c r="A86" s="31" t="inlineStr">
        <is>
          <t>MCX</t>
        </is>
      </c>
      <c r="B86" s="31" t="inlineStr">
        <is>
          <t>Multi Commodity Exchange Of India Limited</t>
        </is>
      </c>
      <c r="C86" s="31" t="inlineStr">
        <is>
          <t>financials</t>
        </is>
      </c>
      <c r="D86" s="31" t="inlineStr">
        <is>
          <t>miscellaneous</t>
        </is>
      </c>
      <c r="E86" s="31" t="inlineStr">
        <is>
          <t>largecap</t>
        </is>
      </c>
      <c r="F86" s="31" t="n">
        <v>80837.50999999999</v>
      </c>
      <c r="G86" s="31" t="n">
        <v>3275.4</v>
      </c>
      <c r="H86" s="31" t="n">
        <v>3.32</v>
      </c>
      <c r="I86" s="31" t="n">
        <v>2485731</v>
      </c>
      <c r="J86" s="31" t="inlineStr">
        <is>
          <t>534091</t>
        </is>
      </c>
    </row>
    <row r="87">
      <c r="A87" s="31" t="inlineStr">
        <is>
          <t>INOXINDIA</t>
        </is>
      </c>
      <c r="B87" s="31" t="inlineStr">
        <is>
          <t>Inox India Ltd</t>
        </is>
      </c>
      <c r="C87" s="31" t="inlineStr">
        <is>
          <t>industrials</t>
        </is>
      </c>
      <c r="D87" s="31" t="inlineStr">
        <is>
          <t>packaging</t>
        </is>
      </c>
      <c r="E87" s="31" t="inlineStr">
        <is>
          <t>midcap</t>
        </is>
      </c>
      <c r="F87" s="31" t="n">
        <v>19751.95</v>
      </c>
      <c r="G87" s="31" t="n">
        <v>2247.8</v>
      </c>
      <c r="H87" s="31" t="n">
        <v>3.29</v>
      </c>
      <c r="I87" s="31" t="n">
        <v>1027233</v>
      </c>
      <c r="J87" s="31" t="inlineStr">
        <is>
          <t>544046</t>
        </is>
      </c>
    </row>
    <row r="88">
      <c r="A88" s="31" t="inlineStr">
        <is>
          <t>TITAGARH</t>
        </is>
      </c>
      <c r="B88" s="31" t="inlineStr">
        <is>
          <t>Titagarh Rail Systems Ltd</t>
        </is>
      </c>
      <c r="C88" s="31" t="inlineStr">
        <is>
          <t>industrials</t>
        </is>
      </c>
      <c r="D88" s="31" t="inlineStr">
        <is>
          <t>engineering</t>
        </is>
      </c>
      <c r="E88" s="31" t="inlineStr">
        <is>
          <t>midcap</t>
        </is>
      </c>
      <c r="F88" s="31" t="n">
        <v>11369.16</v>
      </c>
      <c r="G88" s="31" t="n">
        <v>871.85</v>
      </c>
      <c r="H88" s="31" t="n">
        <v>3.28</v>
      </c>
      <c r="I88" s="31" t="n">
        <v>3001183</v>
      </c>
      <c r="J88" s="31" t="inlineStr">
        <is>
          <t>532966</t>
        </is>
      </c>
    </row>
    <row r="89">
      <c r="A89" s="31" t="inlineStr">
        <is>
          <t>PREMIERPOL</t>
        </is>
      </c>
      <c r="B89" s="31" t="inlineStr">
        <is>
          <t>Premier Polyfilm Limited</t>
        </is>
      </c>
      <c r="C89" s="31" t="inlineStr">
        <is>
          <t>plastic products</t>
        </is>
      </c>
      <c r="D89" s="31" t="inlineStr">
        <is>
          <t>plastics products</t>
        </is>
      </c>
      <c r="E89" s="31" t="inlineStr">
        <is>
          <t>smallcap</t>
        </is>
      </c>
      <c r="F89" s="31" t="n">
        <v>967.3</v>
      </c>
      <c r="G89" s="31" t="n">
        <v>95.36</v>
      </c>
      <c r="H89" s="31" t="n">
        <v>3.26</v>
      </c>
      <c r="I89" s="31" t="n">
        <v>1113475</v>
      </c>
      <c r="J89" s="31" t="inlineStr">
        <is>
          <t>514354</t>
        </is>
      </c>
    </row>
    <row r="90">
      <c r="A90" s="31" t="inlineStr">
        <is>
          <t>BODALCHEM</t>
        </is>
      </c>
      <c r="B90" s="31" t="inlineStr">
        <is>
          <t>Bodal Chemicals Limited</t>
        </is>
      </c>
      <c r="C90" s="31" t="inlineStr">
        <is>
          <t>chemicals</t>
        </is>
      </c>
      <c r="D90" s="31" t="inlineStr">
        <is>
          <t>dyes and pigments</t>
        </is>
      </c>
      <c r="E90" s="31" t="inlineStr">
        <is>
          <t>smallcap</t>
        </is>
      </c>
      <c r="F90" s="31" t="n">
        <v>1898.73</v>
      </c>
      <c r="G90" s="31" t="n">
        <v>155.62</v>
      </c>
      <c r="H90" s="31" t="n">
        <v>3.22</v>
      </c>
      <c r="I90" s="31" t="n">
        <v>5050468</v>
      </c>
      <c r="J90" s="31" t="inlineStr">
        <is>
          <t>524370</t>
        </is>
      </c>
    </row>
    <row r="91">
      <c r="A91" s="31" t="inlineStr">
        <is>
          <t>VISAKAIND</t>
        </is>
      </c>
      <c r="B91" s="31" t="inlineStr">
        <is>
          <t>Visaka Industries Limited</t>
        </is>
      </c>
      <c r="C91" s="31" t="inlineStr">
        <is>
          <t>building materials</t>
        </is>
      </c>
      <c r="D91" s="31" t="inlineStr">
        <is>
          <t>cement products</t>
        </is>
      </c>
      <c r="E91" s="31" t="inlineStr">
        <is>
          <t>smallcap</t>
        </is>
      </c>
      <c r="F91" s="31" t="n">
        <v>781.96</v>
      </c>
      <c r="G91" s="31" t="n">
        <v>93.37</v>
      </c>
      <c r="H91" s="31" t="n">
        <v>3.17</v>
      </c>
      <c r="I91" s="31" t="n">
        <v>440201</v>
      </c>
      <c r="J91" s="31" t="inlineStr">
        <is>
          <t>509055</t>
        </is>
      </c>
    </row>
    <row r="92">
      <c r="A92" s="31" t="inlineStr">
        <is>
          <t>UNITEDPOLY</t>
        </is>
      </c>
      <c r="B92" s="31" t="inlineStr">
        <is>
          <t>United Polyfab Gujarat Ltd</t>
        </is>
      </c>
      <c r="C92" s="31" t="inlineStr">
        <is>
          <t>textiles</t>
        </is>
      </c>
      <c r="D92" s="31" t="inlineStr">
        <is>
          <t>textiles - products</t>
        </is>
      </c>
      <c r="E92" s="31" t="inlineStr">
        <is>
          <t>smallcap</t>
        </is>
      </c>
      <c r="F92" s="31" t="n">
        <v>927.47</v>
      </c>
      <c r="G92" s="31" t="n">
        <v>41.66</v>
      </c>
      <c r="H92" s="31" t="n">
        <v>3.09</v>
      </c>
      <c r="I92" s="31" t="n">
        <v>210611</v>
      </c>
      <c r="J92" s="31" t="inlineStr">
        <is>
          <t>533024</t>
        </is>
      </c>
    </row>
    <row r="93">
      <c r="A93" s="31" t="inlineStr">
        <is>
          <t>ROSSTECH</t>
        </is>
      </c>
      <c r="B93" s="31" t="inlineStr">
        <is>
          <t>Rossell Techsys Ltd</t>
        </is>
      </c>
      <c r="C93" s="31" t="inlineStr">
        <is>
          <t>aerospace &amp; defence</t>
        </is>
      </c>
      <c r="D93" s="31" t="inlineStr">
        <is>
          <t>engineering</t>
        </is>
      </c>
      <c r="E93" s="31" t="inlineStr">
        <is>
          <t>smallcap</t>
        </is>
      </c>
      <c r="F93" s="31" t="n">
        <v>4208.06</v>
      </c>
      <c r="G93" s="31" t="n">
        <v>1150.5</v>
      </c>
      <c r="H93" s="31" t="n">
        <v>3.06</v>
      </c>
      <c r="I93" s="31" t="n">
        <v>234989</v>
      </c>
      <c r="J93" s="31" t="inlineStr">
        <is>
          <t>544294</t>
        </is>
      </c>
    </row>
    <row r="94">
      <c r="A94" s="31" t="inlineStr">
        <is>
          <t>SAMMAANCAP</t>
        </is>
      </c>
      <c r="B94" s="31" t="inlineStr">
        <is>
          <t>Sammaan Capital Ltd</t>
        </is>
      </c>
      <c r="C94" s="31" t="inlineStr">
        <is>
          <t>financials</t>
        </is>
      </c>
      <c r="D94" s="31" t="inlineStr">
        <is>
          <t>finance - housing</t>
        </is>
      </c>
      <c r="E94" s="31" t="inlineStr">
        <is>
          <t>midcap</t>
        </is>
      </c>
      <c r="F94" s="31" t="n">
        <v>17899.24</v>
      </c>
      <c r="G94" s="31" t="n">
        <v>158.39</v>
      </c>
      <c r="H94" s="31" t="n">
        <v>3.05</v>
      </c>
      <c r="I94" s="31" t="n">
        <v>13853349</v>
      </c>
      <c r="J94" s="31" t="inlineStr">
        <is>
          <t>535789</t>
        </is>
      </c>
    </row>
    <row r="95">
      <c r="A95" s="31" t="inlineStr">
        <is>
          <t>CGCL</t>
        </is>
      </c>
      <c r="B95" s="31" t="inlineStr">
        <is>
          <t>Capri Global Capital Limited</t>
        </is>
      </c>
      <c r="C95" s="31" t="inlineStr">
        <is>
          <t>financials</t>
        </is>
      </c>
      <c r="D95" s="31" t="inlineStr">
        <is>
          <t>finance &amp; investments</t>
        </is>
      </c>
      <c r="E95" s="31" t="inlineStr">
        <is>
          <t>largecap</t>
        </is>
      </c>
      <c r="F95" s="31" t="n">
        <v>26141.72</v>
      </c>
      <c r="G95" s="31" t="n">
        <v>279.9</v>
      </c>
      <c r="H95" s="31" t="n">
        <v>3.02</v>
      </c>
      <c r="I95" s="31" t="n">
        <v>7594713</v>
      </c>
      <c r="J95" s="31" t="inlineStr">
        <is>
          <t>531595</t>
        </is>
      </c>
    </row>
    <row r="96">
      <c r="A96" s="31" t="inlineStr">
        <is>
          <t>BLKASHYAP</t>
        </is>
      </c>
      <c r="B96" s="31" t="inlineStr">
        <is>
          <t>B. L. Kashyap And Sons Limited</t>
        </is>
      </c>
      <c r="C96" s="31" t="inlineStr">
        <is>
          <t>realty</t>
        </is>
      </c>
      <c r="D96" s="31" t="inlineStr">
        <is>
          <t>construction</t>
        </is>
      </c>
      <c r="E96" s="31" t="inlineStr">
        <is>
          <t>smallcap</t>
        </is>
      </c>
      <c r="F96" s="31" t="n">
        <v>1298.53</v>
      </c>
      <c r="G96" s="31" t="n">
        <v>59.34</v>
      </c>
      <c r="H96" s="31" t="n">
        <v>3.02</v>
      </c>
      <c r="I96" s="31" t="n">
        <v>2983058</v>
      </c>
      <c r="J96" s="31" t="inlineStr">
        <is>
          <t>532719</t>
        </is>
      </c>
    </row>
    <row r="97">
      <c r="A97" s="31" t="inlineStr">
        <is>
          <t>YATHARTH</t>
        </is>
      </c>
      <c r="B97" s="31" t="inlineStr">
        <is>
          <t>Yatharth Hospital &amp; Trauma Care Services Ltd</t>
        </is>
      </c>
      <c r="C97" s="31" t="inlineStr">
        <is>
          <t>healthcare</t>
        </is>
      </c>
      <c r="D97" s="31" t="inlineStr">
        <is>
          <t>healthcare</t>
        </is>
      </c>
      <c r="E97" s="31" t="inlineStr">
        <is>
          <t>midcap</t>
        </is>
      </c>
      <c r="F97" s="31" t="n">
        <v>9272.18</v>
      </c>
      <c r="G97" s="31" t="n">
        <v>991.1</v>
      </c>
      <c r="H97" s="31" t="n">
        <v>2.99</v>
      </c>
      <c r="I97" s="31" t="n">
        <v>314144</v>
      </c>
      <c r="J97" s="31" t="inlineStr">
        <is>
          <t>543950</t>
        </is>
      </c>
    </row>
    <row r="98">
      <c r="A98" s="31" t="inlineStr">
        <is>
          <t>63MOONS</t>
        </is>
      </c>
      <c r="B98" s="31" t="inlineStr">
        <is>
          <t>63 Moons Technologies Ltd</t>
        </is>
      </c>
      <c r="C98" s="31" t="inlineStr">
        <is>
          <t>i.t</t>
        </is>
      </c>
      <c r="D98" s="31" t="inlineStr">
        <is>
          <t>computers - software - medium / small</t>
        </is>
      </c>
      <c r="E98" s="31" t="inlineStr">
        <is>
          <t>smallcap</t>
        </is>
      </c>
      <c r="F98" s="31" t="n">
        <v>3922.44</v>
      </c>
      <c r="G98" s="31" t="n">
        <v>876.5</v>
      </c>
      <c r="H98" s="31" t="n">
        <v>2.97</v>
      </c>
      <c r="I98" s="31" t="n">
        <v>1136718</v>
      </c>
      <c r="J98" s="31" t="inlineStr">
        <is>
          <t>526881</t>
        </is>
      </c>
    </row>
    <row r="99">
      <c r="A99" s="31" t="inlineStr">
        <is>
          <t>HEG</t>
        </is>
      </c>
      <c r="B99" s="31" t="inlineStr">
        <is>
          <t>Heg Limited</t>
        </is>
      </c>
      <c r="C99" s="31" t="inlineStr">
        <is>
          <t>industrials</t>
        </is>
      </c>
      <c r="D99" s="31" t="inlineStr">
        <is>
          <t>electrodes - graphites</t>
        </is>
      </c>
      <c r="E99" s="31" t="inlineStr">
        <is>
          <t>midcap</t>
        </is>
      </c>
      <c r="F99" s="31" t="n">
        <v>13652.2</v>
      </c>
      <c r="G99" s="31" t="n">
        <v>728.25</v>
      </c>
      <c r="H99" s="31" t="n">
        <v>2.94</v>
      </c>
      <c r="I99" s="31" t="n">
        <v>2565950</v>
      </c>
      <c r="J99" s="31" t="inlineStr">
        <is>
          <t>509631</t>
        </is>
      </c>
    </row>
    <row r="100">
      <c r="A100" s="31" t="inlineStr">
        <is>
          <t>GPTHEALTH</t>
        </is>
      </c>
      <c r="B100" s="31" t="inlineStr">
        <is>
          <t>GPT Healthcare Ltd</t>
        </is>
      </c>
      <c r="C100" s="31" t="inlineStr">
        <is>
          <t>healthcare</t>
        </is>
      </c>
      <c r="D100" s="31" t="inlineStr">
        <is>
          <t>healthcare</t>
        </is>
      </c>
      <c r="E100" s="31" t="inlineStr">
        <is>
          <t>smallcap</t>
        </is>
      </c>
      <c r="F100" s="31" t="n">
        <v>1261.02</v>
      </c>
      <c r="G100" s="31" t="n">
        <v>158.17</v>
      </c>
      <c r="H100" s="31" t="n">
        <v>2.92</v>
      </c>
      <c r="I100" s="31" t="n">
        <v>259291</v>
      </c>
      <c r="J100" s="31" t="inlineStr">
        <is>
          <t>544131</t>
        </is>
      </c>
    </row>
    <row r="101">
      <c r="A101" s="31" t="inlineStr">
        <is>
          <t>ICIL</t>
        </is>
      </c>
      <c r="B101" s="31" t="inlineStr">
        <is>
          <t>Indo Count Industries Limited</t>
        </is>
      </c>
      <c r="C101" s="31" t="inlineStr">
        <is>
          <t>textiles</t>
        </is>
      </c>
      <c r="D101" s="31" t="inlineStr">
        <is>
          <t>textiles - cotton/blended</t>
        </is>
      </c>
      <c r="E101" s="31" t="inlineStr">
        <is>
          <t>midcap</t>
        </is>
      </c>
      <c r="F101" s="31" t="n">
        <v>8661.91</v>
      </c>
      <c r="G101" s="31" t="n">
        <v>449.8</v>
      </c>
      <c r="H101" s="31" t="n">
        <v>2.85</v>
      </c>
      <c r="I101" s="31" t="n">
        <v>621520</v>
      </c>
      <c r="J101" s="31" t="inlineStr">
        <is>
          <t>521016</t>
        </is>
      </c>
    </row>
    <row r="102">
      <c r="A102" s="31" t="inlineStr">
        <is>
          <t>RPGLIFE</t>
        </is>
      </c>
      <c r="B102" s="31" t="inlineStr">
        <is>
          <t>Rpg Life Sciences Limited</t>
        </is>
      </c>
      <c r="C102" s="31" t="inlineStr">
        <is>
          <t>healthcare</t>
        </is>
      </c>
      <c r="D102" s="31" t="inlineStr">
        <is>
          <t>pharmaceuticals - indian - bulk drugs &amp; formln</t>
        </is>
      </c>
      <c r="E102" s="31" t="inlineStr">
        <is>
          <t>smallcap</t>
        </is>
      </c>
      <c r="F102" s="31" t="n">
        <v>4386.81</v>
      </c>
      <c r="G102" s="31" t="n">
        <v>2721.6</v>
      </c>
      <c r="H102" s="31" t="n">
        <v>2.61</v>
      </c>
      <c r="I102" s="31" t="n">
        <v>20463</v>
      </c>
      <c r="J102" s="31" t="inlineStr">
        <is>
          <t>532983</t>
        </is>
      </c>
    </row>
    <row r="103">
      <c r="A103" s="31" t="inlineStr">
        <is>
          <t>UNIMECH</t>
        </is>
      </c>
      <c r="B103" s="31" t="inlineStr">
        <is>
          <t>Unimech Aerospace and Manufacturing Ltd</t>
        </is>
      </c>
      <c r="C103" s="31" t="inlineStr">
        <is>
          <t>aerospace &amp; defence</t>
        </is>
      </c>
      <c r="D103" s="31" t="inlineStr">
        <is>
          <t>engineering</t>
        </is>
      </c>
      <c r="E103" s="31" t="inlineStr">
        <is>
          <t>midcap</t>
        </is>
      </c>
      <c r="F103" s="31" t="n">
        <v>7452.06</v>
      </c>
      <c r="G103" s="31" t="n">
        <v>1502.7</v>
      </c>
      <c r="H103" s="31" t="n">
        <v>2.55</v>
      </c>
      <c r="I103" s="31" t="n">
        <v>179849</v>
      </c>
      <c r="J103" s="31" t="inlineStr">
        <is>
          <t>544322</t>
        </is>
      </c>
    </row>
    <row r="104">
      <c r="A104" s="31" t="inlineStr">
        <is>
          <t>KABRAEXTRU</t>
        </is>
      </c>
      <c r="B104" s="31" t="inlineStr">
        <is>
          <t>Kabra Extrusion Technik Limited</t>
        </is>
      </c>
      <c r="C104" s="31" t="inlineStr">
        <is>
          <t>industrials</t>
        </is>
      </c>
      <c r="D104" s="31" t="inlineStr">
        <is>
          <t>engineering</t>
        </is>
      </c>
      <c r="E104" s="31" t="inlineStr">
        <is>
          <t>smallcap</t>
        </is>
      </c>
      <c r="F104" s="31" t="n">
        <v>1975.27</v>
      </c>
      <c r="G104" s="31" t="n">
        <v>579.15</v>
      </c>
      <c r="H104" s="31" t="n">
        <v>2.54</v>
      </c>
      <c r="I104" s="31" t="n">
        <v>130668</v>
      </c>
      <c r="J104" s="31" t="inlineStr">
        <is>
          <t>524109</t>
        </is>
      </c>
    </row>
    <row r="105">
      <c r="A105" s="31" t="inlineStr">
        <is>
          <t>SREEL</t>
        </is>
      </c>
      <c r="B105" s="31" t="inlineStr">
        <is>
          <t>Sreeleathers Limited</t>
        </is>
      </c>
      <c r="C105" s="31" t="inlineStr">
        <is>
          <t>consumer discretionary</t>
        </is>
      </c>
      <c r="D105" s="31" t="inlineStr">
        <is>
          <t>trading</t>
        </is>
      </c>
      <c r="E105" s="31" t="inlineStr">
        <is>
          <t>smallcap</t>
        </is>
      </c>
      <c r="F105" s="31" t="n">
        <v>599.62</v>
      </c>
      <c r="G105" s="31" t="n">
        <v>265.52</v>
      </c>
      <c r="H105" s="31" t="n">
        <v>2.53</v>
      </c>
      <c r="I105" s="31" t="n">
        <v>21434</v>
      </c>
      <c r="J105" s="31" t="inlineStr">
        <is>
          <t>535601</t>
        </is>
      </c>
    </row>
    <row r="106">
      <c r="A106" s="31" t="inlineStr">
        <is>
          <t>MBAPL</t>
        </is>
      </c>
      <c r="B106" s="31" t="inlineStr">
        <is>
          <t>Madhya Bharat Agro Products Ltd</t>
        </is>
      </c>
      <c r="C106" s="31" t="inlineStr">
        <is>
          <t>chemicals</t>
        </is>
      </c>
      <c r="D106" s="31" t="inlineStr">
        <is>
          <t>fertilizers</t>
        </is>
      </c>
      <c r="E106" s="31" t="inlineStr">
        <is>
          <t>smallcap</t>
        </is>
      </c>
      <c r="F106" s="31" t="n">
        <v>1420.26</v>
      </c>
      <c r="G106" s="31" t="n">
        <v>166.12</v>
      </c>
      <c r="H106" s="31" t="n">
        <v>2.49</v>
      </c>
      <c r="I106" s="31" t="n">
        <v>983522</v>
      </c>
      <c r="J106" s="31" t="inlineStr">
        <is>
          <t>538370</t>
        </is>
      </c>
    </row>
    <row r="107">
      <c r="A107" s="31" t="inlineStr">
        <is>
          <t>CYIENTDLM</t>
        </is>
      </c>
      <c r="B107" s="31" t="inlineStr">
        <is>
          <t>Cyient DLM Ltd</t>
        </is>
      </c>
      <c r="C107" s="31" t="inlineStr">
        <is>
          <t>aerospace &amp; defence</t>
        </is>
      </c>
      <c r="D107" s="31" t="inlineStr">
        <is>
          <t>electronics - components</t>
        </is>
      </c>
      <c r="E107" s="31" t="inlineStr">
        <is>
          <t>midcap</t>
        </is>
      </c>
      <c r="F107" s="31" t="n">
        <v>6640.82</v>
      </c>
      <c r="G107" s="31" t="n">
        <v>856.95</v>
      </c>
      <c r="H107" s="31" t="n">
        <v>2.44</v>
      </c>
      <c r="I107" s="31" t="n">
        <v>1201568</v>
      </c>
      <c r="J107" s="31" t="inlineStr">
        <is>
          <t>543933</t>
        </is>
      </c>
    </row>
    <row r="108">
      <c r="A108" s="31" t="inlineStr">
        <is>
          <t>MOTILALOFS</t>
        </is>
      </c>
      <c r="B108" s="31" t="inlineStr">
        <is>
          <t>Motilal Oswal Financial Services Limited</t>
        </is>
      </c>
      <c r="C108" s="31" t="inlineStr">
        <is>
          <t>financials</t>
        </is>
      </c>
      <c r="D108" s="31" t="inlineStr">
        <is>
          <t>finance &amp; investments</t>
        </is>
      </c>
      <c r="E108" s="31" t="inlineStr">
        <is>
          <t>largecap</t>
        </is>
      </c>
      <c r="F108" s="31" t="n">
        <v>60985.42</v>
      </c>
      <c r="G108" s="31" t="n">
        <v>1037</v>
      </c>
      <c r="H108" s="31" t="n">
        <v>2.39</v>
      </c>
      <c r="I108" s="31" t="n">
        <v>807197</v>
      </c>
      <c r="J108" s="31" t="inlineStr">
        <is>
          <t>532892</t>
        </is>
      </c>
    </row>
    <row r="109">
      <c r="A109" s="31" t="inlineStr">
        <is>
          <t>SHREEJISPG</t>
        </is>
      </c>
      <c r="B109" s="31" t="inlineStr">
        <is>
          <t>Shreeji Shipping Global Ltd</t>
        </is>
      </c>
      <c r="C109" s="31" t="inlineStr">
        <is>
          <t>transportation</t>
        </is>
      </c>
      <c r="D109" s="31" t="inlineStr">
        <is>
          <t>shipping</t>
        </is>
      </c>
      <c r="E109" s="31" t="inlineStr">
        <is>
          <t>midcap</t>
        </is>
      </c>
      <c r="F109" s="31" t="n">
        <v>10821.85</v>
      </c>
      <c r="G109" s="31" t="n">
        <v>680.15</v>
      </c>
      <c r="H109" s="31" t="n">
        <v>2.39</v>
      </c>
      <c r="I109" s="31" t="n">
        <v>2336669</v>
      </c>
      <c r="J109" s="31" t="inlineStr">
        <is>
          <t>544490</t>
        </is>
      </c>
    </row>
    <row r="110">
      <c r="A110" s="31" t="inlineStr">
        <is>
          <t>CEIGALL</t>
        </is>
      </c>
      <c r="B110" s="31" t="inlineStr">
        <is>
          <t>Ceigall India Ltd</t>
        </is>
      </c>
      <c r="C110" s="31" t="inlineStr">
        <is>
          <t>realty</t>
        </is>
      </c>
      <c r="D110" s="31" t="inlineStr">
        <is>
          <t>construction</t>
        </is>
      </c>
      <c r="E110" s="31" t="inlineStr">
        <is>
          <t>midcap</t>
        </is>
      </c>
      <c r="F110" s="31" t="n">
        <v>6054.49</v>
      </c>
      <c r="G110" s="31" t="n">
        <v>355.8</v>
      </c>
      <c r="H110" s="31" t="n">
        <v>2.37</v>
      </c>
      <c r="I110" s="31" t="n">
        <v>949597</v>
      </c>
      <c r="J110" s="31" t="inlineStr">
        <is>
          <t>544223</t>
        </is>
      </c>
    </row>
    <row r="111">
      <c r="A111" s="31" t="inlineStr">
        <is>
          <t>FEDFINA</t>
        </is>
      </c>
      <c r="B111" s="31" t="inlineStr">
        <is>
          <t>Fedbank Financial Services Ltd</t>
        </is>
      </c>
      <c r="C111" s="31" t="inlineStr">
        <is>
          <t>financials</t>
        </is>
      </c>
      <c r="D111" s="31" t="inlineStr">
        <is>
          <t>finance &amp; investments</t>
        </is>
      </c>
      <c r="E111" s="31" t="inlineStr">
        <is>
          <t>midcap</t>
        </is>
      </c>
      <c r="F111" s="31" t="n">
        <v>5918.27</v>
      </c>
      <c r="G111" s="31" t="n">
        <v>161.56</v>
      </c>
      <c r="H111" s="31" t="n">
        <v>2.34</v>
      </c>
      <c r="I111" s="31" t="n">
        <v>818017</v>
      </c>
      <c r="J111" s="31" t="inlineStr">
        <is>
          <t>544027</t>
        </is>
      </c>
    </row>
    <row r="112">
      <c r="A112" s="31" t="inlineStr">
        <is>
          <t>BOSCH-HCIL</t>
        </is>
      </c>
      <c r="B112" s="31" t="inlineStr">
        <is>
          <t>Bosch Home Comfort India Ltd</t>
        </is>
      </c>
      <c r="C112" s="31" t="inlineStr">
        <is>
          <t>consumer discretionary</t>
        </is>
      </c>
      <c r="D112" s="31" t="inlineStr">
        <is>
          <t>air-conditioners</t>
        </is>
      </c>
      <c r="E112" s="31" t="inlineStr">
        <is>
          <t>smallcap</t>
        </is>
      </c>
      <c r="F112" s="31" t="n">
        <v>4833.72</v>
      </c>
      <c r="G112" s="31" t="n">
        <v>1818.8</v>
      </c>
      <c r="H112" s="31" t="n">
        <v>2.31</v>
      </c>
      <c r="I112" s="31" t="n">
        <v>64153</v>
      </c>
      <c r="J112" s="31" t="inlineStr">
        <is>
          <t>523398</t>
        </is>
      </c>
    </row>
    <row r="113">
      <c r="A113" s="31" t="inlineStr">
        <is>
          <t>SMCGLOBAL</t>
        </is>
      </c>
      <c r="B113" s="31" t="inlineStr">
        <is>
          <t>SMC Global Securities Ltd</t>
        </is>
      </c>
      <c r="C113" s="31" t="inlineStr">
        <is>
          <t>financials</t>
        </is>
      </c>
      <c r="D113" s="31" t="inlineStr">
        <is>
          <t>finance &amp; investments</t>
        </is>
      </c>
      <c r="E113" s="31" t="inlineStr">
        <is>
          <t>smallcap</t>
        </is>
      </c>
      <c r="F113" s="31" t="n">
        <v>1663.05</v>
      </c>
      <c r="G113" s="31" t="n">
        <v>81.25</v>
      </c>
      <c r="H113" s="31" t="n">
        <v>2.3</v>
      </c>
      <c r="I113" s="31" t="n">
        <v>865274</v>
      </c>
      <c r="J113" s="31" t="inlineStr">
        <is>
          <t>543263</t>
        </is>
      </c>
    </row>
    <row r="114">
      <c r="A114" s="31" t="inlineStr">
        <is>
          <t>PANAMAPET</t>
        </is>
      </c>
      <c r="B114" s="31" t="inlineStr">
        <is>
          <t>Panama Petrochem Limited</t>
        </is>
      </c>
      <c r="C114" s="31" t="inlineStr">
        <is>
          <t>energy</t>
        </is>
      </c>
      <c r="D114" s="31" t="inlineStr">
        <is>
          <t>petrochemicals</t>
        </is>
      </c>
      <c r="E114" s="31" t="inlineStr">
        <is>
          <t>smallcap</t>
        </is>
      </c>
      <c r="F114" s="31" t="n">
        <v>2931.22</v>
      </c>
      <c r="G114" s="31" t="n">
        <v>495.45</v>
      </c>
      <c r="H114" s="31" t="n">
        <v>2.25</v>
      </c>
      <c r="I114" s="31" t="n">
        <v>242825</v>
      </c>
      <c r="J114" s="31" t="inlineStr">
        <is>
          <t>524820</t>
        </is>
      </c>
    </row>
    <row r="115">
      <c r="A115" s="31" t="inlineStr">
        <is>
          <t>JTLIND</t>
        </is>
      </c>
      <c r="B115" s="31" t="inlineStr">
        <is>
          <t>JTL Industries Ltd</t>
        </is>
      </c>
      <c r="C115" s="31" t="inlineStr">
        <is>
          <t>metals &amp; mining</t>
        </is>
      </c>
      <c r="D115" s="31" t="inlineStr">
        <is>
          <t>steel - medium / small</t>
        </is>
      </c>
      <c r="E115" s="31" t="inlineStr">
        <is>
          <t>smallcap</t>
        </is>
      </c>
      <c r="F115" s="31" t="n">
        <v>3524.76</v>
      </c>
      <c r="G115" s="31" t="n">
        <v>91.67</v>
      </c>
      <c r="H115" s="31" t="n">
        <v>2.23</v>
      </c>
      <c r="I115" s="31" t="n">
        <v>2884117</v>
      </c>
      <c r="J115" s="31" t="inlineStr">
        <is>
          <t>534600</t>
        </is>
      </c>
    </row>
    <row r="116">
      <c r="A116" s="31" t="inlineStr">
        <is>
          <t>HINDZINC</t>
        </is>
      </c>
      <c r="B116" s="31" t="inlineStr">
        <is>
          <t>Hindustan Zinc Limited</t>
        </is>
      </c>
      <c r="C116" s="31" t="inlineStr">
        <is>
          <t>metals &amp; mining</t>
        </is>
      </c>
      <c r="D116" s="31" t="inlineStr">
        <is>
          <t>mining / minerals / metals</t>
        </is>
      </c>
      <c r="E116" s="31" t="inlineStr">
        <is>
          <t>largecap</t>
        </is>
      </c>
      <c r="F116" s="31" t="n">
        <v>248427.63</v>
      </c>
      <c r="G116" s="31" t="n">
        <v>601</v>
      </c>
      <c r="H116" s="31" t="n">
        <v>2.22</v>
      </c>
      <c r="I116" s="31" t="n">
        <v>4650039</v>
      </c>
      <c r="J116" s="31" t="inlineStr">
        <is>
          <t>500188</t>
        </is>
      </c>
    </row>
    <row r="117">
      <c r="A117" s="31" t="inlineStr">
        <is>
          <t>RATNAMANI</t>
        </is>
      </c>
      <c r="B117" s="31" t="inlineStr">
        <is>
          <t>Ratnamani Metals &amp; Tubes Limited</t>
        </is>
      </c>
      <c r="C117" s="31" t="inlineStr">
        <is>
          <t>industrials</t>
        </is>
      </c>
      <c r="D117" s="31" t="inlineStr">
        <is>
          <t>steel - medium / small</t>
        </is>
      </c>
      <c r="E117" s="31" t="inlineStr">
        <is>
          <t>midcap</t>
        </is>
      </c>
      <c r="F117" s="31" t="n">
        <v>18712.46</v>
      </c>
      <c r="G117" s="31" t="n">
        <v>2727</v>
      </c>
      <c r="H117" s="31" t="n">
        <v>2.15</v>
      </c>
      <c r="I117" s="31" t="n">
        <v>72730</v>
      </c>
      <c r="J117" s="31" t="inlineStr">
        <is>
          <t>520111</t>
        </is>
      </c>
    </row>
    <row r="118">
      <c r="A118" s="31" t="inlineStr">
        <is>
          <t>MAXESTATES</t>
        </is>
      </c>
      <c r="B118" s="31" t="inlineStr">
        <is>
          <t>Max Estates Ltd</t>
        </is>
      </c>
      <c r="C118" s="31" t="inlineStr">
        <is>
          <t>realty</t>
        </is>
      </c>
      <c r="D118" s="31" t="inlineStr">
        <is>
          <t>construction</t>
        </is>
      </c>
      <c r="E118" s="31" t="inlineStr">
        <is>
          <t>midcap</t>
        </is>
      </c>
      <c r="F118" s="31" t="n">
        <v>8676.799999999999</v>
      </c>
      <c r="G118" s="31" t="n">
        <v>542.1</v>
      </c>
      <c r="H118" s="31" t="n">
        <v>2.15</v>
      </c>
      <c r="I118" s="31" t="n">
        <v>111898</v>
      </c>
      <c r="J118" s="31" t="inlineStr">
        <is>
          <t>544008</t>
        </is>
      </c>
    </row>
    <row r="119">
      <c r="A119" s="31" t="inlineStr">
        <is>
          <t>20MICRONS</t>
        </is>
      </c>
      <c r="B119" s="31" t="inlineStr">
        <is>
          <t>20 Microns Limited</t>
        </is>
      </c>
      <c r="C119" s="31" t="inlineStr">
        <is>
          <t>metals &amp; mining</t>
        </is>
      </c>
      <c r="D119" s="31" t="inlineStr">
        <is>
          <t>mining / minerals / metals</t>
        </is>
      </c>
      <c r="E119" s="31" t="inlineStr">
        <is>
          <t>smallcap</t>
        </is>
      </c>
      <c r="F119" s="31" t="n">
        <v>768.61</v>
      </c>
      <c r="G119" s="31" t="n">
        <v>222.49</v>
      </c>
      <c r="H119" s="31" t="n">
        <v>2.14</v>
      </c>
      <c r="I119" s="31" t="n">
        <v>174812</v>
      </c>
      <c r="J119" s="31" t="inlineStr">
        <is>
          <t>533022</t>
        </is>
      </c>
    </row>
    <row r="120">
      <c r="A120" s="31" t="inlineStr">
        <is>
          <t>VOLTAMP</t>
        </is>
      </c>
      <c r="B120" s="31" t="inlineStr">
        <is>
          <t>Voltamp Transformers Limited</t>
        </is>
      </c>
      <c r="C120" s="31" t="inlineStr">
        <is>
          <t>industrials</t>
        </is>
      </c>
      <c r="D120" s="31" t="inlineStr">
        <is>
          <t>electric equipment</t>
        </is>
      </c>
      <c r="E120" s="31" t="inlineStr">
        <is>
          <t>midcap</t>
        </is>
      </c>
      <c r="F120" s="31" t="n">
        <v>11312.96</v>
      </c>
      <c r="G120" s="31" t="n">
        <v>11418</v>
      </c>
      <c r="H120" s="31" t="n">
        <v>2.11</v>
      </c>
      <c r="I120" s="31" t="n">
        <v>50836</v>
      </c>
      <c r="J120" s="31" t="inlineStr">
        <is>
          <t>532757</t>
        </is>
      </c>
    </row>
    <row r="121">
      <c r="A121" s="31" t="inlineStr">
        <is>
          <t>MMP</t>
        </is>
      </c>
      <c r="B121" s="31" t="inlineStr">
        <is>
          <t>MMP Industries Ltd</t>
        </is>
      </c>
      <c r="C121" s="31" t="inlineStr">
        <is>
          <t>metals &amp; mining</t>
        </is>
      </c>
      <c r="D121" s="31" t="inlineStr">
        <is>
          <t>aluminium and aluminium products</t>
        </is>
      </c>
      <c r="E121" s="31" t="inlineStr">
        <is>
          <t>smallcap</t>
        </is>
      </c>
      <c r="F121" s="31" t="n">
        <v>749.17</v>
      </c>
      <c r="G121" s="31" t="n">
        <v>404.15</v>
      </c>
      <c r="H121" s="31" t="n">
        <v>2.07</v>
      </c>
      <c r="I121" s="31" t="n">
        <v>112103</v>
      </c>
      <c r="J121" s="31" t="inlineStr">
        <is>
          <t>535071</t>
        </is>
      </c>
    </row>
    <row r="122">
      <c r="A122" s="31" t="inlineStr">
        <is>
          <t>CASTROLIND</t>
        </is>
      </c>
      <c r="B122" s="31" t="inlineStr">
        <is>
          <t>Castrol India Limited</t>
        </is>
      </c>
      <c r="C122" s="31" t="inlineStr">
        <is>
          <t>chemicals</t>
        </is>
      </c>
      <c r="D122" s="31" t="inlineStr">
        <is>
          <t>chemicals</t>
        </is>
      </c>
      <c r="E122" s="31" t="inlineStr">
        <is>
          <t>midcap</t>
        </is>
      </c>
      <c r="F122" s="31" t="n">
        <v>18439.22</v>
      </c>
      <c r="G122" s="31" t="n">
        <v>190.27</v>
      </c>
      <c r="H122" s="31" t="n">
        <v>2.07</v>
      </c>
      <c r="I122" s="31" t="n">
        <v>4231930</v>
      </c>
      <c r="J122" s="31" t="inlineStr">
        <is>
          <t>500870</t>
        </is>
      </c>
    </row>
    <row r="123">
      <c r="A123" s="31" t="inlineStr">
        <is>
          <t>RELIGARE</t>
        </is>
      </c>
      <c r="B123" s="31" t="inlineStr">
        <is>
          <t>Religare Enterprises Limited</t>
        </is>
      </c>
      <c r="C123" s="31" t="inlineStr">
        <is>
          <t>financials</t>
        </is>
      </c>
      <c r="D123" s="31" t="inlineStr">
        <is>
          <t>finance &amp; investments</t>
        </is>
      </c>
      <c r="E123" s="31" t="inlineStr">
        <is>
          <t>midcap</t>
        </is>
      </c>
      <c r="F123" s="31" t="n">
        <v>8595.34</v>
      </c>
      <c r="G123" s="31" t="n">
        <v>257.08</v>
      </c>
      <c r="H123" s="31" t="n">
        <v>2.06</v>
      </c>
      <c r="I123" s="31" t="n">
        <v>1795582</v>
      </c>
      <c r="J123" s="31" t="inlineStr">
        <is>
          <t>532915</t>
        </is>
      </c>
    </row>
    <row r="124">
      <c r="A124" s="31" t="inlineStr">
        <is>
          <t>NOVARTIND</t>
        </is>
      </c>
      <c r="B124" s="31" t="inlineStr">
        <is>
          <t>Novartis India Ltd</t>
        </is>
      </c>
      <c r="C124" s="31" t="inlineStr">
        <is>
          <t>healthcare</t>
        </is>
      </c>
      <c r="D124" s="31" t="inlineStr">
        <is>
          <t>pharmaceuticals - multinational</t>
        </is>
      </c>
      <c r="E124" s="31" t="inlineStr">
        <is>
          <t>smallcap</t>
        </is>
      </c>
      <c r="F124" s="31" t="n">
        <v>3985.34</v>
      </c>
      <c r="G124" s="31" t="n">
        <v>1646.7</v>
      </c>
      <c r="H124" s="31" t="n">
        <v>2.02</v>
      </c>
      <c r="I124" s="31" t="n">
        <v>22436</v>
      </c>
      <c r="J124" s="31" t="inlineStr">
        <is>
          <t>500672</t>
        </is>
      </c>
    </row>
    <row r="125">
      <c r="A125" s="31" t="inlineStr">
        <is>
          <t>JINDRILL</t>
        </is>
      </c>
      <c r="B125" s="31" t="inlineStr">
        <is>
          <t>Jindal Drilling And Industries Limited</t>
        </is>
      </c>
      <c r="C125" s="31" t="inlineStr">
        <is>
          <t>energy</t>
        </is>
      </c>
      <c r="D125" s="31" t="inlineStr">
        <is>
          <t>oil drilling / allied services</t>
        </is>
      </c>
      <c r="E125" s="31" t="inlineStr">
        <is>
          <t>smallcap</t>
        </is>
      </c>
      <c r="F125" s="31" t="n">
        <v>1883.48</v>
      </c>
      <c r="G125" s="31" t="n">
        <v>663.05</v>
      </c>
      <c r="H125" s="31" t="n">
        <v>2.02</v>
      </c>
      <c r="I125" s="31" t="n">
        <v>708720</v>
      </c>
      <c r="J125" s="31" t="inlineStr">
        <is>
          <t>511034</t>
        </is>
      </c>
    </row>
    <row r="126">
      <c r="A126" s="31" t="inlineStr">
        <is>
          <t>WELINV</t>
        </is>
      </c>
      <c r="B126" s="31" t="inlineStr">
        <is>
          <t>Welspun Investments And Commercials Limited</t>
        </is>
      </c>
      <c r="C126" s="31" t="inlineStr">
        <is>
          <t>financials</t>
        </is>
      </c>
      <c r="D126" s="31" t="inlineStr">
        <is>
          <t>finance &amp; investments</t>
        </is>
      </c>
      <c r="E126" s="31" t="inlineStr">
        <is>
          <t>smallcap</t>
        </is>
      </c>
      <c r="F126" s="31" t="n">
        <v>799.23</v>
      </c>
      <c r="G126" s="31" t="n">
        <v>2230.7</v>
      </c>
      <c r="H126" s="31" t="n">
        <v>2</v>
      </c>
      <c r="I126" s="31" t="n">
        <v>89</v>
      </c>
      <c r="J126" s="31" t="inlineStr">
        <is>
          <t>533252</t>
        </is>
      </c>
    </row>
    <row r="127">
      <c r="A127" s="31" t="inlineStr">
        <is>
          <t>NRL</t>
        </is>
      </c>
      <c r="B127" s="31" t="inlineStr">
        <is>
          <t>Nupur Recyclers Ltd</t>
        </is>
      </c>
      <c r="C127" s="31" t="inlineStr">
        <is>
          <t>services</t>
        </is>
      </c>
      <c r="D127" s="31" t="inlineStr">
        <is>
          <t>trading</t>
        </is>
      </c>
      <c r="E127" s="31" t="inlineStr">
        <is>
          <t>smallcap</t>
        </is>
      </c>
      <c r="F127" s="31" t="n">
        <v>859.49</v>
      </c>
      <c r="G127" s="31" t="n">
        <v>126.92</v>
      </c>
      <c r="H127" s="31" t="n">
        <v>1.99</v>
      </c>
      <c r="I127" s="31" t="n">
        <v>109113</v>
      </c>
      <c r="J127" s="31" t="inlineStr">
        <is>
          <t>535413</t>
        </is>
      </c>
    </row>
    <row r="128">
      <c r="A128" s="31" t="inlineStr">
        <is>
          <t>VISHNU</t>
        </is>
      </c>
      <c r="B128" s="31" t="inlineStr">
        <is>
          <t>Vishnu Chemicals Limited</t>
        </is>
      </c>
      <c r="C128" s="31" t="inlineStr">
        <is>
          <t>chemicals</t>
        </is>
      </c>
      <c r="D128" s="31" t="inlineStr">
        <is>
          <t>chemicals</t>
        </is>
      </c>
      <c r="E128" s="31" t="inlineStr">
        <is>
          <t>smallcap</t>
        </is>
      </c>
      <c r="F128" s="31" t="n">
        <v>4634.32</v>
      </c>
      <c r="G128" s="31" t="n">
        <v>702</v>
      </c>
      <c r="H128" s="31" t="n">
        <v>1.97</v>
      </c>
      <c r="I128" s="31" t="n">
        <v>623372</v>
      </c>
      <c r="J128" s="31" t="inlineStr">
        <is>
          <t>516072</t>
        </is>
      </c>
    </row>
    <row r="129">
      <c r="A129" s="31" t="inlineStr">
        <is>
          <t>IKIO</t>
        </is>
      </c>
      <c r="B129" s="31" t="inlineStr">
        <is>
          <t>IKIO Lighting Ltd</t>
        </is>
      </c>
      <c r="C129" s="31" t="inlineStr">
        <is>
          <t>consumer discretionary</t>
        </is>
      </c>
      <c r="D129" s="31" t="inlineStr">
        <is>
          <t>electric equipment</t>
        </is>
      </c>
      <c r="E129" s="31" t="inlineStr">
        <is>
          <t>smallcap</t>
        </is>
      </c>
      <c r="F129" s="31" t="n">
        <v>1609.83</v>
      </c>
      <c r="G129" s="31" t="n">
        <v>212.34</v>
      </c>
      <c r="H129" s="31" t="n">
        <v>1.93</v>
      </c>
      <c r="I129" s="31" t="n">
        <v>831128</v>
      </c>
      <c r="J129" s="31" t="inlineStr">
        <is>
          <t>543923</t>
        </is>
      </c>
    </row>
    <row r="130">
      <c r="A130" s="31" t="inlineStr">
        <is>
          <t>MAHASTEEL</t>
        </is>
      </c>
      <c r="B130" s="31" t="inlineStr">
        <is>
          <t>Mahamaya Steel Industries Limited</t>
        </is>
      </c>
      <c r="C130" s="31" t="inlineStr">
        <is>
          <t>metals &amp; mining</t>
        </is>
      </c>
      <c r="D130" s="31" t="inlineStr">
        <is>
          <t>steel - medium / small</t>
        </is>
      </c>
      <c r="E130" s="31" t="inlineStr">
        <is>
          <t>smallcap</t>
        </is>
      </c>
      <c r="F130" s="31" t="n">
        <v>2067.78</v>
      </c>
      <c r="G130" s="31" t="n">
        <v>1282.5</v>
      </c>
      <c r="H130" s="31" t="n">
        <v>1.93</v>
      </c>
      <c r="I130" s="31" t="n">
        <v>10107</v>
      </c>
      <c r="J130" s="31" t="inlineStr">
        <is>
          <t>513554</t>
        </is>
      </c>
    </row>
    <row r="131">
      <c r="A131" s="31" t="inlineStr">
        <is>
          <t>SMARTWORKS</t>
        </is>
      </c>
      <c r="B131" s="31" t="inlineStr">
        <is>
          <t>Smartworks Coworking Spaces Ltd</t>
        </is>
      </c>
      <c r="C131" s="31" t="inlineStr">
        <is>
          <t>co-working</t>
        </is>
      </c>
      <c r="D131" s="31" t="inlineStr">
        <is>
          <t>miscellaneous</t>
        </is>
      </c>
      <c r="E131" s="31" t="inlineStr">
        <is>
          <t>midcap</t>
        </is>
      </c>
      <c r="F131" s="31" t="n">
        <v>6071.89</v>
      </c>
      <c r="G131" s="31" t="n">
        <v>541.5</v>
      </c>
      <c r="H131" s="31" t="n">
        <v>1.9</v>
      </c>
      <c r="I131" s="31" t="n">
        <v>44075</v>
      </c>
      <c r="J131" s="31" t="inlineStr">
        <is>
          <t>544447</t>
        </is>
      </c>
    </row>
    <row r="132">
      <c r="A132" s="31" t="inlineStr">
        <is>
          <t>RAIN</t>
        </is>
      </c>
      <c r="B132" s="31" t="inlineStr">
        <is>
          <t>Rain Industries Limited</t>
        </is>
      </c>
      <c r="C132" s="31" t="inlineStr">
        <is>
          <t>miscellaneous</t>
        </is>
      </c>
      <c r="D132" s="31" t="inlineStr">
        <is>
          <t>miscellaneous</t>
        </is>
      </c>
      <c r="E132" s="31" t="inlineStr">
        <is>
          <t>midcap</t>
        </is>
      </c>
      <c r="F132" s="31" t="n">
        <v>7120.77</v>
      </c>
      <c r="G132" s="31" t="n">
        <v>215.72</v>
      </c>
      <c r="H132" s="31" t="n">
        <v>1.89</v>
      </c>
      <c r="I132" s="31" t="n">
        <v>4009182</v>
      </c>
      <c r="J132" s="31" t="inlineStr">
        <is>
          <t>500339</t>
        </is>
      </c>
    </row>
    <row r="133">
      <c r="A133" s="31" t="inlineStr">
        <is>
          <t>ELGIEQUIP</t>
        </is>
      </c>
      <c r="B133" s="31" t="inlineStr">
        <is>
          <t>Elgi Equipments Limited</t>
        </is>
      </c>
      <c r="C133" s="31" t="inlineStr">
        <is>
          <t>industrials</t>
        </is>
      </c>
      <c r="D133" s="31" t="inlineStr">
        <is>
          <t>compressors / drilling equipment</t>
        </is>
      </c>
      <c r="E133" s="31" t="inlineStr">
        <is>
          <t>midcap</t>
        </is>
      </c>
      <c r="F133" s="31" t="n">
        <v>19976.36</v>
      </c>
      <c r="G133" s="31" t="n">
        <v>642.1</v>
      </c>
      <c r="H133" s="31" t="n">
        <v>1.86</v>
      </c>
      <c r="I133" s="31" t="n">
        <v>691967</v>
      </c>
      <c r="J133" s="31" t="inlineStr">
        <is>
          <t>522074</t>
        </is>
      </c>
    </row>
    <row r="134">
      <c r="A134" s="31" t="inlineStr">
        <is>
          <t>TREL</t>
        </is>
      </c>
      <c r="B134" s="31" t="inlineStr">
        <is>
          <t>TransIndia Real Estate Ltd</t>
        </is>
      </c>
      <c r="C134" s="31" t="inlineStr">
        <is>
          <t>transportation</t>
        </is>
      </c>
      <c r="D134" s="31" t="inlineStr">
        <is>
          <t>miscellaneous</t>
        </is>
      </c>
      <c r="E134" s="31" t="inlineStr">
        <is>
          <t>smallcap</t>
        </is>
      </c>
      <c r="F134" s="31" t="n">
        <v>661.9</v>
      </c>
      <c r="G134" s="31" t="n">
        <v>27.44</v>
      </c>
      <c r="H134" s="31" t="n">
        <v>1.86</v>
      </c>
      <c r="I134" s="31" t="n">
        <v>215792</v>
      </c>
      <c r="J134" s="31" t="inlineStr">
        <is>
          <t>543955</t>
        </is>
      </c>
    </row>
    <row r="135">
      <c r="A135" s="31" t="inlineStr">
        <is>
          <t>ORIENTBELL</t>
        </is>
      </c>
      <c r="B135" s="31" t="inlineStr">
        <is>
          <t>Orient Bell Limited</t>
        </is>
      </c>
      <c r="C135" s="31" t="inlineStr">
        <is>
          <t>building materials</t>
        </is>
      </c>
      <c r="D135" s="31" t="inlineStr">
        <is>
          <t>ceramics - tiles / sanitaryware</t>
        </is>
      </c>
      <c r="E135" s="31" t="inlineStr">
        <is>
          <t>smallcap</t>
        </is>
      </c>
      <c r="F135" s="31" t="n">
        <v>607.03</v>
      </c>
      <c r="G135" s="31" t="n">
        <v>420.1</v>
      </c>
      <c r="H135" s="31" t="n">
        <v>1.81</v>
      </c>
      <c r="I135" s="31" t="n">
        <v>69026</v>
      </c>
      <c r="J135" s="31" t="inlineStr">
        <is>
          <t>530365</t>
        </is>
      </c>
    </row>
    <row r="136">
      <c r="A136" s="31" t="inlineStr">
        <is>
          <t>PNBHOUSING</t>
        </is>
      </c>
      <c r="B136" s="31" t="inlineStr">
        <is>
          <t>Pnb Housing Finance Limited</t>
        </is>
      </c>
      <c r="C136" s="31" t="inlineStr">
        <is>
          <t>financials</t>
        </is>
      </c>
      <c r="D136" s="31" t="inlineStr">
        <is>
          <t>finance - housing</t>
        </is>
      </c>
      <c r="E136" s="31" t="inlineStr">
        <is>
          <t>largecap</t>
        </is>
      </c>
      <c r="F136" s="31" t="n">
        <v>29850.58</v>
      </c>
      <c r="G136" s="31" t="n">
        <v>1166</v>
      </c>
      <c r="H136" s="31" t="n">
        <v>1.79</v>
      </c>
      <c r="I136" s="31" t="n">
        <v>923575</v>
      </c>
      <c r="J136" s="31" t="inlineStr">
        <is>
          <t>540173</t>
        </is>
      </c>
    </row>
    <row r="137">
      <c r="A137" s="31" t="inlineStr">
        <is>
          <t>IOLCP</t>
        </is>
      </c>
      <c r="B137" s="31" t="inlineStr">
        <is>
          <t>Iol Chemicals And Pharmaceuticals Limited</t>
        </is>
      </c>
      <c r="C137" s="31" t="inlineStr">
        <is>
          <t>healthcare</t>
        </is>
      </c>
      <c r="D137" s="31" t="inlineStr">
        <is>
          <t>pharmaceuticals - indian - bulk drugs &amp; formln</t>
        </is>
      </c>
      <c r="E137" s="31" t="inlineStr">
        <is>
          <t>midcap</t>
        </is>
      </c>
      <c r="F137" s="31" t="n">
        <v>5765.76</v>
      </c>
      <c r="G137" s="31" t="n">
        <v>199.95</v>
      </c>
      <c r="H137" s="31" t="n">
        <v>1.79</v>
      </c>
      <c r="I137" s="31" t="n">
        <v>5291531</v>
      </c>
      <c r="J137" s="31" t="inlineStr">
        <is>
          <t>524164</t>
        </is>
      </c>
    </row>
    <row r="138">
      <c r="A138" s="31" t="inlineStr">
        <is>
          <t>ANUHPHR</t>
        </is>
      </c>
      <c r="B138" s="31" t="inlineStr">
        <is>
          <t>Anuh Pharma Ltd</t>
        </is>
      </c>
      <c r="C138" s="31" t="inlineStr">
        <is>
          <t>healthcare</t>
        </is>
      </c>
      <c r="D138" s="31" t="inlineStr">
        <is>
          <t>pharmaceuticals - indian - bulk drugs</t>
        </is>
      </c>
      <c r="E138" s="31" t="inlineStr">
        <is>
          <t>smallcap</t>
        </is>
      </c>
      <c r="F138" s="31" t="n">
        <v>798.58</v>
      </c>
      <c r="G138" s="31" t="n">
        <v>81.09999999999999</v>
      </c>
      <c r="H138" s="31" t="n">
        <v>1.78</v>
      </c>
      <c r="I138" s="31" t="n">
        <v>80373</v>
      </c>
      <c r="J138" s="31" t="inlineStr">
        <is>
          <t>506260</t>
        </is>
      </c>
    </row>
    <row r="139">
      <c r="A139" s="31" t="inlineStr">
        <is>
          <t>JINDALSTEL</t>
        </is>
      </c>
      <c r="B139" s="31" t="inlineStr">
        <is>
          <t>Jindal Steel Ltd</t>
        </is>
      </c>
      <c r="C139" s="31" t="inlineStr">
        <is>
          <t>metals &amp; mining</t>
        </is>
      </c>
      <c r="D139" s="31" t="inlineStr">
        <is>
          <t>steel - large</t>
        </is>
      </c>
      <c r="E139" s="31" t="inlineStr">
        <is>
          <t>largecap</t>
        </is>
      </c>
      <c r="F139" s="31" t="n">
        <v>116800.09</v>
      </c>
      <c r="G139" s="31" t="n">
        <v>1165</v>
      </c>
      <c r="H139" s="31" t="n">
        <v>1.75</v>
      </c>
      <c r="I139" s="31" t="n">
        <v>893053</v>
      </c>
      <c r="J139" s="31" t="inlineStr">
        <is>
          <t>532286</t>
        </is>
      </c>
    </row>
    <row r="140">
      <c r="A140" s="31" t="inlineStr">
        <is>
          <t>ALEMBICLTD</t>
        </is>
      </c>
      <c r="B140" s="31" t="inlineStr">
        <is>
          <t>Alembic Limited</t>
        </is>
      </c>
      <c r="C140" s="31" t="inlineStr">
        <is>
          <t>realty</t>
        </is>
      </c>
      <c r="D140" s="31" t="inlineStr">
        <is>
          <t>construction</t>
        </is>
      </c>
      <c r="E140" s="31" t="inlineStr">
        <is>
          <t>smallcap</t>
        </is>
      </c>
      <c r="F140" s="31" t="n">
        <v>2812.02</v>
      </c>
      <c r="G140" s="31" t="n">
        <v>111.41</v>
      </c>
      <c r="H140" s="31" t="n">
        <v>1.74</v>
      </c>
      <c r="I140" s="31" t="n">
        <v>5309246</v>
      </c>
      <c r="J140" s="31" t="inlineStr">
        <is>
          <t>506235</t>
        </is>
      </c>
    </row>
    <row r="141">
      <c r="A141" s="31" t="inlineStr">
        <is>
          <t>CARERATING</t>
        </is>
      </c>
      <c r="B141" s="31" t="inlineStr">
        <is>
          <t>CARE Ratings Ltd</t>
        </is>
      </c>
      <c r="C141" s="31" t="inlineStr">
        <is>
          <t>financials</t>
        </is>
      </c>
      <c r="D141" s="31" t="inlineStr">
        <is>
          <t>miscellaneous</t>
        </is>
      </c>
      <c r="E141" s="31" t="inlineStr">
        <is>
          <t>midcap</t>
        </is>
      </c>
      <c r="F141" s="31" t="n">
        <v>5135.52</v>
      </c>
      <c r="G141" s="31" t="n">
        <v>1738.2</v>
      </c>
      <c r="H141" s="31" t="n">
        <v>1.74</v>
      </c>
      <c r="I141" s="31" t="n">
        <v>354155</v>
      </c>
      <c r="J141" s="31" t="inlineStr">
        <is>
          <t>534804</t>
        </is>
      </c>
    </row>
    <row r="142">
      <c r="A142" s="31" t="inlineStr">
        <is>
          <t>GRAPHITE</t>
        </is>
      </c>
      <c r="B142" s="31" t="inlineStr">
        <is>
          <t>Graphite India Limited</t>
        </is>
      </c>
      <c r="C142" s="31" t="inlineStr">
        <is>
          <t>industrials</t>
        </is>
      </c>
      <c r="D142" s="31" t="inlineStr">
        <is>
          <t>electrodes - graphites</t>
        </is>
      </c>
      <c r="E142" s="31" t="inlineStr">
        <is>
          <t>midcap</t>
        </is>
      </c>
      <c r="F142" s="31" t="n">
        <v>14092.44</v>
      </c>
      <c r="G142" s="31" t="n">
        <v>733.6</v>
      </c>
      <c r="H142" s="31" t="n">
        <v>1.71</v>
      </c>
      <c r="I142" s="31" t="n">
        <v>1066661</v>
      </c>
      <c r="J142" s="31" t="inlineStr">
        <is>
          <t>509488</t>
        </is>
      </c>
    </row>
    <row r="143">
      <c r="A143" s="31" t="inlineStr">
        <is>
          <t>GANESHBE</t>
        </is>
      </c>
      <c r="B143" s="31" t="inlineStr">
        <is>
          <t>Ganesh Benzoplast Ltd</t>
        </is>
      </c>
      <c r="C143" s="31" t="inlineStr">
        <is>
          <t>miscellaneous</t>
        </is>
      </c>
      <c r="D143" s="31" t="inlineStr">
        <is>
          <t>miscellaneous</t>
        </is>
      </c>
      <c r="E143" s="31" t="inlineStr">
        <is>
          <t>smallcap</t>
        </is>
      </c>
      <c r="F143" s="31" t="n">
        <v>872.37</v>
      </c>
      <c r="G143" s="31" t="n">
        <v>123.23</v>
      </c>
      <c r="H143" s="31" t="n">
        <v>1.69</v>
      </c>
      <c r="I143" s="31" t="n">
        <v>82123</v>
      </c>
      <c r="J143" s="31" t="inlineStr">
        <is>
          <t>500153</t>
        </is>
      </c>
    </row>
    <row r="144">
      <c r="A144" s="31" t="inlineStr">
        <is>
          <t>WONDERLA</t>
        </is>
      </c>
      <c r="B144" s="31" t="inlineStr">
        <is>
          <t>Wonderla Holidays Limited</t>
        </is>
      </c>
      <c r="C144" s="31" t="inlineStr">
        <is>
          <t>media</t>
        </is>
      </c>
      <c r="D144" s="31" t="inlineStr">
        <is>
          <t>recreation / amusement parks</t>
        </is>
      </c>
      <c r="E144" s="31" t="inlineStr">
        <is>
          <t>smallcap</t>
        </is>
      </c>
      <c r="F144" s="31" t="n">
        <v>3332.71</v>
      </c>
      <c r="G144" s="31" t="n">
        <v>533.9</v>
      </c>
      <c r="H144" s="31" t="n">
        <v>1.65</v>
      </c>
      <c r="I144" s="31" t="n">
        <v>74859</v>
      </c>
      <c r="J144" s="31" t="inlineStr">
        <is>
          <t>538268</t>
        </is>
      </c>
    </row>
    <row r="145">
      <c r="A145" s="31" t="inlineStr">
        <is>
          <t>THEJO</t>
        </is>
      </c>
      <c r="B145" s="31" t="inlineStr">
        <is>
          <t>Thejo Engineering Ltd</t>
        </is>
      </c>
      <c r="C145" s="31" t="inlineStr">
        <is>
          <t>industrials</t>
        </is>
      </c>
      <c r="D145" s="31" t="inlineStr">
        <is>
          <t>engineering</t>
        </is>
      </c>
      <c r="E145" s="31" t="inlineStr">
        <is>
          <t>smallcap</t>
        </is>
      </c>
      <c r="F145" s="31" t="n">
        <v>2268.21</v>
      </c>
      <c r="G145" s="31" t="n">
        <v>2125.3</v>
      </c>
      <c r="H145" s="31" t="n">
        <v>1.64</v>
      </c>
      <c r="I145" s="31" t="n">
        <v>5621</v>
      </c>
      <c r="J145" s="31" t="inlineStr">
        <is>
          <t>500492</t>
        </is>
      </c>
    </row>
    <row r="146">
      <c r="A146" s="31" t="inlineStr">
        <is>
          <t>ABSLAMC</t>
        </is>
      </c>
      <c r="B146" s="31" t="inlineStr">
        <is>
          <t>Aditya Birla Sun Life AMC Ltd</t>
        </is>
      </c>
      <c r="C146" s="31" t="inlineStr">
        <is>
          <t>financials</t>
        </is>
      </c>
      <c r="D146" s="31" t="inlineStr">
        <is>
          <t>finance &amp; investments</t>
        </is>
      </c>
      <c r="E146" s="31" t="inlineStr">
        <is>
          <t>largecap</t>
        </is>
      </c>
      <c r="F146" s="31" t="n">
        <v>30186.02</v>
      </c>
      <c r="G146" s="31" t="n">
        <v>1062.3</v>
      </c>
      <c r="H146" s="31" t="n">
        <v>1.64</v>
      </c>
      <c r="I146" s="31" t="n">
        <v>127937</v>
      </c>
      <c r="J146" s="31" t="inlineStr">
        <is>
          <t>543374</t>
        </is>
      </c>
    </row>
    <row r="147">
      <c r="A147" s="31" t="inlineStr">
        <is>
          <t>GNFC</t>
        </is>
      </c>
      <c r="B147" s="31" t="inlineStr">
        <is>
          <t>Gujarat Narmada Valley Fertilizers And Chemicals Limited</t>
        </is>
      </c>
      <c r="C147" s="31" t="inlineStr">
        <is>
          <t>chemicals</t>
        </is>
      </c>
      <c r="D147" s="31" t="inlineStr">
        <is>
          <t>chemicals</t>
        </is>
      </c>
      <c r="E147" s="31" t="inlineStr">
        <is>
          <t>midcap</t>
        </is>
      </c>
      <c r="F147" s="31" t="n">
        <v>8630.559999999999</v>
      </c>
      <c r="G147" s="31" t="n">
        <v>596.7</v>
      </c>
      <c r="H147" s="31" t="n">
        <v>1.59</v>
      </c>
      <c r="I147" s="31" t="n">
        <v>791924</v>
      </c>
      <c r="J147" s="31" t="inlineStr">
        <is>
          <t>500670</t>
        </is>
      </c>
    </row>
    <row r="148">
      <c r="A148" s="31" t="inlineStr">
        <is>
          <t>CRAFTSMAN</t>
        </is>
      </c>
      <c r="B148" s="31" t="inlineStr">
        <is>
          <t>Craftsman Automation Ltd</t>
        </is>
      </c>
      <c r="C148" s="31" t="inlineStr">
        <is>
          <t>auto</t>
        </is>
      </c>
      <c r="D148" s="31" t="inlineStr">
        <is>
          <t>auto ancillaries</t>
        </is>
      </c>
      <c r="E148" s="31" t="inlineStr">
        <is>
          <t>largecap</t>
        </is>
      </c>
      <c r="F148" s="31" t="n">
        <v>29345.27</v>
      </c>
      <c r="G148" s="31" t="n">
        <v>11398</v>
      </c>
      <c r="H148" s="31" t="n">
        <v>1.59</v>
      </c>
      <c r="I148" s="31" t="n">
        <v>28595</v>
      </c>
      <c r="J148" s="31" t="inlineStr">
        <is>
          <t>543276</t>
        </is>
      </c>
    </row>
    <row r="149">
      <c r="A149" s="31" t="inlineStr">
        <is>
          <t>RSWM</t>
        </is>
      </c>
      <c r="B149" s="31" t="inlineStr">
        <is>
          <t>Rswm Limited</t>
        </is>
      </c>
      <c r="C149" s="31" t="inlineStr">
        <is>
          <t>textiles</t>
        </is>
      </c>
      <c r="D149" s="31" t="inlineStr">
        <is>
          <t>textiles - cotton/blended</t>
        </is>
      </c>
      <c r="E149" s="31" t="inlineStr">
        <is>
          <t>smallcap</t>
        </is>
      </c>
      <c r="F149" s="31" t="n">
        <v>1023.43</v>
      </c>
      <c r="G149" s="31" t="n">
        <v>220.63</v>
      </c>
      <c r="H149" s="31" t="n">
        <v>1.54</v>
      </c>
      <c r="I149" s="31" t="n">
        <v>67600</v>
      </c>
      <c r="J149" s="31" t="inlineStr">
        <is>
          <t>500350</t>
        </is>
      </c>
    </row>
    <row r="150">
      <c r="A150" s="31" t="inlineStr">
        <is>
          <t>RBLBANK</t>
        </is>
      </c>
      <c r="B150" s="31" t="inlineStr">
        <is>
          <t>Rbl Bank Limited</t>
        </is>
      </c>
      <c r="C150" s="31" t="inlineStr">
        <is>
          <t>bank</t>
        </is>
      </c>
      <c r="D150" s="31" t="inlineStr">
        <is>
          <t>banks - private sector</t>
        </is>
      </c>
      <c r="E150" s="31" t="inlineStr">
        <is>
          <t>largecap</t>
        </is>
      </c>
      <c r="F150" s="31" t="n">
        <v>63196.65</v>
      </c>
      <c r="G150" s="31" t="n">
        <v>414.35</v>
      </c>
      <c r="H150" s="31" t="n">
        <v>1.53</v>
      </c>
      <c r="I150" s="31" t="n">
        <v>7858699</v>
      </c>
      <c r="J150" s="31" t="inlineStr">
        <is>
          <t>540065</t>
        </is>
      </c>
    </row>
    <row r="151">
      <c r="A151" s="31" t="inlineStr">
        <is>
          <t>IMAGICAA</t>
        </is>
      </c>
      <c r="B151" s="31" t="inlineStr">
        <is>
          <t>Imagicaaworld Entertainment Ltd</t>
        </is>
      </c>
      <c r="C151" s="31" t="inlineStr">
        <is>
          <t>media</t>
        </is>
      </c>
      <c r="D151" s="31" t="inlineStr">
        <is>
          <t>recreation / amusement parks</t>
        </is>
      </c>
      <c r="E151" s="31" t="inlineStr">
        <is>
          <t>smallcap</t>
        </is>
      </c>
      <c r="F151" s="31" t="n">
        <v>3086.77</v>
      </c>
      <c r="G151" s="31" t="n">
        <v>55.38</v>
      </c>
      <c r="H151" s="31" t="n">
        <v>1.52</v>
      </c>
      <c r="I151" s="31" t="n">
        <v>2402726</v>
      </c>
      <c r="J151" s="31" t="inlineStr">
        <is>
          <t>539056</t>
        </is>
      </c>
    </row>
    <row r="152">
      <c r="A152" s="31" t="inlineStr">
        <is>
          <t>SOLARA</t>
        </is>
      </c>
      <c r="B152" s="31" t="inlineStr">
        <is>
          <t>Solara Active Pharma Sciences Ltd</t>
        </is>
      </c>
      <c r="C152" s="31" t="inlineStr">
        <is>
          <t>healthcare</t>
        </is>
      </c>
      <c r="D152" s="31" t="inlineStr">
        <is>
          <t>pharmaceuticals - indian - bulk drugs &amp; formln</t>
        </is>
      </c>
      <c r="E152" s="31" t="inlineStr">
        <is>
          <t>smallcap</t>
        </is>
      </c>
      <c r="F152" s="31" t="n">
        <v>3038.78</v>
      </c>
      <c r="G152" s="31" t="n">
        <v>639.15</v>
      </c>
      <c r="H152" s="31" t="n">
        <v>1.48</v>
      </c>
      <c r="I152" s="31" t="n">
        <v>396998</v>
      </c>
      <c r="J152" s="31" t="inlineStr">
        <is>
          <t>541540</t>
        </is>
      </c>
    </row>
    <row r="153">
      <c r="A153" s="31" t="inlineStr">
        <is>
          <t>LICHSGFIN</t>
        </is>
      </c>
      <c r="B153" s="31" t="inlineStr">
        <is>
          <t>Lic Housing Finance Limited</t>
        </is>
      </c>
      <c r="C153" s="31" t="inlineStr">
        <is>
          <t>financials</t>
        </is>
      </c>
      <c r="D153" s="31" t="inlineStr">
        <is>
          <t>finance - housing</t>
        </is>
      </c>
      <c r="E153" s="31" t="inlineStr">
        <is>
          <t>largecap</t>
        </is>
      </c>
      <c r="F153" s="31" t="n">
        <v>30473.49</v>
      </c>
      <c r="G153" s="31" t="n">
        <v>562.05</v>
      </c>
      <c r="H153" s="31" t="n">
        <v>1.45</v>
      </c>
      <c r="I153" s="31" t="n">
        <v>7126780</v>
      </c>
      <c r="J153" s="31" t="inlineStr">
        <is>
          <t>500253</t>
        </is>
      </c>
    </row>
    <row r="154">
      <c r="A154" s="31" t="inlineStr">
        <is>
          <t>KDDL</t>
        </is>
      </c>
      <c r="B154" s="31" t="inlineStr">
        <is>
          <t>Kddl Limited</t>
        </is>
      </c>
      <c r="C154" s="31" t="inlineStr">
        <is>
          <t>consumer discretionary</t>
        </is>
      </c>
      <c r="D154" s="31" t="inlineStr">
        <is>
          <t>miscellaneous</t>
        </is>
      </c>
      <c r="E154" s="31" t="inlineStr">
        <is>
          <t>smallcap</t>
        </is>
      </c>
      <c r="F154" s="31" t="n">
        <v>4741.74</v>
      </c>
      <c r="G154" s="31" t="n">
        <v>3911</v>
      </c>
      <c r="H154" s="31" t="n">
        <v>1.44</v>
      </c>
      <c r="I154" s="31" t="n">
        <v>25376</v>
      </c>
      <c r="J154" s="31" t="inlineStr">
        <is>
          <t>532054</t>
        </is>
      </c>
    </row>
    <row r="155">
      <c r="A155" s="31" t="inlineStr">
        <is>
          <t>VIDHIING</t>
        </is>
      </c>
      <c r="B155" s="31" t="inlineStr">
        <is>
          <t>Vidhi Specialty Food Ingredients</t>
        </is>
      </c>
      <c r="C155" s="31" t="inlineStr">
        <is>
          <t>chemicals</t>
        </is>
      </c>
      <c r="D155" s="31" t="inlineStr">
        <is>
          <t>dyes and pigments</t>
        </is>
      </c>
      <c r="E155" s="31" t="inlineStr">
        <is>
          <t>smallcap</t>
        </is>
      </c>
      <c r="F155" s="31" t="n">
        <v>1712.11</v>
      </c>
      <c r="G155" s="31" t="n">
        <v>347.75</v>
      </c>
      <c r="H155" s="31" t="n">
        <v>1.44</v>
      </c>
      <c r="I155" s="31" t="n">
        <v>10251</v>
      </c>
      <c r="J155" s="31" t="inlineStr">
        <is>
          <t>531717</t>
        </is>
      </c>
    </row>
    <row r="156">
      <c r="A156" s="31" t="inlineStr">
        <is>
          <t>MANORAMA</t>
        </is>
      </c>
      <c r="B156" s="31" t="inlineStr">
        <is>
          <t>Manorama Industries Ltd</t>
        </is>
      </c>
      <c r="C156" s="31" t="inlineStr">
        <is>
          <t>fmcg</t>
        </is>
      </c>
      <c r="D156" s="31" t="inlineStr">
        <is>
          <t>food - processing - indian</t>
        </is>
      </c>
      <c r="E156" s="31" t="inlineStr">
        <is>
          <t>midcap</t>
        </is>
      </c>
      <c r="F156" s="31" t="n">
        <v>11740.49</v>
      </c>
      <c r="G156" s="31" t="n">
        <v>1993.4</v>
      </c>
      <c r="H156" s="31" t="n">
        <v>1.38</v>
      </c>
      <c r="I156" s="31" t="n">
        <v>521970</v>
      </c>
      <c r="J156" s="31" t="inlineStr">
        <is>
          <t>541974</t>
        </is>
      </c>
    </row>
    <row r="157">
      <c r="A157" s="31" t="inlineStr">
        <is>
          <t>PAYTM</t>
        </is>
      </c>
      <c r="B157" s="31" t="inlineStr">
        <is>
          <t>One 97 Communications Ltd</t>
        </is>
      </c>
      <c r="C157" s="31" t="inlineStr">
        <is>
          <t>i.t</t>
        </is>
      </c>
      <c r="D157" s="31" t="inlineStr">
        <is>
          <t>miscellaneous</t>
        </is>
      </c>
      <c r="E157" s="31" t="inlineStr">
        <is>
          <t>largecap</t>
        </is>
      </c>
      <c r="F157" s="31" t="n">
        <v>104823.17</v>
      </c>
      <c r="G157" s="31" t="n">
        <v>1659.5</v>
      </c>
      <c r="H157" s="31" t="n">
        <v>1.37</v>
      </c>
      <c r="I157" s="31" t="n">
        <v>5191803</v>
      </c>
      <c r="J157" s="31" t="inlineStr">
        <is>
          <t>543396</t>
        </is>
      </c>
    </row>
    <row r="158">
      <c r="A158" s="31" t="inlineStr">
        <is>
          <t>NSLNISP</t>
        </is>
      </c>
      <c r="B158" s="31" t="inlineStr">
        <is>
          <t>NMDC Steel Ltd</t>
        </is>
      </c>
      <c r="C158" s="31" t="inlineStr">
        <is>
          <t>metals &amp; mining</t>
        </is>
      </c>
      <c r="D158" s="31" t="inlineStr">
        <is>
          <t>steel - large</t>
        </is>
      </c>
      <c r="E158" s="31" t="inlineStr">
        <is>
          <t>midcap</t>
        </is>
      </c>
      <c r="F158" s="31" t="n">
        <v>13304.95</v>
      </c>
      <c r="G158" s="31" t="n">
        <v>46.02</v>
      </c>
      <c r="H158" s="31" t="n">
        <v>1.37</v>
      </c>
      <c r="I158" s="31" t="n">
        <v>5132127</v>
      </c>
      <c r="J158" s="31" t="inlineStr">
        <is>
          <t>543768</t>
        </is>
      </c>
    </row>
    <row r="159">
      <c r="A159" s="31" t="inlineStr">
        <is>
          <t>STYLEBAAZA</t>
        </is>
      </c>
      <c r="B159" s="31" t="inlineStr">
        <is>
          <t>Baazar Style Retail Ltd</t>
        </is>
      </c>
      <c r="C159" s="31" t="inlineStr">
        <is>
          <t>consumer discretionary</t>
        </is>
      </c>
      <c r="D159" s="31" t="inlineStr">
        <is>
          <t>trading</t>
        </is>
      </c>
      <c r="E159" s="31" t="inlineStr">
        <is>
          <t>smallcap</t>
        </is>
      </c>
      <c r="F159" s="31" t="n">
        <v>3005.49</v>
      </c>
      <c r="G159" s="31" t="n">
        <v>400.25</v>
      </c>
      <c r="H159" s="31" t="n">
        <v>1.37</v>
      </c>
      <c r="I159" s="31" t="n">
        <v>557524</v>
      </c>
      <c r="J159" s="31" t="inlineStr">
        <is>
          <t>544243</t>
        </is>
      </c>
    </row>
    <row r="160">
      <c r="A160" s="31" t="inlineStr">
        <is>
          <t>AARTIDRUGS</t>
        </is>
      </c>
      <c r="B160" s="31" t="inlineStr">
        <is>
          <t>Aarti Drugs Limited</t>
        </is>
      </c>
      <c r="C160" s="31" t="inlineStr">
        <is>
          <t>healthcare</t>
        </is>
      </c>
      <c r="D160" s="31" t="inlineStr">
        <is>
          <t>pharmaceuticals - indian - bulk drugs</t>
        </is>
      </c>
      <c r="E160" s="31" t="inlineStr">
        <is>
          <t>smallcap</t>
        </is>
      </c>
      <c r="F160" s="31" t="n">
        <v>3886.73</v>
      </c>
      <c r="G160" s="31" t="n">
        <v>431.65</v>
      </c>
      <c r="H160" s="31" t="n">
        <v>1.36</v>
      </c>
      <c r="I160" s="31" t="n">
        <v>250307</v>
      </c>
      <c r="J160" s="31" t="inlineStr">
        <is>
          <t>524348</t>
        </is>
      </c>
    </row>
    <row r="161">
      <c r="A161" s="31" t="inlineStr">
        <is>
          <t>SIMPLEXINF</t>
        </is>
      </c>
      <c r="B161" s="31" t="inlineStr">
        <is>
          <t>Simplex Infrastructures Limited</t>
        </is>
      </c>
      <c r="C161" s="31" t="inlineStr">
        <is>
          <t>realty</t>
        </is>
      </c>
      <c r="D161" s="31" t="inlineStr">
        <is>
          <t>construction</t>
        </is>
      </c>
      <c r="E161" s="31" t="inlineStr">
        <is>
          <t>smallcap</t>
        </is>
      </c>
      <c r="F161" s="31" t="n">
        <v>2111.45</v>
      </c>
      <c r="G161" s="31" t="n">
        <v>270.5</v>
      </c>
      <c r="H161" s="31" t="n">
        <v>1.33</v>
      </c>
      <c r="I161" s="31" t="n">
        <v>96034</v>
      </c>
      <c r="J161" s="31" t="inlineStr">
        <is>
          <t>523838</t>
        </is>
      </c>
    </row>
    <row r="162">
      <c r="A162" s="31" t="inlineStr">
        <is>
          <t>JSWSTEEL</t>
        </is>
      </c>
      <c r="B162" s="31" t="inlineStr">
        <is>
          <t>Jsw Steel Limited</t>
        </is>
      </c>
      <c r="C162" s="31" t="inlineStr">
        <is>
          <t>metals &amp; mining</t>
        </is>
      </c>
      <c r="D162" s="31" t="inlineStr">
        <is>
          <t>steel - large</t>
        </is>
      </c>
      <c r="E162" s="31" t="inlineStr">
        <is>
          <t>largecap</t>
        </is>
      </c>
      <c r="F162" s="31" t="n">
        <v>319865.38</v>
      </c>
      <c r="G162" s="31" t="n">
        <v>1325</v>
      </c>
      <c r="H162" s="31" t="n">
        <v>1.3</v>
      </c>
      <c r="I162" s="31" t="n">
        <v>1094356</v>
      </c>
      <c r="J162" s="31" t="inlineStr">
        <is>
          <t>500228</t>
        </is>
      </c>
    </row>
    <row r="163">
      <c r="A163" s="31" t="inlineStr">
        <is>
          <t>VALIANTORG</t>
        </is>
      </c>
      <c r="B163" s="31" t="inlineStr">
        <is>
          <t>Valiant Organics Ltd</t>
        </is>
      </c>
      <c r="C163" s="31" t="inlineStr">
        <is>
          <t>chemicals</t>
        </is>
      </c>
      <c r="D163" s="31" t="inlineStr">
        <is>
          <t>chemicals</t>
        </is>
      </c>
      <c r="E163" s="31" t="inlineStr">
        <is>
          <t>smallcap</t>
        </is>
      </c>
      <c r="F163" s="31" t="n">
        <v>886.3099999999999</v>
      </c>
      <c r="G163" s="31" t="n">
        <v>320.25</v>
      </c>
      <c r="H163" s="31" t="n">
        <v>1.3</v>
      </c>
      <c r="I163" s="31" t="n">
        <v>45087</v>
      </c>
      <c r="J163" s="31" t="inlineStr">
        <is>
          <t>540145</t>
        </is>
      </c>
    </row>
    <row r="164">
      <c r="A164" s="31" t="inlineStr">
        <is>
          <t>PASUPTAC</t>
        </is>
      </c>
      <c r="B164" s="31" t="inlineStr">
        <is>
          <t>Pasupati Acrylon Ltd</t>
        </is>
      </c>
      <c r="C164" s="31" t="inlineStr">
        <is>
          <t>textiles</t>
        </is>
      </c>
      <c r="D164" s="31" t="inlineStr">
        <is>
          <t>textiles - manmade</t>
        </is>
      </c>
      <c r="E164" s="31" t="inlineStr">
        <is>
          <t>smallcap</t>
        </is>
      </c>
      <c r="F164" s="31" t="n">
        <v>595.3200000000001</v>
      </c>
      <c r="G164" s="31" t="n">
        <v>67.64</v>
      </c>
      <c r="H164" s="31" t="n">
        <v>1.27</v>
      </c>
      <c r="I164" s="31" t="n">
        <v>108786</v>
      </c>
      <c r="J164" s="31" t="inlineStr">
        <is>
          <t>500456</t>
        </is>
      </c>
    </row>
    <row r="165">
      <c r="A165" s="31" t="inlineStr">
        <is>
          <t>GUFICBIO</t>
        </is>
      </c>
      <c r="B165" s="31" t="inlineStr">
        <is>
          <t>Gufic Biosciences Limited</t>
        </is>
      </c>
      <c r="C165" s="31" t="inlineStr">
        <is>
          <t>healthcare</t>
        </is>
      </c>
      <c r="D165" s="31" t="inlineStr">
        <is>
          <t>pharmaceuticals - indian - bulk drugs &amp; formln</t>
        </is>
      </c>
      <c r="E165" s="31" t="inlineStr">
        <is>
          <t>smallcap</t>
        </is>
      </c>
      <c r="F165" s="31" t="n">
        <v>4405.91</v>
      </c>
      <c r="G165" s="31" t="n">
        <v>444.9</v>
      </c>
      <c r="H165" s="31" t="n">
        <v>1.26</v>
      </c>
      <c r="I165" s="31" t="n">
        <v>88007</v>
      </c>
      <c r="J165" s="31" t="inlineStr">
        <is>
          <t>509079</t>
        </is>
      </c>
    </row>
    <row r="166">
      <c r="A166" s="31" t="inlineStr">
        <is>
          <t>MAHLOG</t>
        </is>
      </c>
      <c r="B166" s="31" t="inlineStr">
        <is>
          <t>Mahindra Logistics Ltd</t>
        </is>
      </c>
      <c r="C166" s="31" t="inlineStr">
        <is>
          <t>transportation</t>
        </is>
      </c>
      <c r="D166" s="31" t="inlineStr">
        <is>
          <t>miscellaneous</t>
        </is>
      </c>
      <c r="E166" s="31" t="inlineStr">
        <is>
          <t>smallcap</t>
        </is>
      </c>
      <c r="F166" s="31" t="n">
        <v>3971.88</v>
      </c>
      <c r="G166" s="31" t="n">
        <v>405.35</v>
      </c>
      <c r="H166" s="31" t="n">
        <v>1.26</v>
      </c>
      <c r="I166" s="31" t="n">
        <v>130587</v>
      </c>
      <c r="J166" s="31" t="inlineStr">
        <is>
          <t>540768</t>
        </is>
      </c>
    </row>
    <row r="167">
      <c r="A167" s="31" t="inlineStr">
        <is>
          <t>KAMDHENU</t>
        </is>
      </c>
      <c r="B167" s="31" t="inlineStr">
        <is>
          <t>Kamdhenu Limited</t>
        </is>
      </c>
      <c r="C167" s="31" t="inlineStr">
        <is>
          <t>metals &amp; mining</t>
        </is>
      </c>
      <c r="D167" s="31" t="inlineStr">
        <is>
          <t>steel - medium / small</t>
        </is>
      </c>
      <c r="E167" s="31" t="inlineStr">
        <is>
          <t>smallcap</t>
        </is>
      </c>
      <c r="F167" s="31" t="n">
        <v>1092.86</v>
      </c>
      <c r="G167" s="31" t="n">
        <v>39.24</v>
      </c>
      <c r="H167" s="31" t="n">
        <v>1.21</v>
      </c>
      <c r="I167" s="31" t="n">
        <v>1255794</v>
      </c>
      <c r="J167" s="31" t="inlineStr">
        <is>
          <t>532741</t>
        </is>
      </c>
    </row>
    <row r="168">
      <c r="A168" s="31" t="inlineStr">
        <is>
          <t>SWANDEF</t>
        </is>
      </c>
      <c r="B168" s="31" t="inlineStr">
        <is>
          <t>Swan Defence and Heavy Industries Ltd</t>
        </is>
      </c>
      <c r="C168" s="31" t="inlineStr">
        <is>
          <t>transportation</t>
        </is>
      </c>
      <c r="D168" s="31" t="inlineStr">
        <is>
          <t>miscellaneous</t>
        </is>
      </c>
      <c r="E168" s="31" t="inlineStr">
        <is>
          <t>midcap</t>
        </is>
      </c>
      <c r="F168" s="31" t="n">
        <v>13117.86</v>
      </c>
      <c r="G168" s="31" t="n">
        <v>2520.2</v>
      </c>
      <c r="H168" s="31" t="n">
        <v>1.21</v>
      </c>
      <c r="I168" s="31" t="n">
        <v>18892</v>
      </c>
      <c r="J168" s="31" t="inlineStr">
        <is>
          <t>533107</t>
        </is>
      </c>
    </row>
    <row r="169">
      <c r="A169" s="31" t="inlineStr">
        <is>
          <t>IIFL</t>
        </is>
      </c>
      <c r="B169" s="31" t="inlineStr">
        <is>
          <t>IIFL Finance Ltd</t>
        </is>
      </c>
      <c r="C169" s="31" t="inlineStr">
        <is>
          <t>financials</t>
        </is>
      </c>
      <c r="D169" s="31" t="inlineStr">
        <is>
          <t>finance &amp; investments</t>
        </is>
      </c>
      <c r="E169" s="31" t="inlineStr">
        <is>
          <t>largecap</t>
        </is>
      </c>
      <c r="F169" s="31" t="n">
        <v>27365.41</v>
      </c>
      <c r="G169" s="31" t="n">
        <v>651.15</v>
      </c>
      <c r="H169" s="31" t="n">
        <v>1.2</v>
      </c>
      <c r="I169" s="31" t="n">
        <v>2119359</v>
      </c>
      <c r="J169" s="31" t="inlineStr">
        <is>
          <t>532636</t>
        </is>
      </c>
    </row>
    <row r="170">
      <c r="A170" s="31" t="inlineStr">
        <is>
          <t>LOKESHMACH</t>
        </is>
      </c>
      <c r="B170" s="31" t="inlineStr">
        <is>
          <t>Lokesh Machines Limited</t>
        </is>
      </c>
      <c r="C170" s="31" t="inlineStr">
        <is>
          <t>industrials</t>
        </is>
      </c>
      <c r="D170" s="31" t="inlineStr">
        <is>
          <t>engineering</t>
        </is>
      </c>
      <c r="E170" s="31" t="inlineStr">
        <is>
          <t>smallcap</t>
        </is>
      </c>
      <c r="F170" s="31" t="n">
        <v>785.34</v>
      </c>
      <c r="G170" s="31" t="n">
        <v>364.6</v>
      </c>
      <c r="H170" s="31" t="n">
        <v>1.19</v>
      </c>
      <c r="I170" s="31" t="n">
        <v>56473</v>
      </c>
      <c r="J170" s="31" t="inlineStr">
        <is>
          <t>532740</t>
        </is>
      </c>
    </row>
    <row r="171">
      <c r="A171" s="31" t="inlineStr">
        <is>
          <t>CUPID</t>
        </is>
      </c>
      <c r="B171" s="31" t="inlineStr">
        <is>
          <t>Cupid Limited</t>
        </is>
      </c>
      <c r="C171" s="31" t="inlineStr">
        <is>
          <t>fmcg</t>
        </is>
      </c>
      <c r="D171" s="31" t="inlineStr">
        <is>
          <t>personal care - indian</t>
        </is>
      </c>
      <c r="E171" s="31" t="inlineStr">
        <is>
          <t>largecap</t>
        </is>
      </c>
      <c r="F171" s="31" t="n">
        <v>37643.78</v>
      </c>
      <c r="G171" s="31" t="n">
        <v>283.15</v>
      </c>
      <c r="H171" s="31" t="n">
        <v>1.14</v>
      </c>
      <c r="I171" s="31" t="n">
        <v>8434946</v>
      </c>
      <c r="J171" s="31" t="inlineStr">
        <is>
          <t>530843</t>
        </is>
      </c>
    </row>
    <row r="172">
      <c r="A172" s="31" t="inlineStr">
        <is>
          <t>RACLGEAR</t>
        </is>
      </c>
      <c r="B172" s="31" t="inlineStr">
        <is>
          <t>RACL Geartech Ltd</t>
        </is>
      </c>
      <c r="C172" s="31" t="inlineStr">
        <is>
          <t>auto</t>
        </is>
      </c>
      <c r="D172" s="31" t="inlineStr">
        <is>
          <t>auto ancillaries</t>
        </is>
      </c>
      <c r="E172" s="31" t="inlineStr">
        <is>
          <t>smallcap</t>
        </is>
      </c>
      <c r="F172" s="31" t="n">
        <v>1837.53</v>
      </c>
      <c r="G172" s="31" t="n">
        <v>1576.1</v>
      </c>
      <c r="H172" s="31" t="n">
        <v>1.11</v>
      </c>
      <c r="I172" s="31" t="n">
        <v>47944</v>
      </c>
      <c r="J172" s="31" t="inlineStr">
        <is>
          <t>520073</t>
        </is>
      </c>
    </row>
    <row r="173">
      <c r="A173" s="31" t="inlineStr">
        <is>
          <t>KIRLFER</t>
        </is>
      </c>
      <c r="B173" s="31" t="inlineStr">
        <is>
          <t>Kirloskar Ferrous Industries Ltd</t>
        </is>
      </c>
      <c r="C173" s="31" t="inlineStr">
        <is>
          <t>metals &amp; mining</t>
        </is>
      </c>
      <c r="D173" s="31" t="inlineStr">
        <is>
          <t>steel - large</t>
        </is>
      </c>
      <c r="E173" s="31" t="inlineStr">
        <is>
          <t>midcap</t>
        </is>
      </c>
      <c r="F173" s="31" t="n">
        <v>7499.73</v>
      </c>
      <c r="G173" s="31" t="n">
        <v>459.6</v>
      </c>
      <c r="H173" s="31" t="n">
        <v>1.11</v>
      </c>
      <c r="I173" s="31" t="n">
        <v>242037</v>
      </c>
      <c r="J173" s="31" t="inlineStr">
        <is>
          <t>500245</t>
        </is>
      </c>
    </row>
    <row r="174">
      <c r="A174" s="31" t="inlineStr">
        <is>
          <t>SUNDRMFAST</t>
        </is>
      </c>
      <c r="B174" s="31" t="inlineStr">
        <is>
          <t>Sundram Fasteners Limited</t>
        </is>
      </c>
      <c r="C174" s="31" t="inlineStr">
        <is>
          <t>auto</t>
        </is>
      </c>
      <c r="D174" s="31" t="inlineStr">
        <is>
          <t>auto ancillaries</t>
        </is>
      </c>
      <c r="E174" s="31" t="inlineStr">
        <is>
          <t>largecap</t>
        </is>
      </c>
      <c r="F174" s="31" t="n">
        <v>25196.49</v>
      </c>
      <c r="G174" s="31" t="n">
        <v>1212.3</v>
      </c>
      <c r="H174" s="31" t="n">
        <v>1.1</v>
      </c>
      <c r="I174" s="31" t="n">
        <v>44457</v>
      </c>
      <c r="J174" s="31" t="inlineStr">
        <is>
          <t>500403</t>
        </is>
      </c>
    </row>
    <row r="175">
      <c r="A175" s="31" t="inlineStr">
        <is>
          <t>DYNAMATECH</t>
        </is>
      </c>
      <c r="B175" s="31" t="inlineStr">
        <is>
          <t>Dynamatic Technologies Limited</t>
        </is>
      </c>
      <c r="C175" s="31" t="inlineStr">
        <is>
          <t>aerospace &amp; defence</t>
        </is>
      </c>
      <c r="D175" s="31" t="inlineStr">
        <is>
          <t>engineering</t>
        </is>
      </c>
      <c r="E175" s="31" t="inlineStr">
        <is>
          <t>midcap</t>
        </is>
      </c>
      <c r="F175" s="31" t="n">
        <v>7831.89</v>
      </c>
      <c r="G175" s="31" t="n">
        <v>11654</v>
      </c>
      <c r="H175" s="31" t="n">
        <v>1.06</v>
      </c>
      <c r="I175" s="31" t="n">
        <v>8608</v>
      </c>
      <c r="J175" s="31" t="inlineStr">
        <is>
          <t>505242</t>
        </is>
      </c>
    </row>
    <row r="176">
      <c r="A176" s="31" t="inlineStr">
        <is>
          <t>GOCLCORP</t>
        </is>
      </c>
      <c r="B176" s="31" t="inlineStr">
        <is>
          <t>Gocl Corporation Limited</t>
        </is>
      </c>
      <c r="C176" s="31" t="inlineStr">
        <is>
          <t>miscellaneous</t>
        </is>
      </c>
      <c r="D176" s="31" t="inlineStr">
        <is>
          <t>diversified - medium / small</t>
        </is>
      </c>
      <c r="E176" s="31" t="inlineStr">
        <is>
          <t>smallcap</t>
        </is>
      </c>
      <c r="F176" s="31" t="n">
        <v>2096.67</v>
      </c>
      <c r="G176" s="31" t="n">
        <v>427.45</v>
      </c>
      <c r="H176" s="31" t="n">
        <v>1.06</v>
      </c>
      <c r="I176" s="31" t="n">
        <v>304041</v>
      </c>
      <c r="J176" s="31" t="inlineStr">
        <is>
          <t>506480</t>
        </is>
      </c>
    </row>
    <row r="177">
      <c r="A177" s="31" t="inlineStr">
        <is>
          <t>UDS</t>
        </is>
      </c>
      <c r="B177" s="31" t="inlineStr">
        <is>
          <t>Updater Services Ltd</t>
        </is>
      </c>
      <c r="C177" s="31" t="inlineStr">
        <is>
          <t>miscellaneous</t>
        </is>
      </c>
      <c r="D177" s="31" t="inlineStr">
        <is>
          <t>miscellaneous</t>
        </is>
      </c>
      <c r="E177" s="31" t="inlineStr">
        <is>
          <t>smallcap</t>
        </is>
      </c>
      <c r="F177" s="31" t="n">
        <v>1584.18</v>
      </c>
      <c r="G177" s="31" t="n">
        <v>239.03</v>
      </c>
      <c r="H177" s="31" t="n">
        <v>1.02</v>
      </c>
      <c r="I177" s="31" t="n">
        <v>487592</v>
      </c>
      <c r="J177" s="31" t="inlineStr">
        <is>
          <t>543996</t>
        </is>
      </c>
    </row>
    <row r="178">
      <c r="A178" s="31" t="inlineStr">
        <is>
          <t>MOLDTKPAC</t>
        </is>
      </c>
      <c r="B178" s="31" t="inlineStr">
        <is>
          <t>Mold-tek Packaging Limited</t>
        </is>
      </c>
      <c r="C178" s="31" t="inlineStr">
        <is>
          <t>industrials</t>
        </is>
      </c>
      <c r="D178" s="31" t="inlineStr">
        <is>
          <t>packaging</t>
        </is>
      </c>
      <c r="E178" s="31" t="inlineStr">
        <is>
          <t>smallcap</t>
        </is>
      </c>
      <c r="F178" s="31" t="n">
        <v>2324.69</v>
      </c>
      <c r="G178" s="31" t="n">
        <v>706.65</v>
      </c>
      <c r="H178" s="31" t="n">
        <v>1.01</v>
      </c>
      <c r="I178" s="31" t="n">
        <v>36489</v>
      </c>
      <c r="J178" s="31" t="inlineStr">
        <is>
          <t>533080</t>
        </is>
      </c>
    </row>
    <row r="179">
      <c r="A179" s="31" t="inlineStr">
        <is>
          <t>SIGMAADV</t>
        </is>
      </c>
      <c r="B179" s="31" t="inlineStr">
        <is>
          <t>Sigma Advanced System Ltd</t>
        </is>
      </c>
      <c r="C179" s="31" t="inlineStr">
        <is>
          <t>aerospace &amp; defence</t>
        </is>
      </c>
      <c r="D179" s="31" t="inlineStr">
        <is>
          <t>electronics - components</t>
        </is>
      </c>
      <c r="E179" s="31" t="inlineStr">
        <is>
          <t>midcap</t>
        </is>
      </c>
      <c r="F179" s="31" t="n">
        <v>14303.17</v>
      </c>
      <c r="G179" s="31" t="n">
        <v>762.4</v>
      </c>
      <c r="H179" s="31" t="n">
        <v>1.01</v>
      </c>
      <c r="I179" s="31" t="n">
        <v>118525</v>
      </c>
      <c r="J179" s="31" t="inlineStr">
        <is>
          <t>532408</t>
        </is>
      </c>
    </row>
    <row r="180">
      <c r="A180" s="31" t="inlineStr">
        <is>
          <t>EDELWEISS</t>
        </is>
      </c>
      <c r="B180" s="31" t="inlineStr">
        <is>
          <t>Edelweiss Financial Services Limited</t>
        </is>
      </c>
      <c r="C180" s="31" t="inlineStr">
        <is>
          <t>financials</t>
        </is>
      </c>
      <c r="D180" s="31" t="inlineStr">
        <is>
          <t>finance &amp; investments</t>
        </is>
      </c>
      <c r="E180" s="31" t="inlineStr">
        <is>
          <t>midcap</t>
        </is>
      </c>
      <c r="F180" s="31" t="n">
        <v>12755.46</v>
      </c>
      <c r="G180" s="31" t="n">
        <v>136.08</v>
      </c>
      <c r="H180" s="31" t="n">
        <v>0.98</v>
      </c>
      <c r="I180" s="31" t="n">
        <v>11273587</v>
      </c>
      <c r="J180" s="31" t="inlineStr">
        <is>
          <t>532922</t>
        </is>
      </c>
    </row>
    <row r="181">
      <c r="A181" s="31" t="inlineStr">
        <is>
          <t>IIFLCAPS</t>
        </is>
      </c>
      <c r="B181" s="31" t="inlineStr">
        <is>
          <t>IIFL Capital Services Ltd</t>
        </is>
      </c>
      <c r="C181" s="31" t="inlineStr">
        <is>
          <t>financials</t>
        </is>
      </c>
      <c r="D181" s="31" t="inlineStr">
        <is>
          <t>finance &amp; investments</t>
        </is>
      </c>
      <c r="E181" s="31" t="inlineStr">
        <is>
          <t>midcap</t>
        </is>
      </c>
      <c r="F181" s="31" t="n">
        <v>10596.2</v>
      </c>
      <c r="G181" s="31" t="n">
        <v>341.2</v>
      </c>
      <c r="H181" s="31" t="n">
        <v>0.93</v>
      </c>
      <c r="I181" s="31" t="n">
        <v>330001</v>
      </c>
      <c r="J181" s="31" t="inlineStr">
        <is>
          <t>542773</t>
        </is>
      </c>
    </row>
    <row r="182">
      <c r="A182" s="31" t="inlineStr">
        <is>
          <t>KPRMILL</t>
        </is>
      </c>
      <c r="B182" s="31" t="inlineStr">
        <is>
          <t>K.p.r. Mill Limited</t>
        </is>
      </c>
      <c r="C182" s="31" t="inlineStr">
        <is>
          <t>consumer discretionary</t>
        </is>
      </c>
      <c r="D182" s="31" t="inlineStr">
        <is>
          <t>textiles - products</t>
        </is>
      </c>
      <c r="E182" s="31" t="inlineStr">
        <is>
          <t>largecap</t>
        </is>
      </c>
      <c r="F182" s="31" t="n">
        <v>40176.82</v>
      </c>
      <c r="G182" s="31" t="n">
        <v>1186.3</v>
      </c>
      <c r="H182" s="31" t="n">
        <v>0.93</v>
      </c>
      <c r="I182" s="31" t="n">
        <v>199902</v>
      </c>
      <c r="J182" s="31" t="inlineStr">
        <is>
          <t>532889</t>
        </is>
      </c>
    </row>
    <row r="183">
      <c r="A183" s="31" t="inlineStr">
        <is>
          <t>TNPL</t>
        </is>
      </c>
      <c r="B183" s="31" t="inlineStr">
        <is>
          <t>Tamil Nadu Newsprint &amp; Papers Limited</t>
        </is>
      </c>
      <c r="C183" s="31" t="inlineStr">
        <is>
          <t>building materials</t>
        </is>
      </c>
      <c r="D183" s="31" t="inlineStr">
        <is>
          <t>paper</t>
        </is>
      </c>
      <c r="E183" s="31" t="inlineStr">
        <is>
          <t>smallcap</t>
        </is>
      </c>
      <c r="F183" s="31" t="n">
        <v>1068.33</v>
      </c>
      <c r="G183" s="31" t="n">
        <v>155.75</v>
      </c>
      <c r="H183" s="31" t="n">
        <v>0.9</v>
      </c>
      <c r="I183" s="31" t="n">
        <v>382264</v>
      </c>
      <c r="J183" s="31" t="inlineStr">
        <is>
          <t>531426</t>
        </is>
      </c>
    </row>
    <row r="184">
      <c r="A184" s="31" t="inlineStr">
        <is>
          <t>CRISIL</t>
        </is>
      </c>
      <c r="B184" s="31" t="inlineStr">
        <is>
          <t>Crisil Limited</t>
        </is>
      </c>
      <c r="C184" s="31" t="inlineStr">
        <is>
          <t>financials</t>
        </is>
      </c>
      <c r="D184" s="31" t="inlineStr">
        <is>
          <t>miscellaneous</t>
        </is>
      </c>
      <c r="E184" s="31" t="inlineStr">
        <is>
          <t>largecap</t>
        </is>
      </c>
      <c r="F184" s="31" t="n">
        <v>34807.69</v>
      </c>
      <c r="G184" s="31" t="n">
        <v>4802</v>
      </c>
      <c r="H184" s="31" t="n">
        <v>0.89</v>
      </c>
      <c r="I184" s="31" t="n">
        <v>184833</v>
      </c>
      <c r="J184" s="31" t="inlineStr">
        <is>
          <t>500092</t>
        </is>
      </c>
    </row>
    <row r="185">
      <c r="A185" s="31" t="inlineStr">
        <is>
          <t>ALKYLAMINE</t>
        </is>
      </c>
      <c r="B185" s="31" t="inlineStr">
        <is>
          <t>Alkyl Amines Chemicals Limited</t>
        </is>
      </c>
      <c r="C185" s="31" t="inlineStr">
        <is>
          <t>chemicals</t>
        </is>
      </c>
      <c r="D185" s="31" t="inlineStr">
        <is>
          <t>chemicals</t>
        </is>
      </c>
      <c r="E185" s="31" t="inlineStr">
        <is>
          <t>midcap</t>
        </is>
      </c>
      <c r="F185" s="31" t="n">
        <v>10245.6</v>
      </c>
      <c r="G185" s="31" t="n">
        <v>2020.9</v>
      </c>
      <c r="H185" s="31" t="n">
        <v>0.88</v>
      </c>
      <c r="I185" s="31" t="n">
        <v>97864</v>
      </c>
      <c r="J185" s="31" t="inlineStr">
        <is>
          <t>506767</t>
        </is>
      </c>
    </row>
    <row r="186">
      <c r="A186" s="31" t="inlineStr">
        <is>
          <t>CHENNPETRO</t>
        </is>
      </c>
      <c r="B186" s="31" t="inlineStr">
        <is>
          <t>Chennai Petroleum Corporation Limited</t>
        </is>
      </c>
      <c r="C186" s="31" t="inlineStr">
        <is>
          <t>energy</t>
        </is>
      </c>
      <c r="D186" s="31" t="inlineStr">
        <is>
          <t>refineries</t>
        </is>
      </c>
      <c r="E186" s="31" t="inlineStr">
        <is>
          <t>largecap</t>
        </is>
      </c>
      <c r="F186" s="31" t="n">
        <v>21443.24</v>
      </c>
      <c r="G186" s="31" t="n">
        <v>1452.2</v>
      </c>
      <c r="H186" s="31" t="n">
        <v>0.85</v>
      </c>
      <c r="I186" s="31" t="n">
        <v>934269</v>
      </c>
      <c r="J186" s="31" t="inlineStr">
        <is>
          <t>500110</t>
        </is>
      </c>
    </row>
    <row r="187">
      <c r="A187" s="31" t="inlineStr">
        <is>
          <t>SHILPAMED</t>
        </is>
      </c>
      <c r="B187" s="31" t="inlineStr">
        <is>
          <t>Shilpa Medicare Limited</t>
        </is>
      </c>
      <c r="C187" s="31" t="inlineStr">
        <is>
          <t>healthcare</t>
        </is>
      </c>
      <c r="D187" s="31" t="inlineStr">
        <is>
          <t>pharmaceuticals - indian - formulations</t>
        </is>
      </c>
      <c r="E187" s="31" t="inlineStr">
        <is>
          <t>midcap</t>
        </is>
      </c>
      <c r="F187" s="31" t="n">
        <v>18700.56</v>
      </c>
      <c r="G187" s="31" t="n">
        <v>964.15</v>
      </c>
      <c r="H187" s="31" t="n">
        <v>0.84</v>
      </c>
      <c r="I187" s="31" t="n">
        <v>652726</v>
      </c>
      <c r="J187" s="31" t="inlineStr">
        <is>
          <t>530549</t>
        </is>
      </c>
    </row>
    <row r="188">
      <c r="A188" s="31" t="inlineStr">
        <is>
          <t>GLAND</t>
        </is>
      </c>
      <c r="B188" s="31" t="inlineStr">
        <is>
          <t>Gland Pharma Ltd</t>
        </is>
      </c>
      <c r="C188" s="31" t="inlineStr">
        <is>
          <t>healthcare</t>
        </is>
      </c>
      <c r="D188" s="31" t="inlineStr">
        <is>
          <t>pharmaceuticals - indian - formulations</t>
        </is>
      </c>
      <c r="E188" s="31" t="inlineStr">
        <is>
          <t>largecap</t>
        </is>
      </c>
      <c r="F188" s="31" t="n">
        <v>47968.63</v>
      </c>
      <c r="G188" s="31" t="n">
        <v>2932.4</v>
      </c>
      <c r="H188" s="31" t="n">
        <v>0.84</v>
      </c>
      <c r="I188" s="31" t="n">
        <v>2977808</v>
      </c>
      <c r="J188" s="31" t="inlineStr">
        <is>
          <t>543245</t>
        </is>
      </c>
    </row>
    <row r="189">
      <c r="A189" s="31" t="inlineStr">
        <is>
          <t>KOTAKBANK</t>
        </is>
      </c>
      <c r="B189" s="31" t="inlineStr">
        <is>
          <t>Kotak Mahindra Bank Limited</t>
        </is>
      </c>
      <c r="C189" s="31" t="inlineStr">
        <is>
          <t>bank</t>
        </is>
      </c>
      <c r="D189" s="31" t="inlineStr">
        <is>
          <t>banks - private sector</t>
        </is>
      </c>
      <c r="E189" s="31" t="inlineStr">
        <is>
          <t>largecap</t>
        </is>
      </c>
      <c r="F189" s="31" t="n">
        <v>418905.66</v>
      </c>
      <c r="G189" s="31" t="n">
        <v>424.5</v>
      </c>
      <c r="H189" s="31" t="n">
        <v>0.8</v>
      </c>
      <c r="I189" s="31" t="n">
        <v>9408316</v>
      </c>
      <c r="J189" s="31" t="inlineStr">
        <is>
          <t>500247</t>
        </is>
      </c>
    </row>
    <row r="190">
      <c r="A190" s="31" t="inlineStr">
        <is>
          <t>MOLDTECH</t>
        </is>
      </c>
      <c r="B190" s="31" t="inlineStr">
        <is>
          <t>Mold-tek Technologies Limited</t>
        </is>
      </c>
      <c r="C190" s="31" t="inlineStr">
        <is>
          <t>realty</t>
        </is>
      </c>
      <c r="D190" s="31" t="inlineStr">
        <is>
          <t>engineering - turnkey services</t>
        </is>
      </c>
      <c r="E190" s="31" t="inlineStr">
        <is>
          <t>smallcap</t>
        </is>
      </c>
      <c r="F190" s="31" t="n">
        <v>597.16</v>
      </c>
      <c r="G190" s="31" t="n">
        <v>208.96</v>
      </c>
      <c r="H190" s="31" t="n">
        <v>0.8</v>
      </c>
      <c r="I190" s="31" t="n">
        <v>27919</v>
      </c>
      <c r="J190" s="31" t="inlineStr">
        <is>
          <t>526263</t>
        </is>
      </c>
    </row>
    <row r="191">
      <c r="A191" s="31" t="inlineStr">
        <is>
          <t>NAZARA</t>
        </is>
      </c>
      <c r="B191" s="31" t="inlineStr">
        <is>
          <t>Nazara Technologies Ltd</t>
        </is>
      </c>
      <c r="C191" s="31" t="inlineStr">
        <is>
          <t>i.t</t>
        </is>
      </c>
      <c r="D191" s="31" t="inlineStr">
        <is>
          <t>telecommunications - service provider</t>
        </is>
      </c>
      <c r="E191" s="31" t="inlineStr">
        <is>
          <t>midcap</t>
        </is>
      </c>
      <c r="F191" s="31" t="n">
        <v>14072.18</v>
      </c>
      <c r="G191" s="31" t="n">
        <v>368.65</v>
      </c>
      <c r="H191" s="31" t="n">
        <v>0.78</v>
      </c>
      <c r="I191" s="31" t="n">
        <v>1088812</v>
      </c>
      <c r="J191" s="31" t="inlineStr">
        <is>
          <t>543280</t>
        </is>
      </c>
    </row>
    <row r="192">
      <c r="A192" s="31" t="inlineStr">
        <is>
          <t>SPAL</t>
        </is>
      </c>
      <c r="B192" s="31" t="inlineStr">
        <is>
          <t>S. P. Apparels Limited</t>
        </is>
      </c>
      <c r="C192" s="31" t="inlineStr">
        <is>
          <t>consumer discretionary</t>
        </is>
      </c>
      <c r="D192" s="31" t="inlineStr">
        <is>
          <t>textiles - products</t>
        </is>
      </c>
      <c r="E192" s="31" t="inlineStr">
        <is>
          <t>smallcap</t>
        </is>
      </c>
      <c r="F192" s="31" t="n">
        <v>2671.76</v>
      </c>
      <c r="G192" s="31" t="n">
        <v>1071.1</v>
      </c>
      <c r="H192" s="31" t="n">
        <v>0.78</v>
      </c>
      <c r="I192" s="31" t="n">
        <v>64434</v>
      </c>
      <c r="J192" s="31" t="inlineStr">
        <is>
          <t>540048</t>
        </is>
      </c>
    </row>
    <row r="193">
      <c r="A193" s="31" t="inlineStr">
        <is>
          <t>KINGFA</t>
        </is>
      </c>
      <c r="B193" s="31" t="inlineStr">
        <is>
          <t>Kingfa Science &amp; Technology (india) Limited</t>
        </is>
      </c>
      <c r="C193" s="31" t="inlineStr">
        <is>
          <t>plastic products</t>
        </is>
      </c>
      <c r="D193" s="31" t="inlineStr">
        <is>
          <t>plastics products</t>
        </is>
      </c>
      <c r="E193" s="31" t="inlineStr">
        <is>
          <t>midcap</t>
        </is>
      </c>
      <c r="F193" s="31" t="n">
        <v>7979.05</v>
      </c>
      <c r="G193" s="31" t="n">
        <v>5932.5</v>
      </c>
      <c r="H193" s="31" t="n">
        <v>0.76</v>
      </c>
      <c r="I193" s="31" t="n">
        <v>8112</v>
      </c>
      <c r="J193" s="31" t="inlineStr">
        <is>
          <t>524019</t>
        </is>
      </c>
    </row>
    <row r="194">
      <c r="A194" s="31" t="inlineStr">
        <is>
          <t>HARSHA</t>
        </is>
      </c>
      <c r="B194" s="31" t="inlineStr">
        <is>
          <t>Harsha Engineers International Ltd</t>
        </is>
      </c>
      <c r="C194" s="31" t="inlineStr">
        <is>
          <t>industrials</t>
        </is>
      </c>
      <c r="D194" s="31" t="inlineStr">
        <is>
          <t>engineering</t>
        </is>
      </c>
      <c r="E194" s="31" t="inlineStr">
        <is>
          <t>smallcap</t>
        </is>
      </c>
      <c r="F194" s="31" t="n">
        <v>4106.54</v>
      </c>
      <c r="G194" s="31" t="n">
        <v>454.35</v>
      </c>
      <c r="H194" s="31" t="n">
        <v>0.73</v>
      </c>
      <c r="I194" s="31" t="n">
        <v>132144</v>
      </c>
      <c r="J194" s="31" t="inlineStr">
        <is>
          <t>543600</t>
        </is>
      </c>
    </row>
    <row r="195">
      <c r="A195" s="31" t="inlineStr">
        <is>
          <t>KRONOX</t>
        </is>
      </c>
      <c r="B195" s="31" t="inlineStr">
        <is>
          <t>Kronox Lab Sciences Ltd</t>
        </is>
      </c>
      <c r="C195" s="31" t="inlineStr">
        <is>
          <t>chemicals</t>
        </is>
      </c>
      <c r="D195" s="31" t="inlineStr">
        <is>
          <t>chemicals</t>
        </is>
      </c>
      <c r="E195" s="31" t="inlineStr">
        <is>
          <t>smallcap</t>
        </is>
      </c>
      <c r="F195" s="31" t="n">
        <v>680.38</v>
      </c>
      <c r="G195" s="31" t="n">
        <v>184.69</v>
      </c>
      <c r="H195" s="31" t="n">
        <v>0.72</v>
      </c>
      <c r="I195" s="31" t="n">
        <v>86294</v>
      </c>
      <c r="J195" s="31" t="inlineStr">
        <is>
          <t>544187</t>
        </is>
      </c>
    </row>
    <row r="196">
      <c r="A196" s="31" t="inlineStr">
        <is>
          <t>HOMEFIRST</t>
        </is>
      </c>
      <c r="B196" s="31" t="inlineStr">
        <is>
          <t>Home First Finance Company India Ltd</t>
        </is>
      </c>
      <c r="C196" s="31" t="inlineStr">
        <is>
          <t>financials</t>
        </is>
      </c>
      <c r="D196" s="31" t="inlineStr">
        <is>
          <t>finance - housing</t>
        </is>
      </c>
      <c r="E196" s="31" t="inlineStr">
        <is>
          <t>midcap</t>
        </is>
      </c>
      <c r="F196" s="31" t="n">
        <v>12557.66</v>
      </c>
      <c r="G196" s="31" t="n">
        <v>1210.1</v>
      </c>
      <c r="H196" s="31" t="n">
        <v>0.72</v>
      </c>
      <c r="I196" s="31" t="n">
        <v>128463</v>
      </c>
      <c r="J196" s="31" t="inlineStr">
        <is>
          <t>543259</t>
        </is>
      </c>
    </row>
    <row r="197">
      <c r="A197" s="31" t="inlineStr">
        <is>
          <t>SCPL</t>
        </is>
      </c>
      <c r="B197" s="31" t="inlineStr">
        <is>
          <t>Sheetal Cool Products Ltd</t>
        </is>
      </c>
      <c r="C197" s="31" t="inlineStr">
        <is>
          <t>fmcg</t>
        </is>
      </c>
      <c r="D197" s="31" t="inlineStr">
        <is>
          <t>food - processing - indian</t>
        </is>
      </c>
      <c r="E197" s="31" t="inlineStr">
        <is>
          <t>smallcap</t>
        </is>
      </c>
      <c r="F197" s="31" t="n">
        <v>674</v>
      </c>
      <c r="G197" s="31" t="n">
        <v>646.45</v>
      </c>
      <c r="H197" s="31" t="n">
        <v>0.71</v>
      </c>
      <c r="I197" s="31" t="n">
        <v>8409</v>
      </c>
      <c r="J197" s="31" t="inlineStr">
        <is>
          <t>540757</t>
        </is>
      </c>
    </row>
    <row r="198">
      <c r="A198" s="31" t="inlineStr">
        <is>
          <t>ARIES</t>
        </is>
      </c>
      <c r="B198" s="31" t="inlineStr">
        <is>
          <t>Aries Agro Limited</t>
        </is>
      </c>
      <c r="C198" s="31" t="inlineStr">
        <is>
          <t>chemicals</t>
        </is>
      </c>
      <c r="D198" s="31" t="inlineStr">
        <is>
          <t>fertilizers</t>
        </is>
      </c>
      <c r="E198" s="31" t="inlineStr">
        <is>
          <t>smallcap</t>
        </is>
      </c>
      <c r="F198" s="31" t="n">
        <v>645.8</v>
      </c>
      <c r="G198" s="31" t="n">
        <v>500.1</v>
      </c>
      <c r="H198" s="31" t="n">
        <v>0.7</v>
      </c>
      <c r="I198" s="31" t="n">
        <v>59836</v>
      </c>
      <c r="J198" s="31" t="inlineStr">
        <is>
          <t>532935</t>
        </is>
      </c>
    </row>
    <row r="199">
      <c r="A199" s="31" t="inlineStr">
        <is>
          <t>GLAXO</t>
        </is>
      </c>
      <c r="B199" s="31" t="inlineStr">
        <is>
          <t>Glaxosmithkline Pharmaceuticals Limited</t>
        </is>
      </c>
      <c r="C199" s="31" t="inlineStr">
        <is>
          <t>healthcare</t>
        </is>
      </c>
      <c r="D199" s="31" t="inlineStr">
        <is>
          <t>pharmaceuticals - multinational</t>
        </is>
      </c>
      <c r="E199" s="31" t="inlineStr">
        <is>
          <t>largecap</t>
        </is>
      </c>
      <c r="F199" s="31" t="n">
        <v>49763.02</v>
      </c>
      <c r="G199" s="31" t="n">
        <v>2958.1</v>
      </c>
      <c r="H199" s="31" t="n">
        <v>0.7</v>
      </c>
      <c r="I199" s="31" t="n">
        <v>48109</v>
      </c>
      <c r="J199" s="31" t="inlineStr">
        <is>
          <t>500660</t>
        </is>
      </c>
    </row>
    <row r="200">
      <c r="A200" s="31" t="inlineStr">
        <is>
          <t>CUB</t>
        </is>
      </c>
      <c r="B200" s="31" t="inlineStr">
        <is>
          <t>City Union Bank Limited</t>
        </is>
      </c>
      <c r="C200" s="31" t="inlineStr">
        <is>
          <t>bank</t>
        </is>
      </c>
      <c r="D200" s="31" t="inlineStr">
        <is>
          <t>banks - private sector</t>
        </is>
      </c>
      <c r="E200" s="31" t="inlineStr">
        <is>
          <t>largecap</t>
        </is>
      </c>
      <c r="F200" s="31" t="n">
        <v>23220.09</v>
      </c>
      <c r="G200" s="31" t="n">
        <v>236.01</v>
      </c>
      <c r="H200" s="31" t="n">
        <v>0.7</v>
      </c>
      <c r="I200" s="31" t="n">
        <v>2621193</v>
      </c>
      <c r="J200" s="31" t="inlineStr">
        <is>
          <t>532210</t>
        </is>
      </c>
    </row>
    <row r="201">
      <c r="A201" s="31" t="inlineStr">
        <is>
          <t>HATSUN</t>
        </is>
      </c>
      <c r="B201" s="31" t="inlineStr">
        <is>
          <t>Hatsun Agro Product Limited</t>
        </is>
      </c>
      <c r="C201" s="31" t="inlineStr">
        <is>
          <t>fmcg</t>
        </is>
      </c>
      <c r="D201" s="31" t="inlineStr">
        <is>
          <t>food - processing - indian</t>
        </is>
      </c>
      <c r="E201" s="31" t="inlineStr">
        <is>
          <t>largecap</t>
        </is>
      </c>
      <c r="F201" s="31" t="n">
        <v>25856.62</v>
      </c>
      <c r="G201" s="31" t="n">
        <v>1168.8</v>
      </c>
      <c r="H201" s="31" t="n">
        <v>0.6899999999999999</v>
      </c>
      <c r="I201" s="31" t="n">
        <v>65825</v>
      </c>
      <c r="J201" s="31" t="inlineStr">
        <is>
          <t>531531</t>
        </is>
      </c>
    </row>
    <row r="202">
      <c r="A202" s="31" t="inlineStr">
        <is>
          <t>SAKAR</t>
        </is>
      </c>
      <c r="B202" s="31" t="inlineStr">
        <is>
          <t>Sakar Healthcare Ltd</t>
        </is>
      </c>
      <c r="C202" s="31" t="inlineStr">
        <is>
          <t>healthcare</t>
        </is>
      </c>
      <c r="D202" s="31" t="inlineStr">
        <is>
          <t>pharmaceuticals - indian - bulk drugs &amp; formln</t>
        </is>
      </c>
      <c r="E202" s="31" t="inlineStr">
        <is>
          <t>smallcap</t>
        </is>
      </c>
      <c r="F202" s="31" t="n">
        <v>2240.45</v>
      </c>
      <c r="G202" s="31" t="n">
        <v>1013.9</v>
      </c>
      <c r="H202" s="31" t="n">
        <v>0.6899999999999999</v>
      </c>
      <c r="I202" s="31" t="n">
        <v>87982</v>
      </c>
      <c r="J202" s="31" t="inlineStr">
        <is>
          <t>538377</t>
        </is>
      </c>
    </row>
    <row r="203">
      <c r="A203" s="31" t="inlineStr">
        <is>
          <t>CHALET</t>
        </is>
      </c>
      <c r="B203" s="31" t="inlineStr">
        <is>
          <t>Chalet Hotels Ltd</t>
        </is>
      </c>
      <c r="C203" s="31" t="inlineStr">
        <is>
          <t>services</t>
        </is>
      </c>
      <c r="D203" s="31" t="inlineStr">
        <is>
          <t>hotels</t>
        </is>
      </c>
      <c r="E203" s="31" t="inlineStr">
        <is>
          <t>midcap</t>
        </is>
      </c>
      <c r="F203" s="31" t="n">
        <v>19506.9</v>
      </c>
      <c r="G203" s="31" t="n">
        <v>896.75</v>
      </c>
      <c r="H203" s="31" t="n">
        <v>0.67</v>
      </c>
      <c r="I203" s="31" t="n">
        <v>87842</v>
      </c>
      <c r="J203" s="31" t="inlineStr">
        <is>
          <t>542399</t>
        </is>
      </c>
    </row>
    <row r="204">
      <c r="A204" s="31" t="inlineStr">
        <is>
          <t>BALUFORGE</t>
        </is>
      </c>
      <c r="B204" s="31" t="inlineStr">
        <is>
          <t>Balu Forge Industries Ltd</t>
        </is>
      </c>
      <c r="C204" s="31" t="inlineStr">
        <is>
          <t>industrials</t>
        </is>
      </c>
      <c r="D204" s="31" t="inlineStr">
        <is>
          <t>castings &amp; forgings</t>
        </is>
      </c>
      <c r="E204" s="31" t="inlineStr">
        <is>
          <t>midcap</t>
        </is>
      </c>
      <c r="F204" s="31" t="n">
        <v>6826.06</v>
      </c>
      <c r="G204" s="31" t="n">
        <v>574.1</v>
      </c>
      <c r="H204" s="31" t="n">
        <v>0.66</v>
      </c>
      <c r="I204" s="31" t="n">
        <v>1304593</v>
      </c>
      <c r="J204" s="31" t="inlineStr">
        <is>
          <t>531112</t>
        </is>
      </c>
    </row>
    <row r="205">
      <c r="A205" s="31" t="inlineStr">
        <is>
          <t>SAILIFE</t>
        </is>
      </c>
      <c r="B205" s="31" t="inlineStr">
        <is>
          <t>Sai Life Sciences Ltd</t>
        </is>
      </c>
      <c r="C205" s="31" t="inlineStr">
        <is>
          <t>healthcare</t>
        </is>
      </c>
      <c r="D205" s="31" t="inlineStr">
        <is>
          <t>pharmaceuticals - indian - bulk drugs &amp; formln</t>
        </is>
      </c>
      <c r="E205" s="31" t="inlineStr">
        <is>
          <t>largecap</t>
        </is>
      </c>
      <c r="F205" s="31" t="n">
        <v>33430.8</v>
      </c>
      <c r="G205" s="31" t="n">
        <v>1584.3</v>
      </c>
      <c r="H205" s="31" t="n">
        <v>0.6</v>
      </c>
      <c r="I205" s="31" t="n">
        <v>561938</v>
      </c>
      <c r="J205" s="31" t="inlineStr">
        <is>
          <t>544306</t>
        </is>
      </c>
    </row>
    <row r="206">
      <c r="A206" s="31" t="inlineStr">
        <is>
          <t>PNB</t>
        </is>
      </c>
      <c r="B206" s="31" t="inlineStr">
        <is>
          <t>Punjab National Bank Ltd</t>
        </is>
      </c>
      <c r="C206" s="31" t="inlineStr">
        <is>
          <t>bank</t>
        </is>
      </c>
      <c r="D206" s="31" t="inlineStr">
        <is>
          <t>banks - public sector</t>
        </is>
      </c>
      <c r="E206" s="31" t="inlineStr">
        <is>
          <t>largecap</t>
        </is>
      </c>
      <c r="F206" s="31" t="n">
        <v>133685.92</v>
      </c>
      <c r="G206" s="31" t="n">
        <v>117</v>
      </c>
      <c r="H206" s="31" t="n">
        <v>0.58</v>
      </c>
      <c r="I206" s="31" t="n">
        <v>11160741</v>
      </c>
      <c r="J206" s="31" t="inlineStr">
        <is>
          <t>532461</t>
        </is>
      </c>
    </row>
    <row r="207">
      <c r="A207" s="31" t="inlineStr">
        <is>
          <t>STAR</t>
        </is>
      </c>
      <c r="B207" s="31" t="inlineStr">
        <is>
          <t>Strides Shasun Limited</t>
        </is>
      </c>
      <c r="C207" s="31" t="inlineStr">
        <is>
          <t>healthcare</t>
        </is>
      </c>
      <c r="D207" s="31" t="inlineStr">
        <is>
          <t>pharmaceuticals - indian - bulk drugs &amp; formln</t>
        </is>
      </c>
      <c r="E207" s="31" t="inlineStr">
        <is>
          <t>midcap</t>
        </is>
      </c>
      <c r="F207" s="31" t="n">
        <v>9711.32</v>
      </c>
      <c r="G207" s="31" t="n">
        <v>1059.6</v>
      </c>
      <c r="H207" s="31" t="n">
        <v>0.57</v>
      </c>
      <c r="I207" s="31" t="n">
        <v>217190</v>
      </c>
      <c r="J207" s="31" t="inlineStr">
        <is>
          <t>532531</t>
        </is>
      </c>
    </row>
    <row r="208">
      <c r="A208" s="31" t="inlineStr">
        <is>
          <t>VHL</t>
        </is>
      </c>
      <c r="B208" s="31" t="inlineStr">
        <is>
          <t>Vardhman Holdings Limited</t>
        </is>
      </c>
      <c r="C208" s="31" t="inlineStr">
        <is>
          <t>financials</t>
        </is>
      </c>
      <c r="D208" s="31" t="inlineStr">
        <is>
          <t>finance &amp; investments</t>
        </is>
      </c>
      <c r="E208" s="31" t="inlineStr">
        <is>
          <t>smallcap</t>
        </is>
      </c>
      <c r="F208" s="31" t="n">
        <v>1151.22</v>
      </c>
      <c r="G208" s="31" t="n">
        <v>3626.4</v>
      </c>
      <c r="H208" s="31" t="n">
        <v>0.54</v>
      </c>
      <c r="I208" s="31" t="n">
        <v>779</v>
      </c>
      <c r="J208" s="31" t="inlineStr">
        <is>
          <t>500439</t>
        </is>
      </c>
    </row>
    <row r="209">
      <c r="A209" s="31" t="inlineStr">
        <is>
          <t>VADILALIND</t>
        </is>
      </c>
      <c r="B209" s="31" t="inlineStr">
        <is>
          <t>Vadilal Industries Limited</t>
        </is>
      </c>
      <c r="C209" s="31" t="inlineStr">
        <is>
          <t>fmcg</t>
        </is>
      </c>
      <c r="D209" s="31" t="inlineStr">
        <is>
          <t>food - processing - indian</t>
        </is>
      </c>
      <c r="E209" s="31" t="inlineStr">
        <is>
          <t>midcap</t>
        </is>
      </c>
      <c r="F209" s="31" t="n">
        <v>5473.53</v>
      </c>
      <c r="G209" s="31" t="n">
        <v>7655</v>
      </c>
      <c r="H209" s="31" t="n">
        <v>0.53</v>
      </c>
      <c r="I209" s="31" t="n">
        <v>7172</v>
      </c>
      <c r="J209" s="31" t="inlineStr">
        <is>
          <t>519156</t>
        </is>
      </c>
    </row>
    <row r="210">
      <c r="A210" s="31" t="inlineStr">
        <is>
          <t>AGARWALEYE</t>
        </is>
      </c>
      <c r="B210" s="31" t="inlineStr">
        <is>
          <t>Dr Agarwals Health Care Ltd</t>
        </is>
      </c>
      <c r="C210" s="31" t="inlineStr">
        <is>
          <t>healthcare</t>
        </is>
      </c>
      <c r="D210" s="31" t="inlineStr">
        <is>
          <t>healthcare</t>
        </is>
      </c>
      <c r="E210" s="31" t="inlineStr">
        <is>
          <t>midcap</t>
        </is>
      </c>
      <c r="F210" s="31" t="n">
        <v>16212.1</v>
      </c>
      <c r="G210" s="31" t="n">
        <v>514.1</v>
      </c>
      <c r="H210" s="31" t="n">
        <v>0.52</v>
      </c>
      <c r="I210" s="31" t="n">
        <v>81568</v>
      </c>
      <c r="J210" s="31" t="inlineStr">
        <is>
          <t>544350</t>
        </is>
      </c>
    </row>
    <row r="211">
      <c r="A211" s="31" t="inlineStr">
        <is>
          <t>LTFOODS</t>
        </is>
      </c>
      <c r="B211" s="31" t="inlineStr">
        <is>
          <t>L T Foods Ltd</t>
        </is>
      </c>
      <c r="C211" s="31" t="inlineStr">
        <is>
          <t>fmcg</t>
        </is>
      </c>
      <c r="D211" s="31" t="inlineStr">
        <is>
          <t>food - processing - indian</t>
        </is>
      </c>
      <c r="E211" s="31" t="inlineStr">
        <is>
          <t>midcap</t>
        </is>
      </c>
      <c r="F211" s="31" t="n">
        <v>15367.68</v>
      </c>
      <c r="G211" s="31" t="n">
        <v>444.8</v>
      </c>
      <c r="H211" s="31" t="n">
        <v>0.51</v>
      </c>
      <c r="I211" s="31" t="n">
        <v>450291</v>
      </c>
      <c r="J211" s="31" t="inlineStr">
        <is>
          <t>532783</t>
        </is>
      </c>
    </row>
    <row r="212">
      <c r="A212" s="31" t="inlineStr">
        <is>
          <t>RISHABH</t>
        </is>
      </c>
      <c r="B212" s="31" t="inlineStr">
        <is>
          <t>Rishabh Instruments Ltd</t>
        </is>
      </c>
      <c r="C212" s="31" t="inlineStr">
        <is>
          <t>industrials</t>
        </is>
      </c>
      <c r="D212" s="31" t="inlineStr">
        <is>
          <t>electric equipment</t>
        </is>
      </c>
      <c r="E212" s="31" t="inlineStr">
        <is>
          <t>smallcap</t>
        </is>
      </c>
      <c r="F212" s="31" t="n">
        <v>2832.94</v>
      </c>
      <c r="G212" s="31" t="n">
        <v>738.45</v>
      </c>
      <c r="H212" s="31" t="n">
        <v>0.48</v>
      </c>
      <c r="I212" s="31" t="n">
        <v>208178</v>
      </c>
      <c r="J212" s="31" t="inlineStr">
        <is>
          <t>543977</t>
        </is>
      </c>
    </row>
    <row r="213">
      <c r="A213" s="31" t="inlineStr">
        <is>
          <t>ANANDRATHI</t>
        </is>
      </c>
      <c r="B213" s="31" t="inlineStr">
        <is>
          <t>Anand Rathi Wealth Ltd</t>
        </is>
      </c>
      <c r="C213" s="31" t="inlineStr">
        <is>
          <t>financials</t>
        </is>
      </c>
      <c r="D213" s="31" t="inlineStr">
        <is>
          <t>finance &amp; investments</t>
        </is>
      </c>
      <c r="E213" s="31" t="inlineStr">
        <is>
          <t>largecap</t>
        </is>
      </c>
      <c r="F213" s="31" t="n">
        <v>36617.08</v>
      </c>
      <c r="G213" s="31" t="n">
        <v>2215.9</v>
      </c>
      <c r="H213" s="31" t="n">
        <v>0.48</v>
      </c>
      <c r="I213" s="31" t="n">
        <v>119776</v>
      </c>
      <c r="J213" s="31" t="inlineStr">
        <is>
          <t>543415</t>
        </is>
      </c>
    </row>
    <row r="214">
      <c r="A214" s="31" t="inlineStr">
        <is>
          <t>MUFIN</t>
        </is>
      </c>
      <c r="B214" s="31" t="inlineStr">
        <is>
          <t>Mufin Green Finance Ltd</t>
        </is>
      </c>
      <c r="C214" s="31" t="inlineStr">
        <is>
          <t>financials</t>
        </is>
      </c>
      <c r="D214" s="31" t="inlineStr">
        <is>
          <t>finance &amp; investments</t>
        </is>
      </c>
      <c r="E214" s="31" t="inlineStr">
        <is>
          <t>smallcap</t>
        </is>
      </c>
      <c r="F214" s="31" t="n">
        <v>2713.24</v>
      </c>
      <c r="G214" s="31" t="n">
        <v>137.56</v>
      </c>
      <c r="H214" s="31" t="n">
        <v>0.47</v>
      </c>
      <c r="I214" s="31" t="n">
        <v>1131652</v>
      </c>
      <c r="J214" s="31" t="inlineStr">
        <is>
          <t>542774</t>
        </is>
      </c>
    </row>
    <row r="215">
      <c r="A215" s="31" t="inlineStr">
        <is>
          <t>IPCALAB</t>
        </is>
      </c>
      <c r="B215" s="31" t="inlineStr">
        <is>
          <t>Ipca Laboratories Limited</t>
        </is>
      </c>
      <c r="C215" s="31" t="inlineStr">
        <is>
          <t>healthcare</t>
        </is>
      </c>
      <c r="D215" s="31" t="inlineStr">
        <is>
          <t>pharmaceuticals - indian - bulk drugs &amp; formln</t>
        </is>
      </c>
      <c r="E215" s="31" t="inlineStr">
        <is>
          <t>largecap</t>
        </is>
      </c>
      <c r="F215" s="31" t="n">
        <v>49627.08</v>
      </c>
      <c r="G215" s="31" t="n">
        <v>1965.3</v>
      </c>
      <c r="H215" s="31" t="n">
        <v>0.47</v>
      </c>
      <c r="I215" s="31" t="n">
        <v>80401</v>
      </c>
      <c r="J215" s="31" t="inlineStr">
        <is>
          <t>524494</t>
        </is>
      </c>
    </row>
    <row r="216">
      <c r="A216" s="31" t="inlineStr">
        <is>
          <t>SOTL</t>
        </is>
      </c>
      <c r="B216" s="31" t="inlineStr">
        <is>
          <t>Savita Oil Technologies Limited</t>
        </is>
      </c>
      <c r="C216" s="31" t="inlineStr">
        <is>
          <t>energy</t>
        </is>
      </c>
      <c r="D216" s="31" t="inlineStr">
        <is>
          <t>petrochemicals</t>
        </is>
      </c>
      <c r="E216" s="31" t="inlineStr">
        <is>
          <t>midcap</t>
        </is>
      </c>
      <c r="F216" s="31" t="n">
        <v>5055.3</v>
      </c>
      <c r="G216" s="31" t="n">
        <v>740.75</v>
      </c>
      <c r="H216" s="31" t="n">
        <v>0.46</v>
      </c>
      <c r="I216" s="31" t="n">
        <v>273612</v>
      </c>
      <c r="J216" s="31" t="inlineStr">
        <is>
          <t>524667</t>
        </is>
      </c>
    </row>
    <row r="217">
      <c r="A217" s="31" t="inlineStr">
        <is>
          <t>KAPSTON</t>
        </is>
      </c>
      <c r="B217" s="31" t="inlineStr">
        <is>
          <t>Kapston Services Ltd</t>
        </is>
      </c>
      <c r="C217" s="31" t="inlineStr">
        <is>
          <t>miscellaneous</t>
        </is>
      </c>
      <c r="D217" s="31" t="inlineStr">
        <is>
          <t>miscellaneous</t>
        </is>
      </c>
      <c r="E217" s="31" t="inlineStr">
        <is>
          <t>smallcap</t>
        </is>
      </c>
      <c r="F217" s="31" t="n">
        <v>1769.18</v>
      </c>
      <c r="G217" s="31" t="n">
        <v>584.05</v>
      </c>
      <c r="H217" s="31" t="n">
        <v>0.46</v>
      </c>
      <c r="I217" s="31" t="n">
        <v>70957</v>
      </c>
      <c r="J217" s="31" t="inlineStr">
        <is>
          <t>535064</t>
        </is>
      </c>
    </row>
    <row r="218">
      <c r="A218" s="31" t="inlineStr">
        <is>
          <t>UNICHEMLAB</t>
        </is>
      </c>
      <c r="B218" s="31" t="inlineStr">
        <is>
          <t>Unichem Laboratories Limited</t>
        </is>
      </c>
      <c r="C218" s="31" t="inlineStr">
        <is>
          <t>healthcare</t>
        </is>
      </c>
      <c r="D218" s="31" t="inlineStr">
        <is>
          <t>pharmaceuticals - indian - bulk drugs &amp; formln</t>
        </is>
      </c>
      <c r="E218" s="31" t="inlineStr">
        <is>
          <t>smallcap</t>
        </is>
      </c>
      <c r="F218" s="31" t="n">
        <v>3857.88</v>
      </c>
      <c r="G218" s="31" t="n">
        <v>550.2</v>
      </c>
      <c r="H218" s="31" t="n">
        <v>0.41</v>
      </c>
      <c r="I218" s="31" t="n">
        <v>56415</v>
      </c>
      <c r="J218" s="31" t="inlineStr">
        <is>
          <t>506690</t>
        </is>
      </c>
    </row>
    <row r="219">
      <c r="A219" s="31" t="inlineStr">
        <is>
          <t>INDOBORAX</t>
        </is>
      </c>
      <c r="B219" s="31" t="inlineStr">
        <is>
          <t>Indo Borax &amp; Chemicals Ltd</t>
        </is>
      </c>
      <c r="C219" s="31" t="inlineStr">
        <is>
          <t>chemicals</t>
        </is>
      </c>
      <c r="D219" s="31" t="inlineStr">
        <is>
          <t>chemicals</t>
        </is>
      </c>
      <c r="E219" s="31" t="inlineStr">
        <is>
          <t>smallcap</t>
        </is>
      </c>
      <c r="F219" s="31" t="n">
        <v>1645.58</v>
      </c>
      <c r="G219" s="31" t="n">
        <v>514.9</v>
      </c>
      <c r="H219" s="31" t="n">
        <v>0.41</v>
      </c>
      <c r="I219" s="31" t="n">
        <v>126424</v>
      </c>
      <c r="J219" s="31" t="inlineStr">
        <is>
          <t>524342</t>
        </is>
      </c>
    </row>
    <row r="220">
      <c r="A220" s="31" t="inlineStr">
        <is>
          <t>MARINE</t>
        </is>
      </c>
      <c r="B220" s="31" t="inlineStr">
        <is>
          <t>Marine Electricals (India) Ltd</t>
        </is>
      </c>
      <c r="C220" s="31" t="inlineStr">
        <is>
          <t>industrials</t>
        </is>
      </c>
      <c r="D220" s="31" t="inlineStr">
        <is>
          <t>electric equipment</t>
        </is>
      </c>
      <c r="E220" s="31" t="inlineStr">
        <is>
          <t>midcap</t>
        </is>
      </c>
      <c r="F220" s="31" t="n">
        <v>6023.21</v>
      </c>
      <c r="G220" s="31" t="n">
        <v>432.15</v>
      </c>
      <c r="H220" s="31" t="n">
        <v>0.41</v>
      </c>
      <c r="I220" s="31" t="n">
        <v>826123</v>
      </c>
      <c r="J220" s="31" t="inlineStr">
        <is>
          <t>535119</t>
        </is>
      </c>
    </row>
    <row r="221">
      <c r="A221" s="31" t="inlineStr">
        <is>
          <t>SGIL</t>
        </is>
      </c>
      <c r="B221" s="31" t="inlineStr">
        <is>
          <t>Synergy Green Industries Ltd</t>
        </is>
      </c>
      <c r="C221" s="31" t="inlineStr">
        <is>
          <t>industrials</t>
        </is>
      </c>
      <c r="D221" s="31" t="inlineStr">
        <is>
          <t>castings &amp; forgings</t>
        </is>
      </c>
      <c r="E221" s="31" t="inlineStr">
        <is>
          <t>smallcap</t>
        </is>
      </c>
      <c r="F221" s="31" t="n">
        <v>938.49</v>
      </c>
      <c r="G221" s="31" t="n">
        <v>606.2</v>
      </c>
      <c r="H221" s="31" t="n">
        <v>0.4</v>
      </c>
      <c r="I221" s="31" t="n">
        <v>4698</v>
      </c>
      <c r="J221" s="31" t="inlineStr">
        <is>
          <t>541929</t>
        </is>
      </c>
    </row>
    <row r="222">
      <c r="A222" s="31" t="inlineStr">
        <is>
          <t>SEAMECLTD</t>
        </is>
      </c>
      <c r="B222" s="31" t="inlineStr">
        <is>
          <t>Seamec Limited</t>
        </is>
      </c>
      <c r="C222" s="31" t="inlineStr">
        <is>
          <t>miscellaneous</t>
        </is>
      </c>
      <c r="D222" s="31" t="inlineStr">
        <is>
          <t>miscellaneous</t>
        </is>
      </c>
      <c r="E222" s="31" t="inlineStr">
        <is>
          <t>smallcap</t>
        </is>
      </c>
      <c r="F222" s="31" t="n">
        <v>4542.43</v>
      </c>
      <c r="G222" s="31" t="n">
        <v>1793.6</v>
      </c>
      <c r="H222" s="31" t="n">
        <v>0.39</v>
      </c>
      <c r="I222" s="31" t="n">
        <v>130765</v>
      </c>
      <c r="J222" s="31" t="inlineStr">
        <is>
          <t>526807</t>
        </is>
      </c>
    </row>
    <row r="223">
      <c r="A223" s="31" t="inlineStr">
        <is>
          <t>AZAD</t>
        </is>
      </c>
      <c r="B223" s="31" t="inlineStr">
        <is>
          <t>Azad Engineering Ltd</t>
        </is>
      </c>
      <c r="C223" s="31" t="inlineStr">
        <is>
          <t>aerospace &amp; defence</t>
        </is>
      </c>
      <c r="D223" s="31" t="inlineStr">
        <is>
          <t>engineering</t>
        </is>
      </c>
      <c r="E223" s="31" t="inlineStr">
        <is>
          <t>midcap</t>
        </is>
      </c>
      <c r="F223" s="31" t="n">
        <v>17869.12</v>
      </c>
      <c r="G223" s="31" t="n">
        <v>2777.3</v>
      </c>
      <c r="H223" s="31" t="n">
        <v>0.38</v>
      </c>
      <c r="I223" s="31" t="n">
        <v>224210</v>
      </c>
      <c r="J223" s="31" t="inlineStr">
        <is>
          <t>544061</t>
        </is>
      </c>
    </row>
    <row r="224">
      <c r="A224" s="31" t="inlineStr">
        <is>
          <t>NOCIL</t>
        </is>
      </c>
      <c r="B224" s="31" t="inlineStr">
        <is>
          <t>Nocil Limited</t>
        </is>
      </c>
      <c r="C224" s="31" t="inlineStr">
        <is>
          <t>chemicals</t>
        </is>
      </c>
      <c r="D224" s="31" t="inlineStr">
        <is>
          <t>chemicals</t>
        </is>
      </c>
      <c r="E224" s="31" t="inlineStr">
        <is>
          <t>smallcap</t>
        </is>
      </c>
      <c r="F224" s="31" t="n">
        <v>2869.49</v>
      </c>
      <c r="G224" s="31" t="n">
        <v>172.44</v>
      </c>
      <c r="H224" s="31" t="n">
        <v>0.37</v>
      </c>
      <c r="I224" s="31" t="n">
        <v>403591</v>
      </c>
      <c r="J224" s="31" t="inlineStr">
        <is>
          <t>500730</t>
        </is>
      </c>
    </row>
    <row r="225">
      <c r="A225" s="31" t="inlineStr">
        <is>
          <t>GRASIM</t>
        </is>
      </c>
      <c r="B225" s="31" t="inlineStr">
        <is>
          <t>Grasim Industries Limited</t>
        </is>
      </c>
      <c r="C225" s="31" t="inlineStr">
        <is>
          <t>textiles</t>
        </is>
      </c>
      <c r="D225" s="31" t="inlineStr">
        <is>
          <t>textiles - manmade</t>
        </is>
      </c>
      <c r="E225" s="31" t="inlineStr">
        <is>
          <t>largecap</t>
        </is>
      </c>
      <c r="F225" s="31" t="n">
        <v>225272.17</v>
      </c>
      <c r="G225" s="31" t="n">
        <v>3322</v>
      </c>
      <c r="H225" s="31" t="n">
        <v>0.36</v>
      </c>
      <c r="I225" s="31" t="n">
        <v>892704</v>
      </c>
      <c r="J225" s="31" t="inlineStr">
        <is>
          <t>500300</t>
        </is>
      </c>
    </row>
    <row r="226">
      <c r="A226" s="31" t="inlineStr">
        <is>
          <t>HINDOILEXP</t>
        </is>
      </c>
      <c r="B226" s="31" t="inlineStr">
        <is>
          <t>Hindustan Oil Exploration Company Limited</t>
        </is>
      </c>
      <c r="C226" s="31" t="inlineStr">
        <is>
          <t>energy</t>
        </is>
      </c>
      <c r="D226" s="31" t="inlineStr">
        <is>
          <t>oil drilling / allied services</t>
        </is>
      </c>
      <c r="E226" s="31" t="inlineStr">
        <is>
          <t>smallcap</t>
        </is>
      </c>
      <c r="F226" s="31" t="n">
        <v>2438.3</v>
      </c>
      <c r="G226" s="31" t="n">
        <v>185</v>
      </c>
      <c r="H226" s="31" t="n">
        <v>0.34</v>
      </c>
      <c r="I226" s="31" t="n">
        <v>1959249</v>
      </c>
      <c r="J226" s="31" t="inlineStr">
        <is>
          <t>500186</t>
        </is>
      </c>
    </row>
    <row r="227">
      <c r="A227" s="31" t="inlineStr">
        <is>
          <t>SSWL</t>
        </is>
      </c>
      <c r="B227" s="31" t="inlineStr">
        <is>
          <t>Steel Strips Wheels Limited</t>
        </is>
      </c>
      <c r="C227" s="31" t="inlineStr">
        <is>
          <t>auto</t>
        </is>
      </c>
      <c r="D227" s="31" t="inlineStr">
        <is>
          <t>auto ancillaries</t>
        </is>
      </c>
      <c r="E227" s="31" t="inlineStr">
        <is>
          <t>midcap</t>
        </is>
      </c>
      <c r="F227" s="31" t="n">
        <v>5671.07</v>
      </c>
      <c r="G227" s="31" t="n">
        <v>361.85</v>
      </c>
      <c r="H227" s="31" t="n">
        <v>0.29</v>
      </c>
      <c r="I227" s="31" t="n">
        <v>1006017</v>
      </c>
      <c r="J227" s="31" t="inlineStr">
        <is>
          <t>513262</t>
        </is>
      </c>
    </row>
    <row r="228">
      <c r="A228" s="31" t="inlineStr">
        <is>
          <t>STEELXIND</t>
        </is>
      </c>
      <c r="B228" s="31" t="inlineStr">
        <is>
          <t>Steel Exchange India Ltd</t>
        </is>
      </c>
      <c r="C228" s="31" t="inlineStr">
        <is>
          <t>metals &amp; mining</t>
        </is>
      </c>
      <c r="D228" s="31" t="inlineStr">
        <is>
          <t>steel - medium / small</t>
        </is>
      </c>
      <c r="E228" s="31" t="inlineStr">
        <is>
          <t>smallcap</t>
        </is>
      </c>
      <c r="F228" s="31" t="n">
        <v>1442.61</v>
      </c>
      <c r="G228" s="31" t="n">
        <v>11.34</v>
      </c>
      <c r="H228" s="31" t="n">
        <v>0.27</v>
      </c>
      <c r="I228" s="31" t="n">
        <v>3888782</v>
      </c>
      <c r="J228" s="31" t="inlineStr">
        <is>
          <t>534748</t>
        </is>
      </c>
    </row>
    <row r="229">
      <c r="A229" s="31" t="inlineStr">
        <is>
          <t>CARTRADE</t>
        </is>
      </c>
      <c r="B229" s="31" t="inlineStr">
        <is>
          <t>Cartrade Tech Ltd</t>
        </is>
      </c>
      <c r="C229" s="31" t="inlineStr">
        <is>
          <t>consumer discretionary</t>
        </is>
      </c>
      <c r="D229" s="31" t="inlineStr">
        <is>
          <t>miscellaneous</t>
        </is>
      </c>
      <c r="E229" s="31" t="inlineStr">
        <is>
          <t>midcap</t>
        </is>
      </c>
      <c r="F229" s="31" t="n">
        <v>14369.45</v>
      </c>
      <c r="G229" s="31" t="n">
        <v>3000.2</v>
      </c>
      <c r="H229" s="31" t="n">
        <v>0.27</v>
      </c>
      <c r="I229" s="31" t="n">
        <v>315551</v>
      </c>
      <c r="J229" s="31" t="inlineStr">
        <is>
          <t>543333</t>
        </is>
      </c>
    </row>
    <row r="230">
      <c r="A230" s="31" t="inlineStr">
        <is>
          <t>NILKAMAL</t>
        </is>
      </c>
      <c r="B230" s="31" t="inlineStr">
        <is>
          <t>Nilkamal Limited</t>
        </is>
      </c>
      <c r="C230" s="31" t="inlineStr">
        <is>
          <t>plastic products</t>
        </is>
      </c>
      <c r="D230" s="31" t="inlineStr">
        <is>
          <t>plastics products</t>
        </is>
      </c>
      <c r="E230" s="31" t="inlineStr">
        <is>
          <t>smallcap</t>
        </is>
      </c>
      <c r="F230" s="31" t="n">
        <v>3150.29</v>
      </c>
      <c r="G230" s="31" t="n">
        <v>2116.5</v>
      </c>
      <c r="H230" s="31" t="n">
        <v>0.26</v>
      </c>
      <c r="I230" s="31" t="n">
        <v>19143</v>
      </c>
      <c r="J230" s="31" t="inlineStr">
        <is>
          <t>523385</t>
        </is>
      </c>
    </row>
    <row r="231">
      <c r="A231" s="31" t="inlineStr">
        <is>
          <t>INDIGOPNTS</t>
        </is>
      </c>
      <c r="B231" s="31" t="inlineStr">
        <is>
          <t>Indigo Paints Ltd</t>
        </is>
      </c>
      <c r="C231" s="31" t="inlineStr">
        <is>
          <t>building materials</t>
        </is>
      </c>
      <c r="D231" s="31" t="inlineStr">
        <is>
          <t>paints / varnishes</t>
        </is>
      </c>
      <c r="E231" s="31" t="inlineStr">
        <is>
          <t>midcap</t>
        </is>
      </c>
      <c r="F231" s="31" t="n">
        <v>5640.51</v>
      </c>
      <c r="G231" s="31" t="n">
        <v>1185.8</v>
      </c>
      <c r="H231" s="31" t="n">
        <v>0.23</v>
      </c>
      <c r="I231" s="31" t="n">
        <v>94147</v>
      </c>
      <c r="J231" s="31" t="inlineStr">
        <is>
          <t>543258</t>
        </is>
      </c>
    </row>
    <row r="232">
      <c r="A232" s="31" t="inlineStr">
        <is>
          <t>ASIANHOTNR</t>
        </is>
      </c>
      <c r="B232" s="31" t="inlineStr">
        <is>
          <t>Asian Hotels (north) Limited</t>
        </is>
      </c>
      <c r="C232" s="31" t="inlineStr">
        <is>
          <t>services</t>
        </is>
      </c>
      <c r="D232" s="31" t="inlineStr">
        <is>
          <t>hotels</t>
        </is>
      </c>
      <c r="E232" s="31" t="inlineStr">
        <is>
          <t>smallcap</t>
        </is>
      </c>
      <c r="F232" s="31" t="n">
        <v>1636.48</v>
      </c>
      <c r="G232" s="31" t="n">
        <v>384.75</v>
      </c>
      <c r="H232" s="31" t="n">
        <v>0.23</v>
      </c>
      <c r="I232" s="31" t="n">
        <v>10682</v>
      </c>
      <c r="J232" s="31" t="inlineStr">
        <is>
          <t>500023</t>
        </is>
      </c>
    </row>
    <row r="233">
      <c r="A233" s="31" t="inlineStr">
        <is>
          <t>JSWDULUX</t>
        </is>
      </c>
      <c r="B233" s="31" t="inlineStr">
        <is>
          <t>JSW Dulux Ltd</t>
        </is>
      </c>
      <c r="C233" s="31" t="inlineStr">
        <is>
          <t>building materials</t>
        </is>
      </c>
      <c r="D233" s="31" t="inlineStr">
        <is>
          <t>paints / varnishes</t>
        </is>
      </c>
      <c r="E233" s="31" t="inlineStr">
        <is>
          <t>midcap</t>
        </is>
      </c>
      <c r="F233" s="31" t="n">
        <v>14425.35</v>
      </c>
      <c r="G233" s="31" t="n">
        <v>3174.5</v>
      </c>
      <c r="H233" s="31" t="n">
        <v>0.22</v>
      </c>
      <c r="I233" s="31" t="n">
        <v>24093</v>
      </c>
      <c r="J233" s="31" t="inlineStr">
        <is>
          <t>500710</t>
        </is>
      </c>
    </row>
    <row r="234">
      <c r="A234" s="31" t="inlineStr">
        <is>
          <t>INDGN</t>
        </is>
      </c>
      <c r="B234" s="31" t="inlineStr">
        <is>
          <t>Indegene Ltd</t>
        </is>
      </c>
      <c r="C234" s="31" t="inlineStr">
        <is>
          <t>healthcare</t>
        </is>
      </c>
      <c r="D234" s="31" t="inlineStr">
        <is>
          <t>miscellaneous</t>
        </is>
      </c>
      <c r="E234" s="31" t="inlineStr">
        <is>
          <t>midcap</t>
        </is>
      </c>
      <c r="F234" s="31" t="n">
        <v>14460.87</v>
      </c>
      <c r="G234" s="31" t="n">
        <v>601.5</v>
      </c>
      <c r="H234" s="31" t="n">
        <v>0.22</v>
      </c>
      <c r="I234" s="31" t="n">
        <v>804735</v>
      </c>
      <c r="J234" s="31" t="inlineStr">
        <is>
          <t>544172</t>
        </is>
      </c>
    </row>
    <row r="235">
      <c r="A235" s="31" t="inlineStr">
        <is>
          <t>SBFC</t>
        </is>
      </c>
      <c r="B235" s="31" t="inlineStr">
        <is>
          <t>SBFC Finance Ltd</t>
        </is>
      </c>
      <c r="C235" s="31" t="inlineStr">
        <is>
          <t>financials</t>
        </is>
      </c>
      <c r="D235" s="31" t="inlineStr">
        <is>
          <t>finance &amp; investments</t>
        </is>
      </c>
      <c r="E235" s="31" t="inlineStr">
        <is>
          <t>midcap</t>
        </is>
      </c>
      <c r="F235" s="31" t="n">
        <v>11061.99</v>
      </c>
      <c r="G235" s="31" t="n">
        <v>100.08</v>
      </c>
      <c r="H235" s="31" t="n">
        <v>0.18</v>
      </c>
      <c r="I235" s="31" t="n">
        <v>817043</v>
      </c>
      <c r="J235" s="31" t="inlineStr">
        <is>
          <t>543959</t>
        </is>
      </c>
    </row>
    <row r="236">
      <c r="A236" s="31" t="inlineStr">
        <is>
          <t>KOPRAN</t>
        </is>
      </c>
      <c r="B236" s="31" t="inlineStr">
        <is>
          <t>Kopran Limited</t>
        </is>
      </c>
      <c r="C236" s="31" t="inlineStr">
        <is>
          <t>healthcare</t>
        </is>
      </c>
      <c r="D236" s="31" t="inlineStr">
        <is>
          <t>pharmaceuticals - indian - bulk drugs &amp; formln</t>
        </is>
      </c>
      <c r="E236" s="31" t="inlineStr">
        <is>
          <t>smallcap</t>
        </is>
      </c>
      <c r="F236" s="31" t="n">
        <v>1121.38</v>
      </c>
      <c r="G236" s="31" t="n">
        <v>232.54</v>
      </c>
      <c r="H236" s="31" t="n">
        <v>0.13</v>
      </c>
      <c r="I236" s="31" t="n">
        <v>661197</v>
      </c>
      <c r="J236" s="31" t="inlineStr">
        <is>
          <t>524280</t>
        </is>
      </c>
    </row>
    <row r="237">
      <c r="A237" s="31" t="inlineStr">
        <is>
          <t>KROSS</t>
        </is>
      </c>
      <c r="B237" s="31" t="inlineStr">
        <is>
          <t>Kross Ltd</t>
        </is>
      </c>
      <c r="C237" s="31" t="inlineStr">
        <is>
          <t>auto</t>
        </is>
      </c>
      <c r="D237" s="31" t="inlineStr">
        <is>
          <t>auto ancillaries</t>
        </is>
      </c>
      <c r="E237" s="31" t="inlineStr">
        <is>
          <t>smallcap</t>
        </is>
      </c>
      <c r="F237" s="31" t="n">
        <v>1363.34</v>
      </c>
      <c r="G237" s="31" t="n">
        <v>211.57</v>
      </c>
      <c r="H237" s="31" t="n">
        <v>0.11</v>
      </c>
      <c r="I237" s="31" t="n">
        <v>223590</v>
      </c>
      <c r="J237" s="31" t="inlineStr">
        <is>
          <t>544253</t>
        </is>
      </c>
    </row>
    <row r="238">
      <c r="A238" s="31" t="inlineStr">
        <is>
          <t>KTKBANK</t>
        </is>
      </c>
      <c r="B238" s="31" t="inlineStr">
        <is>
          <t>The Karnataka Bank Limited</t>
        </is>
      </c>
      <c r="C238" s="31" t="inlineStr">
        <is>
          <t>bank</t>
        </is>
      </c>
      <c r="D238" s="31" t="inlineStr">
        <is>
          <t>banks - private sector</t>
        </is>
      </c>
      <c r="E238" s="31" t="inlineStr">
        <is>
          <t>midcap</t>
        </is>
      </c>
      <c r="F238" s="31" t="n">
        <v>12849.46</v>
      </c>
      <c r="G238" s="31" t="n">
        <v>340.1</v>
      </c>
      <c r="H238" s="31" t="n">
        <v>0.1</v>
      </c>
      <c r="I238" s="31" t="n">
        <v>1919012</v>
      </c>
      <c r="J238" s="31" t="inlineStr">
        <is>
          <t>532652</t>
        </is>
      </c>
    </row>
    <row r="239">
      <c r="A239" s="31" t="inlineStr">
        <is>
          <t>GANDHAR</t>
        </is>
      </c>
      <c r="B239" s="31" t="inlineStr">
        <is>
          <t>Gandhar Oil Refinery (India) Ltd</t>
        </is>
      </c>
      <c r="C239" s="31" t="inlineStr">
        <is>
          <t>energy</t>
        </is>
      </c>
      <c r="D239" s="31" t="inlineStr">
        <is>
          <t>refineries</t>
        </is>
      </c>
      <c r="E239" s="31" t="inlineStr">
        <is>
          <t>smallcap</t>
        </is>
      </c>
      <c r="F239" s="31" t="n">
        <v>2617.3</v>
      </c>
      <c r="G239" s="31" t="n">
        <v>267.6</v>
      </c>
      <c r="H239" s="31" t="n">
        <v>0.07000000000000001</v>
      </c>
      <c r="I239" s="31" t="n">
        <v>860917</v>
      </c>
      <c r="J239" s="31" t="inlineStr">
        <is>
          <t>544029</t>
        </is>
      </c>
    </row>
    <row r="240">
      <c r="A240" s="31" t="inlineStr">
        <is>
          <t>YUKEN</t>
        </is>
      </c>
      <c r="B240" s="31" t="inlineStr">
        <is>
          <t>Yuken India Ltd</t>
        </is>
      </c>
      <c r="C240" s="31" t="inlineStr">
        <is>
          <t>industrials</t>
        </is>
      </c>
      <c r="D240" s="31" t="inlineStr">
        <is>
          <t>engineering</t>
        </is>
      </c>
      <c r="E240" s="31" t="inlineStr">
        <is>
          <t>smallcap</t>
        </is>
      </c>
      <c r="F240" s="31" t="n">
        <v>1372.05</v>
      </c>
      <c r="G240" s="31" t="n">
        <v>1010.8</v>
      </c>
      <c r="H240" s="31" t="n">
        <v>0.07000000000000001</v>
      </c>
      <c r="I240" s="31" t="n">
        <v>9116</v>
      </c>
      <c r="J240" s="31" t="inlineStr">
        <is>
          <t>522108</t>
        </is>
      </c>
    </row>
    <row r="241">
      <c r="A241" s="31" t="inlineStr">
        <is>
          <t>COFORGE</t>
        </is>
      </c>
      <c r="B241" s="31" t="inlineStr">
        <is>
          <t>Coforge (Niit Tech) Ltd</t>
        </is>
      </c>
      <c r="C241" s="31" t="inlineStr">
        <is>
          <t>i.t</t>
        </is>
      </c>
      <c r="D241" s="31" t="inlineStr">
        <is>
          <t>computers - software - large</t>
        </is>
      </c>
      <c r="E241" s="31" t="inlineStr">
        <is>
          <t>largecap</t>
        </is>
      </c>
      <c r="F241" s="31" t="n">
        <v>87289.77</v>
      </c>
      <c r="G241" s="31" t="n">
        <v>1972.8</v>
      </c>
      <c r="H241" s="31" t="n">
        <v>0.05</v>
      </c>
      <c r="I241" s="31" t="n">
        <v>1108102</v>
      </c>
      <c r="J241" s="31" t="inlineStr">
        <is>
          <t>532541</t>
        </is>
      </c>
    </row>
    <row r="242">
      <c r="A242" s="31" t="inlineStr">
        <is>
          <t>VSSL</t>
        </is>
      </c>
      <c r="B242" s="31" t="inlineStr">
        <is>
          <t>Vardhman Special Steels Limited</t>
        </is>
      </c>
      <c r="C242" s="31" t="inlineStr">
        <is>
          <t>metals &amp; mining</t>
        </is>
      </c>
      <c r="D242" s="31" t="inlineStr">
        <is>
          <t>steel - medium / small</t>
        </is>
      </c>
      <c r="E242" s="31" t="inlineStr">
        <is>
          <t>smallcap</t>
        </is>
      </c>
      <c r="F242" s="31" t="n">
        <v>3518.88</v>
      </c>
      <c r="G242" s="31" t="n">
        <v>364.15</v>
      </c>
      <c r="H242" s="31" t="n">
        <v>0.05</v>
      </c>
      <c r="I242" s="31" t="n">
        <v>140547</v>
      </c>
      <c r="J242" s="31" t="inlineStr">
        <is>
          <t>534392</t>
        </is>
      </c>
    </row>
    <row r="243">
      <c r="A243" s="31" t="inlineStr">
        <is>
          <t>DIVGIITTS</t>
        </is>
      </c>
      <c r="B243" s="31" t="inlineStr">
        <is>
          <t>Divgi Torqtransfer Systems Ltd</t>
        </is>
      </c>
      <c r="C243" s="31" t="inlineStr">
        <is>
          <t>auto</t>
        </is>
      </c>
      <c r="D243" s="31" t="inlineStr">
        <is>
          <t>auto ancillaries</t>
        </is>
      </c>
      <c r="E243" s="31" t="inlineStr">
        <is>
          <t>smallcap</t>
        </is>
      </c>
      <c r="F243" s="31" t="n">
        <v>3777.6</v>
      </c>
      <c r="G243" s="31" t="n">
        <v>1235.8</v>
      </c>
      <c r="H243" s="31" t="n">
        <v>0.05</v>
      </c>
      <c r="I243" s="31" t="n">
        <v>94690</v>
      </c>
      <c r="J243" s="31" t="inlineStr">
        <is>
          <t>543812</t>
        </is>
      </c>
    </row>
    <row r="244">
      <c r="A244" s="31" t="inlineStr">
        <is>
          <t>CDSL</t>
        </is>
      </c>
      <c r="B244" s="31" t="inlineStr">
        <is>
          <t>Central Depository Services Ltd</t>
        </is>
      </c>
      <c r="C244" s="31" t="inlineStr">
        <is>
          <t>financials</t>
        </is>
      </c>
      <c r="D244" s="31" t="inlineStr">
        <is>
          <t>miscellaneous</t>
        </is>
      </c>
      <c r="E244" s="31" t="inlineStr">
        <is>
          <t>largecap</t>
        </is>
      </c>
      <c r="F244" s="31" t="n">
        <v>29134.6</v>
      </c>
      <c r="G244" s="31" t="n">
        <v>1394.6</v>
      </c>
      <c r="H244" s="31" t="n">
        <v>0.04</v>
      </c>
      <c r="I244" s="31" t="n">
        <v>1117172</v>
      </c>
      <c r="J244" s="31" t="n"/>
    </row>
    <row r="245">
      <c r="A245" s="31" t="inlineStr">
        <is>
          <t>SAGILITY</t>
        </is>
      </c>
      <c r="B245" s="31" t="inlineStr">
        <is>
          <t>Sagility India Ltd</t>
        </is>
      </c>
      <c r="C245" s="31" t="inlineStr">
        <is>
          <t>i.t</t>
        </is>
      </c>
      <c r="D245" s="31" t="inlineStr">
        <is>
          <t>computers - software - medium / small</t>
        </is>
      </c>
      <c r="E245" s="31" t="inlineStr">
        <is>
          <t>largecap</t>
        </is>
      </c>
      <c r="F245" s="31" t="n">
        <v>21908.62</v>
      </c>
      <c r="G245" s="31" t="n">
        <v>46.82</v>
      </c>
      <c r="H245" s="31" t="n">
        <v>0.04</v>
      </c>
      <c r="I245" s="31" t="n">
        <v>11136928</v>
      </c>
      <c r="J245" s="31" t="inlineStr">
        <is>
          <t>544282</t>
        </is>
      </c>
    </row>
    <row r="246">
      <c r="A246" s="31" t="inlineStr">
        <is>
          <t>DLF</t>
        </is>
      </c>
      <c r="B246" s="31" t="inlineStr">
        <is>
          <t>Dlf Limited</t>
        </is>
      </c>
      <c r="C246" s="31" t="inlineStr">
        <is>
          <t>realty</t>
        </is>
      </c>
      <c r="D246" s="31" t="inlineStr">
        <is>
          <t>construction</t>
        </is>
      </c>
      <c r="E246" s="31" t="inlineStr">
        <is>
          <t>largecap</t>
        </is>
      </c>
      <c r="F246" s="31" t="n">
        <v>168729.62</v>
      </c>
      <c r="G246" s="31" t="n">
        <v>681.9</v>
      </c>
      <c r="H246" s="31" t="n">
        <v>0.04</v>
      </c>
      <c r="I246" s="31" t="n">
        <v>1911967</v>
      </c>
      <c r="J246" s="31" t="inlineStr">
        <is>
          <t>532868</t>
        </is>
      </c>
    </row>
    <row r="247">
      <c r="A247" s="31" t="inlineStr">
        <is>
          <t>PTCIL</t>
        </is>
      </c>
      <c r="B247" s="31" t="inlineStr">
        <is>
          <t>PTC Industries Ltd</t>
        </is>
      </c>
      <c r="C247" s="31" t="inlineStr">
        <is>
          <t>industrials</t>
        </is>
      </c>
      <c r="D247" s="31" t="inlineStr">
        <is>
          <t>castings &amp; forgings</t>
        </is>
      </c>
      <c r="E247" s="31" t="inlineStr">
        <is>
          <t>largecap</t>
        </is>
      </c>
      <c r="F247" s="31" t="n">
        <v>35712.25</v>
      </c>
      <c r="G247" s="31" t="n">
        <v>23830</v>
      </c>
      <c r="H247" s="31" t="n">
        <v>0.04</v>
      </c>
      <c r="I247" s="31" t="n">
        <v>65344</v>
      </c>
      <c r="J247" s="31" t="inlineStr">
        <is>
          <t>539006</t>
        </is>
      </c>
    </row>
    <row r="248">
      <c r="A248" s="31" t="inlineStr">
        <is>
          <t>PANACHE</t>
        </is>
      </c>
      <c r="B248" s="31" t="inlineStr">
        <is>
          <t>Panache Digilife Ltd</t>
        </is>
      </c>
      <c r="C248" s="31" t="inlineStr">
        <is>
          <t>i.t</t>
        </is>
      </c>
      <c r="D248" s="31" t="inlineStr">
        <is>
          <t>computers - hardware</t>
        </is>
      </c>
      <c r="E248" s="31" t="inlineStr">
        <is>
          <t>smallcap</t>
        </is>
      </c>
      <c r="F248" s="31" t="n">
        <v>840.74</v>
      </c>
      <c r="G248" s="31" t="n">
        <v>525</v>
      </c>
      <c r="H248" s="31" t="n">
        <v>0</v>
      </c>
      <c r="I248" s="31" t="n">
        <v>3723</v>
      </c>
      <c r="J248" s="31" t="inlineStr">
        <is>
          <t>538424</t>
        </is>
      </c>
    </row>
    <row r="249">
      <c r="A249" s="31" t="inlineStr">
        <is>
          <t>HITECHCORP</t>
        </is>
      </c>
      <c r="B249" s="31" t="inlineStr">
        <is>
          <t>Hitech Corporation</t>
        </is>
      </c>
      <c r="C249" s="31" t="inlineStr">
        <is>
          <t>industrials</t>
        </is>
      </c>
      <c r="D249" s="31" t="inlineStr">
        <is>
          <t>packaging</t>
        </is>
      </c>
      <c r="E249" s="31" t="inlineStr">
        <is>
          <t>smallcap</t>
        </is>
      </c>
      <c r="F249" s="31" t="n">
        <v>578.8200000000001</v>
      </c>
      <c r="G249" s="31" t="n">
        <v>337</v>
      </c>
      <c r="H249" s="31" t="n">
        <v>0</v>
      </c>
      <c r="I249" s="31" t="n">
        <v>6573</v>
      </c>
      <c r="J249" s="31" t="inlineStr">
        <is>
          <t>526217</t>
        </is>
      </c>
    </row>
    <row r="250">
      <c r="A250" s="31" t="inlineStr">
        <is>
          <t>BANKINDIA</t>
        </is>
      </c>
      <c r="B250" s="31" t="inlineStr">
        <is>
          <t>Bank Of India Ltd</t>
        </is>
      </c>
      <c r="C250" s="31" t="inlineStr">
        <is>
          <t>bank</t>
        </is>
      </c>
      <c r="D250" s="31" t="inlineStr">
        <is>
          <t>banks - public sector</t>
        </is>
      </c>
      <c r="E250" s="31" t="inlineStr">
        <is>
          <t>largecap</t>
        </is>
      </c>
      <c r="F250" s="31" t="n">
        <v>66013.67999999999</v>
      </c>
      <c r="G250" s="31" t="n">
        <v>145</v>
      </c>
      <c r="H250" s="31" t="n">
        <v>0</v>
      </c>
      <c r="I250" s="31" t="n">
        <v>2902558</v>
      </c>
      <c r="J250" s="31" t="inlineStr">
        <is>
          <t>532149</t>
        </is>
      </c>
    </row>
    <row r="251">
      <c r="A251" s="31" t="inlineStr">
        <is>
          <t>BAJAJ-AUTO</t>
        </is>
      </c>
      <c r="B251" s="31" t="inlineStr">
        <is>
          <t>Bajaj Auto Limited</t>
        </is>
      </c>
      <c r="C251" s="31" t="inlineStr">
        <is>
          <t>auto</t>
        </is>
      </c>
      <c r="D251" s="31" t="inlineStr">
        <is>
          <t>automobiles - scooters and 3 - wheelers</t>
        </is>
      </c>
      <c r="E251" s="31" t="inlineStr">
        <is>
          <t>largecap</t>
        </is>
      </c>
      <c r="F251" s="31" t="n">
        <v>333161.42</v>
      </c>
      <c r="G251" s="31" t="n">
        <v>11919</v>
      </c>
      <c r="H251" s="31" t="n">
        <v>-0.01</v>
      </c>
      <c r="I251" s="31" t="n">
        <v>154199</v>
      </c>
      <c r="J251" s="31" t="inlineStr">
        <is>
          <t>532977</t>
        </is>
      </c>
    </row>
    <row r="252">
      <c r="A252" s="31" t="inlineStr">
        <is>
          <t>BFINVEST</t>
        </is>
      </c>
      <c r="B252" s="31" t="inlineStr">
        <is>
          <t>Bf Investment Limited</t>
        </is>
      </c>
      <c r="C252" s="31" t="inlineStr">
        <is>
          <t>financials</t>
        </is>
      </c>
      <c r="D252" s="31" t="inlineStr">
        <is>
          <t>finance &amp; investments</t>
        </is>
      </c>
      <c r="E252" s="31" t="inlineStr">
        <is>
          <t>smallcap</t>
        </is>
      </c>
      <c r="F252" s="31" t="n">
        <v>1768.31</v>
      </c>
      <c r="G252" s="31" t="n">
        <v>469.35</v>
      </c>
      <c r="H252" s="31" t="n">
        <v>-0.02</v>
      </c>
      <c r="I252" s="31" t="n">
        <v>33149</v>
      </c>
      <c r="J252" s="31" t="inlineStr">
        <is>
          <t>533303</t>
        </is>
      </c>
    </row>
    <row r="253">
      <c r="A253" s="31" t="inlineStr">
        <is>
          <t>RAMRAT</t>
        </is>
      </c>
      <c r="B253" s="31" t="inlineStr">
        <is>
          <t>Ram Ratna Wires Ltd</t>
        </is>
      </c>
      <c r="C253" s="31" t="inlineStr">
        <is>
          <t>metals &amp; mining</t>
        </is>
      </c>
      <c r="D253" s="31" t="inlineStr">
        <is>
          <t>mining / minerals / metals</t>
        </is>
      </c>
      <c r="E253" s="31" t="inlineStr">
        <is>
          <t>midcap</t>
        </is>
      </c>
      <c r="F253" s="31" t="n">
        <v>5235.02</v>
      </c>
      <c r="G253" s="31" t="n">
        <v>560.65</v>
      </c>
      <c r="H253" s="31" t="n">
        <v>-0.03</v>
      </c>
      <c r="I253" s="31" t="n">
        <v>342804</v>
      </c>
      <c r="J253" s="31" t="inlineStr">
        <is>
          <t>522281</t>
        </is>
      </c>
    </row>
    <row r="254">
      <c r="A254" s="31" t="inlineStr">
        <is>
          <t>UNIVASTU</t>
        </is>
      </c>
      <c r="B254" s="31" t="inlineStr">
        <is>
          <t>Univastu India Ltd</t>
        </is>
      </c>
      <c r="C254" s="31" t="inlineStr">
        <is>
          <t>realty</t>
        </is>
      </c>
      <c r="D254" s="31" t="inlineStr">
        <is>
          <t>construction</t>
        </is>
      </c>
      <c r="E254" s="31" t="inlineStr">
        <is>
          <t>smallcap</t>
        </is>
      </c>
      <c r="F254" s="31" t="n">
        <v>636.39</v>
      </c>
      <c r="G254" s="31" t="n">
        <v>168.34</v>
      </c>
      <c r="H254" s="31" t="n">
        <v>-0.04</v>
      </c>
      <c r="I254" s="31" t="n">
        <v>70087</v>
      </c>
      <c r="J254" s="31" t="inlineStr">
        <is>
          <t>538442</t>
        </is>
      </c>
    </row>
    <row r="255">
      <c r="A255" s="31" t="inlineStr">
        <is>
          <t>INGERRAND</t>
        </is>
      </c>
      <c r="B255" s="31" t="inlineStr">
        <is>
          <t>Ingersoll Rand (india) Limited</t>
        </is>
      </c>
      <c r="C255" s="31" t="inlineStr">
        <is>
          <t>industrials</t>
        </is>
      </c>
      <c r="D255" s="31" t="inlineStr">
        <is>
          <t>compressors / drilling equipment</t>
        </is>
      </c>
      <c r="E255" s="31" t="inlineStr">
        <is>
          <t>midcap</t>
        </is>
      </c>
      <c r="F255" s="31" t="n">
        <v>15299.12</v>
      </c>
      <c r="G255" s="31" t="n">
        <v>4844.7</v>
      </c>
      <c r="H255" s="31" t="n">
        <v>-0.04</v>
      </c>
      <c r="I255" s="31" t="n">
        <v>11320</v>
      </c>
      <c r="J255" s="31" t="inlineStr">
        <is>
          <t>500210</t>
        </is>
      </c>
    </row>
    <row r="256">
      <c r="A256" s="31" t="inlineStr">
        <is>
          <t>VRLLOG</t>
        </is>
      </c>
      <c r="B256" s="31" t="inlineStr">
        <is>
          <t>Vrl Logistics Limited</t>
        </is>
      </c>
      <c r="C256" s="31" t="inlineStr">
        <is>
          <t>transportation</t>
        </is>
      </c>
      <c r="D256" s="31" t="inlineStr">
        <is>
          <t>miscellaneous</t>
        </is>
      </c>
      <c r="E256" s="31" t="inlineStr">
        <is>
          <t>midcap</t>
        </is>
      </c>
      <c r="F256" s="31" t="n">
        <v>5210.5</v>
      </c>
      <c r="G256" s="31" t="n">
        <v>297.7</v>
      </c>
      <c r="H256" s="31" t="n">
        <v>-0.05</v>
      </c>
      <c r="I256" s="31" t="n">
        <v>133531</v>
      </c>
      <c r="J256" s="31" t="inlineStr">
        <is>
          <t>539118</t>
        </is>
      </c>
    </row>
    <row r="257">
      <c r="A257" s="31" t="inlineStr">
        <is>
          <t>GEOJITFSL</t>
        </is>
      </c>
      <c r="B257" s="31" t="inlineStr">
        <is>
          <t>Geojit Financial Services Ltd</t>
        </is>
      </c>
      <c r="C257" s="31" t="inlineStr">
        <is>
          <t>financials</t>
        </is>
      </c>
      <c r="D257" s="31" t="inlineStr">
        <is>
          <t>finance &amp; investments</t>
        </is>
      </c>
      <c r="E257" s="31" t="inlineStr">
        <is>
          <t>smallcap</t>
        </is>
      </c>
      <c r="F257" s="31" t="n">
        <v>2310.29</v>
      </c>
      <c r="G257" s="31" t="n">
        <v>82.72</v>
      </c>
      <c r="H257" s="31" t="n">
        <v>-0.06</v>
      </c>
      <c r="I257" s="31" t="n">
        <v>332909</v>
      </c>
      <c r="J257" s="31" t="inlineStr">
        <is>
          <t>532285</t>
        </is>
      </c>
    </row>
    <row r="258">
      <c r="A258" s="31" t="inlineStr">
        <is>
          <t>JSL</t>
        </is>
      </c>
      <c r="B258" s="31" t="inlineStr">
        <is>
          <t>Jindal Stainless Limited</t>
        </is>
      </c>
      <c r="C258" s="31" t="inlineStr">
        <is>
          <t>metals &amp; mining</t>
        </is>
      </c>
      <c r="D258" s="31" t="inlineStr">
        <is>
          <t>steel - large</t>
        </is>
      </c>
      <c r="E258" s="31" t="inlineStr">
        <is>
          <t>largecap</t>
        </is>
      </c>
      <c r="F258" s="31" t="n">
        <v>60875.14</v>
      </c>
      <c r="G258" s="31" t="n">
        <v>737.85</v>
      </c>
      <c r="H258" s="31" t="n">
        <v>-0.07000000000000001</v>
      </c>
      <c r="I258" s="31" t="n">
        <v>780597</v>
      </c>
      <c r="J258" s="31" t="inlineStr">
        <is>
          <t>532508</t>
        </is>
      </c>
    </row>
    <row r="259">
      <c r="A259" s="31" t="inlineStr">
        <is>
          <t>WINDLAS</t>
        </is>
      </c>
      <c r="B259" s="31" t="inlineStr">
        <is>
          <t>Windlas Biotech Ltd</t>
        </is>
      </c>
      <c r="C259" s="31" t="inlineStr">
        <is>
          <t>healthcare</t>
        </is>
      </c>
      <c r="D259" s="31" t="inlineStr">
        <is>
          <t>pharmaceuticals - indian - formulations</t>
        </is>
      </c>
      <c r="E259" s="31" t="inlineStr">
        <is>
          <t>smallcap</t>
        </is>
      </c>
      <c r="F259" s="31" t="n">
        <v>2325.91</v>
      </c>
      <c r="G259" s="31" t="n">
        <v>1126.35</v>
      </c>
      <c r="H259" s="31" t="n">
        <v>-0.07000000000000001</v>
      </c>
      <c r="I259" s="31" t="n">
        <v>190854</v>
      </c>
      <c r="J259" s="31" t="inlineStr">
        <is>
          <t>543329</t>
        </is>
      </c>
    </row>
    <row r="260">
      <c r="A260" s="31" t="inlineStr">
        <is>
          <t>KANORICHEM</t>
        </is>
      </c>
      <c r="B260" s="31" t="inlineStr">
        <is>
          <t>Kanoria Chemicals &amp; Industries Limited</t>
        </is>
      </c>
      <c r="C260" s="31" t="inlineStr">
        <is>
          <t>chemicals</t>
        </is>
      </c>
      <c r="D260" s="31" t="inlineStr">
        <is>
          <t>chemicals</t>
        </is>
      </c>
      <c r="E260" s="31" t="inlineStr">
        <is>
          <t>smallcap</t>
        </is>
      </c>
      <c r="F260" s="31" t="n">
        <v>680.22</v>
      </c>
      <c r="G260" s="31" t="n">
        <v>155.56</v>
      </c>
      <c r="H260" s="31" t="n">
        <v>-0.08</v>
      </c>
      <c r="I260" s="31" t="n">
        <v>14865</v>
      </c>
      <c r="J260" s="31" t="inlineStr">
        <is>
          <t>506525</t>
        </is>
      </c>
    </row>
    <row r="261">
      <c r="A261" s="31" t="inlineStr">
        <is>
          <t>SUVEN</t>
        </is>
      </c>
      <c r="B261" s="31" t="inlineStr">
        <is>
          <t>Suven Life Sciences Limited</t>
        </is>
      </c>
      <c r="C261" s="31" t="inlineStr">
        <is>
          <t>healthcare</t>
        </is>
      </c>
      <c r="D261" s="31" t="inlineStr">
        <is>
          <t>miscellaneous</t>
        </is>
      </c>
      <c r="E261" s="31" t="inlineStr">
        <is>
          <t>smallcap</t>
        </is>
      </c>
      <c r="F261" s="31" t="n">
        <v>730.92</v>
      </c>
      <c r="G261" s="31" t="n">
        <v>378</v>
      </c>
      <c r="H261" s="31" t="n">
        <v>-0.09</v>
      </c>
      <c r="I261" s="31" t="n">
        <v>494667</v>
      </c>
      <c r="J261" s="31" t="inlineStr">
        <is>
          <t>530239</t>
        </is>
      </c>
    </row>
    <row r="262">
      <c r="A262" s="31" t="inlineStr">
        <is>
          <t>MATRIMONY</t>
        </is>
      </c>
      <c r="B262" s="31" t="inlineStr">
        <is>
          <t>Matrimony.com Ltd</t>
        </is>
      </c>
      <c r="C262" s="31" t="inlineStr">
        <is>
          <t>miscellaneous</t>
        </is>
      </c>
      <c r="D262" s="31" t="inlineStr">
        <is>
          <t>miscellaneous</t>
        </is>
      </c>
      <c r="E262" s="31" t="inlineStr">
        <is>
          <t>smallcap</t>
        </is>
      </c>
      <c r="F262" s="31" t="n">
        <v>1094.86</v>
      </c>
      <c r="G262" s="31" t="n">
        <v>529.05</v>
      </c>
      <c r="H262" s="31" t="n">
        <v>-0.1</v>
      </c>
      <c r="I262" s="31" t="n">
        <v>7124</v>
      </c>
      <c r="J262" s="31" t="inlineStr">
        <is>
          <t>540704</t>
        </is>
      </c>
    </row>
    <row r="263">
      <c r="A263" s="31" t="inlineStr">
        <is>
          <t>JAYAGROGN</t>
        </is>
      </c>
      <c r="B263" s="31" t="inlineStr">
        <is>
          <t>Jayant Agro Organics Limited</t>
        </is>
      </c>
      <c r="C263" s="31" t="inlineStr">
        <is>
          <t>chemicals</t>
        </is>
      </c>
      <c r="D263" s="31" t="inlineStr">
        <is>
          <t>chemicals</t>
        </is>
      </c>
      <c r="E263" s="31" t="inlineStr">
        <is>
          <t>smallcap</t>
        </is>
      </c>
      <c r="F263" s="31" t="n">
        <v>692.49</v>
      </c>
      <c r="G263" s="31" t="n">
        <v>230.6</v>
      </c>
      <c r="H263" s="31" t="n">
        <v>-0.1</v>
      </c>
      <c r="I263" s="31" t="n">
        <v>8025</v>
      </c>
      <c r="J263" s="31" t="inlineStr">
        <is>
          <t>524330</t>
        </is>
      </c>
    </row>
    <row r="264">
      <c r="A264" s="31" t="inlineStr">
        <is>
          <t>SAIL</t>
        </is>
      </c>
      <c r="B264" s="31" t="inlineStr">
        <is>
          <t>Steel Authority Of India Limited</t>
        </is>
      </c>
      <c r="C264" s="31" t="inlineStr">
        <is>
          <t>metals &amp; mining</t>
        </is>
      </c>
      <c r="D264" s="31" t="inlineStr">
        <is>
          <t>steel - large</t>
        </is>
      </c>
      <c r="E264" s="31" t="inlineStr">
        <is>
          <t>largecap</t>
        </is>
      </c>
      <c r="F264" s="31" t="n">
        <v>81371.35000000001</v>
      </c>
      <c r="G264" s="31" t="n">
        <v>196.8</v>
      </c>
      <c r="H264" s="31" t="n">
        <v>-0.1</v>
      </c>
      <c r="I264" s="31" t="n">
        <v>19094202</v>
      </c>
      <c r="J264" s="31" t="inlineStr">
        <is>
          <t>500113</t>
        </is>
      </c>
    </row>
    <row r="265">
      <c r="A265" s="31" t="inlineStr">
        <is>
          <t>VINDHYATEL</t>
        </is>
      </c>
      <c r="B265" s="31" t="inlineStr">
        <is>
          <t>Vindhya Telelinks Limited</t>
        </is>
      </c>
      <c r="C265" s="31" t="inlineStr">
        <is>
          <t>realty</t>
        </is>
      </c>
      <c r="D265" s="31" t="inlineStr">
        <is>
          <t>construction</t>
        </is>
      </c>
      <c r="E265" s="31" t="inlineStr">
        <is>
          <t>smallcap</t>
        </is>
      </c>
      <c r="F265" s="31" t="n">
        <v>3242.63</v>
      </c>
      <c r="G265" s="31" t="n">
        <v>2732.7</v>
      </c>
      <c r="H265" s="31" t="n">
        <v>-0.13</v>
      </c>
      <c r="I265" s="31" t="n">
        <v>82288</v>
      </c>
      <c r="J265" s="31" t="inlineStr">
        <is>
          <t>517015</t>
        </is>
      </c>
    </row>
    <row r="266">
      <c r="A266" s="31" t="inlineStr">
        <is>
          <t>PPLPHARMA</t>
        </is>
      </c>
      <c r="B266" s="31" t="inlineStr">
        <is>
          <t>Piramal Pharma Ltd</t>
        </is>
      </c>
      <c r="C266" s="31" t="inlineStr">
        <is>
          <t>healthcare</t>
        </is>
      </c>
      <c r="D266" s="31" t="inlineStr">
        <is>
          <t>pharmaceuticals - indian - bulk drugs &amp; formln</t>
        </is>
      </c>
      <c r="E266" s="31" t="inlineStr">
        <is>
          <t>largecap</t>
        </is>
      </c>
      <c r="F266" s="31" t="n">
        <v>28556.09</v>
      </c>
      <c r="G266" s="31" t="n">
        <v>214.22</v>
      </c>
      <c r="H266" s="31" t="n">
        <v>-0.13</v>
      </c>
      <c r="I266" s="31" t="n">
        <v>2618467</v>
      </c>
      <c r="J266" s="31" t="inlineStr">
        <is>
          <t>543635</t>
        </is>
      </c>
    </row>
    <row r="267">
      <c r="A267" s="31" t="inlineStr">
        <is>
          <t>BHEL</t>
        </is>
      </c>
      <c r="B267" s="31" t="inlineStr">
        <is>
          <t>Bharat Heavy Electricals Limited</t>
        </is>
      </c>
      <c r="C267" s="31" t="inlineStr">
        <is>
          <t>industrials</t>
        </is>
      </c>
      <c r="D267" s="31" t="inlineStr">
        <is>
          <t>electric equipment</t>
        </is>
      </c>
      <c r="E267" s="31" t="inlineStr">
        <is>
          <t>largecap</t>
        </is>
      </c>
      <c r="F267" s="31" t="n">
        <v>150355.5</v>
      </c>
      <c r="G267" s="31" t="n">
        <v>431.1</v>
      </c>
      <c r="H267" s="31" t="n">
        <v>-0.16</v>
      </c>
      <c r="I267" s="31" t="n">
        <v>5925391</v>
      </c>
      <c r="J267" s="31" t="inlineStr">
        <is>
          <t>500103</t>
        </is>
      </c>
    </row>
    <row r="268">
      <c r="A268" s="31" t="inlineStr">
        <is>
          <t>ELECTCAST</t>
        </is>
      </c>
      <c r="B268" s="31" t="inlineStr">
        <is>
          <t>Electrosteel Castings Limited</t>
        </is>
      </c>
      <c r="C268" s="31" t="inlineStr">
        <is>
          <t>industrials</t>
        </is>
      </c>
      <c r="D268" s="31" t="inlineStr">
        <is>
          <t>castings &amp; forgings</t>
        </is>
      </c>
      <c r="E268" s="31" t="inlineStr">
        <is>
          <t>midcap</t>
        </is>
      </c>
      <c r="F268" s="31" t="n">
        <v>5183.48</v>
      </c>
      <c r="G268" s="31" t="n">
        <v>83.70999999999999</v>
      </c>
      <c r="H268" s="31" t="n">
        <v>-0.17</v>
      </c>
      <c r="I268" s="31" t="n">
        <v>1762760</v>
      </c>
      <c r="J268" s="31" t="inlineStr">
        <is>
          <t>500128</t>
        </is>
      </c>
    </row>
    <row r="269">
      <c r="A269" s="31" t="inlineStr">
        <is>
          <t>GUJALKALI</t>
        </is>
      </c>
      <c r="B269" s="31" t="inlineStr">
        <is>
          <t>Gujarat Alkalies And Chemicals Limited</t>
        </is>
      </c>
      <c r="C269" s="31" t="inlineStr">
        <is>
          <t>chemicals</t>
        </is>
      </c>
      <c r="D269" s="31" t="inlineStr">
        <is>
          <t>chemicals</t>
        </is>
      </c>
      <c r="E269" s="31" t="inlineStr">
        <is>
          <t>midcap</t>
        </is>
      </c>
      <c r="F269" s="31" t="n">
        <v>5308.39</v>
      </c>
      <c r="G269" s="31" t="n">
        <v>721.6</v>
      </c>
      <c r="H269" s="31" t="n">
        <v>-0.17</v>
      </c>
      <c r="I269" s="31" t="n">
        <v>109374</v>
      </c>
      <c r="J269" s="31" t="inlineStr">
        <is>
          <t>530001</t>
        </is>
      </c>
    </row>
    <row r="270">
      <c r="A270" s="31" t="inlineStr">
        <is>
          <t>NITINSPIN</t>
        </is>
      </c>
      <c r="B270" s="31" t="inlineStr">
        <is>
          <t>Nitin Spinners Limited</t>
        </is>
      </c>
      <c r="C270" s="31" t="inlineStr">
        <is>
          <t>textiles</t>
        </is>
      </c>
      <c r="D270" s="31" t="inlineStr">
        <is>
          <t>textiles - cotton/blended</t>
        </is>
      </c>
      <c r="E270" s="31" t="inlineStr">
        <is>
          <t>smallcap</t>
        </is>
      </c>
      <c r="F270" s="31" t="n">
        <v>3599.49</v>
      </c>
      <c r="G270" s="31" t="n">
        <v>639.05</v>
      </c>
      <c r="H270" s="31" t="n">
        <v>-0.19</v>
      </c>
      <c r="I270" s="31" t="n">
        <v>63257</v>
      </c>
      <c r="J270" s="31" t="inlineStr">
        <is>
          <t>532698</t>
        </is>
      </c>
    </row>
    <row r="271">
      <c r="A271" s="31" t="inlineStr">
        <is>
          <t>TVSSRICHAK</t>
        </is>
      </c>
      <c r="B271" s="31" t="inlineStr">
        <is>
          <t>Tvs Srichakra Limited</t>
        </is>
      </c>
      <c r="C271" s="31" t="inlineStr">
        <is>
          <t>auto</t>
        </is>
      </c>
      <c r="D271" s="31" t="inlineStr">
        <is>
          <t>tyres</t>
        </is>
      </c>
      <c r="E271" s="31" t="inlineStr">
        <is>
          <t>smallcap</t>
        </is>
      </c>
      <c r="F271" s="31" t="n">
        <v>4019.19</v>
      </c>
      <c r="G271" s="31" t="n">
        <v>5237.5</v>
      </c>
      <c r="H271" s="31" t="n">
        <v>-0.22</v>
      </c>
      <c r="I271" s="31" t="n">
        <v>12133</v>
      </c>
      <c r="J271" s="31" t="inlineStr">
        <is>
          <t>509243</t>
        </is>
      </c>
    </row>
    <row r="272">
      <c r="A272" s="31" t="inlineStr">
        <is>
          <t>CENTUM</t>
        </is>
      </c>
      <c r="B272" s="31" t="inlineStr">
        <is>
          <t>Centum Electronics Limited</t>
        </is>
      </c>
      <c r="C272" s="31" t="inlineStr">
        <is>
          <t>aerospace &amp; defence</t>
        </is>
      </c>
      <c r="D272" s="31" t="inlineStr">
        <is>
          <t>electronics - components</t>
        </is>
      </c>
      <c r="E272" s="31" t="inlineStr">
        <is>
          <t>midcap</t>
        </is>
      </c>
      <c r="F272" s="31" t="n">
        <v>5573.15</v>
      </c>
      <c r="G272" s="31" t="n">
        <v>3767.3</v>
      </c>
      <c r="H272" s="31" t="n">
        <v>-0.23</v>
      </c>
      <c r="I272" s="31" t="n">
        <v>29156</v>
      </c>
      <c r="J272" s="31" t="inlineStr">
        <is>
          <t>517544</t>
        </is>
      </c>
    </row>
    <row r="273">
      <c r="A273" s="31" t="inlineStr">
        <is>
          <t>OCCLLTD</t>
        </is>
      </c>
      <c r="B273" s="31" t="inlineStr">
        <is>
          <t>OCCL Ltd</t>
        </is>
      </c>
      <c r="C273" s="31" t="inlineStr">
        <is>
          <t>chemicals</t>
        </is>
      </c>
      <c r="D273" s="31" t="inlineStr">
        <is>
          <t>chemicals</t>
        </is>
      </c>
      <c r="E273" s="31" t="inlineStr">
        <is>
          <t>smallcap</t>
        </is>
      </c>
      <c r="F273" s="31" t="n">
        <v>820.79</v>
      </c>
      <c r="G273" s="31" t="n">
        <v>163.93</v>
      </c>
      <c r="H273" s="31" t="n">
        <v>-0.24</v>
      </c>
      <c r="I273" s="31" t="n">
        <v>55824</v>
      </c>
      <c r="J273" s="31" t="inlineStr">
        <is>
          <t>544278</t>
        </is>
      </c>
    </row>
    <row r="274">
      <c r="A274" s="31" t="inlineStr">
        <is>
          <t>NAHARINDUS</t>
        </is>
      </c>
      <c r="B274" s="31" t="inlineStr">
        <is>
          <t>Nahar Industrial Enterprises Limited</t>
        </is>
      </c>
      <c r="C274" s="31" t="inlineStr">
        <is>
          <t>textiles</t>
        </is>
      </c>
      <c r="D274" s="31" t="inlineStr">
        <is>
          <t>textiles - cotton/blended</t>
        </is>
      </c>
      <c r="E274" s="31" t="inlineStr">
        <is>
          <t>smallcap</t>
        </is>
      </c>
      <c r="F274" s="31" t="n">
        <v>596.0599999999999</v>
      </c>
      <c r="G274" s="31" t="n">
        <v>137.63</v>
      </c>
      <c r="H274" s="31" t="n">
        <v>-0.24</v>
      </c>
      <c r="I274" s="31" t="n">
        <v>17477</v>
      </c>
      <c r="J274" s="31" t="inlineStr">
        <is>
          <t>519136</t>
        </is>
      </c>
    </row>
    <row r="275">
      <c r="A275" s="31" t="inlineStr">
        <is>
          <t>SOLARINDS</t>
        </is>
      </c>
      <c r="B275" s="31" t="inlineStr">
        <is>
          <t>Solar Industries India Limited</t>
        </is>
      </c>
      <c r="C275" s="31" t="inlineStr">
        <is>
          <t>aerospace &amp; defence</t>
        </is>
      </c>
      <c r="D275" s="31" t="inlineStr">
        <is>
          <t>chemicals</t>
        </is>
      </c>
      <c r="E275" s="31" t="inlineStr">
        <is>
          <t>largecap</t>
        </is>
      </c>
      <c r="F275" s="31" t="n">
        <v>194553.62</v>
      </c>
      <c r="G275" s="31" t="n">
        <v>21445</v>
      </c>
      <c r="H275" s="31" t="n">
        <v>-0.26</v>
      </c>
      <c r="I275" s="31" t="n">
        <v>127515</v>
      </c>
      <c r="J275" s="31" t="inlineStr">
        <is>
          <t>532725</t>
        </is>
      </c>
    </row>
    <row r="276">
      <c r="A276" s="31" t="inlineStr">
        <is>
          <t>SIRCA</t>
        </is>
      </c>
      <c r="B276" s="31" t="inlineStr">
        <is>
          <t>Sirca Paints India Ltd</t>
        </is>
      </c>
      <c r="C276" s="31" t="inlineStr">
        <is>
          <t>building materials</t>
        </is>
      </c>
      <c r="D276" s="31" t="inlineStr">
        <is>
          <t>paints / varnishes</t>
        </is>
      </c>
      <c r="E276" s="31" t="inlineStr">
        <is>
          <t>smallcap</t>
        </is>
      </c>
      <c r="F276" s="31" t="n">
        <v>2501.15</v>
      </c>
      <c r="G276" s="31" t="n">
        <v>439.25</v>
      </c>
      <c r="H276" s="31" t="n">
        <v>-0.26</v>
      </c>
      <c r="I276" s="31" t="n">
        <v>156696</v>
      </c>
      <c r="J276" s="31" t="inlineStr">
        <is>
          <t>535083</t>
        </is>
      </c>
    </row>
    <row r="277">
      <c r="A277" s="31" t="inlineStr">
        <is>
          <t>MANGLMCEM</t>
        </is>
      </c>
      <c r="B277" s="31" t="inlineStr">
        <is>
          <t>Mangalam Cement Limited</t>
        </is>
      </c>
      <c r="C277" s="31" t="inlineStr">
        <is>
          <t>building materials</t>
        </is>
      </c>
      <c r="D277" s="31" t="inlineStr">
        <is>
          <t>cement - north india</t>
        </is>
      </c>
      <c r="E277" s="31" t="inlineStr">
        <is>
          <t>smallcap</t>
        </is>
      </c>
      <c r="F277" s="31" t="n">
        <v>3019.75</v>
      </c>
      <c r="G277" s="31" t="n">
        <v>1095.2</v>
      </c>
      <c r="H277" s="31" t="n">
        <v>-0.27</v>
      </c>
      <c r="I277" s="31" t="n">
        <v>64519</v>
      </c>
      <c r="J277" s="31" t="inlineStr">
        <is>
          <t>502157</t>
        </is>
      </c>
    </row>
    <row r="278">
      <c r="A278" s="31" t="inlineStr">
        <is>
          <t>USHAMART</t>
        </is>
      </c>
      <c r="B278" s="31" t="inlineStr">
        <is>
          <t>Usha Martin Limited</t>
        </is>
      </c>
      <c r="C278" s="31" t="inlineStr">
        <is>
          <t>metals &amp; mining</t>
        </is>
      </c>
      <c r="D278" s="31" t="inlineStr">
        <is>
          <t>steel - medium / small</t>
        </is>
      </c>
      <c r="E278" s="31" t="inlineStr">
        <is>
          <t>midcap</t>
        </is>
      </c>
      <c r="F278" s="31" t="n">
        <v>15714.02</v>
      </c>
      <c r="G278" s="31" t="n">
        <v>514.15</v>
      </c>
      <c r="H278" s="31" t="n">
        <v>-0.29</v>
      </c>
      <c r="I278" s="31" t="n">
        <v>1631592</v>
      </c>
      <c r="J278" s="31" t="inlineStr">
        <is>
          <t>517146</t>
        </is>
      </c>
    </row>
    <row r="279">
      <c r="A279" s="31" t="inlineStr">
        <is>
          <t>LINCOLN</t>
        </is>
      </c>
      <c r="B279" s="31" t="inlineStr">
        <is>
          <t>Lincoln Pharmaceuticals Limited</t>
        </is>
      </c>
      <c r="C279" s="31" t="inlineStr">
        <is>
          <t>healthcare</t>
        </is>
      </c>
      <c r="D279" s="31" t="inlineStr">
        <is>
          <t>pharmaceuticals - indian - formulations</t>
        </is>
      </c>
      <c r="E279" s="31" t="inlineStr">
        <is>
          <t>smallcap</t>
        </is>
      </c>
      <c r="F279" s="31" t="n">
        <v>1247.15</v>
      </c>
      <c r="G279" s="31" t="n">
        <v>620.8</v>
      </c>
      <c r="H279" s="31" t="n">
        <v>-0.3</v>
      </c>
      <c r="I279" s="31" t="n">
        <v>29091</v>
      </c>
      <c r="J279" s="31" t="inlineStr">
        <is>
          <t>531633</t>
        </is>
      </c>
    </row>
    <row r="280">
      <c r="A280" s="31" t="inlineStr">
        <is>
          <t>REDINGTON</t>
        </is>
      </c>
      <c r="B280" s="31" t="inlineStr">
        <is>
          <t>Redington (india) Limited</t>
        </is>
      </c>
      <c r="C280" s="31" t="inlineStr">
        <is>
          <t>services</t>
        </is>
      </c>
      <c r="D280" s="31" t="inlineStr">
        <is>
          <t>trading</t>
        </is>
      </c>
      <c r="E280" s="31" t="inlineStr">
        <is>
          <t>largecap</t>
        </is>
      </c>
      <c r="F280" s="31" t="n">
        <v>29117.19</v>
      </c>
      <c r="G280" s="31" t="n">
        <v>371.3</v>
      </c>
      <c r="H280" s="31" t="n">
        <v>-0.31</v>
      </c>
      <c r="I280" s="31" t="n">
        <v>3554885</v>
      </c>
      <c r="J280" s="31" t="inlineStr">
        <is>
          <t>532805</t>
        </is>
      </c>
    </row>
    <row r="281">
      <c r="A281" s="31" t="inlineStr">
        <is>
          <t>KARURVYSYA</t>
        </is>
      </c>
      <c r="B281" s="31" t="inlineStr">
        <is>
          <t>Karur Vysya Bank Limited</t>
        </is>
      </c>
      <c r="C281" s="31" t="inlineStr">
        <is>
          <t>bank</t>
        </is>
      </c>
      <c r="D281" s="31" t="inlineStr">
        <is>
          <t>banks - private sector</t>
        </is>
      </c>
      <c r="E281" s="31" t="inlineStr">
        <is>
          <t>largecap</t>
        </is>
      </c>
      <c r="F281" s="31" t="n">
        <v>33833.41</v>
      </c>
      <c r="G281" s="31" t="n">
        <v>348.85</v>
      </c>
      <c r="H281" s="31" t="n">
        <v>-0.33</v>
      </c>
      <c r="I281" s="31" t="n">
        <v>955056</v>
      </c>
      <c r="J281" s="31" t="inlineStr">
        <is>
          <t>590003</t>
        </is>
      </c>
    </row>
    <row r="282">
      <c r="A282" s="31" t="inlineStr">
        <is>
          <t>OIL</t>
        </is>
      </c>
      <c r="B282" s="31" t="inlineStr">
        <is>
          <t>Oil India Limited</t>
        </is>
      </c>
      <c r="C282" s="31" t="inlineStr">
        <is>
          <t>energy</t>
        </is>
      </c>
      <c r="D282" s="31" t="inlineStr">
        <is>
          <t>oil drilling / allied services</t>
        </is>
      </c>
      <c r="E282" s="31" t="inlineStr">
        <is>
          <t>largecap</t>
        </is>
      </c>
      <c r="F282" s="31" t="n">
        <v>79703.78</v>
      </c>
      <c r="G282" s="31" t="n">
        <v>488.3</v>
      </c>
      <c r="H282" s="31" t="n">
        <v>-0.35</v>
      </c>
      <c r="I282" s="31" t="n">
        <v>1259478</v>
      </c>
      <c r="J282" s="31" t="inlineStr">
        <is>
          <t>533106</t>
        </is>
      </c>
    </row>
    <row r="283">
      <c r="A283" s="31" t="inlineStr">
        <is>
          <t>JAGSNPHARM</t>
        </is>
      </c>
      <c r="B283" s="31" t="inlineStr">
        <is>
          <t>Jagsonpal Pharmaceuticals Limited</t>
        </is>
      </c>
      <c r="C283" s="31" t="inlineStr">
        <is>
          <t>healthcare</t>
        </is>
      </c>
      <c r="D283" s="31" t="inlineStr">
        <is>
          <t>pharmaceuticals - indian - bulk drugs &amp; formln</t>
        </is>
      </c>
      <c r="E283" s="31" t="inlineStr">
        <is>
          <t>smallcap</t>
        </is>
      </c>
      <c r="F283" s="31" t="n">
        <v>1599.93</v>
      </c>
      <c r="G283" s="31" t="n">
        <v>242.06</v>
      </c>
      <c r="H283" s="31" t="n">
        <v>-0.4</v>
      </c>
      <c r="I283" s="31" t="n">
        <v>96227</v>
      </c>
      <c r="J283" s="31" t="inlineStr">
        <is>
          <t>507789</t>
        </is>
      </c>
    </row>
    <row r="284">
      <c r="A284" s="31" t="inlineStr">
        <is>
          <t>MAHABANK</t>
        </is>
      </c>
      <c r="B284" s="31" t="inlineStr">
        <is>
          <t>Bank Of Maharashtra Ltd</t>
        </is>
      </c>
      <c r="C284" s="31" t="inlineStr">
        <is>
          <t>bank</t>
        </is>
      </c>
      <c r="D284" s="31" t="inlineStr">
        <is>
          <t>banks - public sector</t>
        </is>
      </c>
      <c r="E284" s="31" t="inlineStr">
        <is>
          <t>largecap</t>
        </is>
      </c>
      <c r="F284" s="31" t="n">
        <v>66393.5</v>
      </c>
      <c r="G284" s="31" t="n">
        <v>85.95</v>
      </c>
      <c r="H284" s="31" t="n">
        <v>-0.43</v>
      </c>
      <c r="I284" s="31" t="n">
        <v>13802528</v>
      </c>
      <c r="J284" s="31" t="inlineStr">
        <is>
          <t>532525</t>
        </is>
      </c>
    </row>
    <row r="285">
      <c r="A285" s="31" t="inlineStr">
        <is>
          <t>ANANTRAJ</t>
        </is>
      </c>
      <c r="B285" s="31" t="inlineStr">
        <is>
          <t>Anant Raj Limited</t>
        </is>
      </c>
      <c r="C285" s="31" t="inlineStr">
        <is>
          <t>realty</t>
        </is>
      </c>
      <c r="D285" s="31" t="inlineStr">
        <is>
          <t>construction</t>
        </is>
      </c>
      <c r="E285" s="31" t="inlineStr">
        <is>
          <t>largecap</t>
        </is>
      </c>
      <c r="F285" s="31" t="n">
        <v>22611.07</v>
      </c>
      <c r="G285" s="31" t="n">
        <v>625.45</v>
      </c>
      <c r="H285" s="31" t="n">
        <v>-0.45</v>
      </c>
      <c r="I285" s="31" t="n">
        <v>4215356</v>
      </c>
      <c r="J285" s="31" t="inlineStr">
        <is>
          <t>515055</t>
        </is>
      </c>
    </row>
    <row r="286">
      <c r="A286" s="31" t="inlineStr">
        <is>
          <t>COMSYN</t>
        </is>
      </c>
      <c r="B286" s="31" t="inlineStr">
        <is>
          <t>Commercial Syn Bags Ltd</t>
        </is>
      </c>
      <c r="C286" s="31" t="inlineStr">
        <is>
          <t>industrials</t>
        </is>
      </c>
      <c r="D286" s="31" t="inlineStr">
        <is>
          <t>packaging</t>
        </is>
      </c>
      <c r="E286" s="31" t="inlineStr">
        <is>
          <t>smallcap</t>
        </is>
      </c>
      <c r="F286" s="31" t="n">
        <v>1221.07</v>
      </c>
      <c r="G286" s="31" t="n">
        <v>301.3</v>
      </c>
      <c r="H286" s="31" t="n">
        <v>-0.46</v>
      </c>
      <c r="I286" s="31" t="n">
        <v>108742</v>
      </c>
      <c r="J286" s="31" t="inlineStr">
        <is>
          <t>539986</t>
        </is>
      </c>
    </row>
    <row r="287">
      <c r="A287" s="31" t="inlineStr">
        <is>
          <t>SHREEPUSHK</t>
        </is>
      </c>
      <c r="B287" s="31" t="inlineStr">
        <is>
          <t>Shree Pushkar Chemicals &amp; Fertilisers Limited</t>
        </is>
      </c>
      <c r="C287" s="31" t="inlineStr">
        <is>
          <t>chemicals</t>
        </is>
      </c>
      <c r="D287" s="31" t="inlineStr">
        <is>
          <t>dyes and pigments</t>
        </is>
      </c>
      <c r="E287" s="31" t="inlineStr">
        <is>
          <t>smallcap</t>
        </is>
      </c>
      <c r="F287" s="31" t="n">
        <v>1543.96</v>
      </c>
      <c r="G287" s="31" t="n">
        <v>475.25</v>
      </c>
      <c r="H287" s="31" t="n">
        <v>-0.46</v>
      </c>
      <c r="I287" s="31" t="n">
        <v>50352</v>
      </c>
      <c r="J287" s="31" t="inlineStr">
        <is>
          <t>539334</t>
        </is>
      </c>
    </row>
    <row r="288">
      <c r="A288" s="31" t="inlineStr">
        <is>
          <t>METROPOLIS</t>
        </is>
      </c>
      <c r="B288" s="31" t="inlineStr">
        <is>
          <t>Metropolis Healthcare Ltd</t>
        </is>
      </c>
      <c r="C288" s="31" t="inlineStr">
        <is>
          <t>healthcare</t>
        </is>
      </c>
      <c r="D288" s="31" t="inlineStr">
        <is>
          <t>healthcare</t>
        </is>
      </c>
      <c r="E288" s="31" t="inlineStr">
        <is>
          <t>midcap</t>
        </is>
      </c>
      <c r="F288" s="31" t="n">
        <v>12271.98</v>
      </c>
      <c r="G288" s="31" t="n">
        <v>588.7</v>
      </c>
      <c r="H288" s="31" t="n">
        <v>-0.54</v>
      </c>
      <c r="I288" s="31" t="n">
        <v>239323</v>
      </c>
      <c r="J288" s="31" t="inlineStr">
        <is>
          <t>542650</t>
        </is>
      </c>
    </row>
    <row r="289">
      <c r="A289" s="31" t="inlineStr">
        <is>
          <t>GENUSPOWER</t>
        </is>
      </c>
      <c r="B289" s="31" t="inlineStr">
        <is>
          <t>Genus Power Infrastructures Limited</t>
        </is>
      </c>
      <c r="C289" s="31" t="inlineStr">
        <is>
          <t>consumer discretionary</t>
        </is>
      </c>
      <c r="D289" s="31" t="inlineStr">
        <is>
          <t>electronics - components</t>
        </is>
      </c>
      <c r="E289" s="31" t="inlineStr">
        <is>
          <t>midcap</t>
        </is>
      </c>
      <c r="F289" s="31" t="n">
        <v>10335.12</v>
      </c>
      <c r="G289" s="31" t="n">
        <v>337.8</v>
      </c>
      <c r="H289" s="31" t="n">
        <v>-0.5600000000000001</v>
      </c>
      <c r="I289" s="31" t="n">
        <v>2486451</v>
      </c>
      <c r="J289" s="31" t="inlineStr">
        <is>
          <t>530343</t>
        </is>
      </c>
    </row>
    <row r="290">
      <c r="A290" s="31" t="inlineStr">
        <is>
          <t>MAWANASUG</t>
        </is>
      </c>
      <c r="B290" s="31" t="inlineStr">
        <is>
          <t>Mawana Sugars Limited</t>
        </is>
      </c>
      <c r="C290" s="31" t="inlineStr">
        <is>
          <t>fmcg</t>
        </is>
      </c>
      <c r="D290" s="31" t="inlineStr">
        <is>
          <t>sugar</t>
        </is>
      </c>
      <c r="E290" s="31" t="inlineStr">
        <is>
          <t>smallcap</t>
        </is>
      </c>
      <c r="F290" s="31" t="n">
        <v>572.16</v>
      </c>
      <c r="G290" s="31" t="n">
        <v>145.43</v>
      </c>
      <c r="H290" s="31" t="n">
        <v>-0.57</v>
      </c>
      <c r="I290" s="31" t="n">
        <v>186868</v>
      </c>
      <c r="J290" s="31" t="inlineStr">
        <is>
          <t>523371</t>
        </is>
      </c>
    </row>
    <row r="291">
      <c r="A291" s="31" t="inlineStr">
        <is>
          <t>DIFFNKG</t>
        </is>
      </c>
      <c r="B291" s="31" t="inlineStr">
        <is>
          <t>Diffusion Engineers Ltd</t>
        </is>
      </c>
      <c r="C291" s="31" t="inlineStr">
        <is>
          <t>industrials</t>
        </is>
      </c>
      <c r="D291" s="31" t="inlineStr">
        <is>
          <t>electrodes - welding equipment</t>
        </is>
      </c>
      <c r="E291" s="31" t="inlineStr">
        <is>
          <t>smallcap</t>
        </is>
      </c>
      <c r="F291" s="31" t="n">
        <v>1787.48</v>
      </c>
      <c r="G291" s="31" t="n">
        <v>474.9</v>
      </c>
      <c r="H291" s="31" t="n">
        <v>-0.57</v>
      </c>
      <c r="I291" s="31" t="n">
        <v>2072376</v>
      </c>
      <c r="J291" s="31" t="inlineStr">
        <is>
          <t>544264</t>
        </is>
      </c>
    </row>
    <row r="292">
      <c r="A292" s="31" t="inlineStr">
        <is>
          <t>SPORTKING</t>
        </is>
      </c>
      <c r="B292" s="31" t="inlineStr">
        <is>
          <t>Sportking India Ltd</t>
        </is>
      </c>
      <c r="C292" s="31" t="inlineStr">
        <is>
          <t>textiles</t>
        </is>
      </c>
      <c r="D292" s="31" t="inlineStr">
        <is>
          <t>textiles - spinning - synthetic / blended</t>
        </is>
      </c>
      <c r="E292" s="31" t="inlineStr">
        <is>
          <t>smallcap</t>
        </is>
      </c>
      <c r="F292" s="31" t="n">
        <v>2930.28</v>
      </c>
      <c r="G292" s="31" t="n">
        <v>229.22</v>
      </c>
      <c r="H292" s="31" t="n">
        <v>-0.6</v>
      </c>
      <c r="I292" s="31" t="n">
        <v>266293</v>
      </c>
      <c r="J292" s="31" t="inlineStr">
        <is>
          <t>539221</t>
        </is>
      </c>
    </row>
    <row r="293">
      <c r="A293" s="31" t="inlineStr">
        <is>
          <t>MANINDS</t>
        </is>
      </c>
      <c r="B293" s="31" t="inlineStr">
        <is>
          <t>Man Industries (india) Limited</t>
        </is>
      </c>
      <c r="C293" s="31" t="inlineStr">
        <is>
          <t>metals &amp; mining</t>
        </is>
      </c>
      <c r="D293" s="31" t="inlineStr">
        <is>
          <t>steel - medium / small</t>
        </is>
      </c>
      <c r="E293" s="31" t="inlineStr">
        <is>
          <t>midcap</t>
        </is>
      </c>
      <c r="F293" s="31" t="n">
        <v>5951.26</v>
      </c>
      <c r="G293" s="31" t="n">
        <v>788.55</v>
      </c>
      <c r="H293" s="31" t="n">
        <v>-0.61</v>
      </c>
      <c r="I293" s="31" t="n">
        <v>505736</v>
      </c>
      <c r="J293" s="31" t="inlineStr">
        <is>
          <t>513269</t>
        </is>
      </c>
    </row>
    <row r="294">
      <c r="A294" s="31" t="inlineStr">
        <is>
          <t>ETERNAL</t>
        </is>
      </c>
      <c r="B294" s="31" t="inlineStr">
        <is>
          <t>Eternal Ltd</t>
        </is>
      </c>
      <c r="C294" s="31" t="inlineStr">
        <is>
          <t>i.t</t>
        </is>
      </c>
      <c r="D294" s="31" t="inlineStr">
        <is>
          <t>miscellaneous</t>
        </is>
      </c>
      <c r="E294" s="31" t="inlineStr">
        <is>
          <t>largecap</t>
        </is>
      </c>
      <c r="F294" s="31" t="n">
        <v>313443.39</v>
      </c>
      <c r="G294" s="31" t="n">
        <v>322.75</v>
      </c>
      <c r="H294" s="31" t="n">
        <v>-0.63</v>
      </c>
      <c r="I294" s="31" t="n">
        <v>17824027</v>
      </c>
      <c r="J294" s="31" t="inlineStr">
        <is>
          <t>543320</t>
        </is>
      </c>
    </row>
    <row r="295">
      <c r="A295" s="31" t="inlineStr">
        <is>
          <t>DCBBANK</t>
        </is>
      </c>
      <c r="B295" s="31" t="inlineStr">
        <is>
          <t>Dcb Bank Limited</t>
        </is>
      </c>
      <c r="C295" s="31" t="inlineStr">
        <is>
          <t>bank</t>
        </is>
      </c>
      <c r="D295" s="31" t="inlineStr">
        <is>
          <t>banks - private sector</t>
        </is>
      </c>
      <c r="E295" s="31" t="inlineStr">
        <is>
          <t>midcap</t>
        </is>
      </c>
      <c r="F295" s="31" t="n">
        <v>7156.56</v>
      </c>
      <c r="G295" s="31" t="n">
        <v>220.74</v>
      </c>
      <c r="H295" s="31" t="n">
        <v>-0.66</v>
      </c>
      <c r="I295" s="31" t="n">
        <v>539992</v>
      </c>
      <c r="J295" s="31" t="inlineStr">
        <is>
          <t>532772</t>
        </is>
      </c>
    </row>
    <row r="296">
      <c r="A296" s="31" t="inlineStr">
        <is>
          <t>ASAHIINDIA</t>
        </is>
      </c>
      <c r="B296" s="31" t="inlineStr">
        <is>
          <t>Asahi India Glass Limited</t>
        </is>
      </c>
      <c r="C296" s="31" t="inlineStr">
        <is>
          <t>building materials</t>
        </is>
      </c>
      <c r="D296" s="31" t="inlineStr">
        <is>
          <t>glass &amp; glass products</t>
        </is>
      </c>
      <c r="E296" s="31" t="inlineStr">
        <is>
          <t>largecap</t>
        </is>
      </c>
      <c r="F296" s="31" t="n">
        <v>24530.37</v>
      </c>
      <c r="G296" s="31" t="n">
        <v>955.9</v>
      </c>
      <c r="H296" s="31" t="n">
        <v>-0.66</v>
      </c>
      <c r="I296" s="31" t="n">
        <v>256318</v>
      </c>
      <c r="J296" s="31" t="inlineStr">
        <is>
          <t>515030</t>
        </is>
      </c>
    </row>
    <row r="297">
      <c r="A297" s="31" t="inlineStr">
        <is>
          <t>AVTNPL</t>
        </is>
      </c>
      <c r="B297" s="31" t="inlineStr">
        <is>
          <t>Avt Natural Products Limited</t>
        </is>
      </c>
      <c r="C297" s="31" t="inlineStr">
        <is>
          <t>fmcg</t>
        </is>
      </c>
      <c r="D297" s="31" t="inlineStr">
        <is>
          <t>solvent extraction</t>
        </is>
      </c>
      <c r="E297" s="31" t="inlineStr">
        <is>
          <t>smallcap</t>
        </is>
      </c>
      <c r="F297" s="31" t="n">
        <v>1395.53</v>
      </c>
      <c r="G297" s="31" t="n">
        <v>91.02</v>
      </c>
      <c r="H297" s="31" t="n">
        <v>-0.68</v>
      </c>
      <c r="I297" s="31" t="n">
        <v>309025</v>
      </c>
      <c r="J297" s="31" t="inlineStr">
        <is>
          <t>519105</t>
        </is>
      </c>
    </row>
    <row r="298">
      <c r="A298" s="31" t="inlineStr">
        <is>
          <t>KRBL</t>
        </is>
      </c>
      <c r="B298" s="31" t="inlineStr">
        <is>
          <t>Krbl Limited</t>
        </is>
      </c>
      <c r="C298" s="31" t="inlineStr">
        <is>
          <t>fmcg</t>
        </is>
      </c>
      <c r="D298" s="31" t="inlineStr">
        <is>
          <t>food - processing - indian</t>
        </is>
      </c>
      <c r="E298" s="31" t="inlineStr">
        <is>
          <t>midcap</t>
        </is>
      </c>
      <c r="F298" s="31" t="n">
        <v>9725.530000000001</v>
      </c>
      <c r="G298" s="31" t="n">
        <v>421.95</v>
      </c>
      <c r="H298" s="31" t="n">
        <v>-0.6899999999999999</v>
      </c>
      <c r="I298" s="31" t="n">
        <v>313910</v>
      </c>
      <c r="J298" s="31" t="inlineStr">
        <is>
          <t>530813</t>
        </is>
      </c>
    </row>
    <row r="299">
      <c r="A299" s="31" t="inlineStr">
        <is>
          <t>TASTYBITE</t>
        </is>
      </c>
      <c r="B299" s="31" t="inlineStr">
        <is>
          <t>Tasty Bite Eatables Ltd</t>
        </is>
      </c>
      <c r="C299" s="31" t="inlineStr">
        <is>
          <t>fmcg</t>
        </is>
      </c>
      <c r="D299" s="31" t="inlineStr">
        <is>
          <t>food - processing - indian</t>
        </is>
      </c>
      <c r="E299" s="31" t="inlineStr">
        <is>
          <t>smallcap</t>
        </is>
      </c>
      <c r="F299" s="31" t="n">
        <v>2579.34</v>
      </c>
      <c r="G299" s="31" t="n">
        <v>9982</v>
      </c>
      <c r="H299" s="31" t="n">
        <v>-0.7</v>
      </c>
      <c r="I299" s="31" t="n">
        <v>1301</v>
      </c>
      <c r="J299" s="31" t="inlineStr">
        <is>
          <t>519091</t>
        </is>
      </c>
    </row>
    <row r="300">
      <c r="A300" s="31" t="inlineStr">
        <is>
          <t>SAMBHV</t>
        </is>
      </c>
      <c r="B300" s="31" t="inlineStr">
        <is>
          <t>Sambhv Steel Tubes Ltd</t>
        </is>
      </c>
      <c r="C300" s="31" t="inlineStr">
        <is>
          <t>metals &amp; mining</t>
        </is>
      </c>
      <c r="D300" s="31" t="inlineStr">
        <is>
          <t>steel - medium / small</t>
        </is>
      </c>
      <c r="E300" s="31" t="inlineStr">
        <is>
          <t>smallcap</t>
        </is>
      </c>
      <c r="F300" s="31" t="n">
        <v>3820.12</v>
      </c>
      <c r="G300" s="31" t="n">
        <v>128.69</v>
      </c>
      <c r="H300" s="31" t="n">
        <v>-0.73</v>
      </c>
      <c r="I300" s="31" t="n">
        <v>1221798</v>
      </c>
      <c r="J300" s="31" t="inlineStr">
        <is>
          <t>544430</t>
        </is>
      </c>
    </row>
    <row r="301">
      <c r="A301" s="31" t="inlineStr">
        <is>
          <t>AEROENTER</t>
        </is>
      </c>
      <c r="B301" s="31" t="inlineStr">
        <is>
          <t>Aeroflex Enterprises Ltd</t>
        </is>
      </c>
      <c r="C301" s="31" t="inlineStr">
        <is>
          <t>metals &amp; mining</t>
        </is>
      </c>
      <c r="D301" s="31" t="inlineStr">
        <is>
          <t>steel - medium / small</t>
        </is>
      </c>
      <c r="E301" s="31" t="inlineStr">
        <is>
          <t>smallcap</t>
        </is>
      </c>
      <c r="F301" s="31" t="n">
        <v>1616.66</v>
      </c>
      <c r="G301" s="31" t="n">
        <v>141.81</v>
      </c>
      <c r="H301" s="31" t="n">
        <v>-0.74</v>
      </c>
      <c r="I301" s="31" t="n">
        <v>477542</v>
      </c>
      <c r="J301" s="31" t="inlineStr">
        <is>
          <t>511076</t>
        </is>
      </c>
    </row>
    <row r="302">
      <c r="A302" s="31" t="inlineStr">
        <is>
          <t>OFSS</t>
        </is>
      </c>
      <c r="B302" s="31" t="inlineStr">
        <is>
          <t>Oracle Financial Services Software Limited</t>
        </is>
      </c>
      <c r="C302" s="31" t="inlineStr">
        <is>
          <t>i.t</t>
        </is>
      </c>
      <c r="D302" s="31" t="inlineStr">
        <is>
          <t>computers - software - large</t>
        </is>
      </c>
      <c r="E302" s="31" t="inlineStr">
        <is>
          <t>largecap</t>
        </is>
      </c>
      <c r="F302" s="31" t="n">
        <v>105783.94</v>
      </c>
      <c r="G302" s="31" t="n">
        <v>12058</v>
      </c>
      <c r="H302" s="31" t="n">
        <v>-0.75</v>
      </c>
      <c r="I302" s="31" t="n">
        <v>166477</v>
      </c>
      <c r="J302" s="31" t="inlineStr">
        <is>
          <t>532466</t>
        </is>
      </c>
    </row>
    <row r="303">
      <c r="A303" s="31" t="inlineStr">
        <is>
          <t>RBA</t>
        </is>
      </c>
      <c r="B303" s="31" t="inlineStr">
        <is>
          <t>Restaurant Brands Asia Ltd</t>
        </is>
      </c>
      <c r="C303" s="31" t="inlineStr">
        <is>
          <t>consumer discretionary</t>
        </is>
      </c>
      <c r="D303" s="31" t="inlineStr">
        <is>
          <t>hotels</t>
        </is>
      </c>
      <c r="E303" s="31" t="inlineStr">
        <is>
          <t>midcap</t>
        </is>
      </c>
      <c r="F303" s="31" t="n">
        <v>6967.02</v>
      </c>
      <c r="G303" s="31" t="n">
        <v>97.15000000000001</v>
      </c>
      <c r="H303" s="31" t="n">
        <v>-0.76</v>
      </c>
      <c r="I303" s="31" t="n">
        <v>2606009</v>
      </c>
      <c r="J303" s="31" t="inlineStr">
        <is>
          <t>543248</t>
        </is>
      </c>
    </row>
    <row r="304">
      <c r="A304" s="31" t="inlineStr">
        <is>
          <t>LGBBROSLTD</t>
        </is>
      </c>
      <c r="B304" s="31" t="inlineStr">
        <is>
          <t>Lg Balakrishnan &amp; Bros Limited</t>
        </is>
      </c>
      <c r="C304" s="31" t="inlineStr">
        <is>
          <t>auto</t>
        </is>
      </c>
      <c r="D304" s="31" t="inlineStr">
        <is>
          <t>bearings</t>
        </is>
      </c>
      <c r="E304" s="31" t="inlineStr">
        <is>
          <t>midcap</t>
        </is>
      </c>
      <c r="F304" s="31" t="n">
        <v>5473.38</v>
      </c>
      <c r="G304" s="31" t="n">
        <v>1702.8</v>
      </c>
      <c r="H304" s="31" t="n">
        <v>-0.78</v>
      </c>
      <c r="I304" s="31" t="n">
        <v>50384</v>
      </c>
      <c r="J304" s="31" t="inlineStr">
        <is>
          <t>500250</t>
        </is>
      </c>
    </row>
    <row r="305">
      <c r="A305" s="31" t="inlineStr">
        <is>
          <t>KPIL</t>
        </is>
      </c>
      <c r="B305" s="31" t="inlineStr">
        <is>
          <t>Kalpataru Projects International Ltd</t>
        </is>
      </c>
      <c r="C305" s="31" t="inlineStr">
        <is>
          <t>realty</t>
        </is>
      </c>
      <c r="D305" s="31" t="inlineStr">
        <is>
          <t>transmisson line towers / equipment</t>
        </is>
      </c>
      <c r="E305" s="31" t="inlineStr">
        <is>
          <t>largecap</t>
        </is>
      </c>
      <c r="F305" s="31" t="n">
        <v>24210.42</v>
      </c>
      <c r="G305" s="31" t="n">
        <v>1406.6</v>
      </c>
      <c r="H305" s="31" t="n">
        <v>-0.78</v>
      </c>
      <c r="I305" s="31" t="n">
        <v>145207</v>
      </c>
      <c r="J305" s="31" t="inlineStr">
        <is>
          <t>522287</t>
        </is>
      </c>
    </row>
    <row r="306">
      <c r="A306" s="31" t="inlineStr">
        <is>
          <t>NORTHARC</t>
        </is>
      </c>
      <c r="B306" s="31" t="inlineStr">
        <is>
          <t>Northern ARC Capital Ltd</t>
        </is>
      </c>
      <c r="C306" s="31" t="inlineStr">
        <is>
          <t>financials</t>
        </is>
      </c>
      <c r="D306" s="31" t="inlineStr">
        <is>
          <t>finance &amp; investments</t>
        </is>
      </c>
      <c r="E306" s="31" t="inlineStr">
        <is>
          <t>smallcap</t>
        </is>
      </c>
      <c r="F306" s="31" t="n">
        <v>4922.71</v>
      </c>
      <c r="G306" s="31" t="n">
        <v>302.15</v>
      </c>
      <c r="H306" s="31" t="n">
        <v>-0.8</v>
      </c>
      <c r="I306" s="31" t="n">
        <v>1089238</v>
      </c>
      <c r="J306" s="31" t="n"/>
    </row>
    <row r="307">
      <c r="A307" s="31" t="inlineStr">
        <is>
          <t>SALSTEEL</t>
        </is>
      </c>
      <c r="B307" s="31" t="inlineStr">
        <is>
          <t>SAL Steel</t>
        </is>
      </c>
      <c r="C307" s="31" t="inlineStr">
        <is>
          <t>metals &amp; mining</t>
        </is>
      </c>
      <c r="D307" s="31" t="inlineStr">
        <is>
          <t>steel - sponge iron</t>
        </is>
      </c>
      <c r="E307" s="31" t="inlineStr">
        <is>
          <t>smallcap</t>
        </is>
      </c>
      <c r="F307" s="31" t="n">
        <v>1187.67</v>
      </c>
      <c r="G307" s="31" t="n">
        <v>81.37</v>
      </c>
      <c r="H307" s="31" t="n">
        <v>-0.82</v>
      </c>
      <c r="I307" s="31" t="n">
        <v>233867</v>
      </c>
      <c r="J307" s="31" t="inlineStr">
        <is>
          <t>532604</t>
        </is>
      </c>
    </row>
    <row r="308">
      <c r="A308" s="31" t="inlineStr">
        <is>
          <t>VIJAYA</t>
        </is>
      </c>
      <c r="B308" s="31" t="inlineStr">
        <is>
          <t>Vijaya Diagnostic Centre Ltd</t>
        </is>
      </c>
      <c r="C308" s="31" t="inlineStr">
        <is>
          <t>healthcare</t>
        </is>
      </c>
      <c r="D308" s="31" t="inlineStr">
        <is>
          <t>healthcare</t>
        </is>
      </c>
      <c r="E308" s="31" t="inlineStr">
        <is>
          <t>midcap</t>
        </is>
      </c>
      <c r="F308" s="31" t="n">
        <v>15491.1</v>
      </c>
      <c r="G308" s="31" t="n">
        <v>1493.2</v>
      </c>
      <c r="H308" s="31" t="n">
        <v>-0.82</v>
      </c>
      <c r="I308" s="31" t="n">
        <v>45618</v>
      </c>
      <c r="J308" s="31" t="inlineStr">
        <is>
          <t>543350</t>
        </is>
      </c>
    </row>
    <row r="309">
      <c r="A309" s="31" t="inlineStr">
        <is>
          <t>AEGISVOPAK</t>
        </is>
      </c>
      <c r="B309" s="31" t="inlineStr">
        <is>
          <t>Aegis Vopak Terminals Ltd</t>
        </is>
      </c>
      <c r="C309" s="31" t="inlineStr">
        <is>
          <t>transportation</t>
        </is>
      </c>
      <c r="D309" s="31" t="inlineStr">
        <is>
          <t>miscellaneous</t>
        </is>
      </c>
      <c r="E309" s="31" t="inlineStr">
        <is>
          <t>largecap</t>
        </is>
      </c>
      <c r="F309" s="31" t="n">
        <v>31782.74</v>
      </c>
      <c r="G309" s="31" t="n">
        <v>284.5</v>
      </c>
      <c r="H309" s="31" t="n">
        <v>-0.82</v>
      </c>
      <c r="I309" s="31" t="n">
        <v>788218</v>
      </c>
      <c r="J309" s="31" t="inlineStr">
        <is>
          <t>544407</t>
        </is>
      </c>
    </row>
    <row r="310">
      <c r="A310" s="31" t="inlineStr">
        <is>
          <t>SVLL</t>
        </is>
      </c>
      <c r="B310" s="31" t="inlineStr">
        <is>
          <t>Shree Vasu Logistics Ltd</t>
        </is>
      </c>
      <c r="C310" s="31" t="inlineStr">
        <is>
          <t>transportation</t>
        </is>
      </c>
      <c r="D310" s="31" t="inlineStr">
        <is>
          <t>miscellaneous</t>
        </is>
      </c>
      <c r="E310" s="31" t="inlineStr">
        <is>
          <t>smallcap</t>
        </is>
      </c>
      <c r="F310" s="31" t="n">
        <v>926.39</v>
      </c>
      <c r="G310" s="31" t="n">
        <v>799.25</v>
      </c>
      <c r="H310" s="31" t="n">
        <v>-0.84</v>
      </c>
      <c r="I310" s="31" t="n">
        <v>623</v>
      </c>
      <c r="J310" s="31" t="inlineStr">
        <is>
          <t>535084</t>
        </is>
      </c>
    </row>
    <row r="311">
      <c r="A311" s="31" t="inlineStr">
        <is>
          <t>CYIENT</t>
        </is>
      </c>
      <c r="B311" s="31" t="inlineStr">
        <is>
          <t>Cyient Limited</t>
        </is>
      </c>
      <c r="C311" s="31" t="inlineStr">
        <is>
          <t>i.t</t>
        </is>
      </c>
      <c r="D311" s="31" t="inlineStr">
        <is>
          <t>computers - software - medium / small</t>
        </is>
      </c>
      <c r="E311" s="31" t="inlineStr">
        <is>
          <t>midcap</t>
        </is>
      </c>
      <c r="F311" s="31" t="n">
        <v>11639.96</v>
      </c>
      <c r="G311" s="31" t="n">
        <v>1101.8</v>
      </c>
      <c r="H311" s="31" t="n">
        <v>-0.85</v>
      </c>
      <c r="I311" s="31" t="n">
        <v>327209</v>
      </c>
      <c r="J311" s="31" t="inlineStr">
        <is>
          <t>532175</t>
        </is>
      </c>
    </row>
    <row r="312">
      <c r="A312" s="31" t="inlineStr">
        <is>
          <t>STOVEKRAFT</t>
        </is>
      </c>
      <c r="B312" s="31" t="inlineStr">
        <is>
          <t>Stove Kraft Ltd</t>
        </is>
      </c>
      <c r="C312" s="31" t="inlineStr">
        <is>
          <t>consumer discretionary</t>
        </is>
      </c>
      <c r="D312" s="31" t="inlineStr">
        <is>
          <t>domestic appliances</t>
        </is>
      </c>
      <c r="E312" s="31" t="inlineStr">
        <is>
          <t>smallcap</t>
        </is>
      </c>
      <c r="F312" s="31" t="n">
        <v>2780.19</v>
      </c>
      <c r="G312" s="31" t="n">
        <v>832.55</v>
      </c>
      <c r="H312" s="31" t="n">
        <v>-0.86</v>
      </c>
      <c r="I312" s="31" t="n">
        <v>93139</v>
      </c>
      <c r="J312" s="31" t="inlineStr">
        <is>
          <t>543260</t>
        </is>
      </c>
    </row>
    <row r="313">
      <c r="A313" s="31" t="inlineStr">
        <is>
          <t>SOUTHBANK</t>
        </is>
      </c>
      <c r="B313" s="31" t="inlineStr">
        <is>
          <t>The South Indian Bank Limited</t>
        </is>
      </c>
      <c r="C313" s="31" t="inlineStr">
        <is>
          <t>bank</t>
        </is>
      </c>
      <c r="D313" s="31" t="inlineStr">
        <is>
          <t>banks - private sector</t>
        </is>
      </c>
      <c r="E313" s="31" t="inlineStr">
        <is>
          <t>midcap</t>
        </is>
      </c>
      <c r="F313" s="31" t="n">
        <v>12488.18</v>
      </c>
      <c r="G313" s="31" t="n">
        <v>47.29</v>
      </c>
      <c r="H313" s="31" t="n">
        <v>-0.86</v>
      </c>
      <c r="I313" s="31" t="n">
        <v>8819050</v>
      </c>
      <c r="J313" s="31" t="inlineStr">
        <is>
          <t>532218</t>
        </is>
      </c>
    </row>
    <row r="314">
      <c r="A314" s="31" t="inlineStr">
        <is>
          <t>AEROFLEX</t>
        </is>
      </c>
      <c r="B314" s="31" t="inlineStr">
        <is>
          <t>Aeroflex Industries Ltd</t>
        </is>
      </c>
      <c r="C314" s="31" t="inlineStr">
        <is>
          <t>metals &amp; mining</t>
        </is>
      </c>
      <c r="D314" s="31" t="inlineStr">
        <is>
          <t>steel - medium / small</t>
        </is>
      </c>
      <c r="E314" s="31" t="inlineStr">
        <is>
          <t>midcap</t>
        </is>
      </c>
      <c r="F314" s="31" t="n">
        <v>7174.31</v>
      </c>
      <c r="G314" s="31" t="n">
        <v>537.45</v>
      </c>
      <c r="H314" s="31" t="n">
        <v>-0.87</v>
      </c>
      <c r="I314" s="31" t="n">
        <v>1026759</v>
      </c>
      <c r="J314" s="31" t="inlineStr">
        <is>
          <t>543972</t>
        </is>
      </c>
    </row>
    <row r="315">
      <c r="A315" s="31" t="inlineStr">
        <is>
          <t>BIL</t>
        </is>
      </c>
      <c r="B315" s="31" t="inlineStr">
        <is>
          <t>Bhartiya International Limited</t>
        </is>
      </c>
      <c r="C315" s="31" t="inlineStr">
        <is>
          <t>consumer discretionary</t>
        </is>
      </c>
      <c r="D315" s="31" t="inlineStr">
        <is>
          <t>leather / leather products</t>
        </is>
      </c>
      <c r="E315" s="31" t="inlineStr">
        <is>
          <t>smallcap</t>
        </is>
      </c>
      <c r="F315" s="31" t="n">
        <v>1228.19</v>
      </c>
      <c r="G315" s="31" t="n">
        <v>907.85</v>
      </c>
      <c r="H315" s="31" t="n">
        <v>-0.87</v>
      </c>
      <c r="I315" s="31" t="n">
        <v>8736</v>
      </c>
      <c r="J315" s="31" t="inlineStr">
        <is>
          <t>526666</t>
        </is>
      </c>
    </row>
    <row r="316">
      <c r="A316" s="31" t="inlineStr">
        <is>
          <t>GLENMARK</t>
        </is>
      </c>
      <c r="B316" s="31" t="inlineStr">
        <is>
          <t>Glenmark Pharmaceuticals Limited</t>
        </is>
      </c>
      <c r="C316" s="31" t="inlineStr">
        <is>
          <t>healthcare</t>
        </is>
      </c>
      <c r="D316" s="31" t="inlineStr">
        <is>
          <t>pharmaceuticals - indian - bulk drugs &amp; formln</t>
        </is>
      </c>
      <c r="E316" s="31" t="inlineStr">
        <is>
          <t>largecap</t>
        </is>
      </c>
      <c r="F316" s="31" t="n">
        <v>69393.17999999999</v>
      </c>
      <c r="G316" s="31" t="n">
        <v>2437.2</v>
      </c>
      <c r="H316" s="31" t="n">
        <v>-0.89</v>
      </c>
      <c r="I316" s="31" t="n">
        <v>412728</v>
      </c>
      <c r="J316" s="31" t="inlineStr">
        <is>
          <t>532296</t>
        </is>
      </c>
    </row>
    <row r="317">
      <c r="A317" s="31" t="inlineStr">
        <is>
          <t>ENGINERSIN</t>
        </is>
      </c>
      <c r="B317" s="31" t="inlineStr">
        <is>
          <t>Engineers India Limited</t>
        </is>
      </c>
      <c r="C317" s="31" t="inlineStr">
        <is>
          <t>realty</t>
        </is>
      </c>
      <c r="D317" s="31" t="inlineStr">
        <is>
          <t>engineering - turnkey services</t>
        </is>
      </c>
      <c r="E317" s="31" t="inlineStr">
        <is>
          <t>midcap</t>
        </is>
      </c>
      <c r="F317" s="31" t="n">
        <v>15846.78</v>
      </c>
      <c r="G317" s="31" t="n">
        <v>279.45</v>
      </c>
      <c r="H317" s="31" t="n">
        <v>-0.89</v>
      </c>
      <c r="I317" s="31" t="n">
        <v>3490446</v>
      </c>
      <c r="J317" s="31" t="inlineStr">
        <is>
          <t>532178</t>
        </is>
      </c>
    </row>
    <row r="318">
      <c r="A318" s="31" t="inlineStr">
        <is>
          <t>IDFCFIRSTB</t>
        </is>
      </c>
      <c r="B318" s="31" t="inlineStr">
        <is>
          <t>IDFC First Bank Ltd</t>
        </is>
      </c>
      <c r="C318" s="31" t="inlineStr">
        <is>
          <t>bank</t>
        </is>
      </c>
      <c r="D318" s="31" t="inlineStr">
        <is>
          <t>banks - private sector</t>
        </is>
      </c>
      <c r="E318" s="31" t="inlineStr">
        <is>
          <t>largecap</t>
        </is>
      </c>
      <c r="F318" s="31" t="n">
        <v>75378.94</v>
      </c>
      <c r="G318" s="31" t="n">
        <v>86.70999999999999</v>
      </c>
      <c r="H318" s="31" t="n">
        <v>-0.9</v>
      </c>
      <c r="I318" s="31" t="n">
        <v>15288105</v>
      </c>
      <c r="J318" s="31" t="inlineStr">
        <is>
          <t>539437</t>
        </is>
      </c>
    </row>
    <row r="319">
      <c r="A319" s="31" t="inlineStr">
        <is>
          <t>GHCLTEXTIL</t>
        </is>
      </c>
      <c r="B319" s="31" t="inlineStr">
        <is>
          <t>GHCL Textiles Ltd</t>
        </is>
      </c>
      <c r="C319" s="31" t="inlineStr">
        <is>
          <t>textiles</t>
        </is>
      </c>
      <c r="D319" s="31" t="inlineStr">
        <is>
          <t>textiles - spinning - synthetic / blended</t>
        </is>
      </c>
      <c r="E319" s="31" t="inlineStr">
        <is>
          <t>smallcap</t>
        </is>
      </c>
      <c r="F319" s="31" t="n">
        <v>1319.28</v>
      </c>
      <c r="G319" s="31" t="n">
        <v>136.72</v>
      </c>
      <c r="H319" s="31" t="n">
        <v>-0.9399999999999999</v>
      </c>
      <c r="I319" s="31" t="n">
        <v>424691</v>
      </c>
      <c r="J319" s="31" t="inlineStr">
        <is>
          <t>543918</t>
        </is>
      </c>
    </row>
    <row r="320">
      <c r="A320" s="31" t="inlineStr">
        <is>
          <t>UNIONBANK</t>
        </is>
      </c>
      <c r="B320" s="31" t="inlineStr">
        <is>
          <t>Union Bank Of India Ltd</t>
        </is>
      </c>
      <c r="C320" s="31" t="inlineStr">
        <is>
          <t>bank</t>
        </is>
      </c>
      <c r="D320" s="31" t="inlineStr">
        <is>
          <t>banks - public sector</t>
        </is>
      </c>
      <c r="E320" s="31" t="inlineStr">
        <is>
          <t>largecap</t>
        </is>
      </c>
      <c r="F320" s="31" t="n">
        <v>144275.15</v>
      </c>
      <c r="G320" s="31" t="n">
        <v>187.22</v>
      </c>
      <c r="H320" s="31" t="n">
        <v>-0.9399999999999999</v>
      </c>
      <c r="I320" s="31" t="n">
        <v>7910433</v>
      </c>
      <c r="J320" s="31" t="inlineStr">
        <is>
          <t>532477</t>
        </is>
      </c>
    </row>
    <row r="321">
      <c r="A321" s="31" t="inlineStr">
        <is>
          <t>CLSEL</t>
        </is>
      </c>
      <c r="B321" s="31" t="inlineStr">
        <is>
          <t>Chamanlal Setia Exports Ltd</t>
        </is>
      </c>
      <c r="C321" s="31" t="inlineStr">
        <is>
          <t>fmcg</t>
        </is>
      </c>
      <c r="D321" s="31" t="inlineStr">
        <is>
          <t>food - processing - indian</t>
        </is>
      </c>
      <c r="E321" s="31" t="inlineStr">
        <is>
          <t>smallcap</t>
        </is>
      </c>
      <c r="F321" s="31" t="n">
        <v>1515.64</v>
      </c>
      <c r="G321" s="31" t="n">
        <v>301.9</v>
      </c>
      <c r="H321" s="31" t="n">
        <v>-0.95</v>
      </c>
      <c r="I321" s="31" t="n">
        <v>68370</v>
      </c>
      <c r="J321" s="31" t="inlineStr">
        <is>
          <t>530307</t>
        </is>
      </c>
    </row>
    <row r="322">
      <c r="A322" s="31" t="inlineStr">
        <is>
          <t>POLYPLEX</t>
        </is>
      </c>
      <c r="B322" s="31" t="inlineStr">
        <is>
          <t>Polyplex Corporation Limited</t>
        </is>
      </c>
      <c r="C322" s="31" t="inlineStr">
        <is>
          <t>industrials</t>
        </is>
      </c>
      <c r="D322" s="31" t="inlineStr">
        <is>
          <t>packaging</t>
        </is>
      </c>
      <c r="E322" s="31" t="inlineStr">
        <is>
          <t>smallcap</t>
        </is>
      </c>
      <c r="F322" s="31" t="n">
        <v>3775.57</v>
      </c>
      <c r="G322" s="31" t="n">
        <v>1191</v>
      </c>
      <c r="H322" s="31" t="n">
        <v>-0.97</v>
      </c>
      <c r="I322" s="31" t="n">
        <v>72824</v>
      </c>
      <c r="J322" s="31" t="inlineStr">
        <is>
          <t>524051</t>
        </is>
      </c>
    </row>
    <row r="323">
      <c r="A323" s="31" t="inlineStr">
        <is>
          <t>NEULANDLAB</t>
        </is>
      </c>
      <c r="B323" s="31" t="inlineStr">
        <is>
          <t>Neuland Laboratories Limited</t>
        </is>
      </c>
      <c r="C323" s="31" t="inlineStr">
        <is>
          <t>healthcare</t>
        </is>
      </c>
      <c r="D323" s="31" t="inlineStr">
        <is>
          <t>pharmaceuticals - indian - bulk drugs</t>
        </is>
      </c>
      <c r="E323" s="31" t="inlineStr">
        <is>
          <t>largecap</t>
        </is>
      </c>
      <c r="F323" s="31" t="n">
        <v>29367.62</v>
      </c>
      <c r="G323" s="31" t="n">
        <v>22660</v>
      </c>
      <c r="H323" s="31" t="n">
        <v>-1</v>
      </c>
      <c r="I323" s="31" t="n">
        <v>21110</v>
      </c>
      <c r="J323" s="31" t="inlineStr">
        <is>
          <t>524558</t>
        </is>
      </c>
    </row>
    <row r="324">
      <c r="A324" s="31" t="inlineStr">
        <is>
          <t>BAJAJHIND</t>
        </is>
      </c>
      <c r="B324" s="31" t="inlineStr">
        <is>
          <t>Bajaj Hindusthan Sugar Limited</t>
        </is>
      </c>
      <c r="C324" s="31" t="inlineStr">
        <is>
          <t>fmcg</t>
        </is>
      </c>
      <c r="D324" s="31" t="inlineStr">
        <is>
          <t>sugar</t>
        </is>
      </c>
      <c r="E324" s="31" t="inlineStr">
        <is>
          <t>midcap</t>
        </is>
      </c>
      <c r="F324" s="31" t="n">
        <v>5278.59</v>
      </c>
      <c r="G324" s="31" t="n">
        <v>21.86</v>
      </c>
      <c r="H324" s="31" t="n">
        <v>-1</v>
      </c>
      <c r="I324" s="31" t="n">
        <v>21280859</v>
      </c>
      <c r="J324" s="31" t="inlineStr">
        <is>
          <t>500032</t>
        </is>
      </c>
    </row>
    <row r="325">
      <c r="A325" s="31" t="inlineStr">
        <is>
          <t>KSL</t>
        </is>
      </c>
      <c r="B325" s="31" t="inlineStr">
        <is>
          <t>Kalyani Steels Limited</t>
        </is>
      </c>
      <c r="C325" s="31" t="inlineStr">
        <is>
          <t>metals &amp; mining</t>
        </is>
      </c>
      <c r="D325" s="31" t="inlineStr">
        <is>
          <t>steel - medium / small</t>
        </is>
      </c>
      <c r="E325" s="31" t="inlineStr">
        <is>
          <t>smallcap</t>
        </is>
      </c>
      <c r="F325" s="31" t="n">
        <v>4147.91</v>
      </c>
      <c r="G325" s="31" t="n">
        <v>940.5</v>
      </c>
      <c r="H325" s="31" t="n">
        <v>-1.02</v>
      </c>
      <c r="I325" s="31" t="n">
        <v>67652</v>
      </c>
      <c r="J325" s="31" t="inlineStr">
        <is>
          <t>500235</t>
        </is>
      </c>
    </row>
    <row r="326">
      <c r="A326" s="31" t="inlineStr">
        <is>
          <t>WSTCSTPAPR</t>
        </is>
      </c>
      <c r="B326" s="31" t="inlineStr">
        <is>
          <t>West Coast Paper Mills Limited</t>
        </is>
      </c>
      <c r="C326" s="31" t="inlineStr">
        <is>
          <t>building materials</t>
        </is>
      </c>
      <c r="D326" s="31" t="inlineStr">
        <is>
          <t>paper</t>
        </is>
      </c>
      <c r="E326" s="31" t="inlineStr">
        <is>
          <t>smallcap</t>
        </is>
      </c>
      <c r="F326" s="31" t="n">
        <v>4339.08</v>
      </c>
      <c r="G326" s="31" t="n">
        <v>650.25</v>
      </c>
      <c r="H326" s="31" t="n">
        <v>-1.02</v>
      </c>
      <c r="I326" s="31" t="n">
        <v>276595</v>
      </c>
      <c r="J326" s="31" t="inlineStr">
        <is>
          <t>500444</t>
        </is>
      </c>
    </row>
    <row r="327">
      <c r="A327" s="31" t="inlineStr">
        <is>
          <t>SHYAMMETL</t>
        </is>
      </c>
      <c r="B327" s="31" t="inlineStr">
        <is>
          <t>Shyam Metalics &amp; Energy Ltd</t>
        </is>
      </c>
      <c r="C327" s="31" t="inlineStr">
        <is>
          <t>metals &amp; mining</t>
        </is>
      </c>
      <c r="D327" s="31" t="inlineStr">
        <is>
          <t>steel - large</t>
        </is>
      </c>
      <c r="E327" s="31" t="inlineStr">
        <is>
          <t>largecap</t>
        </is>
      </c>
      <c r="F327" s="31" t="n">
        <v>30045.75</v>
      </c>
      <c r="G327" s="31" t="n">
        <v>1065.3</v>
      </c>
      <c r="H327" s="31" t="n">
        <v>-1.03</v>
      </c>
      <c r="I327" s="31" t="n">
        <v>199343</v>
      </c>
      <c r="J327" s="31" t="inlineStr">
        <is>
          <t>543299</t>
        </is>
      </c>
    </row>
    <row r="328">
      <c r="A328" s="31" t="inlineStr">
        <is>
          <t>MAZDA</t>
        </is>
      </c>
      <c r="B328" s="31" t="inlineStr">
        <is>
          <t>Mazda Limited</t>
        </is>
      </c>
      <c r="C328" s="31" t="inlineStr">
        <is>
          <t>industrials</t>
        </is>
      </c>
      <c r="D328" s="31" t="inlineStr">
        <is>
          <t>engineering</t>
        </is>
      </c>
      <c r="E328" s="31" t="inlineStr">
        <is>
          <t>smallcap</t>
        </is>
      </c>
      <c r="F328" s="31" t="n">
        <v>546.38</v>
      </c>
      <c r="G328" s="31" t="n">
        <v>270</v>
      </c>
      <c r="H328" s="31" t="n">
        <v>-1.04</v>
      </c>
      <c r="I328" s="31" t="n">
        <v>28256</v>
      </c>
      <c r="J328" s="31" t="inlineStr">
        <is>
          <t>523792</t>
        </is>
      </c>
    </row>
    <row r="329">
      <c r="A329" s="31" t="inlineStr">
        <is>
          <t>BEML</t>
        </is>
      </c>
      <c r="B329" s="31" t="inlineStr">
        <is>
          <t>Beml Limited</t>
        </is>
      </c>
      <c r="C329" s="31" t="inlineStr">
        <is>
          <t>aerospace &amp; defence</t>
        </is>
      </c>
      <c r="D329" s="31" t="inlineStr">
        <is>
          <t>engineering</t>
        </is>
      </c>
      <c r="E329" s="31" t="inlineStr">
        <is>
          <t>midcap</t>
        </is>
      </c>
      <c r="F329" s="31" t="n">
        <v>17319.11</v>
      </c>
      <c r="G329" s="31" t="n">
        <v>2057.8</v>
      </c>
      <c r="H329" s="31" t="n">
        <v>-1.04</v>
      </c>
      <c r="I329" s="31" t="n">
        <v>687676</v>
      </c>
      <c r="J329" s="31" t="inlineStr">
        <is>
          <t>500048</t>
        </is>
      </c>
    </row>
    <row r="330">
      <c r="A330" s="31" t="inlineStr">
        <is>
          <t>VENKEYS</t>
        </is>
      </c>
      <c r="B330" s="31" t="inlineStr">
        <is>
          <t>Venky's (india) Limited</t>
        </is>
      </c>
      <c r="C330" s="31" t="inlineStr">
        <is>
          <t>fmcg</t>
        </is>
      </c>
      <c r="D330" s="31" t="inlineStr">
        <is>
          <t>miscellaneous</t>
        </is>
      </c>
      <c r="E330" s="31" t="inlineStr">
        <is>
          <t>smallcap</t>
        </is>
      </c>
      <c r="F330" s="31" t="n">
        <v>2362.59</v>
      </c>
      <c r="G330" s="31" t="n">
        <v>1659.6</v>
      </c>
      <c r="H330" s="31" t="n">
        <v>-1.04</v>
      </c>
      <c r="I330" s="31" t="n">
        <v>25085</v>
      </c>
      <c r="J330" s="31" t="inlineStr">
        <is>
          <t>523261</t>
        </is>
      </c>
    </row>
    <row r="331">
      <c r="A331" s="31" t="inlineStr">
        <is>
          <t>JKPAPER</t>
        </is>
      </c>
      <c r="B331" s="31" t="inlineStr">
        <is>
          <t>Jk Paper Limited</t>
        </is>
      </c>
      <c r="C331" s="31" t="inlineStr">
        <is>
          <t>building materials</t>
        </is>
      </c>
      <c r="D331" s="31" t="inlineStr">
        <is>
          <t>paper</t>
        </is>
      </c>
      <c r="E331" s="31" t="inlineStr">
        <is>
          <t>midcap</t>
        </is>
      </c>
      <c r="F331" s="31" t="n">
        <v>7436.79</v>
      </c>
      <c r="G331" s="31" t="n">
        <v>405.8</v>
      </c>
      <c r="H331" s="31" t="n">
        <v>-1.06</v>
      </c>
      <c r="I331" s="31" t="n">
        <v>381165</v>
      </c>
      <c r="J331" s="31" t="inlineStr">
        <is>
          <t>532162</t>
        </is>
      </c>
    </row>
    <row r="332">
      <c r="A332" s="31" t="inlineStr">
        <is>
          <t>TMB</t>
        </is>
      </c>
      <c r="B332" s="31" t="inlineStr">
        <is>
          <t>Tamilnad Mercantile Bank Ltd</t>
        </is>
      </c>
      <c r="C332" s="31" t="inlineStr">
        <is>
          <t>bank</t>
        </is>
      </c>
      <c r="D332" s="31" t="inlineStr">
        <is>
          <t>banks - private sector</t>
        </is>
      </c>
      <c r="E332" s="31" t="inlineStr">
        <is>
          <t>midcap</t>
        </is>
      </c>
      <c r="F332" s="31" t="n">
        <v>14923.83</v>
      </c>
      <c r="G332" s="31" t="n">
        <v>932.45</v>
      </c>
      <c r="H332" s="31" t="n">
        <v>-1.06</v>
      </c>
      <c r="I332" s="31" t="n">
        <v>131784</v>
      </c>
      <c r="J332" s="31" t="inlineStr">
        <is>
          <t>543596</t>
        </is>
      </c>
    </row>
    <row r="333">
      <c r="A333" s="31" t="inlineStr">
        <is>
          <t>ASIANENE</t>
        </is>
      </c>
      <c r="B333" s="31" t="inlineStr">
        <is>
          <t>Asian Energy Services Ltd</t>
        </is>
      </c>
      <c r="C333" s="31" t="inlineStr">
        <is>
          <t>energy</t>
        </is>
      </c>
      <c r="D333" s="31" t="inlineStr">
        <is>
          <t>oil drilling / allied services</t>
        </is>
      </c>
      <c r="E333" s="31" t="inlineStr">
        <is>
          <t>smallcap</t>
        </is>
      </c>
      <c r="F333" s="31" t="n">
        <v>2543.33</v>
      </c>
      <c r="G333" s="31" t="n">
        <v>517.45</v>
      </c>
      <c r="H333" s="31" t="n">
        <v>-1.06</v>
      </c>
      <c r="I333" s="31" t="n">
        <v>476280</v>
      </c>
      <c r="J333" s="31" t="inlineStr">
        <is>
          <t>530355</t>
        </is>
      </c>
    </row>
    <row r="334">
      <c r="A334" s="31" t="inlineStr">
        <is>
          <t>AARTIPHARM</t>
        </is>
      </c>
      <c r="B334" s="31" t="inlineStr">
        <is>
          <t>Aarti Pharmalabs Ltd</t>
        </is>
      </c>
      <c r="C334" s="31" t="inlineStr">
        <is>
          <t>healthcare</t>
        </is>
      </c>
      <c r="D334" s="31" t="inlineStr">
        <is>
          <t>pharmaceuticals - indian - bulk drugs &amp; formln</t>
        </is>
      </c>
      <c r="E334" s="31" t="inlineStr">
        <is>
          <t>midcap</t>
        </is>
      </c>
      <c r="F334" s="31" t="n">
        <v>7871.91</v>
      </c>
      <c r="G334" s="31" t="n">
        <v>858.8</v>
      </c>
      <c r="H334" s="31" t="n">
        <v>-1.07</v>
      </c>
      <c r="I334" s="31" t="n">
        <v>463265</v>
      </c>
      <c r="J334" s="31" t="inlineStr">
        <is>
          <t>543748</t>
        </is>
      </c>
    </row>
    <row r="335">
      <c r="A335" s="31" t="inlineStr">
        <is>
          <t>ENTERO</t>
        </is>
      </c>
      <c r="B335" s="31" t="inlineStr">
        <is>
          <t>Entero Healthcare Solutions Ltd</t>
        </is>
      </c>
      <c r="C335" s="31" t="inlineStr">
        <is>
          <t>healthcare</t>
        </is>
      </c>
      <c r="D335" s="31" t="inlineStr">
        <is>
          <t>trading</t>
        </is>
      </c>
      <c r="E335" s="31" t="inlineStr">
        <is>
          <t>midcap</t>
        </is>
      </c>
      <c r="F335" s="31" t="n">
        <v>8043.06</v>
      </c>
      <c r="G335" s="31" t="n">
        <v>1827.6</v>
      </c>
      <c r="H335" s="31" t="n">
        <v>-1.1</v>
      </c>
      <c r="I335" s="31" t="n">
        <v>96165</v>
      </c>
      <c r="J335" s="31" t="inlineStr">
        <is>
          <t>544122</t>
        </is>
      </c>
    </row>
    <row r="336">
      <c r="A336" s="31" t="inlineStr">
        <is>
          <t>BLSE</t>
        </is>
      </c>
      <c r="B336" s="31" t="inlineStr">
        <is>
          <t>BLS E-Services Ltd</t>
        </is>
      </c>
      <c r="C336" s="31" t="inlineStr">
        <is>
          <t>i.t</t>
        </is>
      </c>
      <c r="D336" s="31" t="inlineStr">
        <is>
          <t>computers - software - medium / small</t>
        </is>
      </c>
      <c r="E336" s="31" t="inlineStr">
        <is>
          <t>smallcap</t>
        </is>
      </c>
      <c r="F336" s="31" t="n">
        <v>2940.57</v>
      </c>
      <c r="G336" s="31" t="n">
        <v>320.05</v>
      </c>
      <c r="H336" s="31" t="n">
        <v>-1.11</v>
      </c>
      <c r="I336" s="31" t="n">
        <v>143302</v>
      </c>
      <c r="J336" s="31" t="inlineStr">
        <is>
          <t>544107</t>
        </is>
      </c>
    </row>
    <row r="337">
      <c r="A337" s="31" t="inlineStr">
        <is>
          <t>KRYSTAL</t>
        </is>
      </c>
      <c r="B337" s="31" t="inlineStr">
        <is>
          <t>Krystal Integrated Services Ltd</t>
        </is>
      </c>
      <c r="C337" s="31" t="inlineStr">
        <is>
          <t>miscellaneous</t>
        </is>
      </c>
      <c r="D337" s="31" t="inlineStr">
        <is>
          <t>miscellaneous</t>
        </is>
      </c>
      <c r="E337" s="31" t="inlineStr">
        <is>
          <t>smallcap</t>
        </is>
      </c>
      <c r="F337" s="31" t="n">
        <v>924.87</v>
      </c>
      <c r="G337" s="31" t="n">
        <v>654.6</v>
      </c>
      <c r="H337" s="31" t="n">
        <v>-1.11</v>
      </c>
      <c r="I337" s="31" t="n">
        <v>8580</v>
      </c>
      <c r="J337" s="31" t="inlineStr">
        <is>
          <t>544149</t>
        </is>
      </c>
    </row>
    <row r="338">
      <c r="A338" s="31" t="inlineStr">
        <is>
          <t>VGUARD</t>
        </is>
      </c>
      <c r="B338" s="31" t="inlineStr">
        <is>
          <t>V-guard Industries Limited</t>
        </is>
      </c>
      <c r="C338" s="31" t="inlineStr">
        <is>
          <t>industrials</t>
        </is>
      </c>
      <c r="D338" s="31" t="inlineStr">
        <is>
          <t>electric equipment</t>
        </is>
      </c>
      <c r="E338" s="31" t="inlineStr">
        <is>
          <t>midcap</t>
        </is>
      </c>
      <c r="F338" s="31" t="n">
        <v>14821.53</v>
      </c>
      <c r="G338" s="31" t="n">
        <v>335.4</v>
      </c>
      <c r="H338" s="31" t="n">
        <v>-1.13</v>
      </c>
      <c r="I338" s="31" t="n">
        <v>751013</v>
      </c>
      <c r="J338" s="31" t="inlineStr">
        <is>
          <t>532953</t>
        </is>
      </c>
    </row>
    <row r="339">
      <c r="A339" s="31" t="inlineStr">
        <is>
          <t>EIMCOELECO</t>
        </is>
      </c>
      <c r="B339" s="31" t="inlineStr">
        <is>
          <t>Eimco Elecon (india) Limited</t>
        </is>
      </c>
      <c r="C339" s="31" t="inlineStr">
        <is>
          <t>industrials</t>
        </is>
      </c>
      <c r="D339" s="31" t="inlineStr">
        <is>
          <t>engineering</t>
        </is>
      </c>
      <c r="E339" s="31" t="inlineStr">
        <is>
          <t>smallcap</t>
        </is>
      </c>
      <c r="F339" s="31" t="n">
        <v>1315.42</v>
      </c>
      <c r="G339" s="31" t="n">
        <v>2254.4</v>
      </c>
      <c r="H339" s="31" t="n">
        <v>-1.14</v>
      </c>
      <c r="I339" s="31" t="n">
        <v>19567</v>
      </c>
      <c r="J339" s="31" t="inlineStr">
        <is>
          <t>523708</t>
        </is>
      </c>
    </row>
    <row r="340">
      <c r="A340" s="31" t="inlineStr">
        <is>
          <t>LMW</t>
        </is>
      </c>
      <c r="B340" s="31" t="inlineStr">
        <is>
          <t>LMW Ltd</t>
        </is>
      </c>
      <c r="C340" s="31" t="inlineStr">
        <is>
          <t>industrials</t>
        </is>
      </c>
      <c r="D340" s="31" t="inlineStr">
        <is>
          <t>textile machinery</t>
        </is>
      </c>
      <c r="E340" s="31" t="inlineStr">
        <is>
          <t>largecap</t>
        </is>
      </c>
      <c r="F340" s="31" t="n">
        <v>20290.22</v>
      </c>
      <c r="G340" s="31" t="n">
        <v>18774</v>
      </c>
      <c r="H340" s="31" t="n">
        <v>-1.15</v>
      </c>
      <c r="I340" s="31" t="n">
        <v>2214</v>
      </c>
      <c r="J340" s="31" t="inlineStr">
        <is>
          <t>500252</t>
        </is>
      </c>
    </row>
    <row r="341">
      <c r="A341" s="31" t="inlineStr">
        <is>
          <t>CAPLIPOINT</t>
        </is>
      </c>
      <c r="B341" s="31" t="inlineStr">
        <is>
          <t>Caplin Point Laboratories Limited</t>
        </is>
      </c>
      <c r="C341" s="31" t="inlineStr">
        <is>
          <t>healthcare</t>
        </is>
      </c>
      <c r="D341" s="31" t="inlineStr">
        <is>
          <t>pharmaceuticals - indian - formulations</t>
        </is>
      </c>
      <c r="E341" s="31" t="inlineStr">
        <is>
          <t>largecap</t>
        </is>
      </c>
      <c r="F341" s="31" t="n">
        <v>21625.33</v>
      </c>
      <c r="G341" s="31" t="n">
        <v>2810.8</v>
      </c>
      <c r="H341" s="31" t="n">
        <v>-1.2</v>
      </c>
      <c r="I341" s="31" t="n">
        <v>208526</v>
      </c>
      <c r="J341" s="31" t="inlineStr">
        <is>
          <t>524742</t>
        </is>
      </c>
    </row>
    <row r="342">
      <c r="A342" s="31" t="inlineStr">
        <is>
          <t>CPPLUS</t>
        </is>
      </c>
      <c r="B342" s="31" t="inlineStr">
        <is>
          <t>Aditya Infotech Ltd</t>
        </is>
      </c>
      <c r="C342" s="31" t="inlineStr">
        <is>
          <t>consumer discretionary</t>
        </is>
      </c>
      <c r="D342" s="31" t="inlineStr">
        <is>
          <t>trading</t>
        </is>
      </c>
      <c r="E342" s="31" t="inlineStr">
        <is>
          <t>largecap</t>
        </is>
      </c>
      <c r="F342" s="31" t="n">
        <v>44209.25</v>
      </c>
      <c r="G342" s="31" t="n">
        <v>3704.6</v>
      </c>
      <c r="H342" s="31" t="n">
        <v>-1.24</v>
      </c>
      <c r="I342" s="31" t="n">
        <v>202259</v>
      </c>
      <c r="J342" s="31" t="inlineStr">
        <is>
          <t>544466</t>
        </is>
      </c>
    </row>
    <row r="343">
      <c r="A343" s="31" t="inlineStr">
        <is>
          <t>CENTENKA</t>
        </is>
      </c>
      <c r="B343" s="31" t="inlineStr">
        <is>
          <t>Century Enka Limited</t>
        </is>
      </c>
      <c r="C343" s="31" t="inlineStr">
        <is>
          <t>textiles</t>
        </is>
      </c>
      <c r="D343" s="31" t="inlineStr">
        <is>
          <t>textiles - manmade</t>
        </is>
      </c>
      <c r="E343" s="31" t="inlineStr">
        <is>
          <t>smallcap</t>
        </is>
      </c>
      <c r="F343" s="31" t="n">
        <v>1347.42</v>
      </c>
      <c r="G343" s="31" t="n">
        <v>608.9</v>
      </c>
      <c r="H343" s="31" t="n">
        <v>-1.26</v>
      </c>
      <c r="I343" s="31" t="n">
        <v>126471</v>
      </c>
      <c r="J343" s="31" t="inlineStr">
        <is>
          <t>500280</t>
        </is>
      </c>
    </row>
    <row r="344">
      <c r="A344" s="31" t="inlineStr">
        <is>
          <t>NUVAMA</t>
        </is>
      </c>
      <c r="B344" s="31" t="inlineStr">
        <is>
          <t>Nuvama Wealth Management Ltd</t>
        </is>
      </c>
      <c r="C344" s="31" t="inlineStr">
        <is>
          <t>financials</t>
        </is>
      </c>
      <c r="D344" s="31" t="inlineStr">
        <is>
          <t>finance &amp; investments</t>
        </is>
      </c>
      <c r="E344" s="31" t="inlineStr">
        <is>
          <t>largecap</t>
        </is>
      </c>
      <c r="F344" s="31" t="n">
        <v>33570.7</v>
      </c>
      <c r="G344" s="31" t="n">
        <v>1815.6</v>
      </c>
      <c r="H344" s="31" t="n">
        <v>-1.28</v>
      </c>
      <c r="I344" s="31" t="n">
        <v>263032</v>
      </c>
      <c r="J344" s="31" t="inlineStr">
        <is>
          <t>543988</t>
        </is>
      </c>
    </row>
    <row r="345">
      <c r="A345" s="31" t="inlineStr">
        <is>
          <t>MSTCLTD</t>
        </is>
      </c>
      <c r="B345" s="31" t="inlineStr">
        <is>
          <t>MSTC Ltd</t>
        </is>
      </c>
      <c r="C345" s="31" t="inlineStr">
        <is>
          <t>i.t</t>
        </is>
      </c>
      <c r="D345" s="31" t="inlineStr">
        <is>
          <t>trading</t>
        </is>
      </c>
      <c r="E345" s="31" t="inlineStr">
        <is>
          <t>midcap</t>
        </is>
      </c>
      <c r="F345" s="31" t="n">
        <v>5239.52</v>
      </c>
      <c r="G345" s="31" t="n">
        <v>734.2</v>
      </c>
      <c r="H345" s="31" t="n">
        <v>-1.35</v>
      </c>
      <c r="I345" s="31" t="n">
        <v>159233</v>
      </c>
      <c r="J345" s="31" t="inlineStr">
        <is>
          <t>542597</t>
        </is>
      </c>
    </row>
    <row r="346">
      <c r="A346" s="31" t="inlineStr">
        <is>
          <t>GIPCL</t>
        </is>
      </c>
      <c r="B346" s="31" t="inlineStr">
        <is>
          <t>Gujarat Industries Power Company Limited</t>
        </is>
      </c>
      <c r="C346" s="31" t="inlineStr">
        <is>
          <t>power &amp; utilities</t>
        </is>
      </c>
      <c r="D346" s="31" t="inlineStr">
        <is>
          <t>power generation and supply</t>
        </is>
      </c>
      <c r="E346" s="31" t="inlineStr">
        <is>
          <t>smallcap</t>
        </is>
      </c>
      <c r="F346" s="31" t="n">
        <v>3229.11</v>
      </c>
      <c r="G346" s="31" t="n">
        <v>205.18</v>
      </c>
      <c r="H346" s="31" t="n">
        <v>-1.37</v>
      </c>
      <c r="I346" s="31" t="n">
        <v>400260</v>
      </c>
      <c r="J346" s="31" t="inlineStr">
        <is>
          <t>517300</t>
        </is>
      </c>
    </row>
    <row r="347">
      <c r="A347" s="31" t="inlineStr">
        <is>
          <t>ORIENTHOT</t>
        </is>
      </c>
      <c r="B347" s="31" t="inlineStr">
        <is>
          <t>Oriental Hotels Limited</t>
        </is>
      </c>
      <c r="C347" s="31" t="inlineStr">
        <is>
          <t>services</t>
        </is>
      </c>
      <c r="D347" s="31" t="inlineStr">
        <is>
          <t>hotels</t>
        </is>
      </c>
      <c r="E347" s="31" t="inlineStr">
        <is>
          <t>smallcap</t>
        </is>
      </c>
      <c r="F347" s="31" t="n">
        <v>2535.39</v>
      </c>
      <c r="G347" s="31" t="n">
        <v>139.93</v>
      </c>
      <c r="H347" s="31" t="n">
        <v>-1.43</v>
      </c>
      <c r="I347" s="31" t="n">
        <v>301159</v>
      </c>
      <c r="J347" s="31" t="inlineStr">
        <is>
          <t>500314</t>
        </is>
      </c>
    </row>
    <row r="348">
      <c r="A348" s="31" t="inlineStr">
        <is>
          <t>TEXINFRA</t>
        </is>
      </c>
      <c r="B348" s="31" t="inlineStr">
        <is>
          <t>Texmaco Infrastructure &amp; Holdings Limited</t>
        </is>
      </c>
      <c r="C348" s="31" t="inlineStr">
        <is>
          <t>realty</t>
        </is>
      </c>
      <c r="D348" s="31" t="inlineStr">
        <is>
          <t>construction</t>
        </is>
      </c>
      <c r="E348" s="31" t="inlineStr">
        <is>
          <t>smallcap</t>
        </is>
      </c>
      <c r="F348" s="31" t="n">
        <v>1487.07</v>
      </c>
      <c r="G348" s="31" t="n">
        <v>115.02</v>
      </c>
      <c r="H348" s="31" t="n">
        <v>-1.44</v>
      </c>
      <c r="I348" s="31" t="n">
        <v>122665</v>
      </c>
      <c r="J348" s="31" t="inlineStr">
        <is>
          <t>505400</t>
        </is>
      </c>
    </row>
    <row r="349">
      <c r="A349" s="31" t="inlineStr">
        <is>
          <t>VARROC</t>
        </is>
      </c>
      <c r="B349" s="31" t="inlineStr">
        <is>
          <t>Varroc Engineering Ltd</t>
        </is>
      </c>
      <c r="C349" s="31" t="inlineStr">
        <is>
          <t>auto</t>
        </is>
      </c>
      <c r="D349" s="31" t="inlineStr">
        <is>
          <t>auto ancillaries</t>
        </is>
      </c>
      <c r="E349" s="31" t="inlineStr">
        <is>
          <t>midcap</t>
        </is>
      </c>
      <c r="F349" s="31" t="n">
        <v>12821.07</v>
      </c>
      <c r="G349" s="31" t="n">
        <v>826.35</v>
      </c>
      <c r="H349" s="31" t="n">
        <v>-1.53</v>
      </c>
      <c r="I349" s="31" t="n">
        <v>282257</v>
      </c>
      <c r="J349" s="31" t="inlineStr">
        <is>
          <t>541578</t>
        </is>
      </c>
    </row>
    <row r="350">
      <c r="A350" s="31" t="inlineStr">
        <is>
          <t>APOLLOPIPE</t>
        </is>
      </c>
      <c r="B350" s="31" t="inlineStr">
        <is>
          <t>Apollo Pipes Ltd</t>
        </is>
      </c>
      <c r="C350" s="31" t="inlineStr">
        <is>
          <t>plastic products</t>
        </is>
      </c>
      <c r="D350" s="31" t="inlineStr">
        <is>
          <t>plastics products</t>
        </is>
      </c>
      <c r="E350" s="31" t="inlineStr">
        <is>
          <t>smallcap</t>
        </is>
      </c>
      <c r="F350" s="31" t="n">
        <v>2706.98</v>
      </c>
      <c r="G350" s="31" t="n">
        <v>605.1</v>
      </c>
      <c r="H350" s="31" t="n">
        <v>-1.54</v>
      </c>
      <c r="I350" s="31" t="n">
        <v>76562</v>
      </c>
      <c r="J350" s="31" t="inlineStr">
        <is>
          <t>531761</t>
        </is>
      </c>
    </row>
    <row r="351">
      <c r="A351" s="31" t="inlineStr">
        <is>
          <t>NAVINFLUOR</t>
        </is>
      </c>
      <c r="B351" s="31" t="inlineStr">
        <is>
          <t>Navin Fluorine International Limited</t>
        </is>
      </c>
      <c r="C351" s="31" t="inlineStr">
        <is>
          <t>chemicals</t>
        </is>
      </c>
      <c r="D351" s="31" t="inlineStr">
        <is>
          <t>chemicals</t>
        </is>
      </c>
      <c r="E351" s="31" t="inlineStr">
        <is>
          <t>largecap</t>
        </is>
      </c>
      <c r="F351" s="31" t="n">
        <v>44607.92</v>
      </c>
      <c r="G351" s="31" t="n">
        <v>8557.5</v>
      </c>
      <c r="H351" s="31" t="n">
        <v>-1.6</v>
      </c>
      <c r="I351" s="31" t="n">
        <v>131131</v>
      </c>
      <c r="J351" s="31" t="inlineStr">
        <is>
          <t>532504</t>
        </is>
      </c>
    </row>
    <row r="352">
      <c r="A352" s="31" t="inlineStr">
        <is>
          <t>APARINDS</t>
        </is>
      </c>
      <c r="B352" s="31" t="inlineStr">
        <is>
          <t>Apar Industries Limited</t>
        </is>
      </c>
      <c r="C352" s="31" t="inlineStr">
        <is>
          <t>industrials</t>
        </is>
      </c>
      <c r="D352" s="31" t="inlineStr">
        <is>
          <t>electric equipment</t>
        </is>
      </c>
      <c r="E352" s="31" t="inlineStr">
        <is>
          <t>largecap</t>
        </is>
      </c>
      <c r="F352" s="31" t="n">
        <v>74130.78999999999</v>
      </c>
      <c r="G352" s="31" t="n">
        <v>17421</v>
      </c>
      <c r="H352" s="31" t="n">
        <v>-1.6</v>
      </c>
      <c r="I352" s="31" t="n">
        <v>93101</v>
      </c>
      <c r="J352" s="31" t="inlineStr">
        <is>
          <t>532259</t>
        </is>
      </c>
    </row>
    <row r="353">
      <c r="A353" s="31" t="inlineStr">
        <is>
          <t>DIVISLAB</t>
        </is>
      </c>
      <c r="B353" s="31" t="inlineStr">
        <is>
          <t>Divi's Laboratories Limited</t>
        </is>
      </c>
      <c r="C353" s="31" t="inlineStr">
        <is>
          <t>healthcare</t>
        </is>
      </c>
      <c r="D353" s="31" t="inlineStr">
        <is>
          <t>pharmaceuticals - indian - bulk drugs</t>
        </is>
      </c>
      <c r="E353" s="31" t="inlineStr">
        <is>
          <t>largecap</t>
        </is>
      </c>
      <c r="F353" s="31" t="n">
        <v>245558.44</v>
      </c>
      <c r="G353" s="31" t="n">
        <v>9100</v>
      </c>
      <c r="H353" s="31" t="n">
        <v>-1.62</v>
      </c>
      <c r="I353" s="31" t="n">
        <v>250202</v>
      </c>
      <c r="J353" s="31" t="inlineStr">
        <is>
          <t>532488</t>
        </is>
      </c>
    </row>
    <row r="354">
      <c r="A354" s="31" t="inlineStr">
        <is>
          <t>UFLEX</t>
        </is>
      </c>
      <c r="B354" s="31" t="inlineStr">
        <is>
          <t>Uflex Limited</t>
        </is>
      </c>
      <c r="C354" s="31" t="inlineStr">
        <is>
          <t>industrials</t>
        </is>
      </c>
      <c r="D354" s="31" t="inlineStr">
        <is>
          <t>packaging</t>
        </is>
      </c>
      <c r="E354" s="31" t="inlineStr">
        <is>
          <t>smallcap</t>
        </is>
      </c>
      <c r="F354" s="31" t="n">
        <v>4958.76</v>
      </c>
      <c r="G354" s="31" t="n">
        <v>675.6</v>
      </c>
      <c r="H354" s="31" t="n">
        <v>-1.62</v>
      </c>
      <c r="I354" s="31" t="n">
        <v>168967</v>
      </c>
      <c r="J354" s="31" t="inlineStr">
        <is>
          <t>500148</t>
        </is>
      </c>
    </row>
    <row r="355">
      <c r="A355" s="31" t="inlineStr">
        <is>
          <t>PVRINOX</t>
        </is>
      </c>
      <c r="B355" s="31" t="inlineStr">
        <is>
          <t>PVR Inox Ltd</t>
        </is>
      </c>
      <c r="C355" s="31" t="inlineStr">
        <is>
          <t>media</t>
        </is>
      </c>
      <c r="D355" s="31" t="inlineStr">
        <is>
          <t>entertainment / electronic media software</t>
        </is>
      </c>
      <c r="E355" s="31" t="inlineStr">
        <is>
          <t>midcap</t>
        </is>
      </c>
      <c r="F355" s="31" t="n">
        <v>12250.45</v>
      </c>
      <c r="G355" s="31" t="n">
        <v>1227.2</v>
      </c>
      <c r="H355" s="31" t="n">
        <v>-1.63</v>
      </c>
      <c r="I355" s="31" t="n">
        <v>213587</v>
      </c>
      <c r="J355" s="31" t="inlineStr">
        <is>
          <t>532689</t>
        </is>
      </c>
    </row>
    <row r="356">
      <c r="A356" s="31" t="inlineStr">
        <is>
          <t>MARKSANS</t>
        </is>
      </c>
      <c r="B356" s="31" t="inlineStr">
        <is>
          <t>Marksans Pharma Limited</t>
        </is>
      </c>
      <c r="C356" s="31" t="inlineStr">
        <is>
          <t>healthcare</t>
        </is>
      </c>
      <c r="D356" s="31" t="inlineStr">
        <is>
          <t>pharmaceuticals - indian - formulations</t>
        </is>
      </c>
      <c r="E356" s="31" t="inlineStr">
        <is>
          <t>midcap</t>
        </is>
      </c>
      <c r="F356" s="31" t="n">
        <v>15054.1</v>
      </c>
      <c r="G356" s="31" t="n">
        <v>326.75</v>
      </c>
      <c r="H356" s="31" t="n">
        <v>-1.64</v>
      </c>
      <c r="I356" s="31" t="n">
        <v>1654370</v>
      </c>
      <c r="J356" s="31" t="inlineStr">
        <is>
          <t>524404</t>
        </is>
      </c>
    </row>
    <row r="357">
      <c r="A357" s="31" t="inlineStr">
        <is>
          <t>LUMAXTECH</t>
        </is>
      </c>
      <c r="B357" s="31" t="inlineStr">
        <is>
          <t>Lumax Auto Technologies Limited</t>
        </is>
      </c>
      <c r="C357" s="31" t="inlineStr">
        <is>
          <t>auto</t>
        </is>
      </c>
      <c r="D357" s="31" t="inlineStr">
        <is>
          <t>auto ancillaries</t>
        </is>
      </c>
      <c r="E357" s="31" t="inlineStr">
        <is>
          <t>midcap</t>
        </is>
      </c>
      <c r="F357" s="31" t="n">
        <v>13532.03</v>
      </c>
      <c r="G357" s="31" t="n">
        <v>1951.9</v>
      </c>
      <c r="H357" s="31" t="n">
        <v>-1.69</v>
      </c>
      <c r="I357" s="31" t="n">
        <v>81128</v>
      </c>
      <c r="J357" s="31" t="inlineStr">
        <is>
          <t>532796</t>
        </is>
      </c>
    </row>
    <row r="358">
      <c r="A358" s="31" t="inlineStr">
        <is>
          <t>FOSECOIND</t>
        </is>
      </c>
      <c r="B358" s="31" t="inlineStr">
        <is>
          <t>Foseco India Limited</t>
        </is>
      </c>
      <c r="C358" s="31" t="inlineStr">
        <is>
          <t>chemicals</t>
        </is>
      </c>
      <c r="D358" s="31" t="inlineStr">
        <is>
          <t>chemicals</t>
        </is>
      </c>
      <c r="E358" s="31" t="inlineStr">
        <is>
          <t>smallcap</t>
        </is>
      </c>
      <c r="F358" s="31" t="n">
        <v>4803.12</v>
      </c>
      <c r="G358" s="31" t="n">
        <v>6263</v>
      </c>
      <c r="H358" s="31" t="n">
        <v>-1.72</v>
      </c>
      <c r="I358" s="31" t="n">
        <v>7937</v>
      </c>
      <c r="J358" s="31" t="inlineStr">
        <is>
          <t>500150</t>
        </is>
      </c>
    </row>
    <row r="359">
      <c r="A359" s="31" t="inlineStr">
        <is>
          <t>BEPL</t>
        </is>
      </c>
      <c r="B359" s="31" t="inlineStr">
        <is>
          <t>Bhansali Engineering Polymers Limited</t>
        </is>
      </c>
      <c r="C359" s="31" t="inlineStr">
        <is>
          <t>energy</t>
        </is>
      </c>
      <c r="D359" s="31" t="inlineStr">
        <is>
          <t>petrochemicals</t>
        </is>
      </c>
      <c r="E359" s="31" t="inlineStr">
        <is>
          <t>smallcap</t>
        </is>
      </c>
      <c r="F359" s="31" t="n">
        <v>3228.69</v>
      </c>
      <c r="G359" s="31" t="n">
        <v>127.5</v>
      </c>
      <c r="H359" s="31" t="n">
        <v>-1.73</v>
      </c>
      <c r="I359" s="31" t="n">
        <v>1190325</v>
      </c>
      <c r="J359" s="31" t="inlineStr">
        <is>
          <t>500052</t>
        </is>
      </c>
    </row>
    <row r="360">
      <c r="A360" s="31" t="inlineStr">
        <is>
          <t>ANTHEM</t>
        </is>
      </c>
      <c r="B360" s="31" t="inlineStr">
        <is>
          <t>Anthem Biosciences Ltd</t>
        </is>
      </c>
      <c r="C360" s="31" t="inlineStr">
        <is>
          <t>healthcare</t>
        </is>
      </c>
      <c r="D360" s="31" t="inlineStr">
        <is>
          <t>pharmaceuticals - indian - bulk drugs &amp; formln</t>
        </is>
      </c>
      <c r="E360" s="31" t="inlineStr">
        <is>
          <t>largecap</t>
        </is>
      </c>
      <c r="F360" s="31" t="n">
        <v>53560.99</v>
      </c>
      <c r="G360" s="31" t="n">
        <v>934.05</v>
      </c>
      <c r="H360" s="31" t="n">
        <v>-1.75</v>
      </c>
      <c r="I360" s="31" t="n">
        <v>872940</v>
      </c>
      <c r="J360" s="31" t="inlineStr">
        <is>
          <t>544449</t>
        </is>
      </c>
    </row>
    <row r="361">
      <c r="A361" s="31" t="inlineStr">
        <is>
          <t>ANDHRSUGAR</t>
        </is>
      </c>
      <c r="B361" s="31" t="inlineStr">
        <is>
          <t>The Andhra Sugars Limited</t>
        </is>
      </c>
      <c r="C361" s="31" t="inlineStr">
        <is>
          <t>chemicals</t>
        </is>
      </c>
      <c r="D361" s="31" t="inlineStr">
        <is>
          <t>chlor alkali / soda ash</t>
        </is>
      </c>
      <c r="E361" s="31" t="inlineStr">
        <is>
          <t>smallcap</t>
        </is>
      </c>
      <c r="F361" s="31" t="n">
        <v>1372.84</v>
      </c>
      <c r="G361" s="31" t="n">
        <v>99.51000000000001</v>
      </c>
      <c r="H361" s="31" t="n">
        <v>-1.76</v>
      </c>
      <c r="I361" s="31" t="n">
        <v>477164</v>
      </c>
      <c r="J361" s="31" t="inlineStr">
        <is>
          <t>590062</t>
        </is>
      </c>
    </row>
    <row r="362">
      <c r="A362" s="31" t="inlineStr">
        <is>
          <t>JINDALSAW</t>
        </is>
      </c>
      <c r="B362" s="31" t="inlineStr">
        <is>
          <t>Jindal Saw Limited</t>
        </is>
      </c>
      <c r="C362" s="31" t="inlineStr">
        <is>
          <t>industrials</t>
        </is>
      </c>
      <c r="D362" s="31" t="inlineStr">
        <is>
          <t>steel - large</t>
        </is>
      </c>
      <c r="E362" s="31" t="inlineStr">
        <is>
          <t>midcap</t>
        </is>
      </c>
      <c r="F362" s="31" t="n">
        <v>19879.11</v>
      </c>
      <c r="G362" s="31" t="n">
        <v>305.3</v>
      </c>
      <c r="H362" s="31" t="n">
        <v>-1.79</v>
      </c>
      <c r="I362" s="31" t="n">
        <v>868641</v>
      </c>
      <c r="J362" s="31" t="inlineStr">
        <is>
          <t>500378</t>
        </is>
      </c>
    </row>
    <row r="363">
      <c r="A363" s="31" t="inlineStr">
        <is>
          <t>QUADFUTURE</t>
        </is>
      </c>
      <c r="B363" s="31" t="inlineStr">
        <is>
          <t>Quadrant Future Tek Ltd</t>
        </is>
      </c>
      <c r="C363" s="31" t="inlineStr">
        <is>
          <t>industrials</t>
        </is>
      </c>
      <c r="D363" s="31" t="inlineStr">
        <is>
          <t>cables - power</t>
        </is>
      </c>
      <c r="E363" s="31" t="inlineStr">
        <is>
          <t>smallcap</t>
        </is>
      </c>
      <c r="F363" s="31" t="n">
        <v>1702.4</v>
      </c>
      <c r="G363" s="31" t="n">
        <v>417.9</v>
      </c>
      <c r="H363" s="31" t="n">
        <v>-1.81</v>
      </c>
      <c r="I363" s="31" t="n">
        <v>294130</v>
      </c>
      <c r="J363" s="31" t="inlineStr">
        <is>
          <t>544336</t>
        </is>
      </c>
    </row>
    <row r="364">
      <c r="A364" s="31" t="inlineStr">
        <is>
          <t>POLICYBZR</t>
        </is>
      </c>
      <c r="B364" s="31" t="inlineStr">
        <is>
          <t>PB Fintech Ltd</t>
        </is>
      </c>
      <c r="C364" s="31" t="inlineStr">
        <is>
          <t>i.t</t>
        </is>
      </c>
      <c r="D364" s="31" t="inlineStr">
        <is>
          <t>miscellaneous</t>
        </is>
      </c>
      <c r="E364" s="31" t="inlineStr">
        <is>
          <t>largecap</t>
        </is>
      </c>
      <c r="F364" s="31" t="n">
        <v>86523.94</v>
      </c>
      <c r="G364" s="31" t="n">
        <v>1836</v>
      </c>
      <c r="H364" s="31" t="n">
        <v>-1.82</v>
      </c>
      <c r="I364" s="31" t="n">
        <v>445054</v>
      </c>
      <c r="J364" s="31" t="inlineStr">
        <is>
          <t>543390</t>
        </is>
      </c>
    </row>
    <row r="365">
      <c r="A365" s="31" t="inlineStr">
        <is>
          <t>PITTIENG</t>
        </is>
      </c>
      <c r="B365" s="31" t="inlineStr">
        <is>
          <t>Pitti Engineering Ltd</t>
        </is>
      </c>
      <c r="C365" s="31" t="inlineStr">
        <is>
          <t>industrials</t>
        </is>
      </c>
      <c r="D365" s="31" t="inlineStr">
        <is>
          <t>engineering</t>
        </is>
      </c>
      <c r="E365" s="31" t="inlineStr">
        <is>
          <t>smallcap</t>
        </is>
      </c>
      <c r="F365" s="31" t="n">
        <v>4161.1</v>
      </c>
      <c r="G365" s="31" t="n">
        <v>1084.9</v>
      </c>
      <c r="H365" s="31" t="n">
        <v>-1.83</v>
      </c>
      <c r="I365" s="31" t="n">
        <v>48625</v>
      </c>
      <c r="J365" s="31" t="inlineStr">
        <is>
          <t>513519</t>
        </is>
      </c>
    </row>
    <row r="366">
      <c r="A366" s="31" t="inlineStr">
        <is>
          <t>AKUMS</t>
        </is>
      </c>
      <c r="B366" s="31" t="inlineStr">
        <is>
          <t>Akums Drugs &amp; Pharmaceuticals Ltd</t>
        </is>
      </c>
      <c r="C366" s="31" t="inlineStr">
        <is>
          <t>healthcare</t>
        </is>
      </c>
      <c r="D366" s="31" t="inlineStr">
        <is>
          <t>pharmaceuticals - indian - bulk drugs &amp; formln</t>
        </is>
      </c>
      <c r="E366" s="31" t="inlineStr">
        <is>
          <t>midcap</t>
        </is>
      </c>
      <c r="F366" s="31" t="n">
        <v>12285.39</v>
      </c>
      <c r="G366" s="31" t="n">
        <v>765.75</v>
      </c>
      <c r="H366" s="31" t="n">
        <v>-1.9</v>
      </c>
      <c r="I366" s="31" t="n">
        <v>338753</v>
      </c>
      <c r="J366" s="31" t="inlineStr">
        <is>
          <t>544222</t>
        </is>
      </c>
    </row>
    <row r="367">
      <c r="A367" s="31" t="inlineStr">
        <is>
          <t>WELCORP</t>
        </is>
      </c>
      <c r="B367" s="31" t="inlineStr">
        <is>
          <t>Welspun Corp Limited</t>
        </is>
      </c>
      <c r="C367" s="31" t="inlineStr">
        <is>
          <t>industrials</t>
        </is>
      </c>
      <c r="D367" s="31" t="inlineStr">
        <is>
          <t>steel - large</t>
        </is>
      </c>
      <c r="E367" s="31" t="inlineStr">
        <is>
          <t>largecap</t>
        </is>
      </c>
      <c r="F367" s="31" t="n">
        <v>69682.94</v>
      </c>
      <c r="G367" s="31" t="n">
        <v>2590.6</v>
      </c>
      <c r="H367" s="31" t="n">
        <v>-1.93</v>
      </c>
      <c r="I367" s="31" t="n">
        <v>1247810</v>
      </c>
      <c r="J367" s="31" t="inlineStr">
        <is>
          <t>532144</t>
        </is>
      </c>
    </row>
    <row r="368">
      <c r="A368" s="31" t="inlineStr">
        <is>
          <t>BALRAMCHIN</t>
        </is>
      </c>
      <c r="B368" s="31" t="inlineStr">
        <is>
          <t>Balrampur Chini Mills Limited</t>
        </is>
      </c>
      <c r="C368" s="31" t="inlineStr">
        <is>
          <t>fmcg</t>
        </is>
      </c>
      <c r="D368" s="31" t="inlineStr">
        <is>
          <t>sugar</t>
        </is>
      </c>
      <c r="E368" s="31" t="inlineStr">
        <is>
          <t>midcap</t>
        </is>
      </c>
      <c r="F368" s="31" t="n">
        <v>14880.61</v>
      </c>
      <c r="G368" s="31" t="n">
        <v>690.6</v>
      </c>
      <c r="H368" s="31" t="n">
        <v>-1.95</v>
      </c>
      <c r="I368" s="31" t="n">
        <v>2232338</v>
      </c>
      <c r="J368" s="31" t="inlineStr">
        <is>
          <t>500038</t>
        </is>
      </c>
    </row>
    <row r="369">
      <c r="A369" s="31" t="inlineStr">
        <is>
          <t>ZIMLAB</t>
        </is>
      </c>
      <c r="B369" s="31" t="inlineStr">
        <is>
          <t>Zim Laboratories Ltd</t>
        </is>
      </c>
      <c r="C369" s="31" t="inlineStr">
        <is>
          <t>healthcare</t>
        </is>
      </c>
      <c r="D369" s="31" t="inlineStr">
        <is>
          <t>pharmaceuticals - indian - bulk drugs &amp; formln</t>
        </is>
      </c>
      <c r="E369" s="31" t="inlineStr">
        <is>
          <t>smallcap</t>
        </is>
      </c>
      <c r="F369" s="31" t="n">
        <v>685.53</v>
      </c>
      <c r="G369" s="31" t="n">
        <v>125.5</v>
      </c>
      <c r="H369" s="31" t="n">
        <v>-1.97</v>
      </c>
      <c r="I369" s="31" t="n">
        <v>54799</v>
      </c>
      <c r="J369" s="31" t="inlineStr">
        <is>
          <t>541400</t>
        </is>
      </c>
    </row>
    <row r="370">
      <c r="A370" s="31" t="inlineStr">
        <is>
          <t>BAFNAPH</t>
        </is>
      </c>
      <c r="B370" s="31" t="inlineStr">
        <is>
          <t>Bafna Pharmaceuticals Ltd</t>
        </is>
      </c>
      <c r="C370" s="31" t="inlineStr">
        <is>
          <t>healthcare</t>
        </is>
      </c>
      <c r="D370" s="31" t="inlineStr">
        <is>
          <t>pharmaceuticals - indian - formulations</t>
        </is>
      </c>
      <c r="E370" s="31" t="inlineStr">
        <is>
          <t>smallcap</t>
        </is>
      </c>
      <c r="F370" s="31" t="n">
        <v>714.0700000000001</v>
      </c>
      <c r="G370" s="31" t="n">
        <v>295.85</v>
      </c>
      <c r="H370" s="31" t="n">
        <v>-1.99</v>
      </c>
      <c r="I370" s="31" t="n">
        <v>4794</v>
      </c>
      <c r="J370" s="31" t="inlineStr">
        <is>
          <t>532989</t>
        </is>
      </c>
    </row>
    <row r="371">
      <c r="A371" s="31" t="inlineStr">
        <is>
          <t>MACPOWER</t>
        </is>
      </c>
      <c r="B371" s="31" t="inlineStr">
        <is>
          <t>Macpower CNC Machines Ltd</t>
        </is>
      </c>
      <c r="C371" s="31" t="inlineStr">
        <is>
          <t>industrials</t>
        </is>
      </c>
      <c r="D371" s="31" t="inlineStr">
        <is>
          <t>engineering</t>
        </is>
      </c>
      <c r="E371" s="31" t="inlineStr">
        <is>
          <t>smallcap</t>
        </is>
      </c>
      <c r="F371" s="31" t="n">
        <v>1944.91</v>
      </c>
      <c r="G371" s="31" t="n">
        <v>1904.9</v>
      </c>
      <c r="H371" s="31" t="n">
        <v>-2.02</v>
      </c>
      <c r="I371" s="31" t="n">
        <v>38330</v>
      </c>
      <c r="J371" s="31" t="inlineStr">
        <is>
          <t>535057</t>
        </is>
      </c>
    </row>
    <row r="372">
      <c r="A372" s="31" t="inlineStr">
        <is>
          <t>AYMSYNTEX</t>
        </is>
      </c>
      <c r="B372" s="31" t="inlineStr">
        <is>
          <t>Aym Syntex Limited</t>
        </is>
      </c>
      <c r="C372" s="31" t="inlineStr">
        <is>
          <t>textiles</t>
        </is>
      </c>
      <c r="D372" s="31" t="inlineStr">
        <is>
          <t>textiles - processing</t>
        </is>
      </c>
      <c r="E372" s="31" t="inlineStr">
        <is>
          <t>smallcap</t>
        </is>
      </c>
      <c r="F372" s="31" t="n">
        <v>1863.34</v>
      </c>
      <c r="G372" s="31" t="n">
        <v>310.7</v>
      </c>
      <c r="H372" s="31" t="n">
        <v>-2.06</v>
      </c>
      <c r="I372" s="31" t="n">
        <v>124761</v>
      </c>
      <c r="J372" s="31" t="inlineStr">
        <is>
          <t>508933</t>
        </is>
      </c>
    </row>
    <row r="373">
      <c r="A373" s="31" t="inlineStr">
        <is>
          <t>SURAKSHA</t>
        </is>
      </c>
      <c r="B373" s="31" t="inlineStr">
        <is>
          <t>Suraksha Diagnostic Ltd</t>
        </is>
      </c>
      <c r="C373" s="31" t="inlineStr">
        <is>
          <t>healthcare</t>
        </is>
      </c>
      <c r="D373" s="31" t="inlineStr">
        <is>
          <t>healthcare</t>
        </is>
      </c>
      <c r="E373" s="31" t="inlineStr">
        <is>
          <t>smallcap</t>
        </is>
      </c>
      <c r="F373" s="31" t="n">
        <v>1768.66</v>
      </c>
      <c r="G373" s="31" t="n">
        <v>332.45</v>
      </c>
      <c r="H373" s="31" t="n">
        <v>-2.11</v>
      </c>
      <c r="I373" s="31" t="n">
        <v>38299</v>
      </c>
      <c r="J373" s="31" t="inlineStr">
        <is>
          <t>544293</t>
        </is>
      </c>
    </row>
    <row r="374">
      <c r="A374" s="31" t="inlineStr">
        <is>
          <t>THELEELA</t>
        </is>
      </c>
      <c r="B374" s="31" t="inlineStr">
        <is>
          <t>Leela Palaces Hotels &amp; Resorts Ltd</t>
        </is>
      </c>
      <c r="C374" s="31" t="inlineStr">
        <is>
          <t>services</t>
        </is>
      </c>
      <c r="D374" s="31" t="inlineStr">
        <is>
          <t>hotels</t>
        </is>
      </c>
      <c r="E374" s="31" t="inlineStr">
        <is>
          <t>midcap</t>
        </is>
      </c>
      <c r="F374" s="31" t="n">
        <v>18903.69</v>
      </c>
      <c r="G374" s="31" t="n">
        <v>554.05</v>
      </c>
      <c r="H374" s="31" t="n">
        <v>-2.12</v>
      </c>
      <c r="I374" s="31" t="n">
        <v>561774</v>
      </c>
      <c r="J374" s="31" t="inlineStr">
        <is>
          <t>544408</t>
        </is>
      </c>
    </row>
    <row r="375">
      <c r="A375" s="31" t="inlineStr">
        <is>
          <t>SOMANYCERA</t>
        </is>
      </c>
      <c r="B375" s="31" t="inlineStr">
        <is>
          <t>Somany Ceramics Limited</t>
        </is>
      </c>
      <c r="C375" s="31" t="inlineStr">
        <is>
          <t>building materials</t>
        </is>
      </c>
      <c r="D375" s="31" t="inlineStr">
        <is>
          <t>ceramics - tiles / sanitaryware</t>
        </is>
      </c>
      <c r="E375" s="31" t="inlineStr">
        <is>
          <t>smallcap</t>
        </is>
      </c>
      <c r="F375" s="31" t="n">
        <v>2335.68</v>
      </c>
      <c r="G375" s="31" t="n">
        <v>557.35</v>
      </c>
      <c r="H375" s="31" t="n">
        <v>-2.13</v>
      </c>
      <c r="I375" s="31" t="n">
        <v>78257</v>
      </c>
      <c r="J375" s="31" t="inlineStr">
        <is>
          <t>531548</t>
        </is>
      </c>
    </row>
    <row r="376">
      <c r="A376" s="31" t="inlineStr">
        <is>
          <t>GODREJAGRO</t>
        </is>
      </c>
      <c r="B376" s="31" t="inlineStr">
        <is>
          <t>Godrej Agrovet Ltd</t>
        </is>
      </c>
      <c r="C376" s="31" t="inlineStr">
        <is>
          <t>fmcg</t>
        </is>
      </c>
      <c r="D376" s="31" t="inlineStr">
        <is>
          <t>food - processing - indian</t>
        </is>
      </c>
      <c r="E376" s="31" t="inlineStr">
        <is>
          <t>midcap</t>
        </is>
      </c>
      <c r="F376" s="31" t="n">
        <v>12675.56</v>
      </c>
      <c r="G376" s="31" t="n">
        <v>644.85</v>
      </c>
      <c r="H376" s="31" t="n">
        <v>-2.14</v>
      </c>
      <c r="I376" s="31" t="n">
        <v>306292</v>
      </c>
      <c r="J376" s="31" t="inlineStr">
        <is>
          <t>540743</t>
        </is>
      </c>
    </row>
    <row r="377">
      <c r="A377" s="31" t="inlineStr">
        <is>
          <t>CONFIPET</t>
        </is>
      </c>
      <c r="B377" s="31" t="inlineStr">
        <is>
          <t>Confidence Petroleum India Ltd</t>
        </is>
      </c>
      <c r="C377" s="31" t="inlineStr">
        <is>
          <t>miscellaneous</t>
        </is>
      </c>
      <c r="D377" s="31" t="inlineStr">
        <is>
          <t>miscellaneous</t>
        </is>
      </c>
      <c r="E377" s="31" t="inlineStr">
        <is>
          <t>smallcap</t>
        </is>
      </c>
      <c r="F377" s="31" t="n">
        <v>2800.13</v>
      </c>
      <c r="G377" s="31" t="n">
        <v>82.48</v>
      </c>
      <c r="H377" s="31" t="n">
        <v>-2.14</v>
      </c>
      <c r="I377" s="31" t="n">
        <v>2371168</v>
      </c>
      <c r="J377" s="31" t="inlineStr">
        <is>
          <t>526829</t>
        </is>
      </c>
    </row>
    <row r="378">
      <c r="A378" s="31" t="inlineStr">
        <is>
          <t>TIIL</t>
        </is>
      </c>
      <c r="B378" s="31" t="inlineStr">
        <is>
          <t>Technocraft Industries (india) Limited</t>
        </is>
      </c>
      <c r="C378" s="31" t="inlineStr">
        <is>
          <t>metals &amp; mining</t>
        </is>
      </c>
      <c r="D378" s="31" t="inlineStr">
        <is>
          <t>steel - medium / small</t>
        </is>
      </c>
      <c r="E378" s="31" t="inlineStr">
        <is>
          <t>midcap</t>
        </is>
      </c>
      <c r="F378" s="31" t="n">
        <v>7408.11</v>
      </c>
      <c r="G378" s="31" t="n">
        <v>3194.6</v>
      </c>
      <c r="H378" s="31" t="n">
        <v>-2.23</v>
      </c>
      <c r="I378" s="31" t="n">
        <v>25085</v>
      </c>
      <c r="J378" s="31" t="inlineStr">
        <is>
          <t>532804</t>
        </is>
      </c>
    </row>
    <row r="379">
      <c r="A379" s="31" t="inlineStr">
        <is>
          <t>JYOTICNC</t>
        </is>
      </c>
      <c r="B379" s="31" t="inlineStr">
        <is>
          <t>Jyoti CNC Automation Ltd</t>
        </is>
      </c>
      <c r="C379" s="31" t="inlineStr">
        <is>
          <t>industrials</t>
        </is>
      </c>
      <c r="D379" s="31" t="inlineStr">
        <is>
          <t>engineering</t>
        </is>
      </c>
      <c r="E379" s="31" t="inlineStr">
        <is>
          <t>largecap</t>
        </is>
      </c>
      <c r="F379" s="31" t="n">
        <v>23352.94</v>
      </c>
      <c r="G379" s="31" t="n">
        <v>1003.9</v>
      </c>
      <c r="H379" s="31" t="n">
        <v>-2.24</v>
      </c>
      <c r="I379" s="31" t="n">
        <v>1051995</v>
      </c>
      <c r="J379" s="31" t="inlineStr">
        <is>
          <t>544081</t>
        </is>
      </c>
    </row>
    <row r="380">
      <c r="A380" s="31" t="inlineStr">
        <is>
          <t>RAYMOND</t>
        </is>
      </c>
      <c r="B380" s="31" t="inlineStr">
        <is>
          <t>Raymond Limited</t>
        </is>
      </c>
      <c r="C380" s="31" t="inlineStr">
        <is>
          <t>transportation</t>
        </is>
      </c>
      <c r="D380" s="31" t="inlineStr">
        <is>
          <t>transport - airlines</t>
        </is>
      </c>
      <c r="E380" s="31" t="inlineStr">
        <is>
          <t>midcap</t>
        </is>
      </c>
      <c r="F380" s="31" t="n">
        <v>5045.62</v>
      </c>
      <c r="G380" s="31" t="n">
        <v>740.85</v>
      </c>
      <c r="H380" s="31" t="n">
        <v>-2.25</v>
      </c>
      <c r="I380" s="31" t="n">
        <v>1867268</v>
      </c>
      <c r="J380" s="31" t="inlineStr">
        <is>
          <t>500330</t>
        </is>
      </c>
    </row>
    <row r="381">
      <c r="A381" s="31" t="inlineStr">
        <is>
          <t>BRIGADE</t>
        </is>
      </c>
      <c r="B381" s="31" t="inlineStr">
        <is>
          <t>Brigade Enterprises Limited</t>
        </is>
      </c>
      <c r="C381" s="31" t="inlineStr">
        <is>
          <t>realty</t>
        </is>
      </c>
      <c r="D381" s="31" t="inlineStr">
        <is>
          <t>construction</t>
        </is>
      </c>
      <c r="E381" s="31" t="inlineStr">
        <is>
          <t>largecap</t>
        </is>
      </c>
      <c r="F381" s="31" t="n">
        <v>23232.55</v>
      </c>
      <c r="G381" s="31" t="n">
        <v>696.1</v>
      </c>
      <c r="H381" s="31" t="n">
        <v>-2.27</v>
      </c>
      <c r="I381" s="31" t="n">
        <v>1980508</v>
      </c>
      <c r="J381" s="31" t="inlineStr">
        <is>
          <t>532929</t>
        </is>
      </c>
    </row>
    <row r="382">
      <c r="A382" s="31" t="inlineStr">
        <is>
          <t>APCOTEXIND</t>
        </is>
      </c>
      <c r="B382" s="31" t="inlineStr">
        <is>
          <t>Apcotex Industries Limited</t>
        </is>
      </c>
      <c r="C382" s="31" t="inlineStr">
        <is>
          <t>chemicals</t>
        </is>
      </c>
      <c r="D382" s="31" t="inlineStr">
        <is>
          <t>miscellaneous</t>
        </is>
      </c>
      <c r="E382" s="31" t="inlineStr">
        <is>
          <t>smallcap</t>
        </is>
      </c>
      <c r="F382" s="31" t="n">
        <v>3372</v>
      </c>
      <c r="G382" s="31" t="n">
        <v>635.5</v>
      </c>
      <c r="H382" s="31" t="n">
        <v>-2.29</v>
      </c>
      <c r="I382" s="31" t="n">
        <v>172649</v>
      </c>
      <c r="J382" s="31" t="inlineStr">
        <is>
          <t>523694</t>
        </is>
      </c>
    </row>
    <row r="383">
      <c r="A383" s="31" t="inlineStr">
        <is>
          <t>AVALON</t>
        </is>
      </c>
      <c r="B383" s="31" t="inlineStr">
        <is>
          <t>Avalon Technologies Ltd</t>
        </is>
      </c>
      <c r="C383" s="31" t="inlineStr">
        <is>
          <t>consumer discretionary</t>
        </is>
      </c>
      <c r="D383" s="31" t="inlineStr">
        <is>
          <t>electronics - components</t>
        </is>
      </c>
      <c r="E383" s="31" t="inlineStr">
        <is>
          <t>midcap</t>
        </is>
      </c>
      <c r="F383" s="31" t="n">
        <v>15023.29</v>
      </c>
      <c r="G383" s="31" t="n">
        <v>2196.6</v>
      </c>
      <c r="H383" s="31" t="n">
        <v>-2.31</v>
      </c>
      <c r="I383" s="31" t="n">
        <v>683759</v>
      </c>
      <c r="J383" s="31" t="inlineStr">
        <is>
          <t>543896</t>
        </is>
      </c>
    </row>
    <row r="384">
      <c r="A384" s="31" t="inlineStr">
        <is>
          <t>SUBEXLTD</t>
        </is>
      </c>
      <c r="B384" s="31" t="inlineStr">
        <is>
          <t>Subex Ltd</t>
        </is>
      </c>
      <c r="C384" s="31" t="inlineStr">
        <is>
          <t>i.t</t>
        </is>
      </c>
      <c r="D384" s="31" t="inlineStr">
        <is>
          <t>computers - software - medium / small</t>
        </is>
      </c>
      <c r="E384" s="31" t="inlineStr">
        <is>
          <t>smallcap</t>
        </is>
      </c>
      <c r="F384" s="31" t="n">
        <v>994.1799999999999</v>
      </c>
      <c r="G384" s="31" t="n">
        <v>17.28</v>
      </c>
      <c r="H384" s="31" t="n">
        <v>-2.32</v>
      </c>
      <c r="I384" s="31" t="n">
        <v>1970415</v>
      </c>
      <c r="J384" s="31" t="inlineStr">
        <is>
          <t>532348</t>
        </is>
      </c>
    </row>
    <row r="385">
      <c r="A385" s="31" t="inlineStr">
        <is>
          <t>ADOR</t>
        </is>
      </c>
      <c r="B385" s="31" t="inlineStr">
        <is>
          <t>Ador Welding Ltd</t>
        </is>
      </c>
      <c r="C385" s="31" t="inlineStr">
        <is>
          <t>industrials</t>
        </is>
      </c>
      <c r="D385" s="31" t="inlineStr">
        <is>
          <t>electrodes - welding equipment</t>
        </is>
      </c>
      <c r="E385" s="31" t="inlineStr">
        <is>
          <t>smallcap</t>
        </is>
      </c>
      <c r="F385" s="31" t="n">
        <v>2983.89</v>
      </c>
      <c r="G385" s="31" t="n">
        <v>1674.4</v>
      </c>
      <c r="H385" s="31" t="n">
        <v>-2.34</v>
      </c>
      <c r="I385" s="31" t="n">
        <v>26990</v>
      </c>
      <c r="J385" s="31" t="inlineStr">
        <is>
          <t>517041</t>
        </is>
      </c>
    </row>
    <row r="386">
      <c r="A386" s="31" t="inlineStr">
        <is>
          <t>TFCILTD</t>
        </is>
      </c>
      <c r="B386" s="31" t="inlineStr">
        <is>
          <t>Tourism Finance Corporation Of India Limited</t>
        </is>
      </c>
      <c r="C386" s="31" t="inlineStr">
        <is>
          <t>financials</t>
        </is>
      </c>
      <c r="D386" s="31" t="inlineStr">
        <is>
          <t>finance - term-lending institutions</t>
        </is>
      </c>
      <c r="E386" s="31" t="inlineStr">
        <is>
          <t>midcap</t>
        </is>
      </c>
      <c r="F386" s="31" t="n">
        <v>6792.34</v>
      </c>
      <c r="G386" s="31" t="n">
        <v>143.26</v>
      </c>
      <c r="H386" s="31" t="n">
        <v>-2.35</v>
      </c>
      <c r="I386" s="31" t="n">
        <v>8211306</v>
      </c>
      <c r="J386" s="31" t="inlineStr">
        <is>
          <t>526650</t>
        </is>
      </c>
    </row>
    <row r="387">
      <c r="A387" s="31" t="inlineStr">
        <is>
          <t>HAPPYFORGE</t>
        </is>
      </c>
      <c r="B387" s="31" t="inlineStr">
        <is>
          <t>Happy Forgings Ltd</t>
        </is>
      </c>
      <c r="C387" s="31" t="inlineStr">
        <is>
          <t>industrials</t>
        </is>
      </c>
      <c r="D387" s="31" t="inlineStr">
        <is>
          <t>castings &amp; forgings</t>
        </is>
      </c>
      <c r="E387" s="31" t="inlineStr">
        <is>
          <t>largecap</t>
        </is>
      </c>
      <c r="F387" s="31" t="n">
        <v>21654.26</v>
      </c>
      <c r="G387" s="31" t="n">
        <v>2238.5</v>
      </c>
      <c r="H387" s="31" t="n">
        <v>-2.44</v>
      </c>
      <c r="I387" s="31" t="n">
        <v>69563</v>
      </c>
      <c r="J387" s="31" t="inlineStr">
        <is>
          <t>544057</t>
        </is>
      </c>
    </row>
    <row r="388">
      <c r="A388" s="31" t="inlineStr">
        <is>
          <t>AVADHSUGAR</t>
        </is>
      </c>
      <c r="B388" s="31" t="inlineStr">
        <is>
          <t>Avadh Sugar &amp; Energy</t>
        </is>
      </c>
      <c r="C388" s="31" t="inlineStr">
        <is>
          <t>fmcg</t>
        </is>
      </c>
      <c r="D388" s="31" t="inlineStr">
        <is>
          <t>sugar</t>
        </is>
      </c>
      <c r="E388" s="31" t="inlineStr">
        <is>
          <t>smallcap</t>
        </is>
      </c>
      <c r="F388" s="31" t="n">
        <v>1663.73</v>
      </c>
      <c r="G388" s="31" t="n">
        <v>809.5</v>
      </c>
      <c r="H388" s="31" t="n">
        <v>-2.6</v>
      </c>
      <c r="I388" s="31" t="n">
        <v>97497</v>
      </c>
      <c r="J388" s="31" t="inlineStr">
        <is>
          <t>540649</t>
        </is>
      </c>
    </row>
    <row r="389">
      <c r="A389" s="31" t="inlineStr">
        <is>
          <t>UNIPARTS</t>
        </is>
      </c>
      <c r="B389" s="31" t="inlineStr">
        <is>
          <t>Uniparts India Ltd</t>
        </is>
      </c>
      <c r="C389" s="31" t="inlineStr">
        <is>
          <t>industrials</t>
        </is>
      </c>
      <c r="D389" s="31" t="inlineStr">
        <is>
          <t>engineering</t>
        </is>
      </c>
      <c r="E389" s="31" t="inlineStr">
        <is>
          <t>smallcap</t>
        </is>
      </c>
      <c r="F389" s="31" t="n">
        <v>4062.43</v>
      </c>
      <c r="G389" s="31" t="n">
        <v>874.05</v>
      </c>
      <c r="H389" s="31" t="n">
        <v>-2.87</v>
      </c>
      <c r="I389" s="31" t="n">
        <v>311978</v>
      </c>
      <c r="J389" s="31" t="inlineStr">
        <is>
          <t>543689</t>
        </is>
      </c>
    </row>
    <row r="390">
      <c r="A390" s="31" t="inlineStr">
        <is>
          <t>SBCL</t>
        </is>
      </c>
      <c r="B390" s="31" t="inlineStr">
        <is>
          <t>Shivalik Bimetal Controls Ltd</t>
        </is>
      </c>
      <c r="C390" s="31" t="inlineStr">
        <is>
          <t>metals &amp; mining</t>
        </is>
      </c>
      <c r="D390" s="31" t="inlineStr">
        <is>
          <t>mining / minerals / metals</t>
        </is>
      </c>
      <c r="E390" s="31" t="inlineStr">
        <is>
          <t>midcap</t>
        </is>
      </c>
      <c r="F390" s="31" t="n">
        <v>6658.47</v>
      </c>
      <c r="G390" s="31" t="n">
        <v>1121.1</v>
      </c>
      <c r="H390" s="31" t="n">
        <v>-3.01</v>
      </c>
      <c r="I390" s="31" t="n">
        <v>810275</v>
      </c>
      <c r="J390" s="31" t="inlineStr">
        <is>
          <t>513097</t>
        </is>
      </c>
    </row>
    <row r="391">
      <c r="A391" s="31" t="inlineStr">
        <is>
          <t>PRECWIRE</t>
        </is>
      </c>
      <c r="B391" s="31" t="inlineStr">
        <is>
          <t>Precision Wires India Limited</t>
        </is>
      </c>
      <c r="C391" s="31" t="inlineStr">
        <is>
          <t>metals &amp; mining</t>
        </is>
      </c>
      <c r="D391" s="31" t="inlineStr">
        <is>
          <t>mining / minerals / metals</t>
        </is>
      </c>
      <c r="E391" s="31" t="inlineStr">
        <is>
          <t>midcap</t>
        </is>
      </c>
      <c r="F391" s="31" t="n">
        <v>8918.290000000001</v>
      </c>
      <c r="G391" s="31" t="n">
        <v>472.8</v>
      </c>
      <c r="H391" s="31" t="n">
        <v>-3.09</v>
      </c>
      <c r="I391" s="31" t="n">
        <v>830119</v>
      </c>
      <c r="J391" s="31" t="inlineStr">
        <is>
          <t>523539</t>
        </is>
      </c>
    </row>
    <row r="392">
      <c r="A392" s="31" t="inlineStr">
        <is>
          <t>LUMAXIND</t>
        </is>
      </c>
      <c r="B392" s="31" t="inlineStr">
        <is>
          <t>Lumax Industries Limited</t>
        </is>
      </c>
      <c r="C392" s="31" t="inlineStr">
        <is>
          <t>auto</t>
        </is>
      </c>
      <c r="D392" s="31" t="inlineStr">
        <is>
          <t>auto ancillaries</t>
        </is>
      </c>
      <c r="E392" s="31" t="inlineStr">
        <is>
          <t>midcap</t>
        </is>
      </c>
      <c r="F392" s="31" t="n">
        <v>5964.32</v>
      </c>
      <c r="G392" s="31" t="n">
        <v>6181.5</v>
      </c>
      <c r="H392" s="31" t="n">
        <v>-3.12</v>
      </c>
      <c r="I392" s="31" t="n">
        <v>15590</v>
      </c>
      <c r="J392" s="31" t="inlineStr">
        <is>
          <t>517206</t>
        </is>
      </c>
    </row>
    <row r="393">
      <c r="A393" s="31" t="inlineStr">
        <is>
          <t>HMT</t>
        </is>
      </c>
      <c r="B393" s="31" t="inlineStr">
        <is>
          <t>Hmt Limited</t>
        </is>
      </c>
      <c r="C393" s="31" t="inlineStr">
        <is>
          <t>consumer discretionary</t>
        </is>
      </c>
      <c r="D393" s="31" t="inlineStr">
        <is>
          <t>miscellaneous</t>
        </is>
      </c>
      <c r="E393" s="31" t="inlineStr">
        <is>
          <t>midcap</t>
        </is>
      </c>
      <c r="F393" s="31" t="n">
        <v>8316.66</v>
      </c>
      <c r="G393" s="31" t="n">
        <v>66.91</v>
      </c>
      <c r="H393" s="31" t="n">
        <v>-3.13</v>
      </c>
      <c r="I393" s="31" t="n">
        <v>31667</v>
      </c>
      <c r="J393" s="31" t="inlineStr">
        <is>
          <t>500191</t>
        </is>
      </c>
    </row>
    <row r="394">
      <c r="A394" s="31" t="inlineStr">
        <is>
          <t>MOREPENLAB</t>
        </is>
      </c>
      <c r="B394" s="31" t="inlineStr">
        <is>
          <t>Morepen Laboratories Limited</t>
        </is>
      </c>
      <c r="C394" s="31" t="inlineStr">
        <is>
          <t>healthcare</t>
        </is>
      </c>
      <c r="D394" s="31" t="inlineStr">
        <is>
          <t>pharmaceuticals - indian - bulk drugs &amp; formln</t>
        </is>
      </c>
      <c r="E394" s="31" t="inlineStr">
        <is>
          <t>midcap</t>
        </is>
      </c>
      <c r="F394" s="31" t="n">
        <v>6435.72</v>
      </c>
      <c r="G394" s="31" t="n">
        <v>113.74</v>
      </c>
      <c r="H394" s="31" t="n">
        <v>-3.16</v>
      </c>
      <c r="I394" s="31" t="n">
        <v>17563502</v>
      </c>
      <c r="J394" s="31" t="inlineStr">
        <is>
          <t>500288</t>
        </is>
      </c>
    </row>
    <row r="395">
      <c r="A395" s="31" t="inlineStr">
        <is>
          <t>QUESS</t>
        </is>
      </c>
      <c r="B395" s="31" t="inlineStr">
        <is>
          <t>Quess Corp Limited</t>
        </is>
      </c>
      <c r="C395" s="31" t="inlineStr">
        <is>
          <t>miscellaneous</t>
        </is>
      </c>
      <c r="D395" s="31" t="inlineStr">
        <is>
          <t>diversified - large</t>
        </is>
      </c>
      <c r="E395" s="31" t="inlineStr">
        <is>
          <t>midcap</t>
        </is>
      </c>
      <c r="F395" s="31" t="n">
        <v>5474.79</v>
      </c>
      <c r="G395" s="31" t="n">
        <v>354.75</v>
      </c>
      <c r="H395" s="31" t="n">
        <v>-3.22</v>
      </c>
      <c r="I395" s="31" t="n">
        <v>974018</v>
      </c>
      <c r="J395" s="31" t="inlineStr">
        <is>
          <t>539978</t>
        </is>
      </c>
    </row>
    <row r="396">
      <c r="A396" s="31" t="inlineStr">
        <is>
          <t>GUJTHEM</t>
        </is>
      </c>
      <c r="B396" s="31" t="inlineStr">
        <is>
          <t>Gujarat Themis Biosyn Ltd</t>
        </is>
      </c>
      <c r="C396" s="31" t="inlineStr">
        <is>
          <t>healthcare</t>
        </is>
      </c>
      <c r="D396" s="31" t="inlineStr">
        <is>
          <t>pharmaceuticals - indian - bulk drugs</t>
        </is>
      </c>
      <c r="E396" s="31" t="inlineStr">
        <is>
          <t>smallcap</t>
        </is>
      </c>
      <c r="F396" s="31" t="n">
        <v>4632.11</v>
      </c>
      <c r="G396" s="31" t="n">
        <v>411.35</v>
      </c>
      <c r="H396" s="31" t="n">
        <v>-3.23</v>
      </c>
      <c r="I396" s="31" t="n">
        <v>605159</v>
      </c>
      <c r="J396" s="31" t="inlineStr">
        <is>
          <t>506879</t>
        </is>
      </c>
    </row>
    <row r="397">
      <c r="A397" s="31" t="inlineStr">
        <is>
          <t>VINCOFE</t>
        </is>
      </c>
      <c r="B397" s="31" t="inlineStr">
        <is>
          <t>Vintage Coffee &amp; Beverages Ltd</t>
        </is>
      </c>
      <c r="C397" s="31" t="inlineStr">
        <is>
          <t>consumer discretionary</t>
        </is>
      </c>
      <c r="D397" s="31" t="inlineStr">
        <is>
          <t>trading</t>
        </is>
      </c>
      <c r="E397" s="31" t="inlineStr">
        <is>
          <t>smallcap</t>
        </is>
      </c>
      <c r="F397" s="31" t="n">
        <v>2571.11</v>
      </c>
      <c r="G397" s="31" t="n">
        <v>170.65</v>
      </c>
      <c r="H397" s="31" t="n">
        <v>-3.3</v>
      </c>
      <c r="I397" s="31" t="n">
        <v>2286890</v>
      </c>
      <c r="J397" s="31" t="inlineStr">
        <is>
          <t>538920</t>
        </is>
      </c>
    </row>
    <row r="398">
      <c r="A398" s="31" t="inlineStr">
        <is>
          <t>MANALIPETC</t>
        </is>
      </c>
      <c r="B398" s="31" t="inlineStr">
        <is>
          <t>Manali Petrochemicals Limited</t>
        </is>
      </c>
      <c r="C398" s="31" t="inlineStr">
        <is>
          <t>energy</t>
        </is>
      </c>
      <c r="D398" s="31" t="inlineStr">
        <is>
          <t>petrochemicals</t>
        </is>
      </c>
      <c r="E398" s="31" t="inlineStr">
        <is>
          <t>smallcap</t>
        </is>
      </c>
      <c r="F398" s="31" t="n">
        <v>1543.35</v>
      </c>
      <c r="G398" s="31" t="n">
        <v>86.76000000000001</v>
      </c>
      <c r="H398" s="31" t="n">
        <v>-3.31</v>
      </c>
      <c r="I398" s="31" t="n">
        <v>6435710</v>
      </c>
      <c r="J398" s="31" t="inlineStr">
        <is>
          <t>500268</t>
        </is>
      </c>
    </row>
    <row r="399">
      <c r="A399" s="31" t="inlineStr">
        <is>
          <t>ATHERENERG</t>
        </is>
      </c>
      <c r="B399" s="31" t="inlineStr">
        <is>
          <t>Ather Energy Ltd</t>
        </is>
      </c>
      <c r="C399" s="31" t="inlineStr">
        <is>
          <t>auto</t>
        </is>
      </c>
      <c r="D399" s="31" t="inlineStr">
        <is>
          <t>automobiles - scooters and 3 - wheelers</t>
        </is>
      </c>
      <c r="E399" s="31" t="inlineStr">
        <is>
          <t>largecap</t>
        </is>
      </c>
      <c r="F399" s="31" t="n">
        <v>64593.2</v>
      </c>
      <c r="G399" s="31" t="n">
        <v>1584</v>
      </c>
      <c r="H399" s="31" t="n">
        <v>-3.35</v>
      </c>
      <c r="I399" s="31" t="n">
        <v>5585636</v>
      </c>
      <c r="J399" s="31" t="inlineStr">
        <is>
          <t>544397</t>
        </is>
      </c>
    </row>
    <row r="400">
      <c r="A400" s="31" t="inlineStr">
        <is>
          <t>THEMISMED</t>
        </is>
      </c>
      <c r="B400" s="31" t="inlineStr">
        <is>
          <t>Themis Medicare Limited</t>
        </is>
      </c>
      <c r="C400" s="31" t="inlineStr">
        <is>
          <t>healthcare</t>
        </is>
      </c>
      <c r="D400" s="31" t="inlineStr">
        <is>
          <t>pharmaceuticals - indian - bulk drugs &amp; formln</t>
        </is>
      </c>
      <c r="E400" s="31" t="inlineStr">
        <is>
          <t>smallcap</t>
        </is>
      </c>
      <c r="F400" s="31" t="n">
        <v>1150.05</v>
      </c>
      <c r="G400" s="31" t="n">
        <v>120.42</v>
      </c>
      <c r="H400" s="31" t="n">
        <v>-3.56</v>
      </c>
      <c r="I400" s="31" t="n">
        <v>159319</v>
      </c>
      <c r="J400" s="31" t="inlineStr">
        <is>
          <t>530199</t>
        </is>
      </c>
    </row>
    <row r="401">
      <c r="A401" s="31" t="inlineStr">
        <is>
          <t>SYNCOMF</t>
        </is>
      </c>
      <c r="B401" s="31" t="inlineStr">
        <is>
          <t>Syncom Formulations (India) Ltd</t>
        </is>
      </c>
      <c r="C401" s="31" t="inlineStr">
        <is>
          <t>healthcare</t>
        </is>
      </c>
      <c r="D401" s="31" t="inlineStr">
        <is>
          <t>pharmaceuticals - indian - bulk drugs &amp; formln</t>
        </is>
      </c>
      <c r="E401" s="31" t="inlineStr">
        <is>
          <t>smallcap</t>
        </is>
      </c>
      <c r="F401" s="31" t="n">
        <v>2007.84</v>
      </c>
      <c r="G401" s="31" t="n">
        <v>20.58</v>
      </c>
      <c r="H401" s="31" t="n">
        <v>-3.65</v>
      </c>
      <c r="I401" s="31" t="n">
        <v>16788160</v>
      </c>
      <c r="J401" s="31" t="inlineStr">
        <is>
          <t>524470</t>
        </is>
      </c>
    </row>
    <row r="402">
      <c r="A402" s="31" t="inlineStr">
        <is>
          <t>KMEW</t>
        </is>
      </c>
      <c r="B402" s="31" t="inlineStr">
        <is>
          <t>Knowledge Marine &amp; Engineering Works Ltd</t>
        </is>
      </c>
      <c r="C402" s="31" t="inlineStr">
        <is>
          <t>transportation</t>
        </is>
      </c>
      <c r="D402" s="31" t="inlineStr">
        <is>
          <t>miscellaneous</t>
        </is>
      </c>
      <c r="E402" s="31" t="inlineStr">
        <is>
          <t>midcap</t>
        </is>
      </c>
      <c r="F402" s="31" t="n">
        <v>7700.87</v>
      </c>
      <c r="G402" s="31" t="n">
        <v>3033.4</v>
      </c>
      <c r="H402" s="31" t="n">
        <v>-3.71</v>
      </c>
      <c r="I402" s="31" t="n">
        <v>98630</v>
      </c>
      <c r="J402" s="31" t="inlineStr">
        <is>
          <t>543273</t>
        </is>
      </c>
    </row>
    <row r="403">
      <c r="A403" s="31" t="inlineStr">
        <is>
          <t>TNPETRO</t>
        </is>
      </c>
      <c r="B403" s="31" t="inlineStr">
        <is>
          <t>Tamilnadu Petroproducts Limited</t>
        </is>
      </c>
      <c r="C403" s="31" t="inlineStr">
        <is>
          <t>energy</t>
        </is>
      </c>
      <c r="D403" s="31" t="inlineStr">
        <is>
          <t>petrochemicals</t>
        </is>
      </c>
      <c r="E403" s="31" t="inlineStr">
        <is>
          <t>smallcap</t>
        </is>
      </c>
      <c r="F403" s="31" t="n">
        <v>1239.9</v>
      </c>
      <c r="G403" s="31" t="n">
        <v>132.7</v>
      </c>
      <c r="H403" s="31" t="n">
        <v>-3.71</v>
      </c>
      <c r="I403" s="31" t="n">
        <v>1119931</v>
      </c>
      <c r="J403" s="31" t="inlineStr">
        <is>
          <t>500777</t>
        </is>
      </c>
    </row>
    <row r="404">
      <c r="A404" s="31" t="inlineStr">
        <is>
          <t>MANAKSTEEL</t>
        </is>
      </c>
      <c r="B404" s="31" t="inlineStr">
        <is>
          <t>Manaksia Steels Limited</t>
        </is>
      </c>
      <c r="C404" s="31" t="inlineStr">
        <is>
          <t>metals &amp; mining</t>
        </is>
      </c>
      <c r="D404" s="31" t="inlineStr">
        <is>
          <t>steel - medium / small</t>
        </is>
      </c>
      <c r="E404" s="31" t="inlineStr">
        <is>
          <t>smallcap</t>
        </is>
      </c>
      <c r="F404" s="31" t="n">
        <v>733.39</v>
      </c>
      <c r="G404" s="31" t="n">
        <v>107.3</v>
      </c>
      <c r="H404" s="31" t="n">
        <v>-4.12</v>
      </c>
      <c r="I404" s="31" t="n">
        <v>171136</v>
      </c>
      <c r="J404" s="31" t="inlineStr">
        <is>
          <t>539044</t>
        </is>
      </c>
    </row>
    <row r="405">
      <c r="A405" s="31" t="inlineStr">
        <is>
          <t>RPEL</t>
        </is>
      </c>
      <c r="B405" s="31" t="inlineStr">
        <is>
          <t>Raghav Productivity Enhancers Ltd</t>
        </is>
      </c>
      <c r="C405" s="31" t="inlineStr">
        <is>
          <t>building materials</t>
        </is>
      </c>
      <c r="D405" s="31" t="inlineStr">
        <is>
          <t>refractories / intermediates</t>
        </is>
      </c>
      <c r="E405" s="31" t="inlineStr">
        <is>
          <t>midcap</t>
        </is>
      </c>
      <c r="F405" s="31" t="n">
        <v>8657.209999999999</v>
      </c>
      <c r="G405" s="31" t="n">
        <v>1807.2</v>
      </c>
      <c r="H405" s="31" t="n">
        <v>-4.14</v>
      </c>
      <c r="I405" s="31" t="n">
        <v>209791</v>
      </c>
      <c r="J405" s="31" t="inlineStr">
        <is>
          <t>539837</t>
        </is>
      </c>
    </row>
    <row r="406">
      <c r="A406" s="31" t="inlineStr">
        <is>
          <t>INDSWFTLAB</t>
        </is>
      </c>
      <c r="B406" s="31" t="inlineStr">
        <is>
          <t>Ind-swift Laboratories Limited</t>
        </is>
      </c>
      <c r="C406" s="31" t="inlineStr">
        <is>
          <t>healthcare</t>
        </is>
      </c>
      <c r="D406" s="31" t="inlineStr">
        <is>
          <t>pharmaceuticals - indian - bulk drugs &amp; formln</t>
        </is>
      </c>
      <c r="E406" s="31" t="inlineStr">
        <is>
          <t>smallcap</t>
        </is>
      </c>
      <c r="F406" s="31" t="n">
        <v>3241.06</v>
      </c>
      <c r="G406" s="31" t="n">
        <v>355.95</v>
      </c>
      <c r="H406" s="31" t="n">
        <v>-4.49</v>
      </c>
      <c r="I406" s="31" t="n">
        <v>695062</v>
      </c>
      <c r="J406" s="31" t="inlineStr">
        <is>
          <t>532305</t>
        </is>
      </c>
    </row>
    <row r="407">
      <c r="A407" s="31" t="inlineStr">
        <is>
          <t>MODISONLTD</t>
        </is>
      </c>
      <c r="B407" s="31" t="inlineStr">
        <is>
          <t>Modison Ltd</t>
        </is>
      </c>
      <c r="C407" s="31" t="inlineStr">
        <is>
          <t>industrials</t>
        </is>
      </c>
      <c r="D407" s="31" t="inlineStr">
        <is>
          <t>electric equipment</t>
        </is>
      </c>
      <c r="E407" s="31" t="inlineStr">
        <is>
          <t>smallcap</t>
        </is>
      </c>
      <c r="F407" s="31" t="n">
        <v>1605.14</v>
      </c>
      <c r="G407" s="31" t="n">
        <v>469.95</v>
      </c>
      <c r="H407" s="31" t="n">
        <v>-4.99</v>
      </c>
      <c r="I407" s="31" t="n">
        <v>412447</v>
      </c>
      <c r="J407" s="31" t="inlineStr">
        <is>
          <t>506261</t>
        </is>
      </c>
    </row>
    <row r="408">
      <c r="A408" s="31" t="inlineStr">
        <is>
          <t>ANTELOPUS</t>
        </is>
      </c>
      <c r="B408" s="31" t="inlineStr">
        <is>
          <t>Antelopus Selan Energy Ltd</t>
        </is>
      </c>
      <c r="C408" s="31" t="inlineStr">
        <is>
          <t>energy</t>
        </is>
      </c>
      <c r="D408" s="31" t="inlineStr">
        <is>
          <t>oil drilling / allied services</t>
        </is>
      </c>
      <c r="E408" s="31" t="inlineStr">
        <is>
          <t>smallcap</t>
        </is>
      </c>
      <c r="F408" s="31" t="n">
        <v>3563</v>
      </c>
      <c r="G408" s="31" t="n">
        <v>957.15</v>
      </c>
      <c r="H408" s="31" t="n">
        <v>-5.54</v>
      </c>
      <c r="I408" s="31" t="n">
        <v>4816181</v>
      </c>
      <c r="J408" s="31" t="inlineStr">
        <is>
          <t>530075</t>
        </is>
      </c>
    </row>
    <row r="409">
      <c r="A409" s="31" t="inlineStr">
        <is>
          <t>DYCL</t>
        </is>
      </c>
      <c r="B409" s="31" t="inlineStr">
        <is>
          <t>Dynamic Cables Ltd</t>
        </is>
      </c>
      <c r="C409" s="31" t="inlineStr">
        <is>
          <t>industrials</t>
        </is>
      </c>
      <c r="D409" s="31" t="inlineStr">
        <is>
          <t>cables - power</t>
        </is>
      </c>
      <c r="E409" s="31" t="inlineStr">
        <is>
          <t>smallcap</t>
        </is>
      </c>
      <c r="F409" s="31" t="n">
        <v>2637.6</v>
      </c>
      <c r="G409" s="31" t="n">
        <v>487.9</v>
      </c>
      <c r="H409" s="31" t="n">
        <v>-10.36</v>
      </c>
      <c r="I409" s="31" t="n">
        <v>1789647</v>
      </c>
      <c r="J409" s="31" t="inlineStr">
        <is>
          <t>540795</t>
        </is>
      </c>
    </row>
  </sheetData>
  <autoFilter ref="A1:J4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MENONBE</t>
        </is>
      </c>
      <c r="E2" s="31" t="inlineStr">
        <is>
          <t>Menon Bearings Limited</t>
        </is>
      </c>
      <c r="F2" s="31" t="inlineStr">
        <is>
          <t>Auto Ancillaries - Bearings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22</v>
      </c>
      <c r="K2" s="31" t="n">
        <v>30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BIRLACABLE</t>
        </is>
      </c>
      <c r="E3" s="31" t="inlineStr">
        <is>
          <t>Birla Cable Limited</t>
        </is>
      </c>
      <c r="F3" s="31" t="inlineStr">
        <is>
          <t>Cables - Telecom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29</v>
      </c>
      <c r="K3" s="31" t="n">
        <v>28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TBZ</t>
        </is>
      </c>
      <c r="E4" s="31" t="inlineStr">
        <is>
          <t>Tribhovandas Bhimji Zaveri Limited</t>
        </is>
      </c>
      <c r="F4" s="31" t="inlineStr">
        <is>
          <t>Diamond, Gems &amp; Jewellery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28</v>
      </c>
      <c r="K4" s="31" t="n">
        <v>23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SAKAR</t>
        </is>
      </c>
      <c r="E5" s="31" t="inlineStr">
        <is>
          <t>Sakar Healthcare Ltd</t>
        </is>
      </c>
      <c r="F5" s="31" t="inlineStr">
        <is>
          <t>Hospitals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23</v>
      </c>
      <c r="K5" s="31" t="n">
        <v>14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SHILPAMED</t>
        </is>
      </c>
      <c r="E6" s="31" t="inlineStr">
        <is>
          <t>Shilpa Medicare Limited</t>
        </is>
      </c>
      <c r="F6" s="31" t="inlineStr">
        <is>
          <t>Pharma - API &amp; CRAMS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22</v>
      </c>
      <c r="K6" s="31" t="n">
        <v>26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WELSPUNLIV</t>
        </is>
      </c>
      <c r="E7" s="31" t="inlineStr">
        <is>
          <t>Welspun Living Ltd</t>
        </is>
      </c>
      <c r="F7" s="31" t="inlineStr">
        <is>
          <t>Textiles - Home Textile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20</v>
      </c>
      <c r="K7" s="31" t="n">
        <v>16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CRAFTSMAN</t>
        </is>
      </c>
      <c r="E8" s="31" t="inlineStr">
        <is>
          <t>Craftsman Automation Ltd</t>
        </is>
      </c>
      <c r="F8" s="31" t="inlineStr">
        <is>
          <t>Auto &amp; Auto Ancl - CV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23</v>
      </c>
      <c r="K8" s="31" t="n">
        <v>26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BHAGERIA</t>
        </is>
      </c>
      <c r="E9" s="31" t="inlineStr">
        <is>
          <t>Bhageria Industries Limited</t>
        </is>
      </c>
      <c r="F9" s="31" t="inlineStr">
        <is>
          <t>Dyes &amp; Pigments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27</v>
      </c>
      <c r="K9" s="31" t="n">
        <v>14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PTCIL</t>
        </is>
      </c>
      <c r="E10" s="31" t="inlineStr">
        <is>
          <t>PTC Industries Ltd</t>
        </is>
      </c>
      <c r="F10" s="31" t="inlineStr">
        <is>
          <t>Castings - Steel/Alloy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24</v>
      </c>
      <c r="K10" s="31" t="n">
        <v>25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DEEPINDS</t>
        </is>
      </c>
      <c r="E11" s="31" t="inlineStr">
        <is>
          <t>Deep Industries Ltd</t>
        </is>
      </c>
      <c r="F11" s="31" t="inlineStr">
        <is>
          <t>Oil Drilling &amp; Exploration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21</v>
      </c>
      <c r="K11" s="31" t="n">
        <v>29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DOLPHIN</t>
        </is>
      </c>
      <c r="E12" s="31" t="inlineStr">
        <is>
          <t>Dolphin Offshore Enterprises (India) Ltd</t>
        </is>
      </c>
      <c r="F12" s="31" t="inlineStr">
        <is>
          <t>Oil Drilling &amp; Exploration</t>
        </is>
      </c>
      <c r="G12" s="31" t="n">
        <v>3</v>
      </c>
      <c r="H12" s="31" t="inlineStr">
        <is>
          <t>52W Breakout</t>
        </is>
      </c>
      <c r="I12" s="31" t="inlineStr">
        <is>
          <t>Yes</t>
        </is>
      </c>
      <c r="J12" s="31" t="n">
        <v>20</v>
      </c>
      <c r="K12" s="31" t="n">
        <v>25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BALAMINES</t>
        </is>
      </c>
      <c r="E13" s="31" t="inlineStr">
        <is>
          <t>Balaji Amines Limited</t>
        </is>
      </c>
      <c r="F13" s="31" t="inlineStr">
        <is>
          <t>Speciality Chemicals</t>
        </is>
      </c>
      <c r="G13" s="31" t="n">
        <v>3</v>
      </c>
      <c r="H13" s="31" t="inlineStr">
        <is>
          <t>52W Breakout</t>
        </is>
      </c>
      <c r="I13" s="31" t="inlineStr">
        <is>
          <t>Yes</t>
        </is>
      </c>
      <c r="J13" s="31" t="n">
        <v>21</v>
      </c>
      <c r="K13" s="31" t="n">
        <v>10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VADILALIND</t>
        </is>
      </c>
      <c r="E14" s="31" t="inlineStr">
        <is>
          <t>Vadilal Industries Limited</t>
        </is>
      </c>
      <c r="F14" s="31" t="inlineStr">
        <is>
          <t>FMCG - Dairy Products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19</v>
      </c>
      <c r="K14" s="31" t="n">
        <v>30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PREMIERPOL</t>
        </is>
      </c>
      <c r="E15" s="31" t="inlineStr">
        <is>
          <t>Premier Polyfilm Limited</t>
        </is>
      </c>
      <c r="F15" s="31" t="inlineStr">
        <is>
          <t>Plastics - Sheets/Films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22</v>
      </c>
      <c r="K15" s="31" t="n">
        <v>21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BLUSPRING</t>
        </is>
      </c>
      <c r="E16" s="31" t="inlineStr">
        <is>
          <t>Bluspring Enterprises Ltd</t>
        </is>
      </c>
      <c r="F16" s="31" t="inlineStr">
        <is>
          <t>Diversified</t>
        </is>
      </c>
      <c r="G16" s="31" t="n">
        <v>2</v>
      </c>
      <c r="H16" s="31" t="inlineStr">
        <is>
          <t>52W Breakout</t>
        </is>
      </c>
      <c r="I16" s="31" t="inlineStr">
        <is>
          <t>Yes</t>
        </is>
      </c>
      <c r="J16" s="31" t="n">
        <v>14</v>
      </c>
      <c r="K16" s="31" t="n">
        <v>19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ORIENTBELL</t>
        </is>
      </c>
      <c r="E17" s="31" t="inlineStr">
        <is>
          <t>Orient Bell Limited</t>
        </is>
      </c>
      <c r="F17" s="31" t="inlineStr">
        <is>
          <t>Ceramics - Tiles</t>
        </is>
      </c>
      <c r="G17" s="31" t="n">
        <v>2</v>
      </c>
      <c r="H17" s="31" t="inlineStr">
        <is>
          <t>52W Breakout</t>
        </is>
      </c>
      <c r="I17" s="31" t="inlineStr">
        <is>
          <t>Yes</t>
        </is>
      </c>
      <c r="J17" s="31" t="n">
        <v>2</v>
      </c>
      <c r="K17" s="31" t="n">
        <v>16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VINCOFE</t>
        </is>
      </c>
      <c r="E18" s="31" t="inlineStr">
        <is>
          <t>Vintage Coffee &amp; Beverages Ltd</t>
        </is>
      </c>
      <c r="F18" s="31" t="inlineStr">
        <is>
          <t>FMCG - Coffee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24</v>
      </c>
      <c r="K18" s="31" t="n">
        <v>13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IIFL</t>
        </is>
      </c>
      <c r="E19" s="31" t="inlineStr">
        <is>
          <t>IIFL Finance Ltd</t>
        </is>
      </c>
      <c r="F19" s="31" t="inlineStr">
        <is>
          <t>Finance &amp; Investments - Gold Loan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20</v>
      </c>
      <c r="K19" s="31" t="n">
        <v>27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CUPID</t>
        </is>
      </c>
      <c r="E20" s="31" t="inlineStr">
        <is>
          <t>Cupid Limited</t>
        </is>
      </c>
      <c r="F20" s="31" t="inlineStr">
        <is>
          <t>Contraceptives/Protectives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21</v>
      </c>
      <c r="K20" s="31" t="n">
        <v>30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RBLBANK</t>
        </is>
      </c>
      <c r="E21" s="31" t="inlineStr">
        <is>
          <t>Rbl Bank Limited</t>
        </is>
      </c>
      <c r="F21" s="31" t="inlineStr">
        <is>
          <t>Banks - Private</t>
        </is>
      </c>
      <c r="G21" s="31" t="n">
        <v>2</v>
      </c>
      <c r="H21" s="31" t="inlineStr">
        <is>
          <t>52W Breakout</t>
        </is>
      </c>
      <c r="I21" s="31" t="inlineStr">
        <is>
          <t>Yes</t>
        </is>
      </c>
      <c r="J21" s="31" t="n">
        <v>10</v>
      </c>
      <c r="K21" s="31" t="n">
        <v>19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RML</t>
        </is>
      </c>
      <c r="E22" s="31" t="inlineStr">
        <is>
          <t>Rane (madras) Limited</t>
        </is>
      </c>
      <c r="F22" s="31" t="inlineStr">
        <is>
          <t>Auto Ancillaries - Gears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22</v>
      </c>
      <c r="K22" s="31" t="n">
        <v>3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RPEL</t>
        </is>
      </c>
      <c r="E23" s="31" t="inlineStr">
        <is>
          <t>Raghav Productivity Enhancers Ltd</t>
        </is>
      </c>
      <c r="F23" s="31" t="inlineStr">
        <is>
          <t>Steel Products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20</v>
      </c>
      <c r="K23" s="31" t="n">
        <v>21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INDOBORAX</t>
        </is>
      </c>
      <c r="E24" s="31" t="inlineStr">
        <is>
          <t>Indo Borax &amp; Chemicals Ltd</t>
        </is>
      </c>
      <c r="F24" s="31" t="inlineStr">
        <is>
          <t>Chemicals - Inorganic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20</v>
      </c>
      <c r="K24" s="31" t="n">
        <v>16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IOLCP</t>
        </is>
      </c>
      <c r="E25" s="31" t="inlineStr">
        <is>
          <t>Iol Chemicals And Pharmaceuticals Limited</t>
        </is>
      </c>
      <c r="F25" s="31" t="inlineStr">
        <is>
          <t>Pharma - API &amp; CRAMS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23</v>
      </c>
      <c r="K25" s="31" t="n">
        <v>20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UNIPARTS</t>
        </is>
      </c>
      <c r="E26" s="31" t="inlineStr">
        <is>
          <t>Uniparts India Ltd</t>
        </is>
      </c>
      <c r="F26" s="31" t="inlineStr">
        <is>
          <t>Castings, Forgings &amp; Fastners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23</v>
      </c>
      <c r="K26" s="31" t="n">
        <v>30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WELCORP</t>
        </is>
      </c>
      <c r="E27" s="31" t="inlineStr">
        <is>
          <t>Welspun Corp Limited</t>
        </is>
      </c>
      <c r="F27" s="31" t="inlineStr">
        <is>
          <t>DI Pipes/Saw Pipes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20</v>
      </c>
      <c r="K27" s="31" t="n">
        <v>30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KINGFA</t>
        </is>
      </c>
      <c r="E28" s="31" t="inlineStr">
        <is>
          <t>Kingfa Science &amp; Technology (india) Limited</t>
        </is>
      </c>
      <c r="F28" s="31" t="inlineStr">
        <is>
          <t>unknown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0</v>
      </c>
      <c r="K28" s="31" t="n">
        <v>25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CGCL</t>
        </is>
      </c>
      <c r="E29" s="31" t="inlineStr">
        <is>
          <t>Capri Global Capital Limited</t>
        </is>
      </c>
      <c r="F29" s="31" t="inlineStr">
        <is>
          <t>Finance &amp; Investments - Gold Loan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33</v>
      </c>
      <c r="K29" s="31" t="n">
        <v>11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MARKSANS</t>
        </is>
      </c>
      <c r="E30" s="31" t="inlineStr">
        <is>
          <t>Marksans Pharma Limited</t>
        </is>
      </c>
      <c r="F30" s="31" t="inlineStr">
        <is>
          <t>Pharma - Formulators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21</v>
      </c>
      <c r="K30" s="31" t="n">
        <v>24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MOREPENLAB</t>
        </is>
      </c>
      <c r="E31" s="31" t="inlineStr">
        <is>
          <t>Morepen Laboratories Limited</t>
        </is>
      </c>
      <c r="F31" s="31" t="inlineStr">
        <is>
          <t>Pharma - API &amp; CRAMS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24</v>
      </c>
      <c r="K31" s="31" t="n">
        <v>24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AVTNPL</t>
        </is>
      </c>
      <c r="E32" s="31" t="inlineStr">
        <is>
          <t>Avt Natural Products Limited</t>
        </is>
      </c>
      <c r="F32" s="31" t="inlineStr">
        <is>
          <t>Agricultural Processing - Maize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24</v>
      </c>
      <c r="K32" s="31" t="n">
        <v>20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IRISDOREME</t>
        </is>
      </c>
      <c r="E33" s="31" t="inlineStr">
        <is>
          <t>Iris Clothings Ltd</t>
        </is>
      </c>
      <c r="F33" s="31" t="inlineStr">
        <is>
          <t>Textiles - Readymade Apparel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22</v>
      </c>
      <c r="K33" s="31" t="n">
        <v>30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MODISONLTD</t>
        </is>
      </c>
      <c r="E34" s="31" t="inlineStr">
        <is>
          <t>Modison Ltd</t>
        </is>
      </c>
      <c r="F34" s="31" t="inlineStr">
        <is>
          <t>Capital Goods - Electric General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26</v>
      </c>
      <c r="K34" s="31" t="n">
        <v>20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MARINE</t>
        </is>
      </c>
      <c r="E35" s="31" t="inlineStr">
        <is>
          <t>Marine Electricals (India) Ltd</t>
        </is>
      </c>
      <c r="F35" s="31" t="inlineStr">
        <is>
          <t>Shipping - Proxy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21</v>
      </c>
      <c r="K35" s="31" t="n">
        <v>27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KMEW</t>
        </is>
      </c>
      <c r="E36" s="31" t="inlineStr">
        <is>
          <t>Knowledge Marine &amp; Engineering Works Ltd</t>
        </is>
      </c>
      <c r="F36" s="31" t="inlineStr">
        <is>
          <t>Shipping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24</v>
      </c>
      <c r="K36" s="31" t="n">
        <v>30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CENTENKA</t>
        </is>
      </c>
      <c r="E37" s="31" t="inlineStr">
        <is>
          <t>Century Enka Limited</t>
        </is>
      </c>
      <c r="F37" s="31" t="inlineStr">
        <is>
          <t>Textiles - Manmade Fibre - PFY/PSF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21</v>
      </c>
      <c r="K37" s="31" t="n">
        <v>16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IGPL</t>
        </is>
      </c>
      <c r="E38" s="31" t="inlineStr">
        <is>
          <t>Ig Petrochemicals Limited</t>
        </is>
      </c>
      <c r="F38" s="31" t="inlineStr">
        <is>
          <t>Chemicals - Organic - Maleic Anhydride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22</v>
      </c>
      <c r="K38" s="31" t="n">
        <v>22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KABRAEXTRU</t>
        </is>
      </c>
      <c r="E39" s="31" t="inlineStr">
        <is>
          <t>Kabra Extrusion Technik Limited</t>
        </is>
      </c>
      <c r="F39" s="31" t="inlineStr">
        <is>
          <t>Capital Goods - Engineering Heavy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20</v>
      </c>
      <c r="K39" s="31" t="n">
        <v>30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SSWL</t>
        </is>
      </c>
      <c r="E40" s="31" t="inlineStr">
        <is>
          <t>Steel Strips Wheels Limited</t>
        </is>
      </c>
      <c r="F40" s="31" t="inlineStr">
        <is>
          <t>Auto Ancillaries - Wheels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21</v>
      </c>
      <c r="K40" s="31" t="n">
        <v>24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ARROWGREEN</t>
        </is>
      </c>
      <c r="E41" s="31" t="inlineStr">
        <is>
          <t>Arrow Greentech Limited</t>
        </is>
      </c>
      <c r="F41" s="31" t="inlineStr">
        <is>
          <t>unknown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0</v>
      </c>
      <c r="K41" s="31" t="n">
        <v>19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SETL</t>
        </is>
      </c>
      <c r="E42" s="31" t="inlineStr">
        <is>
          <t>Standard Enginnering Technology Ltd</t>
        </is>
      </c>
      <c r="F42" s="31" t="inlineStr">
        <is>
          <t>Engineering - Heavy - Glass - lined Equipment</t>
        </is>
      </c>
      <c r="G42" s="31" t="n">
        <v>2</v>
      </c>
      <c r="H42" s="31" t="inlineStr">
        <is>
          <t>52W Breakout</t>
        </is>
      </c>
      <c r="I42" s="31" t="inlineStr">
        <is>
          <t>Yes</t>
        </is>
      </c>
      <c r="J42" s="31" t="n">
        <v>18</v>
      </c>
      <c r="K42" s="31" t="n">
        <v>30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INNOVACAP</t>
        </is>
      </c>
      <c r="E43" s="31" t="inlineStr">
        <is>
          <t>Innova Captab Ltd</t>
        </is>
      </c>
      <c r="F43" s="31" t="inlineStr">
        <is>
          <t>Pharma - API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20</v>
      </c>
      <c r="K43" s="31" t="n">
        <v>17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TFCILTD</t>
        </is>
      </c>
      <c r="E44" s="31" t="inlineStr">
        <is>
          <t>Tourism Finance Corporation Of India Limited</t>
        </is>
      </c>
      <c r="F44" s="31" t="inlineStr">
        <is>
          <t>Finance - PSU Lending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21</v>
      </c>
      <c r="K44" s="31" t="n">
        <v>30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IFCI</t>
        </is>
      </c>
      <c r="E45" s="31" t="inlineStr">
        <is>
          <t>Ifci Limited</t>
        </is>
      </c>
      <c r="F45" s="31" t="inlineStr">
        <is>
          <t>Finance - PSU Lending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20</v>
      </c>
      <c r="K45" s="31" t="n">
        <v>18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AVALON</t>
        </is>
      </c>
      <c r="E46" s="31" t="inlineStr">
        <is>
          <t>Avalon Technologies Ltd</t>
        </is>
      </c>
      <c r="F46" s="31" t="inlineStr">
        <is>
          <t>Consumer Electronics - EMS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21</v>
      </c>
      <c r="K46" s="31" t="n">
        <v>25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BLISSGVS</t>
        </is>
      </c>
      <c r="E47" s="31" t="inlineStr">
        <is>
          <t>Bliss Gvs Pharma Limited</t>
        </is>
      </c>
      <c r="F47" s="31" t="inlineStr">
        <is>
          <t>Pharma - Formulators</t>
        </is>
      </c>
      <c r="G47" s="31" t="n">
        <v>2</v>
      </c>
      <c r="H47" s="31" t="inlineStr">
        <is>
          <t>52W Breakout</t>
        </is>
      </c>
      <c r="I47" s="31" t="inlineStr">
        <is>
          <t>Yes</t>
        </is>
      </c>
      <c r="J47" s="31" t="n">
        <v>17</v>
      </c>
      <c r="K47" s="31" t="n">
        <v>21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FCL</t>
        </is>
      </c>
      <c r="E48" s="31" t="inlineStr">
        <is>
          <t>Fineotex Chemical Limited</t>
        </is>
      </c>
      <c r="F48" s="31" t="inlineStr">
        <is>
          <t>Speciality Chemicals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24</v>
      </c>
      <c r="K48" s="31" t="n">
        <v>23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OMAXE</t>
        </is>
      </c>
      <c r="E49" s="31" t="inlineStr">
        <is>
          <t>Omaxe Limited</t>
        </is>
      </c>
      <c r="F49" s="31" t="inlineStr">
        <is>
          <t>Realty - Construction &amp; Contracting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22</v>
      </c>
      <c r="K49" s="31" t="n">
        <v>18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DYCL</t>
        </is>
      </c>
      <c r="E50" s="31" t="inlineStr">
        <is>
          <t>Dynamic Cables Ltd</t>
        </is>
      </c>
      <c r="F50" s="31" t="inlineStr">
        <is>
          <t>Cables - Power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24</v>
      </c>
      <c r="K50" s="31" t="n">
        <v>18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KENNAMET</t>
        </is>
      </c>
      <c r="E51" s="31" t="inlineStr">
        <is>
          <t>Kennametal India Ltd</t>
        </is>
      </c>
      <c r="F51" s="31" t="inlineStr">
        <is>
          <t>Castings, Forgings &amp; Fastners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25</v>
      </c>
      <c r="K51" s="31" t="n">
        <v>25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PVP</t>
        </is>
      </c>
      <c r="E52" s="31" t="inlineStr">
        <is>
          <t>Pvp Ventures Limited</t>
        </is>
      </c>
      <c r="F52" s="31" t="inlineStr">
        <is>
          <t>Realty - Construction &amp; Contracting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23</v>
      </c>
      <c r="K52" s="31" t="n">
        <v>22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SPORTKING</t>
        </is>
      </c>
      <c r="E53" s="31" t="inlineStr">
        <is>
          <t>Sportking India Ltd</t>
        </is>
      </c>
      <c r="F53" s="31" t="inlineStr">
        <is>
          <t>Textiles - Spinning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19</v>
      </c>
      <c r="K53" s="31" t="n">
        <v>21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GHCLTEXTIL</t>
        </is>
      </c>
      <c r="E54" s="31" t="inlineStr">
        <is>
          <t>GHCL Textiles Ltd</t>
        </is>
      </c>
      <c r="F54" s="31" t="inlineStr">
        <is>
          <t>Textiles - General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19</v>
      </c>
      <c r="K54" s="31" t="n">
        <v>29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RUBYMILLS</t>
        </is>
      </c>
      <c r="E55" s="31" t="inlineStr">
        <is>
          <t>The Ruby Mills Limited</t>
        </is>
      </c>
      <c r="F55" s="31" t="inlineStr">
        <is>
          <t>Textiles - Composite Mills</t>
        </is>
      </c>
      <c r="G55" s="31" t="n">
        <v>2</v>
      </c>
      <c r="H55" s="31" t="inlineStr">
        <is>
          <t>52W Breakout</t>
        </is>
      </c>
      <c r="I55" s="31" t="inlineStr">
        <is>
          <t>Yes</t>
        </is>
      </c>
      <c r="J55" s="31" t="n">
        <v>9</v>
      </c>
      <c r="K55" s="31" t="n">
        <v>14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OFSS</t>
        </is>
      </c>
      <c r="E56" s="31" t="inlineStr">
        <is>
          <t>Oracle Financial Services Software Limited</t>
        </is>
      </c>
      <c r="F56" s="31" t="inlineStr">
        <is>
          <t>IT Product Companies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22</v>
      </c>
      <c r="K56" s="31" t="n">
        <v>23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RGL</t>
        </is>
      </c>
      <c r="E57" s="31" t="inlineStr">
        <is>
          <t>Renaissance Global Ltd</t>
        </is>
      </c>
      <c r="F57" s="31" t="inlineStr">
        <is>
          <t>Lab Grown Diamonds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23</v>
      </c>
      <c r="K57" s="31" t="n">
        <v>21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ACMESOLAR</t>
        </is>
      </c>
      <c r="E58" s="31" t="inlineStr">
        <is>
          <t>ACME Solar Holdings Ltd</t>
        </is>
      </c>
      <c r="F58" s="31" t="inlineStr">
        <is>
          <t>Engineering - Turnkey Services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20</v>
      </c>
      <c r="K58" s="31" t="n">
        <v>14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TVSSRICHAK</t>
        </is>
      </c>
      <c r="E59" s="31" t="inlineStr">
        <is>
          <t>Tvs Srichakra Limited</t>
        </is>
      </c>
      <c r="F59" s="31" t="inlineStr">
        <is>
          <t>Tyres &amp; Tubes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23</v>
      </c>
      <c r="K59" s="31" t="n">
        <v>16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MACPOWER</t>
        </is>
      </c>
      <c r="E60" s="31" t="inlineStr">
        <is>
          <t>Macpower CNC Machines Ltd</t>
        </is>
      </c>
      <c r="F60" s="31" t="inlineStr">
        <is>
          <t>CNC - Machines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22</v>
      </c>
      <c r="K60" s="31" t="n">
        <v>28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BODALCHEM</t>
        </is>
      </c>
      <c r="E61" s="31" t="inlineStr">
        <is>
          <t>Bodal Chemicals Limited</t>
        </is>
      </c>
      <c r="F61" s="31" t="inlineStr">
        <is>
          <t>Dyes &amp; Pigments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27</v>
      </c>
      <c r="K61" s="31" t="n">
        <v>22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CHENNPETRO</t>
        </is>
      </c>
      <c r="E62" s="31" t="inlineStr">
        <is>
          <t>Chennai Petroleum Corporation Limited</t>
        </is>
      </c>
      <c r="F62" s="31" t="inlineStr">
        <is>
          <t>Refineries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23</v>
      </c>
      <c r="K62" s="31" t="n">
        <v>23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BHEL</t>
        </is>
      </c>
      <c r="E63" s="31" t="inlineStr">
        <is>
          <t>Bharat Heavy Electricals Limited</t>
        </is>
      </c>
      <c r="F63" s="31" t="inlineStr">
        <is>
          <t>Capital Goods - Engineering Heavy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21</v>
      </c>
      <c r="K63" s="31" t="n">
        <v>12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GANDHAR</t>
        </is>
      </c>
      <c r="E64" s="31" t="inlineStr">
        <is>
          <t>Gandhar Oil Refinery (India) Ltd</t>
        </is>
      </c>
      <c r="F64" s="31" t="inlineStr">
        <is>
          <t>Refineries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20</v>
      </c>
      <c r="K64" s="31" t="n">
        <v>22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THELEELA</t>
        </is>
      </c>
      <c r="E65" s="31" t="inlineStr">
        <is>
          <t>Leela Palaces Hotels &amp; Resorts Ltd</t>
        </is>
      </c>
      <c r="F65" s="31" t="inlineStr">
        <is>
          <t>Hotels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21</v>
      </c>
      <c r="K65" s="31" t="n">
        <v>25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COFORGE</t>
        </is>
      </c>
      <c r="E66" s="31" t="inlineStr">
        <is>
          <t>Coforge (Niit Tech) Ltd</t>
        </is>
      </c>
      <c r="F66" s="31" t="inlineStr">
        <is>
          <t>IT - Software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20</v>
      </c>
      <c r="K66" s="31" t="n">
        <v>28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BOSCH-HCIL</t>
        </is>
      </c>
      <c r="E67" s="31" t="inlineStr">
        <is>
          <t>Bosch Home Comfort India Ltd</t>
        </is>
      </c>
      <c r="F67" s="31" t="inlineStr">
        <is>
          <t>Consumer Electronics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21</v>
      </c>
      <c r="K67" s="31" t="n">
        <v>24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STLTECH</t>
        </is>
      </c>
      <c r="E68" s="31" t="inlineStr">
        <is>
          <t>Sterlite Technologies Limited</t>
        </is>
      </c>
      <c r="F68" s="31" t="inlineStr">
        <is>
          <t>Cables - Telecom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22</v>
      </c>
      <c r="K68" s="31" t="n">
        <v>25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PRECWIRE</t>
        </is>
      </c>
      <c r="E69" s="31" t="inlineStr">
        <is>
          <t>Precision Wires India Limited</t>
        </is>
      </c>
      <c r="F69" s="31" t="inlineStr">
        <is>
          <t>Copper Wires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20</v>
      </c>
      <c r="K69" s="31" t="n">
        <v>19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NRAIL</t>
        </is>
      </c>
      <c r="E70" s="31" t="inlineStr">
        <is>
          <t>N R Agarwal Industries Ltd</t>
        </is>
      </c>
      <c r="F70" s="31" t="inlineStr">
        <is>
          <t>Paper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21</v>
      </c>
      <c r="K70" s="31" t="n">
        <v>18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AEROENTER</t>
        </is>
      </c>
      <c r="E71" s="31" t="inlineStr">
        <is>
          <t>Aeroflex Enterprises Ltd</t>
        </is>
      </c>
      <c r="F71" s="31" t="inlineStr">
        <is>
          <t>Miscellaneous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25</v>
      </c>
      <c r="K71" s="31" t="n">
        <v>20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SHREEJISPG</t>
        </is>
      </c>
      <c r="E72" s="31" t="inlineStr">
        <is>
          <t>Shreeji Shipping Global Ltd</t>
        </is>
      </c>
      <c r="F72" s="31" t="inlineStr">
        <is>
          <t>Shipping/Dredging</t>
        </is>
      </c>
      <c r="G72" s="31" t="n">
        <v>2</v>
      </c>
      <c r="H72" s="31" t="inlineStr">
        <is>
          <t>52W Breakout</t>
        </is>
      </c>
      <c r="I72" s="31" t="inlineStr">
        <is>
          <t>Yes</t>
        </is>
      </c>
      <c r="J72" s="31" t="n">
        <v>9</v>
      </c>
      <c r="K72" s="31" t="n">
        <v>2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ENTERO</t>
        </is>
      </c>
      <c r="E73" s="31" t="inlineStr">
        <is>
          <t>Entero Healthcare Solutions Ltd</t>
        </is>
      </c>
      <c r="F73" s="31" t="inlineStr">
        <is>
          <t>Pharmacy Distribution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28</v>
      </c>
      <c r="K73" s="31" t="n">
        <v>25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SYNCOMF</t>
        </is>
      </c>
      <c r="E74" s="31" t="inlineStr">
        <is>
          <t>Syncom Formulations (India) Ltd</t>
        </is>
      </c>
      <c r="F74" s="31" t="inlineStr">
        <is>
          <t>Pharma - Others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20</v>
      </c>
      <c r="K74" s="31" t="n">
        <v>17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MMP</t>
        </is>
      </c>
      <c r="E75" s="31" t="inlineStr">
        <is>
          <t>MMP Industries Ltd</t>
        </is>
      </c>
      <c r="F75" s="31" t="inlineStr">
        <is>
          <t>Aluminium Products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20</v>
      </c>
      <c r="K75" s="31" t="n">
        <v>27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ENGINERSIN</t>
        </is>
      </c>
      <c r="E76" s="31" t="inlineStr">
        <is>
          <t>Engineers India Limited</t>
        </is>
      </c>
      <c r="F76" s="31" t="inlineStr">
        <is>
          <t>Infra - Engineering - General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22</v>
      </c>
      <c r="K76" s="31" t="n">
        <v>19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MANINDS</t>
        </is>
      </c>
      <c r="E77" s="31" t="inlineStr">
        <is>
          <t>Man Industries (india) Limited</t>
        </is>
      </c>
      <c r="F77" s="31" t="inlineStr">
        <is>
          <t>Steel - Tubes/Pipes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23</v>
      </c>
      <c r="K77" s="31" t="n">
        <v>19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ANTELOPUS</t>
        </is>
      </c>
      <c r="E78" s="31" t="inlineStr">
        <is>
          <t>Antelopus Selan Energy Ltd</t>
        </is>
      </c>
      <c r="F78" s="31" t="inlineStr">
        <is>
          <t>Oil Drilling &amp; Exploration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27</v>
      </c>
      <c r="K78" s="31" t="n">
        <v>8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QPOWER</t>
        </is>
      </c>
      <c r="E79" s="31" t="inlineStr">
        <is>
          <t>Quality Power Electrical Equipments Ltd</t>
        </is>
      </c>
      <c r="F79" s="31" t="inlineStr">
        <is>
          <t>Electrical Equipments/HVDC</t>
        </is>
      </c>
      <c r="G79" s="31" t="n">
        <v>2</v>
      </c>
      <c r="H79" s="31" t="inlineStr">
        <is>
          <t>52W Breakout</t>
        </is>
      </c>
      <c r="I79" s="31" t="inlineStr">
        <is>
          <t>Yes</t>
        </is>
      </c>
      <c r="J79" s="31" t="n">
        <v>17</v>
      </c>
      <c r="K79" s="31" t="n">
        <v>20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INOXINDIA</t>
        </is>
      </c>
      <c r="E80" s="31" t="inlineStr">
        <is>
          <t>Inox India Ltd</t>
        </is>
      </c>
      <c r="F80" s="31" t="inlineStr">
        <is>
          <t>unknown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0</v>
      </c>
      <c r="K80" s="31" t="n">
        <v>10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SBC</t>
        </is>
      </c>
      <c r="E81" s="31" t="inlineStr">
        <is>
          <t>SBC Exports Ltd</t>
        </is>
      </c>
      <c r="F81" s="31" t="inlineStr">
        <is>
          <t>Textiles - Readymade Apparel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20</v>
      </c>
      <c r="K81" s="31" t="n">
        <v>13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SEAMECLTD</t>
        </is>
      </c>
      <c r="E82" s="31" t="inlineStr">
        <is>
          <t>Seamec Limited</t>
        </is>
      </c>
      <c r="F82" s="31" t="inlineStr">
        <is>
          <t>Shipping</t>
        </is>
      </c>
      <c r="G82" s="31" t="n">
        <v>2</v>
      </c>
      <c r="H82" s="31" t="inlineStr">
        <is>
          <t>52W Breakout</t>
        </is>
      </c>
      <c r="I82" s="31" t="inlineStr">
        <is>
          <t>Yes</t>
        </is>
      </c>
      <c r="J82" s="31" t="n">
        <v>14</v>
      </c>
      <c r="K82" s="31" t="n">
        <v>25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SMLMAH</t>
        </is>
      </c>
      <c r="E83" s="31" t="inlineStr">
        <is>
          <t>SML Mahindra Ltd</t>
        </is>
      </c>
      <c r="F83" s="31" t="inlineStr">
        <is>
          <t>Auto - Bus/LCVs</t>
        </is>
      </c>
      <c r="G83" s="31" t="n">
        <v>2</v>
      </c>
      <c r="H83" s="31" t="inlineStr">
        <is>
          <t>52W Breakout</t>
        </is>
      </c>
      <c r="I83" s="31" t="inlineStr">
        <is>
          <t>Yes</t>
        </is>
      </c>
      <c r="J83" s="31" t="n">
        <v>17</v>
      </c>
      <c r="K83" s="31" t="n">
        <v>26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BIL</t>
        </is>
      </c>
      <c r="E84" s="31" t="inlineStr">
        <is>
          <t>Bhartiya International Limited</t>
        </is>
      </c>
      <c r="F84" s="31" t="inlineStr">
        <is>
          <t>Textiles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24</v>
      </c>
      <c r="K84" s="31" t="n">
        <v>24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SHANTIGEAR</t>
        </is>
      </c>
      <c r="E85" s="31" t="inlineStr">
        <is>
          <t>Shanthi Gears Limited</t>
        </is>
      </c>
      <c r="F85" s="31" t="inlineStr">
        <is>
          <t>Auto Ancillaries - Gears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21</v>
      </c>
      <c r="K85" s="31" t="n">
        <v>10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UFLEX</t>
        </is>
      </c>
      <c r="E86" s="31" t="inlineStr">
        <is>
          <t>Uflex Limited</t>
        </is>
      </c>
      <c r="F86" s="31" t="inlineStr">
        <is>
          <t>Packaging - BOPP</t>
        </is>
      </c>
      <c r="G86" s="31" t="n">
        <v>2</v>
      </c>
      <c r="H86" s="31" t="inlineStr">
        <is>
          <t>No</t>
        </is>
      </c>
      <c r="I86" s="31" t="inlineStr">
        <is>
          <t>Yes</t>
        </is>
      </c>
      <c r="J86" s="31" t="n">
        <v>21</v>
      </c>
      <c r="K86" s="31" t="n">
        <v>22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NAVINFLUOR</t>
        </is>
      </c>
      <c r="E87" s="31" t="inlineStr">
        <is>
          <t>Navin Fluorine International Limited</t>
        </is>
      </c>
      <c r="F87" s="31" t="inlineStr">
        <is>
          <t>Chemicals - Flourine</t>
        </is>
      </c>
      <c r="G87" s="31" t="n">
        <v>2</v>
      </c>
      <c r="H87" s="31" t="inlineStr">
        <is>
          <t>No</t>
        </is>
      </c>
      <c r="I87" s="31" t="inlineStr">
        <is>
          <t>Yes</t>
        </is>
      </c>
      <c r="J87" s="31" t="n">
        <v>19</v>
      </c>
      <c r="K87" s="31" t="n">
        <v>22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SOTL</t>
        </is>
      </c>
      <c r="E88" s="31" t="inlineStr">
        <is>
          <t>Savita Oil Technologies Limited</t>
        </is>
      </c>
      <c r="F88" s="31" t="inlineStr">
        <is>
          <t>Petrochem - Others</t>
        </is>
      </c>
      <c r="G88" s="31" t="n">
        <v>2</v>
      </c>
      <c r="H88" s="31" t="inlineStr">
        <is>
          <t>No</t>
        </is>
      </c>
      <c r="I88" s="31" t="inlineStr">
        <is>
          <t>Yes</t>
        </is>
      </c>
      <c r="J88" s="31" t="n">
        <v>26</v>
      </c>
      <c r="K88" s="31" t="n">
        <v>23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TNPETRO</t>
        </is>
      </c>
      <c r="E89" s="31" t="inlineStr">
        <is>
          <t>Tamilnadu Petroproducts Limited</t>
        </is>
      </c>
      <c r="F89" s="31" t="inlineStr">
        <is>
          <t>Petrochem - Others</t>
        </is>
      </c>
      <c r="G89" s="31" t="n">
        <v>2</v>
      </c>
      <c r="H89" s="31" t="inlineStr">
        <is>
          <t>No</t>
        </is>
      </c>
      <c r="I89" s="31" t="inlineStr">
        <is>
          <t>Yes</t>
        </is>
      </c>
      <c r="J89" s="31" t="n">
        <v>24</v>
      </c>
      <c r="K89" s="31" t="n">
        <v>18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RAMRAT</t>
        </is>
      </c>
      <c r="E90" s="31" t="inlineStr">
        <is>
          <t>Ram Ratna Wires Ltd</t>
        </is>
      </c>
      <c r="F90" s="31" t="inlineStr">
        <is>
          <t>Copper Wires</t>
        </is>
      </c>
      <c r="G90" s="31" t="n">
        <v>2</v>
      </c>
      <c r="H90" s="31" t="inlineStr">
        <is>
          <t>No</t>
        </is>
      </c>
      <c r="I90" s="31" t="inlineStr">
        <is>
          <t>Yes</t>
        </is>
      </c>
      <c r="J90" s="31" t="n">
        <v>21</v>
      </c>
      <c r="K90" s="31" t="n">
        <v>27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PRABHA</t>
        </is>
      </c>
      <c r="E91" s="31" t="inlineStr">
        <is>
          <t>Prabha Energy Ltd</t>
        </is>
      </c>
      <c r="F91" s="31" t="inlineStr">
        <is>
          <t>Oil Exploration/Allied Services</t>
        </is>
      </c>
      <c r="G91" s="31" t="n">
        <v>2</v>
      </c>
      <c r="H91" s="31" t="inlineStr">
        <is>
          <t>No</t>
        </is>
      </c>
      <c r="I91" s="31" t="inlineStr">
        <is>
          <t>Yes</t>
        </is>
      </c>
      <c r="J91" s="31" t="n">
        <v>24</v>
      </c>
      <c r="K91" s="31" t="n">
        <v>4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MAHSEAMLES</t>
        </is>
      </c>
      <c r="E92" s="31" t="inlineStr">
        <is>
          <t>Maharashtra Seamless Limited</t>
        </is>
      </c>
      <c r="F92" s="31" t="inlineStr">
        <is>
          <t>Steel - Tubes/Pipes</t>
        </is>
      </c>
      <c r="G92" s="31" t="n">
        <v>2</v>
      </c>
      <c r="H92" s="31" t="inlineStr">
        <is>
          <t>No</t>
        </is>
      </c>
      <c r="I92" s="31" t="inlineStr">
        <is>
          <t>Yes</t>
        </is>
      </c>
      <c r="J92" s="31" t="n">
        <v>21</v>
      </c>
      <c r="K92" s="31" t="n">
        <v>19</v>
      </c>
    </row>
    <row r="93">
      <c r="A93" s="31">
        <f>IF(B93=0,"",ROW()-1)</f>
        <v/>
      </c>
      <c r="B93" s="32">
        <f>IFERROR(INDEX('Monit Non Financial'!$B$2:$B$400, MATCH(D93, 'Monit Non Financial'!$C$2:$C$400, 0)), IFERROR(INDEX('Monit Banks NBFC'!$B$2:$B$100, MATCH(D93, 'Monit Banks NBFC'!$C$2:$C$100, 0)), 0))</f>
        <v/>
      </c>
      <c r="C93" s="31">
        <f>IFERROR(INDEX('Monit Non Financial'!$L$2:$L$400, MATCH(D93, 'Monit Non Financial'!$C$2:$C$400, 0)), IFERROR(INDEX('Monit Banks NBFC'!$L$2:$L$100, MATCH(D93, 'Monit Banks NBFC'!$C$2:$C$100, 0)), ""))</f>
        <v/>
      </c>
      <c r="D93" s="31" t="inlineStr">
        <is>
          <t>JTLIND</t>
        </is>
      </c>
      <c r="E93" s="31" t="inlineStr">
        <is>
          <t>JTL Industries Ltd</t>
        </is>
      </c>
      <c r="F93" s="31" t="inlineStr">
        <is>
          <t>Steel - Tubes/Pipes</t>
        </is>
      </c>
      <c r="G93" s="31" t="n">
        <v>2</v>
      </c>
      <c r="H93" s="31" t="inlineStr">
        <is>
          <t>No</t>
        </is>
      </c>
      <c r="I93" s="31" t="inlineStr">
        <is>
          <t>Yes</t>
        </is>
      </c>
      <c r="J93" s="31" t="n">
        <v>23</v>
      </c>
      <c r="K93" s="31" t="n">
        <v>13</v>
      </c>
    </row>
    <row r="94">
      <c r="A94" s="31">
        <f>IF(B94=0,"",ROW()-1)</f>
        <v/>
      </c>
      <c r="B94" s="32">
        <f>IFERROR(INDEX('Monit Non Financial'!$B$2:$B$400, MATCH(D94, 'Monit Non Financial'!$C$2:$C$400, 0)), IFERROR(INDEX('Monit Banks NBFC'!$B$2:$B$100, MATCH(D94, 'Monit Banks NBFC'!$C$2:$C$100, 0)), 0))</f>
        <v/>
      </c>
      <c r="C94" s="31">
        <f>IFERROR(INDEX('Monit Non Financial'!$L$2:$L$400, MATCH(D94, 'Monit Non Financial'!$C$2:$C$400, 0)), IFERROR(INDEX('Monit Banks NBFC'!$L$2:$L$100, MATCH(D94, 'Monit Banks NBFC'!$C$2:$C$100, 0)), ""))</f>
        <v/>
      </c>
      <c r="D94" s="31" t="inlineStr">
        <is>
          <t>GIPCL</t>
        </is>
      </c>
      <c r="E94" s="31" t="inlineStr">
        <is>
          <t>Gujarat Industries Power Company Limited</t>
        </is>
      </c>
      <c r="F94" s="31" t="inlineStr">
        <is>
          <t>Power - Generation/Distribution</t>
        </is>
      </c>
      <c r="G94" s="31" t="n">
        <v>2</v>
      </c>
      <c r="H94" s="31" t="inlineStr">
        <is>
          <t>No</t>
        </is>
      </c>
      <c r="I94" s="31" t="inlineStr">
        <is>
          <t>Yes</t>
        </is>
      </c>
      <c r="J94" s="31" t="n">
        <v>23</v>
      </c>
      <c r="K94" s="31" t="n">
        <v>20</v>
      </c>
    </row>
  </sheetData>
  <autoFilter ref="A1:K94"/>
  <conditionalFormatting sqref="G2:G9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4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6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IF(B2=0,"",RANK(B2,$B$2:$B$363,0))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VADILALIND</t>
        </is>
      </c>
      <c r="D2" s="31" t="inlineStr">
        <is>
          <t>Vadilal Industries Limited</t>
        </is>
      </c>
      <c r="E2" s="31" t="inlineStr">
        <is>
          <t>fmcg</t>
        </is>
      </c>
      <c r="F2" s="31" t="inlineStr">
        <is>
          <t>food - processing - indian</t>
        </is>
      </c>
      <c r="G2" s="31" t="inlineStr">
        <is>
          <t>midcap</t>
        </is>
      </c>
      <c r="H2" s="32" t="n">
        <v>5473.53</v>
      </c>
      <c r="I2" s="32" t="n">
        <v>7655</v>
      </c>
      <c r="J2" s="32" t="n">
        <v>0.53</v>
      </c>
      <c r="K2" s="32" t="n">
        <v>7172</v>
      </c>
      <c r="L2" s="31" t="n">
        <v>81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72.31</v>
      </c>
      <c r="P2" s="32" t="n">
        <v>52.65</v>
      </c>
      <c r="Q2" s="32" t="n">
        <v>6242.21</v>
      </c>
      <c r="R2" s="31" t="inlineStr">
        <is>
          <t>Near 52W High Breakout</t>
        </is>
      </c>
      <c r="S2" s="31" t="inlineStr">
        <is>
          <t>Nifty FMCG</t>
        </is>
      </c>
      <c r="T2" s="32" t="n">
        <v>-15.92</v>
      </c>
      <c r="U2" s="32" t="n">
        <v>41.06</v>
      </c>
      <c r="V2" s="32" t="n">
        <v>67.76000000000001</v>
      </c>
      <c r="W2" s="32" t="n">
        <v>26.29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IF(B3=0,"",RANK(B3,$B$2:$B$363,0))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VINDHYATEL</t>
        </is>
      </c>
      <c r="D3" s="31" t="inlineStr">
        <is>
          <t>Vindhya Telelinks Limited</t>
        </is>
      </c>
      <c r="E3" s="31" t="inlineStr">
        <is>
          <t>realty</t>
        </is>
      </c>
      <c r="F3" s="31" t="inlineStr">
        <is>
          <t>construction</t>
        </is>
      </c>
      <c r="G3" s="31" t="inlineStr">
        <is>
          <t>smallcap</t>
        </is>
      </c>
      <c r="H3" s="32" t="n">
        <v>3242.63</v>
      </c>
      <c r="I3" s="32" t="n">
        <v>2732.7</v>
      </c>
      <c r="J3" s="32" t="n">
        <v>-0.13</v>
      </c>
      <c r="K3" s="32" t="n">
        <v>82288</v>
      </c>
      <c r="L3" s="31" t="n">
        <v>93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71.38</v>
      </c>
      <c r="P3" s="32" t="n">
        <v>52.36</v>
      </c>
      <c r="Q3" s="32" t="n">
        <v>1966.85</v>
      </c>
      <c r="R3" s="31" t="inlineStr">
        <is>
          <t>Volume Spike &amp; Near 52W High Breakout</t>
        </is>
      </c>
      <c r="S3" s="31" t="inlineStr">
        <is>
          <t>Nifty Realty</t>
        </is>
      </c>
      <c r="T3" s="32" t="n">
        <v>-4.49</v>
      </c>
      <c r="U3" s="32" t="n">
        <v>73.98</v>
      </c>
      <c r="V3" s="32" t="n">
        <v>82.16</v>
      </c>
      <c r="W3" s="32" t="n">
        <v>43.06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IF(B4=0,"",RANK(B4,$B$2:$B$363,0))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MENONBE</t>
        </is>
      </c>
      <c r="D4" s="31" t="inlineStr">
        <is>
          <t>Menon Bearings Limited</t>
        </is>
      </c>
      <c r="E4" s="31" t="inlineStr">
        <is>
          <t>auto</t>
        </is>
      </c>
      <c r="F4" s="31" t="inlineStr">
        <is>
          <t>auto ancillaries</t>
        </is>
      </c>
      <c r="G4" s="31" t="inlineStr">
        <is>
          <t>smallcap</t>
        </is>
      </c>
      <c r="H4" s="32" t="n">
        <v>1729.11</v>
      </c>
      <c r="I4" s="32" t="n">
        <v>321.4</v>
      </c>
      <c r="J4" s="32" t="n">
        <v>4.16</v>
      </c>
      <c r="K4" s="32" t="n">
        <v>202288</v>
      </c>
      <c r="L4" s="31" t="n">
        <v>98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85.87</v>
      </c>
      <c r="P4" s="32" t="n">
        <v>60.37</v>
      </c>
      <c r="Q4" s="32" t="n">
        <v>244.85</v>
      </c>
      <c r="R4" s="31" t="inlineStr">
        <is>
          <t>Near 52W High Breakout</t>
        </is>
      </c>
      <c r="S4" s="31" t="inlineStr">
        <is>
          <t>Nifty Auto</t>
        </is>
      </c>
      <c r="T4" s="32" t="n">
        <v>16.52</v>
      </c>
      <c r="U4" s="32" t="n">
        <v>152.89</v>
      </c>
      <c r="V4" s="32" t="n">
        <v>117.03</v>
      </c>
      <c r="W4" s="32" t="n">
        <v>67.75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IF(B5=0,"",RANK(B5,$B$2:$B$363,0))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BLUSPRING</t>
        </is>
      </c>
      <c r="D5" s="31" t="inlineStr">
        <is>
          <t>Bluspring Enterprises Ltd</t>
        </is>
      </c>
      <c r="E5" s="31" t="inlineStr">
        <is>
          <t>miscellaneous</t>
        </is>
      </c>
      <c r="F5" s="31" t="inlineStr">
        <is>
          <t>diversified - large</t>
        </is>
      </c>
      <c r="G5" s="31" t="inlineStr">
        <is>
          <t>smallcap</t>
        </is>
      </c>
      <c r="H5" s="32" t="n">
        <v>2006.25</v>
      </c>
      <c r="I5" s="32" t="n">
        <v>138.96</v>
      </c>
      <c r="J5" s="32" t="n">
        <v>3.51</v>
      </c>
      <c r="K5" s="32" t="n">
        <v>605059</v>
      </c>
      <c r="L5" s="31" t="n">
        <v>83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74.16</v>
      </c>
      <c r="P5" s="32" t="n">
        <v>64.41</v>
      </c>
      <c r="Q5" s="32" t="n">
        <v>96.81999999999999</v>
      </c>
      <c r="R5" s="31" t="inlineStr">
        <is>
          <t>Near 52W High Breakout</t>
        </is>
      </c>
      <c r="S5" s="31" t="inlineStr">
        <is>
          <t>Nifty 50</t>
        </is>
      </c>
      <c r="T5" s="32" t="n">
        <v>-3.41</v>
      </c>
      <c r="U5" s="32" t="n">
        <v>72.48999999999999</v>
      </c>
      <c r="V5" s="32" t="n">
        <v>78.58</v>
      </c>
      <c r="W5" s="32" t="n">
        <v>27.6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IF(B6=0,"",RANK(B6,$B$2:$B$363,0))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PREMIERPOL</t>
        </is>
      </c>
      <c r="D6" s="31" t="inlineStr">
        <is>
          <t>Premier Polyfilm Limited</t>
        </is>
      </c>
      <c r="E6" s="31" t="inlineStr">
        <is>
          <t>plastic products</t>
        </is>
      </c>
      <c r="F6" s="31" t="inlineStr">
        <is>
          <t>plastics products</t>
        </is>
      </c>
      <c r="G6" s="31" t="inlineStr">
        <is>
          <t>smallcap</t>
        </is>
      </c>
      <c r="H6" s="32" t="n">
        <v>967.3</v>
      </c>
      <c r="I6" s="32" t="n">
        <v>95.36</v>
      </c>
      <c r="J6" s="32" t="n">
        <v>3.26</v>
      </c>
      <c r="K6" s="32" t="n">
        <v>1113475</v>
      </c>
      <c r="L6" s="31" t="n">
        <v>88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74.02</v>
      </c>
      <c r="P6" s="32" t="n">
        <v>55.79</v>
      </c>
      <c r="Q6" s="32" t="n">
        <v>66.40000000000001</v>
      </c>
      <c r="R6" s="31" t="inlineStr">
        <is>
          <t>Near 52W High Breakout</t>
        </is>
      </c>
      <c r="S6" s="31" t="inlineStr">
        <is>
          <t>Nifty 50</t>
        </is>
      </c>
      <c r="T6" s="32" t="n">
        <v>-3.41</v>
      </c>
      <c r="U6" s="32" t="n">
        <v>104.62</v>
      </c>
      <c r="V6" s="32" t="n">
        <v>111.84</v>
      </c>
      <c r="W6" s="32" t="n">
        <v>32.74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IF(B7=0,"",RANK(B7,$B$2:$B$363,0))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SCPL</t>
        </is>
      </c>
      <c r="D7" s="31" t="inlineStr">
        <is>
          <t>Sheetal Cool Products Ltd</t>
        </is>
      </c>
      <c r="E7" s="31" t="inlineStr">
        <is>
          <t>fmcg</t>
        </is>
      </c>
      <c r="F7" s="31" t="inlineStr">
        <is>
          <t>food - processing - indian</t>
        </is>
      </c>
      <c r="G7" s="31" t="inlineStr">
        <is>
          <t>smallcap</t>
        </is>
      </c>
      <c r="H7" s="32" t="n">
        <v>674</v>
      </c>
      <c r="I7" s="32" t="n">
        <v>646.45</v>
      </c>
      <c r="J7" s="32" t="n">
        <v>0.71</v>
      </c>
      <c r="K7" s="32" t="n">
        <v>8409</v>
      </c>
      <c r="L7" s="31" t="n">
        <v>93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70.89</v>
      </c>
      <c r="P7" s="32" t="n">
        <v>59.47</v>
      </c>
      <c r="Q7" s="32" t="n">
        <v>494.51</v>
      </c>
      <c r="R7" s="31" t="inlineStr">
        <is>
          <t>Earnings / Momentum Support</t>
        </is>
      </c>
      <c r="S7" s="31" t="inlineStr">
        <is>
          <t>Nifty FMCG</t>
        </is>
      </c>
      <c r="T7" s="32" t="n">
        <v>-15.92</v>
      </c>
      <c r="U7" s="32" t="n">
        <v>118.88</v>
      </c>
      <c r="V7" s="32" t="n">
        <v>160.31</v>
      </c>
      <c r="W7" s="32" t="n">
        <v>42.87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B2C</t>
        </is>
      </c>
      <c r="AO7" s="31">
        <f>IF(AN7="B2C",10,IF(AN7="B2B",5,0))</f>
        <v/>
      </c>
      <c r="AP7" s="31" t="inlineStr">
        <is>
          <t>No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IF(B8=0,"",RANK(B8,$B$2:$B$363,0))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SUVEN</t>
        </is>
      </c>
      <c r="D8" s="31" t="inlineStr">
        <is>
          <t>Suven Life Sciences Limited</t>
        </is>
      </c>
      <c r="E8" s="31" t="inlineStr">
        <is>
          <t>healthcare</t>
        </is>
      </c>
      <c r="F8" s="31" t="inlineStr">
        <is>
          <t>miscellaneous</t>
        </is>
      </c>
      <c r="G8" s="31" t="inlineStr">
        <is>
          <t>smallcap</t>
        </is>
      </c>
      <c r="H8" s="32" t="n">
        <v>730.92</v>
      </c>
      <c r="I8" s="32" t="n">
        <v>378</v>
      </c>
      <c r="J8" s="32" t="n">
        <v>-0.09</v>
      </c>
      <c r="K8" s="32" t="n">
        <v>494667</v>
      </c>
      <c r="L8" s="31" t="n">
        <v>85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71.31999999999999</v>
      </c>
      <c r="P8" s="32" t="n">
        <v>47.32</v>
      </c>
      <c r="Q8" s="32" t="n">
        <v>268.3</v>
      </c>
      <c r="R8" s="31" t="inlineStr">
        <is>
          <t>Near 52W High Breakout</t>
        </is>
      </c>
      <c r="S8" s="31" t="inlineStr">
        <is>
          <t>Nifty Pharma</t>
        </is>
      </c>
      <c r="T8" s="32" t="n">
        <v>20.77</v>
      </c>
      <c r="U8" s="32" t="n">
        <v>70.08</v>
      </c>
      <c r="V8" s="32" t="n">
        <v>40.83</v>
      </c>
      <c r="W8" s="32" t="n">
        <v>29.67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IF(B9=0,"",RANK(B9,$B$2:$B$363,0))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BIRLACABLE</t>
        </is>
      </c>
      <c r="D9" s="31" t="inlineStr">
        <is>
          <t>Birla Cable Limited</t>
        </is>
      </c>
      <c r="E9" s="31" t="inlineStr">
        <is>
          <t>industrials</t>
        </is>
      </c>
      <c r="F9" s="31" t="inlineStr">
        <is>
          <t>cables - telephone</t>
        </is>
      </c>
      <c r="G9" s="31" t="inlineStr">
        <is>
          <t>smallcap</t>
        </is>
      </c>
      <c r="H9" s="32" t="n">
        <v>1075.95</v>
      </c>
      <c r="I9" s="32" t="n">
        <v>376.55</v>
      </c>
      <c r="J9" s="32" t="n">
        <v>4.99</v>
      </c>
      <c r="K9" s="32" t="n">
        <v>174752</v>
      </c>
      <c r="L9" s="31" t="n">
        <v>97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79.56999999999999</v>
      </c>
      <c r="P9" s="32" t="n">
        <v>50.32</v>
      </c>
      <c r="Q9" s="32" t="n">
        <v>281.57</v>
      </c>
      <c r="R9" s="31" t="inlineStr">
        <is>
          <t>Volume Spike &amp; Near 52W High Breakout</t>
        </is>
      </c>
      <c r="S9" s="31" t="inlineStr">
        <is>
          <t>Nifty Infra</t>
        </is>
      </c>
      <c r="T9" s="32" t="n">
        <v>1.45</v>
      </c>
      <c r="U9" s="32" t="n">
        <v>121.32</v>
      </c>
      <c r="V9" s="32" t="n">
        <v>118.16</v>
      </c>
      <c r="W9" s="32" t="n">
        <v>56.14</v>
      </c>
      <c r="X9" s="31" t="inlineStr">
        <is>
          <t>Cyclical in an Upturn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IF(B10=0,"",RANK(B10,$B$2:$B$363,0))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GNA</t>
        </is>
      </c>
      <c r="D10" s="31" t="inlineStr">
        <is>
          <t>Gna Axles Limited</t>
        </is>
      </c>
      <c r="E10" s="31" t="inlineStr">
        <is>
          <t>auto</t>
        </is>
      </c>
      <c r="F10" s="31" t="inlineStr">
        <is>
          <t>auto ancillaries</t>
        </is>
      </c>
      <c r="G10" s="31" t="inlineStr">
        <is>
          <t>smallcap</t>
        </is>
      </c>
      <c r="H10" s="32" t="n">
        <v>2283.06</v>
      </c>
      <c r="I10" s="32" t="n">
        <v>551.05</v>
      </c>
      <c r="J10" s="32" t="n">
        <v>3.62</v>
      </c>
      <c r="K10" s="32" t="n">
        <v>276542</v>
      </c>
      <c r="L10" s="31" t="n">
        <v>64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65.51000000000001</v>
      </c>
      <c r="P10" s="32" t="n">
        <v>41.57</v>
      </c>
      <c r="Q10" s="32" t="n">
        <v>423.7</v>
      </c>
      <c r="R10" s="31" t="inlineStr">
        <is>
          <t>Near 52W High Breakout</t>
        </is>
      </c>
      <c r="S10" s="31" t="inlineStr">
        <is>
          <t>Nifty Auto</t>
        </is>
      </c>
      <c r="T10" s="32" t="n">
        <v>16.52</v>
      </c>
      <c r="U10" s="32" t="n">
        <v>77.2</v>
      </c>
      <c r="V10" s="32" t="n">
        <v>52.08</v>
      </c>
      <c r="W10" s="32" t="n">
        <v>18.63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IF(B11=0,"",RANK(B11,$B$2:$B$363,0))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VISHNU</t>
        </is>
      </c>
      <c r="D11" s="31" t="inlineStr">
        <is>
          <t>Vishnu Chemicals Limited</t>
        </is>
      </c>
      <c r="E11" s="31" t="inlineStr">
        <is>
          <t>chemicals</t>
        </is>
      </c>
      <c r="F11" s="31" t="inlineStr">
        <is>
          <t>chemicals</t>
        </is>
      </c>
      <c r="G11" s="31" t="inlineStr">
        <is>
          <t>smallcap</t>
        </is>
      </c>
      <c r="H11" s="32" t="n">
        <v>4634.32</v>
      </c>
      <c r="I11" s="32" t="n">
        <v>702</v>
      </c>
      <c r="J11" s="32" t="n">
        <v>1.97</v>
      </c>
      <c r="K11" s="32" t="n">
        <v>623372</v>
      </c>
      <c r="L11" s="31" t="n">
        <v>44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70.06</v>
      </c>
      <c r="P11" s="32" t="n">
        <v>44.82</v>
      </c>
      <c r="Q11" s="32" t="n">
        <v>563.5700000000001</v>
      </c>
      <c r="R11" s="31" t="inlineStr">
        <is>
          <t>Volume Spike &amp; Near 52W High Breakout</t>
        </is>
      </c>
      <c r="S11" s="31" t="inlineStr">
        <is>
          <t>Nifty IT</t>
        </is>
      </c>
      <c r="T11" s="32" t="n">
        <v>-11.38</v>
      </c>
      <c r="U11" s="32" t="n">
        <v>46.29</v>
      </c>
      <c r="V11" s="32" t="n">
        <v>65.06999999999999</v>
      </c>
      <c r="W11" s="32" t="n">
        <v>11.64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IF(B12=0,"",RANK(B12,$B$2:$B$363,0))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ORIENTBELL</t>
        </is>
      </c>
      <c r="D12" s="31" t="inlineStr">
        <is>
          <t>Orient Bell Limited</t>
        </is>
      </c>
      <c r="E12" s="31" t="inlineStr">
        <is>
          <t>building materials</t>
        </is>
      </c>
      <c r="F12" s="31" t="inlineStr">
        <is>
          <t>ceramics - tiles / sanitaryware</t>
        </is>
      </c>
      <c r="G12" s="31" t="inlineStr">
        <is>
          <t>smallcap</t>
        </is>
      </c>
      <c r="H12" s="32" t="n">
        <v>607.03</v>
      </c>
      <c r="I12" s="32" t="n">
        <v>420.1</v>
      </c>
      <c r="J12" s="32" t="n">
        <v>1.81</v>
      </c>
      <c r="K12" s="32" t="n">
        <v>69026</v>
      </c>
      <c r="L12" s="31" t="n">
        <v>64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74.28</v>
      </c>
      <c r="P12" s="32" t="n">
        <v>40.66</v>
      </c>
      <c r="Q12" s="32" t="n">
        <v>322.52</v>
      </c>
      <c r="R12" s="31" t="inlineStr">
        <is>
          <t>Volume Spike &amp; Near 52W High Breakout</t>
        </is>
      </c>
      <c r="S12" s="31" t="inlineStr">
        <is>
          <t>Nifty Infra</t>
        </is>
      </c>
      <c r="T12" s="32" t="n">
        <v>1.45</v>
      </c>
      <c r="U12" s="32" t="n">
        <v>37.41</v>
      </c>
      <c r="V12" s="32" t="n">
        <v>35.45</v>
      </c>
      <c r="W12" s="32" t="n">
        <v>18.45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IF(B13=0,"",RANK(B13,$B$2:$B$363,0))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OCCLLTD</t>
        </is>
      </c>
      <c r="D13" s="31" t="inlineStr">
        <is>
          <t>OCCL Ltd</t>
        </is>
      </c>
      <c r="E13" s="31" t="inlineStr">
        <is>
          <t>chemicals</t>
        </is>
      </c>
      <c r="F13" s="31" t="inlineStr">
        <is>
          <t>chemicals</t>
        </is>
      </c>
      <c r="G13" s="31" t="inlineStr">
        <is>
          <t>smallcap</t>
        </is>
      </c>
      <c r="H13" s="32" t="n">
        <v>820.79</v>
      </c>
      <c r="I13" s="32" t="n">
        <v>163.93</v>
      </c>
      <c r="J13" s="32" t="n">
        <v>-0.24</v>
      </c>
      <c r="K13" s="32" t="n">
        <v>55824</v>
      </c>
      <c r="L13" s="31" t="n">
        <v>60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72.7</v>
      </c>
      <c r="P13" s="32" t="n">
        <v>46.99</v>
      </c>
      <c r="Q13" s="32" t="n">
        <v>121.05</v>
      </c>
      <c r="R13" s="31" t="inlineStr">
        <is>
          <t>Near 52W High Breakout</t>
        </is>
      </c>
      <c r="S13" s="31" t="inlineStr">
        <is>
          <t>Nifty 50</t>
        </is>
      </c>
      <c r="T13" s="32" t="n">
        <v>-3.41</v>
      </c>
      <c r="U13" s="32" t="n">
        <v>26.31</v>
      </c>
      <c r="V13" s="32" t="n">
        <v>30.77</v>
      </c>
      <c r="W13" s="32" t="n">
        <v>17.24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IF(B14=0,"",RANK(B14,$B$2:$B$363,0))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REDINGTON</t>
        </is>
      </c>
      <c r="D14" s="31" t="inlineStr">
        <is>
          <t>Redington (india) Limited</t>
        </is>
      </c>
      <c r="E14" s="31" t="inlineStr">
        <is>
          <t>services</t>
        </is>
      </c>
      <c r="F14" s="31" t="inlineStr">
        <is>
          <t>trading</t>
        </is>
      </c>
      <c r="G14" s="31" t="inlineStr">
        <is>
          <t>largecap</t>
        </is>
      </c>
      <c r="H14" s="32" t="n">
        <v>29117.19</v>
      </c>
      <c r="I14" s="32" t="n">
        <v>371.3</v>
      </c>
      <c r="J14" s="32" t="n">
        <v>-0.31</v>
      </c>
      <c r="K14" s="32" t="n">
        <v>3554885</v>
      </c>
      <c r="L14" s="31" t="n">
        <v>77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71.43000000000001</v>
      </c>
      <c r="P14" s="32" t="n">
        <v>42.2</v>
      </c>
      <c r="Q14" s="32" t="n">
        <v>285.96</v>
      </c>
      <c r="R14" s="31" t="inlineStr">
        <is>
          <t>Near 52W High Breakout</t>
        </is>
      </c>
      <c r="S14" s="31" t="inlineStr">
        <is>
          <t>Nifty 50</t>
        </is>
      </c>
      <c r="T14" s="32" t="n">
        <v>-3.41</v>
      </c>
      <c r="U14" s="32" t="n">
        <v>60.24</v>
      </c>
      <c r="V14" s="32" t="n">
        <v>65.89</v>
      </c>
      <c r="W14" s="32" t="n">
        <v>23.94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IF(B15=0,"",RANK(B15,$B$2:$B$363,0))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MSTCLTD</t>
        </is>
      </c>
      <c r="D15" s="31" t="inlineStr">
        <is>
          <t>MSTC Ltd</t>
        </is>
      </c>
      <c r="E15" s="31" t="inlineStr">
        <is>
          <t>i.t</t>
        </is>
      </c>
      <c r="F15" s="31" t="inlineStr">
        <is>
          <t>trading</t>
        </is>
      </c>
      <c r="G15" s="31" t="inlineStr">
        <is>
          <t>midcap</t>
        </is>
      </c>
      <c r="H15" s="32" t="n">
        <v>5239.52</v>
      </c>
      <c r="I15" s="32" t="n">
        <v>734.2</v>
      </c>
      <c r="J15" s="32" t="n">
        <v>-1.35</v>
      </c>
      <c r="K15" s="32" t="n">
        <v>159233</v>
      </c>
      <c r="L15" s="31" t="n">
        <v>63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66.89</v>
      </c>
      <c r="P15" s="32" t="n">
        <v>45.27</v>
      </c>
      <c r="Q15" s="32" t="n">
        <v>552.67</v>
      </c>
      <c r="R15" s="31" t="inlineStr">
        <is>
          <t>Near 52W High Breakout</t>
        </is>
      </c>
      <c r="S15" s="31" t="inlineStr">
        <is>
          <t>Nifty IT</t>
        </is>
      </c>
      <c r="T15" s="32" t="n">
        <v>-11.38</v>
      </c>
      <c r="U15" s="32" t="n">
        <v>49</v>
      </c>
      <c r="V15" s="32" t="n">
        <v>68.13</v>
      </c>
      <c r="W15" s="32" t="n">
        <v>18.4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IF(B16=0,"",RANK(B16,$B$2:$B$363,0))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CUPID</t>
        </is>
      </c>
      <c r="D16" s="31" t="inlineStr">
        <is>
          <t>Cupid Limited</t>
        </is>
      </c>
      <c r="E16" s="31" t="inlineStr">
        <is>
          <t>fmcg</t>
        </is>
      </c>
      <c r="F16" s="31" t="inlineStr">
        <is>
          <t>personal care - indian</t>
        </is>
      </c>
      <c r="G16" s="31" t="inlineStr">
        <is>
          <t>largecap</t>
        </is>
      </c>
      <c r="H16" s="32" t="n">
        <v>37643.78</v>
      </c>
      <c r="I16" s="32" t="n">
        <v>283.15</v>
      </c>
      <c r="J16" s="32" t="n">
        <v>1.14</v>
      </c>
      <c r="K16" s="32" t="n">
        <v>8434946</v>
      </c>
      <c r="L16" s="31" t="n">
        <v>99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86.83</v>
      </c>
      <c r="P16" s="32" t="n">
        <v>73.11</v>
      </c>
      <c r="Q16" s="32" t="n">
        <v>227.71</v>
      </c>
      <c r="R16" s="31" t="inlineStr">
        <is>
          <t>Near 52W High Breakout</t>
        </is>
      </c>
      <c r="S16" s="31" t="inlineStr">
        <is>
          <t>Nifty FMCG</t>
        </is>
      </c>
      <c r="T16" s="32" t="n">
        <v>-15.92</v>
      </c>
      <c r="U16" s="32" t="n">
        <v>857.17</v>
      </c>
      <c r="V16" s="32" t="n">
        <v>1038.36</v>
      </c>
      <c r="W16" s="32" t="n">
        <v>94.2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IF(B17=0,"",RANK(B17,$B$2:$B$363,0))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IPCALAB</t>
        </is>
      </c>
      <c r="D17" s="31" t="inlineStr">
        <is>
          <t>Ipca Laboratories Limited</t>
        </is>
      </c>
      <c r="E17" s="31" t="inlineStr">
        <is>
          <t>healthcare</t>
        </is>
      </c>
      <c r="F17" s="31" t="inlineStr">
        <is>
          <t>pharmaceuticals - indian - bulk drugs &amp; formln</t>
        </is>
      </c>
      <c r="G17" s="31" t="inlineStr">
        <is>
          <t>largecap</t>
        </is>
      </c>
      <c r="H17" s="32" t="n">
        <v>49627.08</v>
      </c>
      <c r="I17" s="32" t="n">
        <v>1965.3</v>
      </c>
      <c r="J17" s="32" t="n">
        <v>0.47</v>
      </c>
      <c r="K17" s="32" t="n">
        <v>80401</v>
      </c>
      <c r="L17" s="31" t="n">
        <v>45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69.37</v>
      </c>
      <c r="P17" s="32" t="n">
        <v>40.77</v>
      </c>
      <c r="Q17" s="32" t="n">
        <v>1589.87</v>
      </c>
      <c r="R17" s="31" t="inlineStr">
        <is>
          <t>Near 52W High Breakout</t>
        </is>
      </c>
      <c r="S17" s="31" t="inlineStr">
        <is>
          <t>Nifty Pharma</t>
        </is>
      </c>
      <c r="T17" s="32" t="n">
        <v>20.77</v>
      </c>
      <c r="U17" s="32" t="n">
        <v>47.72</v>
      </c>
      <c r="V17" s="32" t="n">
        <v>22.32</v>
      </c>
      <c r="W17" s="32" t="n">
        <v>12.36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IF(B18=0,"",RANK(B18,$B$2:$B$363,0))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RML</t>
        </is>
      </c>
      <c r="D18" s="31" t="inlineStr">
        <is>
          <t>Rane (madras) Limited</t>
        </is>
      </c>
      <c r="E18" s="31" t="inlineStr">
        <is>
          <t>auto</t>
        </is>
      </c>
      <c r="F18" s="31" t="inlineStr">
        <is>
          <t>auto ancillaries</t>
        </is>
      </c>
      <c r="G18" s="31" t="inlineStr">
        <is>
          <t>smallcap</t>
        </is>
      </c>
      <c r="H18" s="32" t="n">
        <v>3115.81</v>
      </c>
      <c r="I18" s="32" t="n">
        <v>1295.9</v>
      </c>
      <c r="J18" s="32" t="n">
        <v>14.95</v>
      </c>
      <c r="K18" s="32" t="n">
        <v>2195205</v>
      </c>
      <c r="L18" s="31" t="n">
        <v>83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67.02</v>
      </c>
      <c r="P18" s="32" t="n">
        <v>50.38</v>
      </c>
      <c r="Q18" s="32" t="n">
        <v>964.6799999999999</v>
      </c>
      <c r="R18" s="31" t="inlineStr">
        <is>
          <t>Volume Spike &amp; Near 52W High Breakout</t>
        </is>
      </c>
      <c r="S18" s="31" t="inlineStr">
        <is>
          <t>Nifty Auto</t>
        </is>
      </c>
      <c r="T18" s="32" t="n">
        <v>16.52</v>
      </c>
      <c r="U18" s="32" t="n">
        <v>55.63</v>
      </c>
      <c r="V18" s="32" t="n">
        <v>33.56</v>
      </c>
      <c r="W18" s="32" t="n">
        <v>28.02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Between 0.7 to 1.2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IF(B19=0,"",RANK(B19,$B$2:$B$363,0))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TBZ</t>
        </is>
      </c>
      <c r="D19" s="31" t="inlineStr">
        <is>
          <t>Tribhovandas Bhimji Zaveri Limited</t>
        </is>
      </c>
      <c r="E19" s="31" t="inlineStr">
        <is>
          <t>consumer discretionary</t>
        </is>
      </c>
      <c r="F19" s="31" t="inlineStr">
        <is>
          <t>diamond cutting / jewellery</t>
        </is>
      </c>
      <c r="G19" s="31" t="inlineStr">
        <is>
          <t>smallcap</t>
        </is>
      </c>
      <c r="H19" s="32" t="n">
        <v>2917.13</v>
      </c>
      <c r="I19" s="32" t="n">
        <v>480.85</v>
      </c>
      <c r="J19" s="32" t="n">
        <v>10</v>
      </c>
      <c r="K19" s="32" t="n">
        <v>3486401</v>
      </c>
      <c r="L19" s="31" t="n">
        <v>99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88.53</v>
      </c>
      <c r="P19" s="32" t="n">
        <v>49.1</v>
      </c>
      <c r="Q19" s="32" t="n">
        <v>361.26</v>
      </c>
      <c r="R19" s="31" t="inlineStr">
        <is>
          <t>Volume Spike &amp; Near 52W High Breakout</t>
        </is>
      </c>
      <c r="S19" s="31" t="inlineStr">
        <is>
          <t>Nifty 50</t>
        </is>
      </c>
      <c r="T19" s="32" t="n">
        <v>-3.41</v>
      </c>
      <c r="U19" s="32" t="n">
        <v>163.8</v>
      </c>
      <c r="V19" s="32" t="n">
        <v>173.11</v>
      </c>
      <c r="W19" s="32" t="n">
        <v>74.81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Between 0.7 to 1.2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IF(B20=0,"",RANK(B20,$B$2:$B$363,0))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ICIL</t>
        </is>
      </c>
      <c r="D20" s="31" t="inlineStr">
        <is>
          <t>Indo Count Industries Limited</t>
        </is>
      </c>
      <c r="E20" s="31" t="inlineStr">
        <is>
          <t>textiles</t>
        </is>
      </c>
      <c r="F20" s="31" t="inlineStr">
        <is>
          <t>textiles - cotton/blended</t>
        </is>
      </c>
      <c r="G20" s="31" t="inlineStr">
        <is>
          <t>midcap</t>
        </is>
      </c>
      <c r="H20" s="32" t="n">
        <v>8661.91</v>
      </c>
      <c r="I20" s="32" t="n">
        <v>449.8</v>
      </c>
      <c r="J20" s="32" t="n">
        <v>2.85</v>
      </c>
      <c r="K20" s="32" t="n">
        <v>621520</v>
      </c>
      <c r="L20" s="31" t="n">
        <v>75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65.95</v>
      </c>
      <c r="P20" s="32" t="n">
        <v>56.03</v>
      </c>
      <c r="Q20" s="32" t="n">
        <v>323.34</v>
      </c>
      <c r="R20" s="31" t="inlineStr">
        <is>
          <t>Near 52W High Breakout</t>
        </is>
      </c>
      <c r="S20" s="31" t="inlineStr">
        <is>
          <t>Nifty 50</t>
        </is>
      </c>
      <c r="T20" s="32" t="n">
        <v>-3.41</v>
      </c>
      <c r="U20" s="32" t="n">
        <v>92.11</v>
      </c>
      <c r="V20" s="32" t="n">
        <v>98.89</v>
      </c>
      <c r="W20" s="32" t="n">
        <v>22.98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IF(B21=0,"",RANK(B21,$B$2:$B$363,0))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KDDL</t>
        </is>
      </c>
      <c r="D21" s="31" t="inlineStr">
        <is>
          <t>Kddl Limited</t>
        </is>
      </c>
      <c r="E21" s="31" t="inlineStr">
        <is>
          <t>consumer discretionary</t>
        </is>
      </c>
      <c r="F21" s="31" t="inlineStr">
        <is>
          <t>miscellaneous</t>
        </is>
      </c>
      <c r="G21" s="31" t="inlineStr">
        <is>
          <t>smallcap</t>
        </is>
      </c>
      <c r="H21" s="32" t="n">
        <v>4741.74</v>
      </c>
      <c r="I21" s="32" t="n">
        <v>3911</v>
      </c>
      <c r="J21" s="32" t="n">
        <v>1.44</v>
      </c>
      <c r="K21" s="32" t="n">
        <v>25376</v>
      </c>
      <c r="L21" s="31" t="n">
        <v>63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74.34</v>
      </c>
      <c r="P21" s="32" t="n">
        <v>45.39</v>
      </c>
      <c r="Q21" s="32" t="n">
        <v>3075.83</v>
      </c>
      <c r="R21" s="31" t="inlineStr">
        <is>
          <t>Near 52W High Breakout</t>
        </is>
      </c>
      <c r="S21" s="31" t="inlineStr">
        <is>
          <t>Nifty 50</t>
        </is>
      </c>
      <c r="T21" s="32" t="n">
        <v>-3.41</v>
      </c>
      <c r="U21" s="32" t="n">
        <v>65.13</v>
      </c>
      <c r="V21" s="32" t="n">
        <v>70.95999999999999</v>
      </c>
      <c r="W21" s="32" t="n">
        <v>18.3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IF(B22=0,"",RANK(B22,$B$2:$B$363,0))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INDOBORAX</t>
        </is>
      </c>
      <c r="D22" s="31" t="inlineStr">
        <is>
          <t>Indo Borax &amp; Chemicals Ltd</t>
        </is>
      </c>
      <c r="E22" s="31" t="inlineStr">
        <is>
          <t>chemicals</t>
        </is>
      </c>
      <c r="F22" s="31" t="inlineStr">
        <is>
          <t>chemicals</t>
        </is>
      </c>
      <c r="G22" s="31" t="inlineStr">
        <is>
          <t>smallcap</t>
        </is>
      </c>
      <c r="H22" s="32" t="n">
        <v>1645.58</v>
      </c>
      <c r="I22" s="32" t="n">
        <v>514.9</v>
      </c>
      <c r="J22" s="32" t="n">
        <v>0.41</v>
      </c>
      <c r="K22" s="32" t="n">
        <v>126424</v>
      </c>
      <c r="L22" s="31" t="n">
        <v>87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78.12</v>
      </c>
      <c r="P22" s="32" t="n">
        <v>75.41</v>
      </c>
      <c r="Q22" s="32" t="n">
        <v>373.89</v>
      </c>
      <c r="R22" s="31" t="inlineStr">
        <is>
          <t>Near 52W High Breakout</t>
        </is>
      </c>
      <c r="S22" s="31" t="inlineStr">
        <is>
          <t>Nifty 50</t>
        </is>
      </c>
      <c r="T22" s="32" t="n">
        <v>-3.41</v>
      </c>
      <c r="U22" s="32" t="n">
        <v>134.95</v>
      </c>
      <c r="V22" s="32" t="n">
        <v>143.24</v>
      </c>
      <c r="W22" s="32" t="n">
        <v>31.62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IF(B23=0,"",RANK(B23,$B$2:$B$363,0))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KANORICHEM</t>
        </is>
      </c>
      <c r="D23" s="31" t="inlineStr">
        <is>
          <t>Kanoria Chemicals &amp; Industries Limited</t>
        </is>
      </c>
      <c r="E23" s="31" t="inlineStr">
        <is>
          <t>chemicals</t>
        </is>
      </c>
      <c r="F23" s="31" t="inlineStr">
        <is>
          <t>chemicals</t>
        </is>
      </c>
      <c r="G23" s="31" t="inlineStr">
        <is>
          <t>smallcap</t>
        </is>
      </c>
      <c r="H23" s="32" t="n">
        <v>680.22</v>
      </c>
      <c r="I23" s="32" t="n">
        <v>155.56</v>
      </c>
      <c r="J23" s="32" t="n">
        <v>-0.08</v>
      </c>
      <c r="K23" s="32" t="n">
        <v>14865</v>
      </c>
      <c r="L23" s="31" t="n">
        <v>86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70.17</v>
      </c>
      <c r="P23" s="32" t="n">
        <v>63.34</v>
      </c>
      <c r="Q23" s="32" t="n">
        <v>120.01</v>
      </c>
      <c r="R23" s="31" t="inlineStr">
        <is>
          <t>Near 52W High Breakout</t>
        </is>
      </c>
      <c r="S23" s="31" t="inlineStr">
        <is>
          <t>Nifty 50</t>
        </is>
      </c>
      <c r="T23" s="32" t="n">
        <v>-3.41</v>
      </c>
      <c r="U23" s="32" t="n">
        <v>87.38</v>
      </c>
      <c r="V23" s="32" t="n">
        <v>93.98999999999999</v>
      </c>
      <c r="W23" s="32" t="n">
        <v>30.83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IF(B24=0,"",RANK(B24,$B$2:$B$363,0))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DIFFNKG</t>
        </is>
      </c>
      <c r="D24" s="31" t="inlineStr">
        <is>
          <t>Diffusion Engineers Ltd</t>
        </is>
      </c>
      <c r="E24" s="31" t="inlineStr">
        <is>
          <t>industrials</t>
        </is>
      </c>
      <c r="F24" s="31" t="inlineStr">
        <is>
          <t>electrodes - welding equipment</t>
        </is>
      </c>
      <c r="G24" s="31" t="inlineStr">
        <is>
          <t>smallcap</t>
        </is>
      </c>
      <c r="H24" s="32" t="n">
        <v>1787.48</v>
      </c>
      <c r="I24" s="32" t="n">
        <v>474.9</v>
      </c>
      <c r="J24" s="32" t="n">
        <v>-0.57</v>
      </c>
      <c r="K24" s="32" t="n">
        <v>2072376</v>
      </c>
      <c r="L24" s="31" t="n">
        <v>73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68.90000000000001</v>
      </c>
      <c r="P24" s="32" t="n">
        <v>43.01</v>
      </c>
      <c r="Q24" s="32" t="n">
        <v>341.67</v>
      </c>
      <c r="R24" s="31" t="inlineStr">
        <is>
          <t>Volume Spike &amp; Near 52W High Breakout</t>
        </is>
      </c>
      <c r="S24" s="31" t="inlineStr">
        <is>
          <t>Nifty Infra</t>
        </is>
      </c>
      <c r="T24" s="32" t="n">
        <v>1.45</v>
      </c>
      <c r="U24" s="32" t="n">
        <v>41.2</v>
      </c>
      <c r="V24" s="32" t="n">
        <v>39.18</v>
      </c>
      <c r="W24" s="32" t="n">
        <v>22.3</v>
      </c>
      <c r="X24" s="31" t="inlineStr">
        <is>
          <t>Cyclical in an Upturn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IF(B25=0,"",RANK(B25,$B$2:$B$363,0))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QUESS</t>
        </is>
      </c>
      <c r="D25" s="31" t="inlineStr">
        <is>
          <t>Quess Corp Limited</t>
        </is>
      </c>
      <c r="E25" s="31" t="inlineStr">
        <is>
          <t>miscellaneous</t>
        </is>
      </c>
      <c r="F25" s="31" t="inlineStr">
        <is>
          <t>diversified - large</t>
        </is>
      </c>
      <c r="G25" s="31" t="inlineStr">
        <is>
          <t>midcap</t>
        </is>
      </c>
      <c r="H25" s="32" t="n">
        <v>5474.79</v>
      </c>
      <c r="I25" s="32" t="n">
        <v>354.75</v>
      </c>
      <c r="J25" s="32" t="n">
        <v>-3.22</v>
      </c>
      <c r="K25" s="32" t="n">
        <v>974018</v>
      </c>
      <c r="L25" s="31" t="n">
        <v>69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72.04000000000001</v>
      </c>
      <c r="P25" s="32" t="n">
        <v>62.31</v>
      </c>
      <c r="Q25" s="32" t="n">
        <v>289.76</v>
      </c>
      <c r="R25" s="31" t="inlineStr">
        <is>
          <t>Near 52W High Breakout</t>
        </is>
      </c>
      <c r="S25" s="31" t="inlineStr">
        <is>
          <t>Nifty 50</t>
        </is>
      </c>
      <c r="T25" s="32" t="n">
        <v>-3.41</v>
      </c>
      <c r="U25" s="32" t="n">
        <v>40.24</v>
      </c>
      <c r="V25" s="32" t="n">
        <v>45.19</v>
      </c>
      <c r="W25" s="32" t="n">
        <v>20.44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IF(B26=0,"",RANK(B26,$B$2:$B$363,0))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ATHERENERG</t>
        </is>
      </c>
      <c r="D26" s="31" t="inlineStr">
        <is>
          <t>Ather Energy Ltd</t>
        </is>
      </c>
      <c r="E26" s="31" t="inlineStr">
        <is>
          <t>auto</t>
        </is>
      </c>
      <c r="F26" s="31" t="inlineStr">
        <is>
          <t>automobiles - scooters and 3 - wheelers</t>
        </is>
      </c>
      <c r="G26" s="31" t="inlineStr">
        <is>
          <t>largecap</t>
        </is>
      </c>
      <c r="H26" s="32" t="n">
        <v>64593.2</v>
      </c>
      <c r="I26" s="32" t="n">
        <v>1584</v>
      </c>
      <c r="J26" s="32" t="n">
        <v>-3.35</v>
      </c>
      <c r="K26" s="32" t="n">
        <v>5585636</v>
      </c>
      <c r="L26" s="31" t="n">
        <v>97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77.09</v>
      </c>
      <c r="P26" s="32" t="n">
        <v>65.8</v>
      </c>
      <c r="Q26" s="32" t="n">
        <v>1243.6</v>
      </c>
      <c r="R26" s="31" t="inlineStr">
        <is>
          <t>Volume Spike &amp; Near 52W High Breakout</t>
        </is>
      </c>
      <c r="S26" s="31" t="inlineStr">
        <is>
          <t>Nifty Auto</t>
        </is>
      </c>
      <c r="T26" s="32" t="n">
        <v>16.52</v>
      </c>
      <c r="U26" s="32" t="n">
        <v>373.83</v>
      </c>
      <c r="V26" s="32" t="n">
        <v>306.64</v>
      </c>
      <c r="W26" s="32" t="n">
        <v>60.03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IF(B27=0,"",RANK(B27,$B$2:$B$363,0))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RPEL</t>
        </is>
      </c>
      <c r="D27" s="31" t="inlineStr">
        <is>
          <t>Raghav Productivity Enhancers Ltd</t>
        </is>
      </c>
      <c r="E27" s="31" t="inlineStr">
        <is>
          <t>building materials</t>
        </is>
      </c>
      <c r="F27" s="31" t="inlineStr">
        <is>
          <t>refractories / intermediates</t>
        </is>
      </c>
      <c r="G27" s="31" t="inlineStr">
        <is>
          <t>midcap</t>
        </is>
      </c>
      <c r="H27" s="32" t="n">
        <v>8657.209999999999</v>
      </c>
      <c r="I27" s="32" t="n">
        <v>1807.2</v>
      </c>
      <c r="J27" s="32" t="n">
        <v>-4.14</v>
      </c>
      <c r="K27" s="32" t="n">
        <v>209791</v>
      </c>
      <c r="L27" s="31" t="n">
        <v>98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84.65000000000001</v>
      </c>
      <c r="P27" s="32" t="n">
        <v>62.42</v>
      </c>
      <c r="Q27" s="32" t="n">
        <v>1399.34</v>
      </c>
      <c r="R27" s="31" t="inlineStr">
        <is>
          <t>Near 52W High Breakout</t>
        </is>
      </c>
      <c r="S27" s="31" t="inlineStr">
        <is>
          <t>Nifty Infra</t>
        </is>
      </c>
      <c r="T27" s="32" t="n">
        <v>1.45</v>
      </c>
      <c r="U27" s="32" t="n">
        <v>173.7</v>
      </c>
      <c r="V27" s="32" t="n">
        <v>169.79</v>
      </c>
      <c r="W27" s="32" t="n">
        <v>67.08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Between 1.5 to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IF(B28=0,"",RANK(B28,$B$2:$B$363,0))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IOLCP</t>
        </is>
      </c>
      <c r="D28" s="31" t="inlineStr">
        <is>
          <t>Iol Chemicals And Pharmaceuticals Limited</t>
        </is>
      </c>
      <c r="E28" s="31" t="inlineStr">
        <is>
          <t>healthcare</t>
        </is>
      </c>
      <c r="F28" s="31" t="inlineStr">
        <is>
          <t>pharmaceuticals - indian - bulk drugs &amp; formln</t>
        </is>
      </c>
      <c r="G28" s="31" t="inlineStr">
        <is>
          <t>midcap</t>
        </is>
      </c>
      <c r="H28" s="32" t="n">
        <v>5765.76</v>
      </c>
      <c r="I28" s="32" t="n">
        <v>199.95</v>
      </c>
      <c r="J28" s="32" t="n">
        <v>1.79</v>
      </c>
      <c r="K28" s="32" t="n">
        <v>5291531</v>
      </c>
      <c r="L28" s="31" t="n">
        <v>87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79.26000000000001</v>
      </c>
      <c r="P28" s="32" t="n">
        <v>80.59999999999999</v>
      </c>
      <c r="Q28" s="32" t="n">
        <v>147.79</v>
      </c>
      <c r="R28" s="31" t="inlineStr">
        <is>
          <t>Near 52W High Breakout</t>
        </is>
      </c>
      <c r="S28" s="31" t="inlineStr">
        <is>
          <t>Nifty Pharma</t>
        </is>
      </c>
      <c r="T28" s="32" t="n">
        <v>20.77</v>
      </c>
      <c r="U28" s="32" t="n">
        <v>109.12</v>
      </c>
      <c r="V28" s="32" t="n">
        <v>73.16</v>
      </c>
      <c r="W28" s="32" t="n">
        <v>31.52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IF(B29=0,"",RANK(B29,$B$2:$B$363,0))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MANORAMA</t>
        </is>
      </c>
      <c r="D29" s="31" t="inlineStr">
        <is>
          <t>Manorama Industries Ltd</t>
        </is>
      </c>
      <c r="E29" s="31" t="inlineStr">
        <is>
          <t>fmcg</t>
        </is>
      </c>
      <c r="F29" s="31" t="inlineStr">
        <is>
          <t>food - processing - indian</t>
        </is>
      </c>
      <c r="G29" s="31" t="inlineStr">
        <is>
          <t>midcap</t>
        </is>
      </c>
      <c r="H29" s="32" t="n">
        <v>11740.49</v>
      </c>
      <c r="I29" s="32" t="n">
        <v>1993.4</v>
      </c>
      <c r="J29" s="32" t="n">
        <v>1.38</v>
      </c>
      <c r="K29" s="32" t="n">
        <v>521970</v>
      </c>
      <c r="L29" s="31" t="n">
        <v>55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74.92</v>
      </c>
      <c r="P29" s="32" t="n">
        <v>24.92</v>
      </c>
      <c r="Q29" s="32" t="n">
        <v>1564.2</v>
      </c>
      <c r="R29" s="31" t="inlineStr">
        <is>
          <t>Near 52W High Breakout</t>
        </is>
      </c>
      <c r="S29" s="31" t="inlineStr">
        <is>
          <t>Nifty FMCG</t>
        </is>
      </c>
      <c r="T29" s="32" t="n">
        <v>-15.92</v>
      </c>
      <c r="U29" s="32" t="n">
        <v>26.47</v>
      </c>
      <c r="V29" s="32" t="n">
        <v>50.42</v>
      </c>
      <c r="W29" s="32" t="n">
        <v>15.78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B2C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IF(B30=0,"",RANK(B30,$B$2:$B$363,0))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GLAND</t>
        </is>
      </c>
      <c r="D30" s="31" t="inlineStr">
        <is>
          <t>Gland Pharma Ltd</t>
        </is>
      </c>
      <c r="E30" s="31" t="inlineStr">
        <is>
          <t>healthcare</t>
        </is>
      </c>
      <c r="F30" s="31" t="inlineStr">
        <is>
          <t>pharmaceuticals - indian - formulations</t>
        </is>
      </c>
      <c r="G30" s="31" t="inlineStr">
        <is>
          <t>largecap</t>
        </is>
      </c>
      <c r="H30" s="32" t="n">
        <v>47968.63</v>
      </c>
      <c r="I30" s="32" t="n">
        <v>2932.4</v>
      </c>
      <c r="J30" s="32" t="n">
        <v>0.84</v>
      </c>
      <c r="K30" s="32" t="n">
        <v>2977808</v>
      </c>
      <c r="L30" s="31" t="n">
        <v>58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73.90000000000001</v>
      </c>
      <c r="P30" s="32" t="n">
        <v>61.98</v>
      </c>
      <c r="Q30" s="32" t="n">
        <v>2434.87</v>
      </c>
      <c r="R30" s="31" t="inlineStr">
        <is>
          <t>Near 52W High Breakout</t>
        </is>
      </c>
      <c r="S30" s="31" t="inlineStr">
        <is>
          <t>Nifty Pharma</t>
        </is>
      </c>
      <c r="T30" s="32" t="n">
        <v>20.77</v>
      </c>
      <c r="U30" s="32" t="n">
        <v>56.14</v>
      </c>
      <c r="V30" s="32" t="n">
        <v>29.29</v>
      </c>
      <c r="W30" s="32" t="n">
        <v>16.8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IF(B31=0,"",RANK(B31,$B$2:$B$363,0))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CLSEL</t>
        </is>
      </c>
      <c r="D31" s="31" t="inlineStr">
        <is>
          <t>Chamanlal Setia Exports Ltd</t>
        </is>
      </c>
      <c r="E31" s="31" t="inlineStr">
        <is>
          <t>fmcg</t>
        </is>
      </c>
      <c r="F31" s="31" t="inlineStr">
        <is>
          <t>food - processing - indian</t>
        </is>
      </c>
      <c r="G31" s="31" t="inlineStr">
        <is>
          <t>smallcap</t>
        </is>
      </c>
      <c r="H31" s="32" t="n">
        <v>1515.64</v>
      </c>
      <c r="I31" s="32" t="n">
        <v>301.9</v>
      </c>
      <c r="J31" s="32" t="n">
        <v>-0.95</v>
      </c>
      <c r="K31" s="32" t="n">
        <v>68370</v>
      </c>
      <c r="L31" s="31" t="n">
        <v>8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58.41</v>
      </c>
      <c r="P31" s="32" t="n">
        <v>27.54</v>
      </c>
      <c r="Q31" s="32" t="n">
        <v>229.08</v>
      </c>
      <c r="R31" s="31" t="inlineStr">
        <is>
          <t>Near 52W High Breakout</t>
        </is>
      </c>
      <c r="S31" s="31" t="inlineStr">
        <is>
          <t>Nifty FMCG</t>
        </is>
      </c>
      <c r="T31" s="32" t="n">
        <v>-15.92</v>
      </c>
      <c r="U31" s="32" t="n">
        <v>-8.140000000000001</v>
      </c>
      <c r="V31" s="32" t="n">
        <v>9.25</v>
      </c>
      <c r="W31" s="32" t="n">
        <v>1.91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B2C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IF(B32=0,"",RANK(B32,$B$2:$B$363,0))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SHANTIGOLD</t>
        </is>
      </c>
      <c r="D32" s="31" t="inlineStr">
        <is>
          <t>Shanti Gold International Ltd</t>
        </is>
      </c>
      <c r="E32" s="31" t="inlineStr">
        <is>
          <t>consumer discretionary</t>
        </is>
      </c>
      <c r="F32" s="31" t="inlineStr">
        <is>
          <t>diamond cutting / jewellery</t>
        </is>
      </c>
      <c r="G32" s="31" t="inlineStr">
        <is>
          <t>smallcap</t>
        </is>
      </c>
      <c r="H32" s="32" t="n">
        <v>1880.5</v>
      </c>
      <c r="I32" s="32" t="n">
        <v>256.34</v>
      </c>
      <c r="J32" s="32" t="n">
        <v>4.61</v>
      </c>
      <c r="K32" s="32" t="n">
        <v>2489253</v>
      </c>
      <c r="L32" s="31" t="n">
        <v>21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62.29</v>
      </c>
      <c r="P32" s="32" t="n">
        <v>35.7</v>
      </c>
      <c r="Q32" s="32" t="n">
        <v>199.61</v>
      </c>
      <c r="R32" s="31" t="inlineStr">
        <is>
          <t>Near 52W High Breakout</t>
        </is>
      </c>
      <c r="S32" s="31" t="inlineStr">
        <is>
          <t>Nifty 50</t>
        </is>
      </c>
      <c r="T32" s="32" t="n">
        <v>-3.41</v>
      </c>
      <c r="U32" s="32" t="n">
        <v>11.2</v>
      </c>
      <c r="V32" s="32" t="n">
        <v>15.12</v>
      </c>
      <c r="W32" s="32" t="n">
        <v>5.79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IF(B33=0,"",RANK(B33,$B$2:$B$363,0))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CYIENTDLM</t>
        </is>
      </c>
      <c r="D33" s="31" t="inlineStr">
        <is>
          <t>Cyient DLM Ltd</t>
        </is>
      </c>
      <c r="E33" s="31" t="inlineStr">
        <is>
          <t>aerospace &amp; defence</t>
        </is>
      </c>
      <c r="F33" s="31" t="inlineStr">
        <is>
          <t>electronics - components</t>
        </is>
      </c>
      <c r="G33" s="31" t="inlineStr">
        <is>
          <t>midcap</t>
        </is>
      </c>
      <c r="H33" s="32" t="n">
        <v>6640.82</v>
      </c>
      <c r="I33" s="32" t="n">
        <v>856.95</v>
      </c>
      <c r="J33" s="32" t="n">
        <v>2.44</v>
      </c>
      <c r="K33" s="32" t="n">
        <v>1201568</v>
      </c>
      <c r="L33" s="31" t="n">
        <v>95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90.11</v>
      </c>
      <c r="P33" s="32" t="n">
        <v>70.56</v>
      </c>
      <c r="Q33" s="32" t="n">
        <v>671</v>
      </c>
      <c r="R33" s="31" t="inlineStr">
        <is>
          <t>Near 52W High Breakout</t>
        </is>
      </c>
      <c r="S33" s="31" t="inlineStr">
        <is>
          <t>Nifty Infra</t>
        </is>
      </c>
      <c r="T33" s="32" t="n">
        <v>1.45</v>
      </c>
      <c r="U33" s="32" t="n">
        <v>86.54000000000001</v>
      </c>
      <c r="V33" s="32" t="n">
        <v>83.87</v>
      </c>
      <c r="W33" s="32" t="n">
        <v>48.22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IF(B34=0,"",RANK(B34,$B$2:$B$363,0))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KINGFA</t>
        </is>
      </c>
      <c r="D34" s="31" t="inlineStr">
        <is>
          <t>Kingfa Science &amp; Technology (india) Limited</t>
        </is>
      </c>
      <c r="E34" s="31" t="inlineStr">
        <is>
          <t>plastic products</t>
        </is>
      </c>
      <c r="F34" s="31" t="inlineStr">
        <is>
          <t>plastics products</t>
        </is>
      </c>
      <c r="G34" s="31" t="inlineStr">
        <is>
          <t>midcap</t>
        </is>
      </c>
      <c r="H34" s="32" t="n">
        <v>7979.05</v>
      </c>
      <c r="I34" s="32" t="n">
        <v>5932.5</v>
      </c>
      <c r="J34" s="32" t="n">
        <v>0.76</v>
      </c>
      <c r="K34" s="32" t="n">
        <v>8112</v>
      </c>
      <c r="L34" s="31" t="n">
        <v>56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69.28</v>
      </c>
      <c r="P34" s="32" t="n">
        <v>35.11</v>
      </c>
      <c r="Q34" s="32" t="n">
        <v>4755.03</v>
      </c>
      <c r="R34" s="31" t="inlineStr">
        <is>
          <t>Near 52W High Breakout</t>
        </is>
      </c>
      <c r="S34" s="31" t="inlineStr">
        <is>
          <t>Nifty Infra</t>
        </is>
      </c>
      <c r="T34" s="32" t="n">
        <v>1.45</v>
      </c>
      <c r="U34" s="32" t="n">
        <v>64.23</v>
      </c>
      <c r="V34" s="32" t="n">
        <v>61.88</v>
      </c>
      <c r="W34" s="32" t="n">
        <v>15.9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IF(B35=0,"",RANK(B35,$B$2:$B$363,0))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NILKAMAL</t>
        </is>
      </c>
      <c r="D35" s="31" t="inlineStr">
        <is>
          <t>Nilkamal Limited</t>
        </is>
      </c>
      <c r="E35" s="31" t="inlineStr">
        <is>
          <t>plastic products</t>
        </is>
      </c>
      <c r="F35" s="31" t="inlineStr">
        <is>
          <t>plastics products</t>
        </is>
      </c>
      <c r="G35" s="31" t="inlineStr">
        <is>
          <t>smallcap</t>
        </is>
      </c>
      <c r="H35" s="32" t="n">
        <v>3150.29</v>
      </c>
      <c r="I35" s="32" t="n">
        <v>2116.5</v>
      </c>
      <c r="J35" s="32" t="n">
        <v>0.26</v>
      </c>
      <c r="K35" s="32" t="n">
        <v>19143</v>
      </c>
      <c r="L35" s="31" t="n">
        <v>79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82.94</v>
      </c>
      <c r="P35" s="32" t="n">
        <v>43.78</v>
      </c>
      <c r="Q35" s="32" t="n">
        <v>1686.73</v>
      </c>
      <c r="R35" s="31" t="inlineStr">
        <is>
          <t>Near 52W High Breakout</t>
        </is>
      </c>
      <c r="S35" s="31" t="inlineStr">
        <is>
          <t>Nifty 50</t>
        </is>
      </c>
      <c r="T35" s="32" t="n">
        <v>-3.41</v>
      </c>
      <c r="U35" s="32" t="n">
        <v>39.41</v>
      </c>
      <c r="V35" s="32" t="n">
        <v>44.33</v>
      </c>
      <c r="W35" s="32" t="n">
        <v>24.46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IF(B36=0,"",RANK(B36,$B$2:$B$363,0))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ASIANHOTNR</t>
        </is>
      </c>
      <c r="D36" s="31" t="inlineStr">
        <is>
          <t>Asian Hotels (north) Limited</t>
        </is>
      </c>
      <c r="E36" s="31" t="inlineStr">
        <is>
          <t>services</t>
        </is>
      </c>
      <c r="F36" s="31" t="inlineStr">
        <is>
          <t>hotels</t>
        </is>
      </c>
      <c r="G36" s="31" t="inlineStr">
        <is>
          <t>smallcap</t>
        </is>
      </c>
      <c r="H36" s="32" t="n">
        <v>1636.48</v>
      </c>
      <c r="I36" s="32" t="n">
        <v>384.75</v>
      </c>
      <c r="J36" s="32" t="n">
        <v>0.23</v>
      </c>
      <c r="K36" s="32" t="n">
        <v>10682</v>
      </c>
      <c r="L36" s="31" t="n">
        <v>36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70.25</v>
      </c>
      <c r="P36" s="32" t="n">
        <v>30.93</v>
      </c>
      <c r="Q36" s="32" t="n">
        <v>278.92</v>
      </c>
      <c r="R36" s="31" t="inlineStr">
        <is>
          <t>Volume Spike &amp; Near 52W High Breakout</t>
        </is>
      </c>
      <c r="S36" s="31" t="inlineStr">
        <is>
          <t>Nifty 50</t>
        </is>
      </c>
      <c r="T36" s="32" t="n">
        <v>-3.41</v>
      </c>
      <c r="U36" s="32" t="n">
        <v>16.82</v>
      </c>
      <c r="V36" s="32" t="n">
        <v>20.94</v>
      </c>
      <c r="W36" s="32" t="n">
        <v>9.119999999999999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IF(B37=0,"",RANK(B37,$B$2:$B$363,0))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UNIVASTU</t>
        </is>
      </c>
      <c r="D37" s="31" t="inlineStr">
        <is>
          <t>Univastu India Ltd</t>
        </is>
      </c>
      <c r="E37" s="31" t="inlineStr">
        <is>
          <t>realty</t>
        </is>
      </c>
      <c r="F37" s="31" t="inlineStr">
        <is>
          <t>construction</t>
        </is>
      </c>
      <c r="G37" s="31" t="inlineStr">
        <is>
          <t>smallcap</t>
        </is>
      </c>
      <c r="H37" s="32" t="n">
        <v>636.39</v>
      </c>
      <c r="I37" s="32" t="n">
        <v>168.34</v>
      </c>
      <c r="J37" s="32" t="n">
        <v>-0.04</v>
      </c>
      <c r="K37" s="32" t="n">
        <v>70087</v>
      </c>
      <c r="L37" s="31" t="n">
        <v>96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80.93000000000001</v>
      </c>
      <c r="P37" s="32" t="n">
        <v>74.79000000000001</v>
      </c>
      <c r="Q37" s="32" t="n">
        <v>127.23</v>
      </c>
      <c r="R37" s="31" t="inlineStr">
        <is>
          <t>Near 52W High Breakout</t>
        </is>
      </c>
      <c r="S37" s="31" t="inlineStr">
        <is>
          <t>Nifty Realty</t>
        </is>
      </c>
      <c r="T37" s="32" t="n">
        <v>-4.49</v>
      </c>
      <c r="U37" s="32" t="n">
        <v>87.31999999999999</v>
      </c>
      <c r="V37" s="32" t="n">
        <v>96.12</v>
      </c>
      <c r="W37" s="32" t="n">
        <v>53.36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IF(B38=0,"",RANK(B38,$B$2:$B$363,0))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KPIL</t>
        </is>
      </c>
      <c r="D38" s="31" t="inlineStr">
        <is>
          <t>Kalpataru Projects International Ltd</t>
        </is>
      </c>
      <c r="E38" s="31" t="inlineStr">
        <is>
          <t>realty</t>
        </is>
      </c>
      <c r="F38" s="31" t="inlineStr">
        <is>
          <t>transmisson line towers / equipment</t>
        </is>
      </c>
      <c r="G38" s="31" t="inlineStr">
        <is>
          <t>largecap</t>
        </is>
      </c>
      <c r="H38" s="32" t="n">
        <v>24210.42</v>
      </c>
      <c r="I38" s="32" t="n">
        <v>1406.6</v>
      </c>
      <c r="J38" s="32" t="n">
        <v>-0.78</v>
      </c>
      <c r="K38" s="32" t="n">
        <v>145207</v>
      </c>
      <c r="L38" s="31" t="n">
        <v>29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64.47</v>
      </c>
      <c r="P38" s="32" t="n">
        <v>33.03</v>
      </c>
      <c r="Q38" s="32" t="n">
        <v>1163.41</v>
      </c>
      <c r="R38" s="31" t="inlineStr">
        <is>
          <t>Near 52W High Breakout</t>
        </is>
      </c>
      <c r="S38" s="31" t="inlineStr">
        <is>
          <t>Nifty Realty</t>
        </is>
      </c>
      <c r="T38" s="32" t="n">
        <v>-4.49</v>
      </c>
      <c r="U38" s="32" t="n">
        <v>23.08</v>
      </c>
      <c r="V38" s="32" t="n">
        <v>28.87</v>
      </c>
      <c r="W38" s="32" t="n">
        <v>7.54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IF(B39=0,"",RANK(B39,$B$2:$B$363,0))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STOVEKRAFT</t>
        </is>
      </c>
      <c r="D39" s="31" t="inlineStr">
        <is>
          <t>Stove Kraft Ltd</t>
        </is>
      </c>
      <c r="E39" s="31" t="inlineStr">
        <is>
          <t>consumer discretionary</t>
        </is>
      </c>
      <c r="F39" s="31" t="inlineStr">
        <is>
          <t>domestic appliances</t>
        </is>
      </c>
      <c r="G39" s="31" t="inlineStr">
        <is>
          <t>smallcap</t>
        </is>
      </c>
      <c r="H39" s="32" t="n">
        <v>2780.19</v>
      </c>
      <c r="I39" s="32" t="n">
        <v>832.55</v>
      </c>
      <c r="J39" s="32" t="n">
        <v>-0.86</v>
      </c>
      <c r="K39" s="32" t="n">
        <v>93139</v>
      </c>
      <c r="L39" s="31" t="n">
        <v>45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72.02</v>
      </c>
      <c r="P39" s="32" t="n">
        <v>49.8</v>
      </c>
      <c r="Q39" s="32" t="n">
        <v>640.95</v>
      </c>
      <c r="R39" s="31" t="inlineStr">
        <is>
          <t>Near 52W High Breakout</t>
        </is>
      </c>
      <c r="S39" s="31" t="inlineStr">
        <is>
          <t>Nifty 50</t>
        </is>
      </c>
      <c r="T39" s="32" t="n">
        <v>-3.41</v>
      </c>
      <c r="U39" s="32" t="n">
        <v>23.12</v>
      </c>
      <c r="V39" s="32" t="n">
        <v>27.46</v>
      </c>
      <c r="W39" s="32" t="n">
        <v>12.25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IF(B40=0,"",RANK(B40,$B$2:$B$363,0))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POLYPLEX</t>
        </is>
      </c>
      <c r="D40" s="31" t="inlineStr">
        <is>
          <t>Polyplex Corporation Limited</t>
        </is>
      </c>
      <c r="E40" s="31" t="inlineStr">
        <is>
          <t>industrials</t>
        </is>
      </c>
      <c r="F40" s="31" t="inlineStr">
        <is>
          <t>packaging</t>
        </is>
      </c>
      <c r="G40" s="31" t="inlineStr">
        <is>
          <t>smallcap</t>
        </is>
      </c>
      <c r="H40" s="32" t="n">
        <v>3775.57</v>
      </c>
      <c r="I40" s="32" t="n">
        <v>1191</v>
      </c>
      <c r="J40" s="32" t="n">
        <v>-0.97</v>
      </c>
      <c r="K40" s="32" t="n">
        <v>72824</v>
      </c>
      <c r="L40" s="31" t="n">
        <v>37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72.15000000000001</v>
      </c>
      <c r="P40" s="32" t="n">
        <v>55.74</v>
      </c>
      <c r="Q40" s="32" t="n">
        <v>976.42</v>
      </c>
      <c r="R40" s="31" t="inlineStr">
        <is>
          <t>Near 52W High Breakout</t>
        </is>
      </c>
      <c r="S40" s="31" t="inlineStr">
        <is>
          <t>Nifty Infra</t>
        </is>
      </c>
      <c r="T40" s="32" t="n">
        <v>1.45</v>
      </c>
      <c r="U40" s="32" t="n">
        <v>5.95</v>
      </c>
      <c r="V40" s="32" t="n">
        <v>4.44</v>
      </c>
      <c r="W40" s="32" t="n">
        <v>9.380000000000001</v>
      </c>
      <c r="X40" s="31" t="inlineStr">
        <is>
          <t>Cyclical in an Upturn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IF(B41=0,"",RANK(B41,$B$2:$B$363,0))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WSTCSTPAPR</t>
        </is>
      </c>
      <c r="D41" s="31" t="inlineStr">
        <is>
          <t>West Coast Paper Mills Limited</t>
        </is>
      </c>
      <c r="E41" s="31" t="inlineStr">
        <is>
          <t>building materials</t>
        </is>
      </c>
      <c r="F41" s="31" t="inlineStr">
        <is>
          <t>paper</t>
        </is>
      </c>
      <c r="G41" s="31" t="inlineStr">
        <is>
          <t>smallcap</t>
        </is>
      </c>
      <c r="H41" s="32" t="n">
        <v>4339.08</v>
      </c>
      <c r="I41" s="32" t="n">
        <v>650.25</v>
      </c>
      <c r="J41" s="32" t="n">
        <v>-1.02</v>
      </c>
      <c r="K41" s="32" t="n">
        <v>276595</v>
      </c>
      <c r="L41" s="31" t="n">
        <v>48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70.84999999999999</v>
      </c>
      <c r="P41" s="32" t="n">
        <v>48.72</v>
      </c>
      <c r="Q41" s="32" t="n">
        <v>514.54</v>
      </c>
      <c r="R41" s="31" t="inlineStr">
        <is>
          <t>Near 52W High Breakout</t>
        </is>
      </c>
      <c r="S41" s="31" t="inlineStr">
        <is>
          <t>Nifty Infra</t>
        </is>
      </c>
      <c r="T41" s="32" t="n">
        <v>1.45</v>
      </c>
      <c r="U41" s="32" t="n">
        <v>21.69</v>
      </c>
      <c r="V41" s="32" t="n">
        <v>19.95</v>
      </c>
      <c r="W41" s="32" t="n">
        <v>12.96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IF(B42=0,"",RANK(B42,$B$2:$B$363,0))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APARINDS</t>
        </is>
      </c>
      <c r="D42" s="31" t="inlineStr">
        <is>
          <t>Apar Industries Limited</t>
        </is>
      </c>
      <c r="E42" s="31" t="inlineStr">
        <is>
          <t>industrials</t>
        </is>
      </c>
      <c r="F42" s="31" t="inlineStr">
        <is>
          <t>electric equipment</t>
        </is>
      </c>
      <c r="G42" s="31" t="inlineStr">
        <is>
          <t>largecap</t>
        </is>
      </c>
      <c r="H42" s="32" t="n">
        <v>74130.78999999999</v>
      </c>
      <c r="I42" s="32" t="n">
        <v>17421</v>
      </c>
      <c r="J42" s="32" t="n">
        <v>-1.6</v>
      </c>
      <c r="K42" s="32" t="n">
        <v>93101</v>
      </c>
      <c r="L42" s="31" t="n">
        <v>75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71.75</v>
      </c>
      <c r="P42" s="32" t="n">
        <v>44.18</v>
      </c>
      <c r="Q42" s="32" t="n">
        <v>13629.98</v>
      </c>
      <c r="R42" s="31" t="inlineStr">
        <is>
          <t>Near 52W High Breakout</t>
        </is>
      </c>
      <c r="S42" s="31" t="inlineStr">
        <is>
          <t>Nifty 50</t>
        </is>
      </c>
      <c r="T42" s="32" t="n">
        <v>-3.41</v>
      </c>
      <c r="U42" s="32" t="n">
        <v>124.06</v>
      </c>
      <c r="V42" s="32" t="n">
        <v>131.97</v>
      </c>
      <c r="W42" s="32" t="n">
        <v>23.17</v>
      </c>
      <c r="X42" s="31" t="inlineStr">
        <is>
          <t>Cyclical in an Upturn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IF(B43=0,"",RANK(B43,$B$2:$B$363,0))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WELCORP</t>
        </is>
      </c>
      <c r="D43" s="31" t="inlineStr">
        <is>
          <t>Welspun Corp Limited</t>
        </is>
      </c>
      <c r="E43" s="31" t="inlineStr">
        <is>
          <t>industrials</t>
        </is>
      </c>
      <c r="F43" s="31" t="inlineStr">
        <is>
          <t>steel - large</t>
        </is>
      </c>
      <c r="G43" s="31" t="inlineStr">
        <is>
          <t>largecap</t>
        </is>
      </c>
      <c r="H43" s="32" t="n">
        <v>69682.94</v>
      </c>
      <c r="I43" s="32" t="n">
        <v>2590.6</v>
      </c>
      <c r="J43" s="32" t="n">
        <v>-1.93</v>
      </c>
      <c r="K43" s="32" t="n">
        <v>1247810</v>
      </c>
      <c r="L43" s="31" t="n">
        <v>96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94.69</v>
      </c>
      <c r="P43" s="32" t="n">
        <v>75.43000000000001</v>
      </c>
      <c r="Q43" s="32" t="n">
        <v>2124</v>
      </c>
      <c r="R43" s="31" t="inlineStr">
        <is>
          <t>Near 52W High Breakout</t>
        </is>
      </c>
      <c r="S43" s="31" t="inlineStr">
        <is>
          <t>Nifty Metal</t>
        </is>
      </c>
      <c r="T43" s="32" t="n">
        <v>41.3</v>
      </c>
      <c r="U43" s="32" t="n">
        <v>193.07</v>
      </c>
      <c r="V43" s="32" t="n">
        <v>107.41</v>
      </c>
      <c r="W43" s="32" t="n">
        <v>55.49</v>
      </c>
      <c r="X43" s="31" t="inlineStr">
        <is>
          <t>Cyclical in an Upturn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IF(B44=0,"",RANK(B44,$B$2:$B$363,0))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CONFIPET</t>
        </is>
      </c>
      <c r="D44" s="31" t="inlineStr">
        <is>
          <t>Confidence Petroleum India Ltd</t>
        </is>
      </c>
      <c r="E44" s="31" t="inlineStr">
        <is>
          <t>miscellaneous</t>
        </is>
      </c>
      <c r="F44" s="31" t="inlineStr">
        <is>
          <t>miscellaneous</t>
        </is>
      </c>
      <c r="G44" s="31" t="inlineStr">
        <is>
          <t>smallcap</t>
        </is>
      </c>
      <c r="H44" s="32" t="n">
        <v>2800.13</v>
      </c>
      <c r="I44" s="32" t="n">
        <v>82.48</v>
      </c>
      <c r="J44" s="32" t="n">
        <v>-2.14</v>
      </c>
      <c r="K44" s="32" t="n">
        <v>2371168</v>
      </c>
      <c r="L44" s="31" t="n">
        <v>80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67.27</v>
      </c>
      <c r="P44" s="32" t="n">
        <v>62.5</v>
      </c>
      <c r="Q44" s="32" t="n">
        <v>56.25</v>
      </c>
      <c r="R44" s="31" t="inlineStr">
        <is>
          <t>Near 52W High Breakout</t>
        </is>
      </c>
      <c r="S44" s="31" t="inlineStr">
        <is>
          <t>Nifty 50</t>
        </is>
      </c>
      <c r="T44" s="32" t="n">
        <v>-3.41</v>
      </c>
      <c r="U44" s="32" t="n">
        <v>71.2</v>
      </c>
      <c r="V44" s="32" t="n">
        <v>77.23999999999999</v>
      </c>
      <c r="W44" s="32" t="n">
        <v>26.18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IF(B45=0,"",RANK(B45,$B$2:$B$363,0))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UNIPARTS</t>
        </is>
      </c>
      <c r="D45" s="31" t="inlineStr">
        <is>
          <t>Uniparts India Ltd</t>
        </is>
      </c>
      <c r="E45" s="31" t="inlineStr">
        <is>
          <t>industrials</t>
        </is>
      </c>
      <c r="F45" s="31" t="inlineStr">
        <is>
          <t>engineering</t>
        </is>
      </c>
      <c r="G45" s="31" t="inlineStr">
        <is>
          <t>smallcap</t>
        </is>
      </c>
      <c r="H45" s="32" t="n">
        <v>4062.43</v>
      </c>
      <c r="I45" s="32" t="n">
        <v>874.05</v>
      </c>
      <c r="J45" s="32" t="n">
        <v>-2.87</v>
      </c>
      <c r="K45" s="32" t="n">
        <v>311978</v>
      </c>
      <c r="L45" s="31" t="n">
        <v>82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82.47</v>
      </c>
      <c r="P45" s="32" t="n">
        <v>68.06</v>
      </c>
      <c r="Q45" s="32" t="n">
        <v>706.15</v>
      </c>
      <c r="R45" s="31" t="inlineStr">
        <is>
          <t>Near 52W High Breakout</t>
        </is>
      </c>
      <c r="S45" s="31" t="inlineStr">
        <is>
          <t>Nifty 50</t>
        </is>
      </c>
      <c r="T45" s="32" t="n">
        <v>-3.41</v>
      </c>
      <c r="U45" s="32" t="n">
        <v>127.29</v>
      </c>
      <c r="V45" s="32" t="n">
        <v>135.31</v>
      </c>
      <c r="W45" s="32" t="n">
        <v>27.11</v>
      </c>
      <c r="X45" s="31" t="inlineStr">
        <is>
          <t>Cyclical in an Upturn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IF(B46=0,"",RANK(B46,$B$2:$B$363,0))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VINCOFE</t>
        </is>
      </c>
      <c r="D46" s="31" t="inlineStr">
        <is>
          <t>Vintage Coffee &amp; Beverages Ltd</t>
        </is>
      </c>
      <c r="E46" s="31" t="inlineStr">
        <is>
          <t>consumer discretionary</t>
        </is>
      </c>
      <c r="F46" s="31" t="inlineStr">
        <is>
          <t>trading</t>
        </is>
      </c>
      <c r="G46" s="31" t="inlineStr">
        <is>
          <t>smallcap</t>
        </is>
      </c>
      <c r="H46" s="32" t="n">
        <v>2571.11</v>
      </c>
      <c r="I46" s="32" t="n">
        <v>170.65</v>
      </c>
      <c r="J46" s="32" t="n">
        <v>-3.3</v>
      </c>
      <c r="K46" s="32" t="n">
        <v>2286890</v>
      </c>
      <c r="L46" s="31" t="n">
        <v>27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61.41</v>
      </c>
      <c r="P46" s="32" t="n">
        <v>27.66</v>
      </c>
      <c r="Q46" s="32" t="n">
        <v>132.61</v>
      </c>
      <c r="R46" s="31" t="inlineStr">
        <is>
          <t>Volume Spike &amp; Near 52W High Breakout</t>
        </is>
      </c>
      <c r="S46" s="31" t="inlineStr">
        <is>
          <t>Nifty 50</t>
        </is>
      </c>
      <c r="T46" s="32" t="n">
        <v>-3.41</v>
      </c>
      <c r="U46" s="32" t="n">
        <v>16.99</v>
      </c>
      <c r="V46" s="32" t="n">
        <v>21.11</v>
      </c>
      <c r="W46" s="32" t="n">
        <v>7.03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IF(B47=0,"",RANK(B47,$B$2:$B$363,0))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GUFICBIO</t>
        </is>
      </c>
      <c r="D47" s="31" t="inlineStr">
        <is>
          <t>Gufic Biosciences Limited</t>
        </is>
      </c>
      <c r="E47" s="31" t="inlineStr">
        <is>
          <t>healthcare</t>
        </is>
      </c>
      <c r="F47" s="31" t="inlineStr">
        <is>
          <t>pharmaceuticals - indian - bulk drugs &amp; formln</t>
        </is>
      </c>
      <c r="G47" s="31" t="inlineStr">
        <is>
          <t>smallcap</t>
        </is>
      </c>
      <c r="H47" s="32" t="n">
        <v>4405.91</v>
      </c>
      <c r="I47" s="32" t="n">
        <v>444.9</v>
      </c>
      <c r="J47" s="32" t="n">
        <v>1.26</v>
      </c>
      <c r="K47" s="32" t="n">
        <v>88007</v>
      </c>
      <c r="L47" s="31" t="n">
        <v>40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69.41</v>
      </c>
      <c r="P47" s="32" t="n">
        <v>55.42</v>
      </c>
      <c r="Q47" s="32" t="n">
        <v>343.93</v>
      </c>
      <c r="R47" s="31" t="inlineStr">
        <is>
          <t>Near 52W High Breakout</t>
        </is>
      </c>
      <c r="S47" s="31" t="inlineStr">
        <is>
          <t>Nifty Pharma</t>
        </is>
      </c>
      <c r="T47" s="32" t="n">
        <v>20.77</v>
      </c>
      <c r="U47" s="32" t="n">
        <v>24.81</v>
      </c>
      <c r="V47" s="32" t="n">
        <v>3.35</v>
      </c>
      <c r="W47" s="32" t="n">
        <v>10.27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IF(B48=0,"",RANK(B48,$B$2:$B$363,0))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SAKAR</t>
        </is>
      </c>
      <c r="D48" s="31" t="inlineStr">
        <is>
          <t>Sakar Healthcare Ltd</t>
        </is>
      </c>
      <c r="E48" s="31" t="inlineStr">
        <is>
          <t>healthcare</t>
        </is>
      </c>
      <c r="F48" s="31" t="inlineStr">
        <is>
          <t>pharmaceuticals - indian - bulk drugs &amp; formln</t>
        </is>
      </c>
      <c r="G48" s="31" t="inlineStr">
        <is>
          <t>smallcap</t>
        </is>
      </c>
      <c r="H48" s="32" t="n">
        <v>2240.45</v>
      </c>
      <c r="I48" s="32" t="n">
        <v>1013.9</v>
      </c>
      <c r="J48" s="32" t="n">
        <v>0.6899999999999999</v>
      </c>
      <c r="K48" s="32" t="n">
        <v>87982</v>
      </c>
      <c r="L48" s="31" t="n">
        <v>88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70.91</v>
      </c>
      <c r="P48" s="32" t="n">
        <v>52.04</v>
      </c>
      <c r="Q48" s="32" t="n">
        <v>730.13</v>
      </c>
      <c r="R48" s="31" t="inlineStr">
        <is>
          <t>Volume Spike &amp; Near 52W High Breakout</t>
        </is>
      </c>
      <c r="S48" s="31" t="inlineStr">
        <is>
          <t>Nifty Pharma</t>
        </is>
      </c>
      <c r="T48" s="32" t="n">
        <v>20.77</v>
      </c>
      <c r="U48" s="32" t="n">
        <v>205.07</v>
      </c>
      <c r="V48" s="32" t="n">
        <v>152.61</v>
      </c>
      <c r="W48" s="32" t="n">
        <v>32.45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IF(B49=0,"",RANK(B49,$B$2:$B$363,0))</f>
        <v/>
      </c>
      <c r="B49" s="32">
        <f>SUM(N49,Y49,AA49,AC49,AE49,AG49,AI49,AK49,AM49,AO49,AQ49,AS49,AU49,AW49,AY49,BA49,BC49,BE49,BG49,BI49,BK49,BM49,BO49,BQ49,BS49,BU49,BW49,BY49,CA49,CC49,CE49)</f>
        <v/>
      </c>
      <c r="C49" s="33" t="inlineStr">
        <is>
          <t>JAGSNPHARM</t>
        </is>
      </c>
      <c r="D49" s="33" t="inlineStr">
        <is>
          <t>Jagsonpal Pharmaceuticals Limited</t>
        </is>
      </c>
      <c r="E49" s="31" t="inlineStr">
        <is>
          <t>healthcare</t>
        </is>
      </c>
      <c r="F49" s="31" t="inlineStr">
        <is>
          <t>pharmaceuticals - indian - bulk drugs &amp; formln</t>
        </is>
      </c>
      <c r="G49" s="31" t="inlineStr">
        <is>
          <t>smallcap</t>
        </is>
      </c>
      <c r="H49" s="32" t="n">
        <v>1599.93</v>
      </c>
      <c r="I49" s="32" t="n">
        <v>242.06</v>
      </c>
      <c r="J49" s="32" t="n">
        <v>-0.4</v>
      </c>
      <c r="K49" s="32" t="n">
        <v>96227</v>
      </c>
      <c r="L49" s="31" t="n">
        <v>22</v>
      </c>
      <c r="M49" s="31" t="inlineStr">
        <is>
          <t>Underperforming</t>
        </is>
      </c>
      <c r="N49" s="32">
        <f>IF(M49="Underperforming",-5,IF(L49&gt;=95,15,IF(L49&gt;=90,10,IF(L49&gt;=80,5,0))))</f>
        <v/>
      </c>
      <c r="O49" s="32" t="n">
        <v>67.77</v>
      </c>
      <c r="P49" s="32" t="n">
        <v>47.9</v>
      </c>
      <c r="Q49" s="32" t="n">
        <v>189.42</v>
      </c>
      <c r="R49" s="31" t="inlineStr">
        <is>
          <t>Near 52W High Breakout</t>
        </is>
      </c>
      <c r="S49" s="31" t="inlineStr">
        <is>
          <t>Nifty Pharma</t>
        </is>
      </c>
      <c r="T49" s="32" t="n">
        <v>20.77</v>
      </c>
      <c r="U49" s="32" t="n">
        <v>3.46</v>
      </c>
      <c r="V49" s="32" t="n">
        <v>-14.33</v>
      </c>
      <c r="W49" s="32" t="n">
        <v>6.07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IF(B50=0,"",RANK(B50,$B$2:$B$363,0))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AVTNPL</t>
        </is>
      </c>
      <c r="D50" s="31" t="inlineStr">
        <is>
          <t>Avt Natural Products Limited</t>
        </is>
      </c>
      <c r="E50" s="31" t="inlineStr">
        <is>
          <t>fmcg</t>
        </is>
      </c>
      <c r="F50" s="31" t="inlineStr">
        <is>
          <t>solvent extraction</t>
        </is>
      </c>
      <c r="G50" s="31" t="inlineStr">
        <is>
          <t>smallcap</t>
        </is>
      </c>
      <c r="H50" s="32" t="n">
        <v>1395.53</v>
      </c>
      <c r="I50" s="32" t="n">
        <v>91.02</v>
      </c>
      <c r="J50" s="32" t="n">
        <v>-0.68</v>
      </c>
      <c r="K50" s="32" t="n">
        <v>309025</v>
      </c>
      <c r="L50" s="31" t="n">
        <v>45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75.81</v>
      </c>
      <c r="P50" s="32" t="n">
        <v>40.76</v>
      </c>
      <c r="Q50" s="32" t="n">
        <v>72.33</v>
      </c>
      <c r="R50" s="31" t="inlineStr">
        <is>
          <t>Volume Spike &amp; Near 52W High Breakout</t>
        </is>
      </c>
      <c r="S50" s="31" t="inlineStr">
        <is>
          <t>Nifty FMCG</t>
        </is>
      </c>
      <c r="T50" s="32" t="n">
        <v>-15.92</v>
      </c>
      <c r="U50" s="32" t="n">
        <v>21.13</v>
      </c>
      <c r="V50" s="32" t="n">
        <v>44.06</v>
      </c>
      <c r="W50" s="32" t="n">
        <v>12.37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B2C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IF(B51=0,"",RANK(B51,$B$2:$B$363,0))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CAPLIPOINT</t>
        </is>
      </c>
      <c r="D51" s="31" t="inlineStr">
        <is>
          <t>Caplin Point Laboratories Limited</t>
        </is>
      </c>
      <c r="E51" s="31" t="inlineStr">
        <is>
          <t>healthcare</t>
        </is>
      </c>
      <c r="F51" s="31" t="inlineStr">
        <is>
          <t>pharmaceuticals - indian - formulations</t>
        </is>
      </c>
      <c r="G51" s="31" t="inlineStr">
        <is>
          <t>largecap</t>
        </is>
      </c>
      <c r="H51" s="32" t="n">
        <v>21625.33</v>
      </c>
      <c r="I51" s="32" t="n">
        <v>2810.8</v>
      </c>
      <c r="J51" s="32" t="n">
        <v>-1.2</v>
      </c>
      <c r="K51" s="32" t="n">
        <v>208526</v>
      </c>
      <c r="L51" s="31" t="n">
        <v>54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73.76000000000001</v>
      </c>
      <c r="P51" s="32" t="n">
        <v>41.19</v>
      </c>
      <c r="Q51" s="32" t="n">
        <v>2264.78</v>
      </c>
      <c r="R51" s="31" t="inlineStr">
        <is>
          <t>Volume Spike &amp; Near 52W High Breakout</t>
        </is>
      </c>
      <c r="S51" s="31" t="inlineStr">
        <is>
          <t>Nifty Pharma</t>
        </is>
      </c>
      <c r="T51" s="32" t="n">
        <v>20.77</v>
      </c>
      <c r="U51" s="32" t="n">
        <v>31.88</v>
      </c>
      <c r="V51" s="32" t="n">
        <v>9.199999999999999</v>
      </c>
      <c r="W51" s="32" t="n">
        <v>15.12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Between 12 to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Between 1.5 to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IF(B52=0,"",RANK(B52,$B$2:$B$363,0))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MARKSANS</t>
        </is>
      </c>
      <c r="D52" s="31" t="inlineStr">
        <is>
          <t>Marksans Pharma Limited</t>
        </is>
      </c>
      <c r="E52" s="31" t="inlineStr">
        <is>
          <t>healthcare</t>
        </is>
      </c>
      <c r="F52" s="31" t="inlineStr">
        <is>
          <t>pharmaceuticals - indian - formulations</t>
        </is>
      </c>
      <c r="G52" s="31" t="inlineStr">
        <is>
          <t>midcap</t>
        </is>
      </c>
      <c r="H52" s="32" t="n">
        <v>15054.1</v>
      </c>
      <c r="I52" s="32" t="n">
        <v>326.75</v>
      </c>
      <c r="J52" s="32" t="n">
        <v>-1.64</v>
      </c>
      <c r="K52" s="32" t="n">
        <v>1654370</v>
      </c>
      <c r="L52" s="31" t="n">
        <v>77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73.34999999999999</v>
      </c>
      <c r="P52" s="32" t="n">
        <v>59</v>
      </c>
      <c r="Q52" s="32" t="n">
        <v>258.5</v>
      </c>
      <c r="R52" s="31" t="inlineStr">
        <is>
          <t>Near 52W High Breakout</t>
        </is>
      </c>
      <c r="S52" s="31" t="inlineStr">
        <is>
          <t>Nifty Pharma</t>
        </is>
      </c>
      <c r="T52" s="32" t="n">
        <v>20.77</v>
      </c>
      <c r="U52" s="32" t="n">
        <v>93.98</v>
      </c>
      <c r="V52" s="32" t="n">
        <v>60.62</v>
      </c>
      <c r="W52" s="32" t="n">
        <v>23.85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IF(B53=0,"",RANK(B53,$B$2:$B$363,0))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AKUMS</t>
        </is>
      </c>
      <c r="D53" s="31" t="inlineStr">
        <is>
          <t>Akums Drugs &amp; Pharmaceuticals Ltd</t>
        </is>
      </c>
      <c r="E53" s="31" t="inlineStr">
        <is>
          <t>healthcare</t>
        </is>
      </c>
      <c r="F53" s="31" t="inlineStr">
        <is>
          <t>pharmaceuticals - indian - bulk drugs &amp; formln</t>
        </is>
      </c>
      <c r="G53" s="31" t="inlineStr">
        <is>
          <t>midcap</t>
        </is>
      </c>
      <c r="H53" s="32" t="n">
        <v>12285.39</v>
      </c>
      <c r="I53" s="32" t="n">
        <v>765.75</v>
      </c>
      <c r="J53" s="32" t="n">
        <v>-1.9</v>
      </c>
      <c r="K53" s="32" t="n">
        <v>338753</v>
      </c>
      <c r="L53" s="31" t="n">
        <v>67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73.16</v>
      </c>
      <c r="P53" s="32" t="n">
        <v>60.43</v>
      </c>
      <c r="Q53" s="32" t="n">
        <v>625.85</v>
      </c>
      <c r="R53" s="31" t="inlineStr">
        <is>
          <t>Near 52W High Breakout</t>
        </is>
      </c>
      <c r="S53" s="31" t="inlineStr">
        <is>
          <t>Nifty Pharma</t>
        </is>
      </c>
      <c r="T53" s="32" t="n">
        <v>20.77</v>
      </c>
      <c r="U53" s="32" t="n">
        <v>67.18000000000001</v>
      </c>
      <c r="V53" s="32" t="n">
        <v>38.43</v>
      </c>
      <c r="W53" s="32" t="n">
        <v>19.76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Annuity, Lower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IF(B54=0,"",RANK(B54,$B$2:$B$363,0))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MOREPENLAB</t>
        </is>
      </c>
      <c r="D54" s="31" t="inlineStr">
        <is>
          <t>Morepen Laboratories Limited</t>
        </is>
      </c>
      <c r="E54" s="31" t="inlineStr">
        <is>
          <t>healthcare</t>
        </is>
      </c>
      <c r="F54" s="31" t="inlineStr">
        <is>
          <t>pharmaceuticals - indian - bulk drugs &amp; formln</t>
        </is>
      </c>
      <c r="G54" s="31" t="inlineStr">
        <is>
          <t>midcap</t>
        </is>
      </c>
      <c r="H54" s="32" t="n">
        <v>6435.72</v>
      </c>
      <c r="I54" s="32" t="n">
        <v>113.74</v>
      </c>
      <c r="J54" s="32" t="n">
        <v>-3.16</v>
      </c>
      <c r="K54" s="32" t="n">
        <v>17563502</v>
      </c>
      <c r="L54" s="31" t="n">
        <v>97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87.34</v>
      </c>
      <c r="P54" s="32" t="n">
        <v>48.45</v>
      </c>
      <c r="Q54" s="32" t="n">
        <v>86.70999999999999</v>
      </c>
      <c r="R54" s="31" t="inlineStr">
        <is>
          <t>Near 52W High Breakout</t>
        </is>
      </c>
      <c r="S54" s="31" t="inlineStr">
        <is>
          <t>Nifty Pharma</t>
        </is>
      </c>
      <c r="T54" s="32" t="n">
        <v>20.77</v>
      </c>
      <c r="U54" s="32" t="n">
        <v>130.66</v>
      </c>
      <c r="V54" s="32" t="n">
        <v>91</v>
      </c>
      <c r="W54" s="32" t="n">
        <v>61.94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Annuity, Lower One Time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IF(B55=0,"",RANK(B55,$B$2:$B$363,0))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INDSWFTLAB</t>
        </is>
      </c>
      <c r="D55" s="31" t="inlineStr">
        <is>
          <t>Ind-swift Laboratories Limited</t>
        </is>
      </c>
      <c r="E55" s="31" t="inlineStr">
        <is>
          <t>healthcare</t>
        </is>
      </c>
      <c r="F55" s="31" t="inlineStr">
        <is>
          <t>pharmaceuticals - indian - bulk drugs &amp; formln</t>
        </is>
      </c>
      <c r="G55" s="31" t="inlineStr">
        <is>
          <t>smallcap</t>
        </is>
      </c>
      <c r="H55" s="32" t="n">
        <v>3241.06</v>
      </c>
      <c r="I55" s="32" t="n">
        <v>355.95</v>
      </c>
      <c r="J55" s="32" t="n">
        <v>-4.49</v>
      </c>
      <c r="K55" s="32" t="n">
        <v>695062</v>
      </c>
      <c r="L55" s="31" t="n">
        <v>97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86.27</v>
      </c>
      <c r="P55" s="32" t="n">
        <v>71.8</v>
      </c>
      <c r="Q55" s="32" t="n">
        <v>273.85</v>
      </c>
      <c r="R55" s="31" t="inlineStr">
        <is>
          <t>Near 52W High Breakout</t>
        </is>
      </c>
      <c r="S55" s="31" t="inlineStr">
        <is>
          <t>Nifty Pharma</t>
        </is>
      </c>
      <c r="T55" s="32" t="n">
        <v>20.77</v>
      </c>
      <c r="U55" s="32" t="n">
        <v>248.8</v>
      </c>
      <c r="V55" s="32" t="n">
        <v>188.82</v>
      </c>
      <c r="W55" s="32" t="n">
        <v>60.54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IF(B56=0,"",RANK(B56,$B$2:$B$363,0))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IRISDOREME</t>
        </is>
      </c>
      <c r="D56" s="31" t="inlineStr">
        <is>
          <t>Iris Clothings Ltd</t>
        </is>
      </c>
      <c r="E56" s="31" t="inlineStr">
        <is>
          <t>consumer discretionary</t>
        </is>
      </c>
      <c r="F56" s="31" t="inlineStr">
        <is>
          <t>textiles - products</t>
        </is>
      </c>
      <c r="G56" s="31" t="inlineStr">
        <is>
          <t>smallcap</t>
        </is>
      </c>
      <c r="H56" s="32" t="n">
        <v>1141.61</v>
      </c>
      <c r="I56" s="32" t="n">
        <v>63.58</v>
      </c>
      <c r="J56" s="32" t="n">
        <v>6</v>
      </c>
      <c r="K56" s="32" t="n">
        <v>2431238</v>
      </c>
      <c r="L56" s="31" t="n">
        <v>87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85.8</v>
      </c>
      <c r="P56" s="32" t="n">
        <v>49.25</v>
      </c>
      <c r="Q56" s="32" t="n">
        <v>50.31</v>
      </c>
      <c r="R56" s="31" t="inlineStr">
        <is>
          <t>Near 52W High Breakout</t>
        </is>
      </c>
      <c r="S56" s="31" t="inlineStr">
        <is>
          <t>Nifty 50</t>
        </is>
      </c>
      <c r="T56" s="32" t="n">
        <v>-3.41</v>
      </c>
      <c r="U56" s="32" t="n">
        <v>98.63</v>
      </c>
      <c r="V56" s="32" t="n">
        <v>105.63</v>
      </c>
      <c r="W56" s="32" t="n">
        <v>32.31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IF(B57=0,"",RANK(B57,$B$2:$B$363,0))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ARROWGREEN</t>
        </is>
      </c>
      <c r="D57" s="31" t="inlineStr">
        <is>
          <t>Arrow Greentech Limited</t>
        </is>
      </c>
      <c r="E57" s="31" t="inlineStr">
        <is>
          <t>plastic products</t>
        </is>
      </c>
      <c r="F57" s="31" t="inlineStr">
        <is>
          <t>plastics products</t>
        </is>
      </c>
      <c r="G57" s="31" t="inlineStr">
        <is>
          <t>smallcap</t>
        </is>
      </c>
      <c r="H57" s="32" t="n">
        <v>1172.94</v>
      </c>
      <c r="I57" s="32" t="n">
        <v>814.1</v>
      </c>
      <c r="J57" s="32" t="n">
        <v>4.72</v>
      </c>
      <c r="K57" s="32" t="n">
        <v>41808</v>
      </c>
      <c r="L57" s="31" t="n">
        <v>58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66.59</v>
      </c>
      <c r="P57" s="32" t="n">
        <v>41.75</v>
      </c>
      <c r="Q57" s="32" t="n">
        <v>590.59</v>
      </c>
      <c r="R57" s="31" t="inlineStr">
        <is>
          <t>Near 52W High Breakout</t>
        </is>
      </c>
      <c r="S57" s="31" t="inlineStr">
        <is>
          <t>Nifty Infra</t>
        </is>
      </c>
      <c r="T57" s="32" t="n">
        <v>1.45</v>
      </c>
      <c r="U57" s="32" t="n">
        <v>7.92</v>
      </c>
      <c r="V57" s="32" t="n">
        <v>6.38</v>
      </c>
      <c r="W57" s="32" t="n">
        <v>16.93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IF(B58=0,"",RANK(B58,$B$2:$B$363,0))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RBZJEWEL</t>
        </is>
      </c>
      <c r="D58" s="31" t="inlineStr">
        <is>
          <t>RBZ Jewellers Ltd</t>
        </is>
      </c>
      <c r="E58" s="31" t="inlineStr">
        <is>
          <t>consumer discretionary</t>
        </is>
      </c>
      <c r="F58" s="31" t="inlineStr">
        <is>
          <t>diamond cutting / jewellery</t>
        </is>
      </c>
      <c r="G58" s="31" t="inlineStr">
        <is>
          <t>smallcap</t>
        </is>
      </c>
      <c r="H58" s="32" t="n">
        <v>766.72</v>
      </c>
      <c r="I58" s="32" t="n">
        <v>200.69</v>
      </c>
      <c r="J58" s="32" t="n">
        <v>4.7</v>
      </c>
      <c r="K58" s="32" t="n">
        <v>6929954</v>
      </c>
      <c r="L58" s="31" t="n">
        <v>68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70.65000000000001</v>
      </c>
      <c r="P58" s="32" t="n">
        <v>28.95</v>
      </c>
      <c r="Q58" s="32" t="n">
        <v>146.58</v>
      </c>
      <c r="R58" s="31" t="inlineStr">
        <is>
          <t>Volume Spike &amp; Near 52W High Breakout</t>
        </is>
      </c>
      <c r="S58" s="31" t="inlineStr">
        <is>
          <t>Nifty 50</t>
        </is>
      </c>
      <c r="T58" s="32" t="n">
        <v>-3.41</v>
      </c>
      <c r="U58" s="32" t="n">
        <v>46.15</v>
      </c>
      <c r="V58" s="32" t="n">
        <v>51.3</v>
      </c>
      <c r="W58" s="32" t="n">
        <v>20.04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IF(B59=0,"",RANK(B59,$B$2:$B$363,0))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SETL</t>
        </is>
      </c>
      <c r="D59" s="31" t="inlineStr">
        <is>
          <t>Standard Enginnering Technology Ltd</t>
        </is>
      </c>
      <c r="E59" s="31" t="inlineStr">
        <is>
          <t>industrials</t>
        </is>
      </c>
      <c r="F59" s="31" t="inlineStr">
        <is>
          <t>engineering</t>
        </is>
      </c>
      <c r="G59" s="31" t="inlineStr">
        <is>
          <t>midcap</t>
        </is>
      </c>
      <c r="H59" s="32" t="n">
        <v>7803.12</v>
      </c>
      <c r="I59" s="32" t="n">
        <v>408.95</v>
      </c>
      <c r="J59" s="32" t="n">
        <v>4.55</v>
      </c>
      <c r="K59" s="32" t="n">
        <v>1430578</v>
      </c>
      <c r="L59" s="31" t="n">
        <v>98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89.53</v>
      </c>
      <c r="P59" s="32" t="n">
        <v>63.12</v>
      </c>
      <c r="Q59" s="32" t="n">
        <v>320.11</v>
      </c>
      <c r="R59" s="31" t="inlineStr">
        <is>
          <t>Near 52W High Breakout</t>
        </is>
      </c>
      <c r="S59" s="31" t="inlineStr">
        <is>
          <t>Nifty 50</t>
        </is>
      </c>
      <c r="T59" s="32" t="n">
        <v>-3.41</v>
      </c>
      <c r="U59" s="32" t="n">
        <v>121.51</v>
      </c>
      <c r="V59" s="32" t="n">
        <v>129.33</v>
      </c>
      <c r="W59" s="32" t="n">
        <v>63.66</v>
      </c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IF(B60=0,"",RANK(B60,$B$2:$B$363,0))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WHEELS</t>
        </is>
      </c>
      <c r="D60" s="31" t="inlineStr">
        <is>
          <t>Wheels India Limited</t>
        </is>
      </c>
      <c r="E60" s="31" t="inlineStr">
        <is>
          <t>auto</t>
        </is>
      </c>
      <c r="F60" s="31" t="inlineStr">
        <is>
          <t>auto ancillaries</t>
        </is>
      </c>
      <c r="G60" s="31" t="inlineStr">
        <is>
          <t>smallcap</t>
        </is>
      </c>
      <c r="H60" s="32" t="n">
        <v>4042.2</v>
      </c>
      <c r="I60" s="32" t="n">
        <v>1724.9</v>
      </c>
      <c r="J60" s="32" t="n">
        <v>4.26</v>
      </c>
      <c r="K60" s="32" t="n">
        <v>336451</v>
      </c>
      <c r="L60" s="31" t="n">
        <v>89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68.44</v>
      </c>
      <c r="P60" s="32" t="n">
        <v>54.71</v>
      </c>
      <c r="Q60" s="32" t="n">
        <v>1293.62</v>
      </c>
      <c r="R60" s="31" t="inlineStr">
        <is>
          <t>Near 52W High Breakout</t>
        </is>
      </c>
      <c r="S60" s="31" t="inlineStr">
        <is>
          <t>Nifty Auto</t>
        </is>
      </c>
      <c r="T60" s="32" t="n">
        <v>16.52</v>
      </c>
      <c r="U60" s="32" t="n">
        <v>118.92</v>
      </c>
      <c r="V60" s="32" t="n">
        <v>87.88</v>
      </c>
      <c r="W60" s="32" t="n">
        <v>34.25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Less than 12%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IF(B61=0,"",RANK(B61,$B$2:$B$363,0))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IDEA</t>
        </is>
      </c>
      <c r="D61" s="31" t="inlineStr">
        <is>
          <t>Vodafone Idea Ltd</t>
        </is>
      </c>
      <c r="E61" s="31" t="inlineStr">
        <is>
          <t>telecom-service</t>
        </is>
      </c>
      <c r="F61" s="31" t="inlineStr">
        <is>
          <t>telecommunications - service provider</t>
        </is>
      </c>
      <c r="G61" s="31" t="inlineStr">
        <is>
          <t>largecap</t>
        </is>
      </c>
      <c r="H61" s="32" t="n">
        <v>156880.71</v>
      </c>
      <c r="I61" s="32" t="n">
        <v>15.02</v>
      </c>
      <c r="J61" s="32" t="n">
        <v>3.73</v>
      </c>
      <c r="K61" s="32" t="n">
        <v>525960563</v>
      </c>
      <c r="L61" s="31" t="n">
        <v>64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66.48</v>
      </c>
      <c r="P61" s="32" t="n">
        <v>34.55</v>
      </c>
      <c r="Q61" s="32" t="n">
        <v>11.94</v>
      </c>
      <c r="R61" s="31" t="inlineStr">
        <is>
          <t>Near 52W High Breakout</t>
        </is>
      </c>
      <c r="S61" s="31" t="inlineStr">
        <is>
          <t>Nifty 500</t>
        </is>
      </c>
      <c r="T61" s="32" t="n">
        <v>1.86</v>
      </c>
      <c r="U61" s="32" t="n">
        <v>107.75</v>
      </c>
      <c r="V61" s="32" t="n">
        <v>103.95</v>
      </c>
      <c r="W61" s="32" t="n">
        <v>18.41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Oligopoly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IF(B62=0,"",RANK(B62,$B$2:$B$363,0))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IGPL</t>
        </is>
      </c>
      <c r="D62" s="31" t="inlineStr">
        <is>
          <t>Ig Petrochemicals Limited</t>
        </is>
      </c>
      <c r="E62" s="31" t="inlineStr">
        <is>
          <t>chemicals</t>
        </is>
      </c>
      <c r="F62" s="31" t="inlineStr">
        <is>
          <t>chemicals</t>
        </is>
      </c>
      <c r="G62" s="31" t="inlineStr">
        <is>
          <t>smallcap</t>
        </is>
      </c>
      <c r="H62" s="32" t="n">
        <v>1690.18</v>
      </c>
      <c r="I62" s="32" t="n">
        <v>567.4</v>
      </c>
      <c r="J62" s="32" t="n">
        <v>3.38</v>
      </c>
      <c r="K62" s="32" t="n">
        <v>200277</v>
      </c>
      <c r="L62" s="31" t="n">
        <v>48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71.45999999999999</v>
      </c>
      <c r="P62" s="32" t="n">
        <v>26.49</v>
      </c>
      <c r="Q62" s="32" t="n">
        <v>447.78</v>
      </c>
      <c r="R62" s="31" t="inlineStr">
        <is>
          <t>Near 52W High Breakout</t>
        </is>
      </c>
      <c r="S62" s="31" t="inlineStr">
        <is>
          <t>Nifty 50</t>
        </is>
      </c>
      <c r="T62" s="32" t="n">
        <v>-3.41</v>
      </c>
      <c r="U62" s="32" t="n">
        <v>30.33</v>
      </c>
      <c r="V62" s="32" t="n">
        <v>34.93</v>
      </c>
      <c r="W62" s="32" t="n">
        <v>13.25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IF(B63=0,"",RANK(B63,$B$2:$B$363,0))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UNIMECH</t>
        </is>
      </c>
      <c r="D63" s="31" t="inlineStr">
        <is>
          <t>Unimech Aerospace and Manufacturing Ltd</t>
        </is>
      </c>
      <c r="E63" s="31" t="inlineStr">
        <is>
          <t>aerospace &amp; defence</t>
        </is>
      </c>
      <c r="F63" s="31" t="inlineStr">
        <is>
          <t>engineering</t>
        </is>
      </c>
      <c r="G63" s="31" t="inlineStr">
        <is>
          <t>midcap</t>
        </is>
      </c>
      <c r="H63" s="32" t="n">
        <v>7452.06</v>
      </c>
      <c r="I63" s="32" t="n">
        <v>1502.7</v>
      </c>
      <c r="J63" s="32" t="n">
        <v>2.55</v>
      </c>
      <c r="K63" s="32" t="n">
        <v>179849</v>
      </c>
      <c r="L63" s="31" t="n">
        <v>61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73.19</v>
      </c>
      <c r="P63" s="32" t="n">
        <v>42.15</v>
      </c>
      <c r="Q63" s="32" t="n">
        <v>1170.37</v>
      </c>
      <c r="R63" s="31" t="inlineStr">
        <is>
          <t>Near 52W High Breakout</t>
        </is>
      </c>
      <c r="S63" s="31" t="inlineStr">
        <is>
          <t>Nifty 50</t>
        </is>
      </c>
      <c r="T63" s="32" t="n">
        <v>-3.41</v>
      </c>
      <c r="U63" s="32" t="n">
        <v>47.25</v>
      </c>
      <c r="V63" s="32" t="n">
        <v>52.45</v>
      </c>
      <c r="W63" s="32" t="n">
        <v>17.36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IF(B64=0,"",RANK(B64,$B$2:$B$363,0))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KABRAEXTRU</t>
        </is>
      </c>
      <c r="D64" s="31" t="inlineStr">
        <is>
          <t>Kabra Extrusion Technik Limited</t>
        </is>
      </c>
      <c r="E64" s="31" t="inlineStr">
        <is>
          <t>industrials</t>
        </is>
      </c>
      <c r="F64" s="31" t="inlineStr">
        <is>
          <t>engineering</t>
        </is>
      </c>
      <c r="G64" s="31" t="inlineStr">
        <is>
          <t>smallcap</t>
        </is>
      </c>
      <c r="H64" s="32" t="n">
        <v>1975.27</v>
      </c>
      <c r="I64" s="32" t="n">
        <v>579.15</v>
      </c>
      <c r="J64" s="32" t="n">
        <v>2.54</v>
      </c>
      <c r="K64" s="32" t="n">
        <v>130668</v>
      </c>
      <c r="L64" s="31" t="n">
        <v>97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83.76000000000001</v>
      </c>
      <c r="P64" s="32" t="n">
        <v>50.49</v>
      </c>
      <c r="Q64" s="32" t="n">
        <v>467.57</v>
      </c>
      <c r="R64" s="31" t="inlineStr">
        <is>
          <t>Near 52W High Breakout</t>
        </is>
      </c>
      <c r="S64" s="31" t="inlineStr">
        <is>
          <t>Nifty 50</t>
        </is>
      </c>
      <c r="T64" s="32" t="n">
        <v>-3.41</v>
      </c>
      <c r="U64" s="32" t="n">
        <v>112.1</v>
      </c>
      <c r="V64" s="32" t="n">
        <v>119.59</v>
      </c>
      <c r="W64" s="32" t="n">
        <v>55.72</v>
      </c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IF(B65=0,"",RANK(B65,$B$2:$B$363,0))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SREEL</t>
        </is>
      </c>
      <c r="D65" s="31" t="inlineStr">
        <is>
          <t>Sreeleathers Limited</t>
        </is>
      </c>
      <c r="E65" s="31" t="inlineStr">
        <is>
          <t>consumer discretionary</t>
        </is>
      </c>
      <c r="F65" s="31" t="inlineStr">
        <is>
          <t>trading</t>
        </is>
      </c>
      <c r="G65" s="31" t="inlineStr">
        <is>
          <t>smallcap</t>
        </is>
      </c>
      <c r="H65" s="32" t="n">
        <v>599.62</v>
      </c>
      <c r="I65" s="32" t="n">
        <v>265.52</v>
      </c>
      <c r="J65" s="32" t="n">
        <v>2.53</v>
      </c>
      <c r="K65" s="32" t="n">
        <v>21434</v>
      </c>
      <c r="L65" s="31" t="n">
        <v>41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74.58</v>
      </c>
      <c r="P65" s="32" t="n">
        <v>50.31</v>
      </c>
      <c r="Q65" s="32" t="n">
        <v>206.69</v>
      </c>
      <c r="R65" s="31" t="inlineStr">
        <is>
          <t>Near 52W High Breakout</t>
        </is>
      </c>
      <c r="S65" s="31" t="inlineStr">
        <is>
          <t>Nifty 50</t>
        </is>
      </c>
      <c r="T65" s="32" t="n">
        <v>-3.41</v>
      </c>
      <c r="U65" s="32" t="n">
        <v>13.09</v>
      </c>
      <c r="V65" s="32" t="n">
        <v>17.08</v>
      </c>
      <c r="W65" s="32" t="n">
        <v>10.59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IF(B66=0,"",RANK(B66,$B$2:$B$363,0))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CEIGALL</t>
        </is>
      </c>
      <c r="D66" s="31" t="inlineStr">
        <is>
          <t>Ceigall India Ltd</t>
        </is>
      </c>
      <c r="E66" s="31" t="inlineStr">
        <is>
          <t>realty</t>
        </is>
      </c>
      <c r="F66" s="31" t="inlineStr">
        <is>
          <t>construction</t>
        </is>
      </c>
      <c r="G66" s="31" t="inlineStr">
        <is>
          <t>midcap</t>
        </is>
      </c>
      <c r="H66" s="32" t="n">
        <v>6054.49</v>
      </c>
      <c r="I66" s="32" t="n">
        <v>355.8</v>
      </c>
      <c r="J66" s="32" t="n">
        <v>2.37</v>
      </c>
      <c r="K66" s="32" t="n">
        <v>949597</v>
      </c>
      <c r="L66" s="31" t="n">
        <v>32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58.55</v>
      </c>
      <c r="P66" s="32" t="n">
        <v>32.36</v>
      </c>
      <c r="Q66" s="32" t="n">
        <v>301.79</v>
      </c>
      <c r="R66" s="31" t="inlineStr">
        <is>
          <t>Volume Spike / Accumulation</t>
        </is>
      </c>
      <c r="S66" s="31" t="inlineStr">
        <is>
          <t>Nifty Realty</t>
        </is>
      </c>
      <c r="T66" s="32" t="n">
        <v>-4.49</v>
      </c>
      <c r="U66" s="32" t="n">
        <v>34.93</v>
      </c>
      <c r="V66" s="32" t="n">
        <v>41.27</v>
      </c>
      <c r="W66" s="32" t="n">
        <v>8.27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IF(B67=0,"",RANK(B67,$B$2:$B$363,0))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NRL</t>
        </is>
      </c>
      <c r="D67" s="31" t="inlineStr">
        <is>
          <t>Nupur Recyclers Ltd</t>
        </is>
      </c>
      <c r="E67" s="31" t="inlineStr">
        <is>
          <t>services</t>
        </is>
      </c>
      <c r="F67" s="31" t="inlineStr">
        <is>
          <t>trading</t>
        </is>
      </c>
      <c r="G67" s="31" t="inlineStr">
        <is>
          <t>smallcap</t>
        </is>
      </c>
      <c r="H67" s="32" t="n">
        <v>859.49</v>
      </c>
      <c r="I67" s="32" t="n">
        <v>126.92</v>
      </c>
      <c r="J67" s="32" t="n">
        <v>1.99</v>
      </c>
      <c r="K67" s="32" t="n">
        <v>109113</v>
      </c>
      <c r="L67" s="31" t="n">
        <v>88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87.37</v>
      </c>
      <c r="P67" s="32" t="n">
        <v>65.43000000000001</v>
      </c>
      <c r="Q67" s="32" t="n">
        <v>105.51</v>
      </c>
      <c r="R67" s="31" t="inlineStr">
        <is>
          <t>Near 52W High Breakout</t>
        </is>
      </c>
      <c r="S67" s="31" t="inlineStr">
        <is>
          <t>Nifty 50</t>
        </is>
      </c>
      <c r="T67" s="32" t="n">
        <v>-3.41</v>
      </c>
      <c r="U67" s="32" t="n">
        <v>80.88</v>
      </c>
      <c r="V67" s="32" t="n">
        <v>87.26000000000001</v>
      </c>
      <c r="W67" s="32" t="n">
        <v>33.43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IF(B68=0,"",RANK(B68,$B$2:$B$363,0))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PASUPTAC</t>
        </is>
      </c>
      <c r="D68" s="31" t="inlineStr">
        <is>
          <t>Pasupati Acrylon Ltd</t>
        </is>
      </c>
      <c r="E68" s="31" t="inlineStr">
        <is>
          <t>textiles</t>
        </is>
      </c>
      <c r="F68" s="31" t="inlineStr">
        <is>
          <t>textiles - manmade</t>
        </is>
      </c>
      <c r="G68" s="31" t="inlineStr">
        <is>
          <t>smallcap</t>
        </is>
      </c>
      <c r="H68" s="32" t="n">
        <v>595.3200000000001</v>
      </c>
      <c r="I68" s="32" t="n">
        <v>67.64</v>
      </c>
      <c r="J68" s="32" t="n">
        <v>1.27</v>
      </c>
      <c r="K68" s="32" t="n">
        <v>108786</v>
      </c>
      <c r="L68" s="31" t="n">
        <v>42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62.13</v>
      </c>
      <c r="P68" s="32" t="n">
        <v>48.32</v>
      </c>
      <c r="Q68" s="32" t="n">
        <v>55.05</v>
      </c>
      <c r="R68" s="31" t="inlineStr">
        <is>
          <t>Earnings / Momentum Support</t>
        </is>
      </c>
      <c r="S68" s="31" t="inlineStr">
        <is>
          <t>Nifty 50</t>
        </is>
      </c>
      <c r="T68" s="32" t="n">
        <v>-3.41</v>
      </c>
      <c r="U68" s="32" t="n">
        <v>60.36</v>
      </c>
      <c r="V68" s="32" t="n">
        <v>66.02</v>
      </c>
      <c r="W68" s="32" t="n">
        <v>10.83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IF(B69=0,"",RANK(B69,$B$2:$B$363,0))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MARINE</t>
        </is>
      </c>
      <c r="D69" s="31" t="inlineStr">
        <is>
          <t>Marine Electricals (India) Ltd</t>
        </is>
      </c>
      <c r="E69" s="31" t="inlineStr">
        <is>
          <t>industrials</t>
        </is>
      </c>
      <c r="F69" s="31" t="inlineStr">
        <is>
          <t>electric equipment</t>
        </is>
      </c>
      <c r="G69" s="31" t="inlineStr">
        <is>
          <t>midcap</t>
        </is>
      </c>
      <c r="H69" s="32" t="n">
        <v>6023.21</v>
      </c>
      <c r="I69" s="32" t="n">
        <v>432.15</v>
      </c>
      <c r="J69" s="32" t="n">
        <v>0.41</v>
      </c>
      <c r="K69" s="32" t="n">
        <v>826123</v>
      </c>
      <c r="L69" s="31" t="n">
        <v>90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80.98999999999999</v>
      </c>
      <c r="P69" s="32" t="n">
        <v>43.62</v>
      </c>
      <c r="Q69" s="32" t="n">
        <v>325.3</v>
      </c>
      <c r="R69" s="31" t="inlineStr">
        <is>
          <t>Volume Spike &amp; Near 52W High Breakout</t>
        </is>
      </c>
      <c r="S69" s="31" t="inlineStr">
        <is>
          <t>Nifty 50</t>
        </is>
      </c>
      <c r="T69" s="32" t="n">
        <v>-3.41</v>
      </c>
      <c r="U69" s="32" t="n">
        <v>147.61</v>
      </c>
      <c r="V69" s="32" t="n">
        <v>156.35</v>
      </c>
      <c r="W69" s="32" t="n">
        <v>37.67</v>
      </c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Between 1.5 to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IF(B70=0,"",RANK(B70,$B$2:$B$363,0))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SSWL</t>
        </is>
      </c>
      <c r="D70" s="31" t="inlineStr">
        <is>
          <t>Steel Strips Wheels Limited</t>
        </is>
      </c>
      <c r="E70" s="31" t="inlineStr">
        <is>
          <t>auto</t>
        </is>
      </c>
      <c r="F70" s="31" t="inlineStr">
        <is>
          <t>auto ancillaries</t>
        </is>
      </c>
      <c r="G70" s="31" t="inlineStr">
        <is>
          <t>midcap</t>
        </is>
      </c>
      <c r="H70" s="32" t="n">
        <v>5671.07</v>
      </c>
      <c r="I70" s="32" t="n">
        <v>361.85</v>
      </c>
      <c r="J70" s="32" t="n">
        <v>0.29</v>
      </c>
      <c r="K70" s="32" t="n">
        <v>1006017</v>
      </c>
      <c r="L70" s="31" t="n">
        <v>83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78.28</v>
      </c>
      <c r="P70" s="32" t="n">
        <v>37.9</v>
      </c>
      <c r="Q70" s="32" t="n">
        <v>286.59</v>
      </c>
      <c r="R70" s="31" t="inlineStr">
        <is>
          <t>Volume Spike &amp; Near 52W High Breakout</t>
        </is>
      </c>
      <c r="S70" s="31" t="inlineStr">
        <is>
          <t>Nifty Auto</t>
        </is>
      </c>
      <c r="T70" s="32" t="n">
        <v>16.52</v>
      </c>
      <c r="U70" s="32" t="n">
        <v>51.08</v>
      </c>
      <c r="V70" s="32" t="n">
        <v>29.66</v>
      </c>
      <c r="W70" s="32" t="n">
        <v>27.46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IF(B71=0,"",RANK(B71,$B$2:$B$363,0))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CARTRADE</t>
        </is>
      </c>
      <c r="D71" s="31" t="inlineStr">
        <is>
          <t>Cartrade Tech Ltd</t>
        </is>
      </c>
      <c r="E71" s="31" t="inlineStr">
        <is>
          <t>consumer discretionary</t>
        </is>
      </c>
      <c r="F71" s="31" t="inlineStr">
        <is>
          <t>miscellaneous</t>
        </is>
      </c>
      <c r="G71" s="31" t="inlineStr">
        <is>
          <t>midcap</t>
        </is>
      </c>
      <c r="H71" s="32" t="n">
        <v>14369.45</v>
      </c>
      <c r="I71" s="32" t="n">
        <v>3000.2</v>
      </c>
      <c r="J71" s="32" t="n">
        <v>0.27</v>
      </c>
      <c r="K71" s="32" t="n">
        <v>315551</v>
      </c>
      <c r="L71" s="31" t="n">
        <v>62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67.20999999999999</v>
      </c>
      <c r="P71" s="32" t="n">
        <v>45.07</v>
      </c>
      <c r="Q71" s="32" t="n">
        <v>2292.65</v>
      </c>
      <c r="R71" s="31" t="inlineStr">
        <is>
          <t>Near 52W High Breakout</t>
        </is>
      </c>
      <c r="S71" s="31" t="inlineStr">
        <is>
          <t>Nifty 50</t>
        </is>
      </c>
      <c r="T71" s="32" t="n">
        <v>-3.41</v>
      </c>
      <c r="U71" s="32" t="n">
        <v>14.93</v>
      </c>
      <c r="V71" s="32" t="n">
        <v>18.99</v>
      </c>
      <c r="W71" s="32" t="n">
        <v>18.08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IF(B72=0,"",RANK(B72,$B$2:$B$363,0))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HITECHCORP</t>
        </is>
      </c>
      <c r="D72" s="31" t="inlineStr">
        <is>
          <t>Hitech Corporation</t>
        </is>
      </c>
      <c r="E72" s="31" t="inlineStr">
        <is>
          <t>industrials</t>
        </is>
      </c>
      <c r="F72" s="31" t="inlineStr">
        <is>
          <t>packaging</t>
        </is>
      </c>
      <c r="G72" s="31" t="inlineStr">
        <is>
          <t>smallcap</t>
        </is>
      </c>
      <c r="H72" s="32" t="n">
        <v>578.8200000000001</v>
      </c>
      <c r="I72" s="32" t="n">
        <v>337</v>
      </c>
      <c r="J72" s="32" t="n">
        <v>0</v>
      </c>
      <c r="K72" s="32" t="n">
        <v>6573</v>
      </c>
      <c r="L72" s="31" t="n">
        <v>79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82.26000000000001</v>
      </c>
      <c r="P72" s="32" t="n">
        <v>67.36</v>
      </c>
      <c r="Q72" s="32" t="n">
        <v>279.39</v>
      </c>
      <c r="R72" s="31" t="inlineStr">
        <is>
          <t>Near 52W High Breakout</t>
        </is>
      </c>
      <c r="S72" s="31" t="inlineStr">
        <is>
          <t>Nifty 50</t>
        </is>
      </c>
      <c r="T72" s="32" t="n">
        <v>-3.41</v>
      </c>
      <c r="U72" s="32" t="n">
        <v>66.38</v>
      </c>
      <c r="V72" s="32" t="n">
        <v>72.25</v>
      </c>
      <c r="W72" s="32" t="n">
        <v>24.55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IF(B73=0,"",RANK(B73,$B$2:$B$363,0))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JAYAGROGN</t>
        </is>
      </c>
      <c r="D73" s="31" t="inlineStr">
        <is>
          <t>Jayant Agro Organics Limited</t>
        </is>
      </c>
      <c r="E73" s="31" t="inlineStr">
        <is>
          <t>chemicals</t>
        </is>
      </c>
      <c r="F73" s="31" t="inlineStr">
        <is>
          <t>chemicals</t>
        </is>
      </c>
      <c r="G73" s="31" t="inlineStr">
        <is>
          <t>smallcap</t>
        </is>
      </c>
      <c r="H73" s="32" t="n">
        <v>692.49</v>
      </c>
      <c r="I73" s="32" t="n">
        <v>230.6</v>
      </c>
      <c r="J73" s="32" t="n">
        <v>-0.1</v>
      </c>
      <c r="K73" s="32" t="n">
        <v>8025</v>
      </c>
      <c r="L73" s="31" t="n">
        <v>6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61.62</v>
      </c>
      <c r="P73" s="32" t="n">
        <v>38.39</v>
      </c>
      <c r="Q73" s="32" t="n">
        <v>176.79</v>
      </c>
      <c r="R73" s="31" t="inlineStr">
        <is>
          <t>Near 52W High Breakout</t>
        </is>
      </c>
      <c r="S73" s="31" t="inlineStr">
        <is>
          <t>Nifty 50</t>
        </is>
      </c>
      <c r="T73" s="32" t="n">
        <v>-3.41</v>
      </c>
      <c r="U73" s="32" t="n">
        <v>-3.01</v>
      </c>
      <c r="V73" s="32" t="n">
        <v>0.41</v>
      </c>
      <c r="W73" s="32" t="n">
        <v>1.4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IF(B74=0,"",RANK(B74,$B$2:$B$363,0))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JKPAPER</t>
        </is>
      </c>
      <c r="D74" s="31" t="inlineStr">
        <is>
          <t>Jk Paper Limited</t>
        </is>
      </c>
      <c r="E74" s="31" t="inlineStr">
        <is>
          <t>building materials</t>
        </is>
      </c>
      <c r="F74" s="31" t="inlineStr">
        <is>
          <t>paper</t>
        </is>
      </c>
      <c r="G74" s="31" t="inlineStr">
        <is>
          <t>midcap</t>
        </is>
      </c>
      <c r="H74" s="32" t="n">
        <v>7436.79</v>
      </c>
      <c r="I74" s="32" t="n">
        <v>405.8</v>
      </c>
      <c r="J74" s="32" t="n">
        <v>-1.06</v>
      </c>
      <c r="K74" s="32" t="n">
        <v>381165</v>
      </c>
      <c r="L74" s="31" t="n">
        <v>18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63.96</v>
      </c>
      <c r="P74" s="32" t="n">
        <v>29.19</v>
      </c>
      <c r="Q74" s="32" t="n">
        <v>327.83</v>
      </c>
      <c r="R74" s="31" t="inlineStr">
        <is>
          <t>Near 52W High Breakout</t>
        </is>
      </c>
      <c r="S74" s="31" t="inlineStr">
        <is>
          <t>Nifty Infra</t>
        </is>
      </c>
      <c r="T74" s="32" t="n">
        <v>1.45</v>
      </c>
      <c r="U74" s="32" t="n">
        <v>11.16</v>
      </c>
      <c r="V74" s="32" t="n">
        <v>9.57</v>
      </c>
      <c r="W74" s="32" t="n">
        <v>5.11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IF(B75=0,"",RANK(B75,$B$2:$B$363,0))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KRYSTAL</t>
        </is>
      </c>
      <c r="D75" s="31" t="inlineStr">
        <is>
          <t>Krystal Integrated Services Ltd</t>
        </is>
      </c>
      <c r="E75" s="31" t="inlineStr">
        <is>
          <t>miscellaneous</t>
        </is>
      </c>
      <c r="F75" s="31" t="inlineStr">
        <is>
          <t>miscellaneous</t>
        </is>
      </c>
      <c r="G75" s="31" t="inlineStr">
        <is>
          <t>smallcap</t>
        </is>
      </c>
      <c r="H75" s="32" t="n">
        <v>924.87</v>
      </c>
      <c r="I75" s="32" t="n">
        <v>654.6</v>
      </c>
      <c r="J75" s="32" t="n">
        <v>-1.11</v>
      </c>
      <c r="K75" s="32" t="n">
        <v>8580</v>
      </c>
      <c r="L75" s="31" t="n">
        <v>12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65.06</v>
      </c>
      <c r="P75" s="32" t="n">
        <v>33.74</v>
      </c>
      <c r="Q75" s="32" t="n">
        <v>546.46</v>
      </c>
      <c r="R75" s="31" t="inlineStr">
        <is>
          <t>Near 52W High Breakout</t>
        </is>
      </c>
      <c r="S75" s="31" t="inlineStr">
        <is>
          <t>Nifty 50</t>
        </is>
      </c>
      <c r="T75" s="32" t="n">
        <v>-3.41</v>
      </c>
      <c r="U75" s="32" t="n">
        <v>-1.06</v>
      </c>
      <c r="V75" s="32" t="n">
        <v>2.43</v>
      </c>
      <c r="W75" s="32" t="n">
        <v>2.79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IF(B76=0,"",RANK(B76,$B$2:$B$363,0))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CENTENKA</t>
        </is>
      </c>
      <c r="D76" s="31" t="inlineStr">
        <is>
          <t>Century Enka Limited</t>
        </is>
      </c>
      <c r="E76" s="31" t="inlineStr">
        <is>
          <t>textiles</t>
        </is>
      </c>
      <c r="F76" s="31" t="inlineStr">
        <is>
          <t>textiles - manmade</t>
        </is>
      </c>
      <c r="G76" s="31" t="inlineStr">
        <is>
          <t>smallcap</t>
        </is>
      </c>
      <c r="H76" s="32" t="n">
        <v>1347.42</v>
      </c>
      <c r="I76" s="32" t="n">
        <v>608.9</v>
      </c>
      <c r="J76" s="32" t="n">
        <v>-1.26</v>
      </c>
      <c r="K76" s="32" t="n">
        <v>126471</v>
      </c>
      <c r="L76" s="31" t="n">
        <v>35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66.59999999999999</v>
      </c>
      <c r="P76" s="32" t="n">
        <v>64.11</v>
      </c>
      <c r="Q76" s="32" t="n">
        <v>464.79</v>
      </c>
      <c r="R76" s="31" t="inlineStr">
        <is>
          <t>Volume Spike &amp; Near 52W High Breakout</t>
        </is>
      </c>
      <c r="S76" s="31" t="inlineStr">
        <is>
          <t>Nifty 50</t>
        </is>
      </c>
      <c r="T76" s="32" t="n">
        <v>-3.41</v>
      </c>
      <c r="U76" s="32" t="n">
        <v>22.3</v>
      </c>
      <c r="V76" s="32" t="n">
        <v>26.62</v>
      </c>
      <c r="W76" s="32" t="n">
        <v>9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IF(B77=0,"",RANK(B77,$B$2:$B$363,0))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AYMSYNTEX</t>
        </is>
      </c>
      <c r="D77" s="31" t="inlineStr">
        <is>
          <t>Aym Syntex Limited</t>
        </is>
      </c>
      <c r="E77" s="31" t="inlineStr">
        <is>
          <t>textiles</t>
        </is>
      </c>
      <c r="F77" s="31" t="inlineStr">
        <is>
          <t>textiles - processing</t>
        </is>
      </c>
      <c r="G77" s="31" t="inlineStr">
        <is>
          <t>smallcap</t>
        </is>
      </c>
      <c r="H77" s="32" t="n">
        <v>1863.34</v>
      </c>
      <c r="I77" s="32" t="n">
        <v>310.7</v>
      </c>
      <c r="J77" s="32" t="n">
        <v>-2.06</v>
      </c>
      <c r="K77" s="32" t="n">
        <v>124761</v>
      </c>
      <c r="L77" s="31" t="n">
        <v>69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69.51000000000001</v>
      </c>
      <c r="P77" s="32" t="n">
        <v>40.22</v>
      </c>
      <c r="Q77" s="32" t="n">
        <v>217.99</v>
      </c>
      <c r="R77" s="31" t="inlineStr">
        <is>
          <t>Volume Spike &amp; Near 52W High Breakout</t>
        </is>
      </c>
      <c r="S77" s="31" t="inlineStr">
        <is>
          <t>Nifty 50</t>
        </is>
      </c>
      <c r="T77" s="32" t="n">
        <v>-3.41</v>
      </c>
      <c r="U77" s="32" t="n">
        <v>64.26000000000001</v>
      </c>
      <c r="V77" s="32" t="n">
        <v>70.06</v>
      </c>
      <c r="W77" s="32" t="n">
        <v>20.22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IF(B78=0,"",RANK(B78,$B$2:$B$363,0))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ADOR</t>
        </is>
      </c>
      <c r="D78" s="31" t="inlineStr">
        <is>
          <t>Ador Welding Ltd</t>
        </is>
      </c>
      <c r="E78" s="31" t="inlineStr">
        <is>
          <t>industrials</t>
        </is>
      </c>
      <c r="F78" s="31" t="inlineStr">
        <is>
          <t>electrodes - welding equipment</t>
        </is>
      </c>
      <c r="G78" s="31" t="inlineStr">
        <is>
          <t>smallcap</t>
        </is>
      </c>
      <c r="H78" s="32" t="n">
        <v>2983.89</v>
      </c>
      <c r="I78" s="32" t="n">
        <v>1674.4</v>
      </c>
      <c r="J78" s="32" t="n">
        <v>-2.34</v>
      </c>
      <c r="K78" s="32" t="n">
        <v>26990</v>
      </c>
      <c r="L78" s="31" t="n">
        <v>77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83.11</v>
      </c>
      <c r="P78" s="32" t="n">
        <v>63.5</v>
      </c>
      <c r="Q78" s="32" t="n">
        <v>1349.66</v>
      </c>
      <c r="R78" s="31" t="inlineStr">
        <is>
          <t>Near 52W High Breakout</t>
        </is>
      </c>
      <c r="S78" s="31" t="inlineStr">
        <is>
          <t>Nifty 50</t>
        </is>
      </c>
      <c r="T78" s="32" t="n">
        <v>-3.41</v>
      </c>
      <c r="U78" s="32" t="n">
        <v>78.27</v>
      </c>
      <c r="V78" s="32" t="n">
        <v>84.56</v>
      </c>
      <c r="W78" s="32" t="n">
        <v>23.84</v>
      </c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IF(B79=0,"",RANK(B79,$B$2:$B$363,0))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KMEW</t>
        </is>
      </c>
      <c r="D79" s="31" t="inlineStr">
        <is>
          <t>Knowledge Marine &amp; Engineering Works Ltd</t>
        </is>
      </c>
      <c r="E79" s="31" t="inlineStr">
        <is>
          <t>transportation</t>
        </is>
      </c>
      <c r="F79" s="31" t="inlineStr">
        <is>
          <t>miscellaneous</t>
        </is>
      </c>
      <c r="G79" s="31" t="inlineStr">
        <is>
          <t>midcap</t>
        </is>
      </c>
      <c r="H79" s="32" t="n">
        <v>7700.87</v>
      </c>
      <c r="I79" s="32" t="n">
        <v>3033.4</v>
      </c>
      <c r="J79" s="32" t="n">
        <v>-3.71</v>
      </c>
      <c r="K79" s="32" t="n">
        <v>98630</v>
      </c>
      <c r="L79" s="31" t="n">
        <v>94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80.93000000000001</v>
      </c>
      <c r="P79" s="32" t="n">
        <v>54.3</v>
      </c>
      <c r="Q79" s="32" t="n">
        <v>2241.99</v>
      </c>
      <c r="R79" s="31" t="inlineStr">
        <is>
          <t>Near 52W High Breakout</t>
        </is>
      </c>
      <c r="S79" s="31" t="inlineStr">
        <is>
          <t>Nifty 50</t>
        </is>
      </c>
      <c r="T79" s="32" t="n">
        <v>-3.41</v>
      </c>
      <c r="U79" s="32" t="n">
        <v>246.67</v>
      </c>
      <c r="V79" s="32" t="n">
        <v>258.91</v>
      </c>
      <c r="W79" s="32" t="n">
        <v>44.65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IF(B80=0,"",RANK(B80,$B$2:$B$363,0))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MODISONLTD</t>
        </is>
      </c>
      <c r="D80" s="31" t="inlineStr">
        <is>
          <t>Modison Ltd</t>
        </is>
      </c>
      <c r="E80" s="31" t="inlineStr">
        <is>
          <t>industrials</t>
        </is>
      </c>
      <c r="F80" s="31" t="inlineStr">
        <is>
          <t>electric equipment</t>
        </is>
      </c>
      <c r="G80" s="31" t="inlineStr">
        <is>
          <t>smallcap</t>
        </is>
      </c>
      <c r="H80" s="32" t="n">
        <v>1605.14</v>
      </c>
      <c r="I80" s="32" t="n">
        <v>469.95</v>
      </c>
      <c r="J80" s="32" t="n">
        <v>-4.99</v>
      </c>
      <c r="K80" s="32" t="n">
        <v>412447</v>
      </c>
      <c r="L80" s="31" t="n">
        <v>94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80.63</v>
      </c>
      <c r="P80" s="32" t="n">
        <v>59.72</v>
      </c>
      <c r="Q80" s="32" t="n">
        <v>340.48</v>
      </c>
      <c r="R80" s="31" t="inlineStr">
        <is>
          <t>Volume Spike &amp; Near 52W High Breakout</t>
        </is>
      </c>
      <c r="S80" s="31" t="inlineStr">
        <is>
          <t>Nifty 50</t>
        </is>
      </c>
      <c r="T80" s="32" t="n">
        <v>-3.41</v>
      </c>
      <c r="U80" s="32" t="n">
        <v>196.68</v>
      </c>
      <c r="V80" s="32" t="n">
        <v>207.15</v>
      </c>
      <c r="W80" s="32" t="n">
        <v>44.05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IF(B81=0,"",RANK(B81,$B$2:$B$363,0))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WOCKPHARMA</t>
        </is>
      </c>
      <c r="D81" s="31" t="inlineStr">
        <is>
          <t>Wockhardt Limited</t>
        </is>
      </c>
      <c r="E81" s="31" t="inlineStr">
        <is>
          <t>healthcare</t>
        </is>
      </c>
      <c r="F81" s="31" t="inlineStr">
        <is>
          <t>pharmaceuticals - indian - bulk drugs &amp; formln</t>
        </is>
      </c>
      <c r="G81" s="31" t="inlineStr">
        <is>
          <t>largecap</t>
        </is>
      </c>
      <c r="H81" s="32" t="n">
        <v>31695.72</v>
      </c>
      <c r="I81" s="32" t="n">
        <v>2088.7</v>
      </c>
      <c r="J81" s="32" t="n">
        <v>7.08</v>
      </c>
      <c r="K81" s="32" t="n">
        <v>3557646</v>
      </c>
      <c r="L81" s="31" t="n">
        <v>41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65.40000000000001</v>
      </c>
      <c r="P81" s="32" t="n">
        <v>50.7</v>
      </c>
      <c r="Q81" s="32" t="n">
        <v>1566.27</v>
      </c>
      <c r="R81" s="31" t="inlineStr">
        <is>
          <t>Volume Spike &amp; Near 52W High Breakout</t>
        </is>
      </c>
      <c r="S81" s="31" t="inlineStr">
        <is>
          <t>Nifty Pharma</t>
        </is>
      </c>
      <c r="T81" s="32" t="n">
        <v>20.77</v>
      </c>
      <c r="U81" s="32" t="n">
        <v>41.24</v>
      </c>
      <c r="V81" s="32" t="n">
        <v>16.95</v>
      </c>
      <c r="W81" s="32" t="n">
        <v>10.56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Yes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Annuity, Lower One Time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IF(B82=0,"",RANK(B82,$B$2:$B$363,0))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BLISSGVS</t>
        </is>
      </c>
      <c r="D82" s="31" t="inlineStr">
        <is>
          <t>Bliss Gvs Pharma Limited</t>
        </is>
      </c>
      <c r="E82" s="31" t="inlineStr">
        <is>
          <t>healthcare</t>
        </is>
      </c>
      <c r="F82" s="31" t="inlineStr">
        <is>
          <t>pharmaceuticals - indian - formulations</t>
        </is>
      </c>
      <c r="G82" s="31" t="inlineStr">
        <is>
          <t>midcap</t>
        </is>
      </c>
      <c r="H82" s="32" t="n">
        <v>6780.7</v>
      </c>
      <c r="I82" s="32" t="n">
        <v>671</v>
      </c>
      <c r="J82" s="32" t="n">
        <v>4.95</v>
      </c>
      <c r="K82" s="32" t="n">
        <v>347698</v>
      </c>
      <c r="L82" s="31" t="n">
        <v>95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86.77</v>
      </c>
      <c r="P82" s="32" t="n">
        <v>74.89</v>
      </c>
      <c r="Q82" s="32" t="n">
        <v>518.34</v>
      </c>
      <c r="R82" s="31" t="inlineStr">
        <is>
          <t>Near 52W High Breakout</t>
        </is>
      </c>
      <c r="S82" s="31" t="inlineStr">
        <is>
          <t>Nifty Pharma</t>
        </is>
      </c>
      <c r="T82" s="32" t="n">
        <v>20.77</v>
      </c>
      <c r="U82" s="32" t="n">
        <v>332.18</v>
      </c>
      <c r="V82" s="32" t="n">
        <v>257.86</v>
      </c>
      <c r="W82" s="32" t="n">
        <v>49.34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Yes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Annuity, Lower One Time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Between 12 to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IF(B83=0,"",RANK(B83,$B$2:$B$363,0))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INNOVACAP</t>
        </is>
      </c>
      <c r="D83" s="31" t="inlineStr">
        <is>
          <t>Innova Captab Ltd</t>
        </is>
      </c>
      <c r="E83" s="31" t="inlineStr">
        <is>
          <t>healthcare</t>
        </is>
      </c>
      <c r="F83" s="31" t="inlineStr">
        <is>
          <t>pharmaceuticals - indian - bulk drugs &amp; formln</t>
        </is>
      </c>
      <c r="G83" s="31" t="inlineStr">
        <is>
          <t>midcap</t>
        </is>
      </c>
      <c r="H83" s="32" t="n">
        <v>6440.09</v>
      </c>
      <c r="I83" s="32" t="n">
        <v>1175.4</v>
      </c>
      <c r="J83" s="32" t="n">
        <v>4.44</v>
      </c>
      <c r="K83" s="32" t="n">
        <v>321751</v>
      </c>
      <c r="L83" s="31" t="n">
        <v>52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75.87</v>
      </c>
      <c r="P83" s="32" t="n">
        <v>62.12</v>
      </c>
      <c r="Q83" s="32" t="n">
        <v>924.26</v>
      </c>
      <c r="R83" s="31" t="inlineStr">
        <is>
          <t>Volume Spike &amp; Near 52W High Breakout</t>
        </is>
      </c>
      <c r="S83" s="31" t="inlineStr">
        <is>
          <t>Nifty Pharma</t>
        </is>
      </c>
      <c r="T83" s="32" t="n">
        <v>20.77</v>
      </c>
      <c r="U83" s="32" t="n">
        <v>29.7</v>
      </c>
      <c r="V83" s="32" t="n">
        <v>7.4</v>
      </c>
      <c r="W83" s="32" t="n">
        <v>14.56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Yes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Annuity, Lower One Time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IF(B84=0,"",RANK(B84,$B$2:$B$363,0))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SHILPAMED</t>
        </is>
      </c>
      <c r="D84" s="31" t="inlineStr">
        <is>
          <t>Shilpa Medicare Limited</t>
        </is>
      </c>
      <c r="E84" s="31" t="inlineStr">
        <is>
          <t>healthcare</t>
        </is>
      </c>
      <c r="F84" s="31" t="inlineStr">
        <is>
          <t>pharmaceuticals - indian - formulations</t>
        </is>
      </c>
      <c r="G84" s="31" t="inlineStr">
        <is>
          <t>midcap</t>
        </is>
      </c>
      <c r="H84" s="32" t="n">
        <v>18700.56</v>
      </c>
      <c r="I84" s="32" t="n">
        <v>964.15</v>
      </c>
      <c r="J84" s="32" t="n">
        <v>0.84</v>
      </c>
      <c r="K84" s="32" t="n">
        <v>652726</v>
      </c>
      <c r="L84" s="31" t="n">
        <v>92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91.48</v>
      </c>
      <c r="P84" s="32" t="n">
        <v>77.81</v>
      </c>
      <c r="Q84" s="32" t="n">
        <v>787.8099999999999</v>
      </c>
      <c r="R84" s="31" t="inlineStr">
        <is>
          <t>Near 52W High Breakout</t>
        </is>
      </c>
      <c r="S84" s="31" t="inlineStr">
        <is>
          <t>Nifty Pharma</t>
        </is>
      </c>
      <c r="T84" s="32" t="n">
        <v>20.77</v>
      </c>
      <c r="U84" s="32" t="n">
        <v>128.7</v>
      </c>
      <c r="V84" s="32" t="n">
        <v>89.37</v>
      </c>
      <c r="W84" s="32" t="n">
        <v>39.84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Annuity, Lower One Time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IF(B85=0,"",RANK(B85,$B$2:$B$363,0))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VIJAYA</t>
        </is>
      </c>
      <c r="D85" s="31" t="inlineStr">
        <is>
          <t>Vijaya Diagnostic Centre Ltd</t>
        </is>
      </c>
      <c r="E85" s="31" t="inlineStr">
        <is>
          <t>healthcare</t>
        </is>
      </c>
      <c r="F85" s="31" t="inlineStr">
        <is>
          <t>healthcare</t>
        </is>
      </c>
      <c r="G85" s="31" t="inlineStr">
        <is>
          <t>midcap</t>
        </is>
      </c>
      <c r="H85" s="32" t="n">
        <v>15491.1</v>
      </c>
      <c r="I85" s="32" t="n">
        <v>1493.2</v>
      </c>
      <c r="J85" s="32" t="n">
        <v>-0.82</v>
      </c>
      <c r="K85" s="32" t="n">
        <v>45618</v>
      </c>
      <c r="L85" s="31" t="n">
        <v>37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67.53</v>
      </c>
      <c r="P85" s="32" t="n">
        <v>59.71</v>
      </c>
      <c r="Q85" s="32" t="n">
        <v>1204.72</v>
      </c>
      <c r="R85" s="31" t="inlineStr">
        <is>
          <t>Near 52W High Breakout</t>
        </is>
      </c>
      <c r="S85" s="31" t="inlineStr">
        <is>
          <t>Nifty Pharma</t>
        </is>
      </c>
      <c r="T85" s="32" t="n">
        <v>20.77</v>
      </c>
      <c r="U85" s="32" t="n">
        <v>34.86</v>
      </c>
      <c r="V85" s="32" t="n">
        <v>11.67</v>
      </c>
      <c r="W85" s="32" t="n">
        <v>9.4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Yes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Annuity, Lower One Time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IF(B86=0,"",RANK(B86,$B$2:$B$363,0))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VENKEYS</t>
        </is>
      </c>
      <c r="D86" s="31" t="inlineStr">
        <is>
          <t>Venky's (india) Limited</t>
        </is>
      </c>
      <c r="E86" s="31" t="inlineStr">
        <is>
          <t>fmcg</t>
        </is>
      </c>
      <c r="F86" s="31" t="inlineStr">
        <is>
          <t>miscellaneous</t>
        </is>
      </c>
      <c r="G86" s="31" t="inlineStr">
        <is>
          <t>smallcap</t>
        </is>
      </c>
      <c r="H86" s="32" t="n">
        <v>2362.59</v>
      </c>
      <c r="I86" s="32" t="n">
        <v>1659.6</v>
      </c>
      <c r="J86" s="32" t="n">
        <v>-1.04</v>
      </c>
      <c r="K86" s="32" t="n">
        <v>25085</v>
      </c>
      <c r="L86" s="31" t="n">
        <v>15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62.1</v>
      </c>
      <c r="P86" s="32" t="n">
        <v>38.73</v>
      </c>
      <c r="Q86" s="32" t="n">
        <v>1307.49</v>
      </c>
      <c r="R86" s="31" t="inlineStr">
        <is>
          <t>Volume Spike &amp; Near 52W High Breakout</t>
        </is>
      </c>
      <c r="S86" s="31" t="inlineStr">
        <is>
          <t>Nifty FMCG</t>
        </is>
      </c>
      <c r="T86" s="32" t="n">
        <v>-15.92</v>
      </c>
      <c r="U86" s="32" t="n">
        <v>8.119999999999999</v>
      </c>
      <c r="V86" s="32" t="n">
        <v>28.59</v>
      </c>
      <c r="W86" s="32" t="n">
        <v>3.53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B2C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IF(B87=0,"",RANK(B87,$B$2:$B$363,0))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DIVISLAB</t>
        </is>
      </c>
      <c r="D87" s="31" t="inlineStr">
        <is>
          <t>Divi's Laboratories Limited</t>
        </is>
      </c>
      <c r="E87" s="31" t="inlineStr">
        <is>
          <t>healthcare</t>
        </is>
      </c>
      <c r="F87" s="31" t="inlineStr">
        <is>
          <t>pharmaceuticals - indian - bulk drugs</t>
        </is>
      </c>
      <c r="G87" s="31" t="inlineStr">
        <is>
          <t>largecap</t>
        </is>
      </c>
      <c r="H87" s="32" t="n">
        <v>245558.44</v>
      </c>
      <c r="I87" s="32" t="n">
        <v>9100</v>
      </c>
      <c r="J87" s="32" t="n">
        <v>-1.62</v>
      </c>
      <c r="K87" s="32" t="n">
        <v>250202</v>
      </c>
      <c r="L87" s="31" t="n">
        <v>60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83.59</v>
      </c>
      <c r="P87" s="32" t="n">
        <v>40.98</v>
      </c>
      <c r="Q87" s="32" t="n">
        <v>8072.45</v>
      </c>
      <c r="R87" s="31" t="inlineStr">
        <is>
          <t>Near 52W High Breakout</t>
        </is>
      </c>
      <c r="S87" s="31" t="inlineStr">
        <is>
          <t>Nifty Pharma</t>
        </is>
      </c>
      <c r="T87" s="32" t="n">
        <v>20.77</v>
      </c>
      <c r="U87" s="32" t="n">
        <v>52.06</v>
      </c>
      <c r="V87" s="32" t="n">
        <v>25.91</v>
      </c>
      <c r="W87" s="32" t="n">
        <v>17.22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Annuity, Lower One Time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Above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IF(B88=0,"",RANK(B88,$B$2:$B$363,0))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ZIMLAB</t>
        </is>
      </c>
      <c r="D88" s="31" t="inlineStr">
        <is>
          <t>Zim Laboratories Ltd</t>
        </is>
      </c>
      <c r="E88" s="31" t="inlineStr">
        <is>
          <t>healthcare</t>
        </is>
      </c>
      <c r="F88" s="31" t="inlineStr">
        <is>
          <t>pharmaceuticals - indian - bulk drugs &amp; formln</t>
        </is>
      </c>
      <c r="G88" s="31" t="inlineStr">
        <is>
          <t>smallcap</t>
        </is>
      </c>
      <c r="H88" s="32" t="n">
        <v>685.53</v>
      </c>
      <c r="I88" s="32" t="n">
        <v>125.5</v>
      </c>
      <c r="J88" s="32" t="n">
        <v>-1.97</v>
      </c>
      <c r="K88" s="32" t="n">
        <v>54799</v>
      </c>
      <c r="L88" s="31" t="n">
        <v>61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66.61</v>
      </c>
      <c r="P88" s="32" t="n">
        <v>60.94</v>
      </c>
      <c r="Q88" s="32" t="n">
        <v>89.26000000000001</v>
      </c>
      <c r="R88" s="31" t="inlineStr">
        <is>
          <t>Volume Spike &amp; Near 52W High Breakout</t>
        </is>
      </c>
      <c r="S88" s="31" t="inlineStr">
        <is>
          <t>Nifty Pharma</t>
        </is>
      </c>
      <c r="T88" s="32" t="n">
        <v>20.77</v>
      </c>
      <c r="U88" s="32" t="n">
        <v>70.15000000000001</v>
      </c>
      <c r="V88" s="32" t="n">
        <v>40.89</v>
      </c>
      <c r="W88" s="32" t="n">
        <v>17.32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Yes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Annuity, Lower One Time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IF(B89=0,"",RANK(B89,$B$2:$B$363,0))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BAFNAPH</t>
        </is>
      </c>
      <c r="D89" s="31" t="inlineStr">
        <is>
          <t>Bafna Pharmaceuticals Ltd</t>
        </is>
      </c>
      <c r="E89" s="31" t="inlineStr">
        <is>
          <t>healthcare</t>
        </is>
      </c>
      <c r="F89" s="31" t="inlineStr">
        <is>
          <t>pharmaceuticals - indian - formulations</t>
        </is>
      </c>
      <c r="G89" s="31" t="inlineStr">
        <is>
          <t>smallcap</t>
        </is>
      </c>
      <c r="H89" s="32" t="n">
        <v>714.0700000000001</v>
      </c>
      <c r="I89" s="32" t="n">
        <v>295.85</v>
      </c>
      <c r="J89" s="32" t="n">
        <v>-1.99</v>
      </c>
      <c r="K89" s="32" t="n">
        <v>4794</v>
      </c>
      <c r="L89" s="31" t="n">
        <v>93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71.59999999999999</v>
      </c>
      <c r="P89" s="32" t="n">
        <v>57.83</v>
      </c>
      <c r="Q89" s="32" t="n">
        <v>220.52</v>
      </c>
      <c r="R89" s="31" t="inlineStr">
        <is>
          <t>Near 52W High Breakout</t>
        </is>
      </c>
      <c r="S89" s="31" t="inlineStr">
        <is>
          <t>Nifty Pharma</t>
        </is>
      </c>
      <c r="T89" s="32" t="n">
        <v>20.77</v>
      </c>
      <c r="U89" s="32" t="n">
        <v>193.74</v>
      </c>
      <c r="V89" s="32" t="n">
        <v>143.22</v>
      </c>
      <c r="W89" s="32" t="n">
        <v>42.64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Yes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Annuity, Lower One Time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Less than 12%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IF(B90=0,"",RANK(B90,$B$2:$B$363,0))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JINDWORLD</t>
        </is>
      </c>
      <c r="D90" s="31" t="inlineStr">
        <is>
          <t>Jindal Worldwide Limited</t>
        </is>
      </c>
      <c r="E90" s="31" t="inlineStr">
        <is>
          <t>textiles</t>
        </is>
      </c>
      <c r="F90" s="31" t="inlineStr">
        <is>
          <t>textiles - products</t>
        </is>
      </c>
      <c r="G90" s="31" t="inlineStr">
        <is>
          <t>smallcap</t>
        </is>
      </c>
      <c r="H90" s="32" t="n">
        <v>4827.53</v>
      </c>
      <c r="I90" s="32" t="n">
        <v>57.51</v>
      </c>
      <c r="J90" s="32" t="n">
        <v>19.44</v>
      </c>
      <c r="K90" s="32" t="n">
        <v>188275533</v>
      </c>
      <c r="L90" s="31" t="n">
        <v>90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80.14</v>
      </c>
      <c r="P90" s="32" t="n">
        <v>39.11</v>
      </c>
      <c r="Q90" s="32" t="n">
        <v>42.36</v>
      </c>
      <c r="R90" s="31" t="inlineStr">
        <is>
          <t>Volume Spike &amp; Near 52W High Breakout</t>
        </is>
      </c>
      <c r="S90" s="31" t="inlineStr">
        <is>
          <t>Nifty 50</t>
        </is>
      </c>
      <c r="T90" s="32" t="n">
        <v>-3.41</v>
      </c>
      <c r="U90" s="32" t="n">
        <v>58.43</v>
      </c>
      <c r="V90" s="32" t="n">
        <v>64.02</v>
      </c>
      <c r="W90" s="32" t="n">
        <v>35.95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Above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IF(B91=0,"",RANK(B91,$B$2:$B$363,0))</f>
        <v/>
      </c>
      <c r="B91" s="32">
        <f>SUM(N91,Y91,AA91,AC91,AE91,AG91,AI91,AK91,AM91,AO91,AQ91,AS91,AU91,AW91,AY91,BA91,BC91,BE91,BG91,BI91,BK91,BM91,BO91,BQ91,BS91,BU91,BW91,BY91,CA91,CC91,CE91)</f>
        <v/>
      </c>
      <c r="C91" s="33" t="inlineStr">
        <is>
          <t>RADHIKAJWE</t>
        </is>
      </c>
      <c r="D91" s="33" t="inlineStr">
        <is>
          <t>Radhika Jeweltech Ltd</t>
        </is>
      </c>
      <c r="E91" s="31" t="inlineStr">
        <is>
          <t>consumer discretionary</t>
        </is>
      </c>
      <c r="F91" s="31" t="inlineStr">
        <is>
          <t>diamond cutting / jewellery</t>
        </is>
      </c>
      <c r="G91" s="31" t="inlineStr">
        <is>
          <t>smallcap</t>
        </is>
      </c>
      <c r="H91" s="32" t="n">
        <v>841.58</v>
      </c>
      <c r="I91" s="32" t="n">
        <v>83.16</v>
      </c>
      <c r="J91" s="32" t="n">
        <v>16.6</v>
      </c>
      <c r="K91" s="32" t="n">
        <v>14544177</v>
      </c>
      <c r="L91" s="31" t="n">
        <v>38</v>
      </c>
      <c r="M91" s="31" t="inlineStr">
        <is>
          <t>Underperforming</t>
        </is>
      </c>
      <c r="N91" s="32">
        <f>IF(M91="Underperforming",-5,IF(L91&gt;=95,15,IF(L91&gt;=90,10,IF(L91&gt;=80,5,0))))</f>
        <v/>
      </c>
      <c r="O91" s="32" t="n">
        <v>67.63</v>
      </c>
      <c r="P91" s="32" t="n">
        <v>21.05</v>
      </c>
      <c r="Q91" s="32" t="n">
        <v>60.91</v>
      </c>
      <c r="R91" s="31" t="inlineStr">
        <is>
          <t>Volume Spike / Accumulation</t>
        </is>
      </c>
      <c r="S91" s="31" t="inlineStr">
        <is>
          <t>Nifty 50</t>
        </is>
      </c>
      <c r="T91" s="32" t="n">
        <v>-3.41</v>
      </c>
      <c r="U91" s="32" t="n">
        <v>-11.67</v>
      </c>
      <c r="V91" s="32" t="n">
        <v>-8.56</v>
      </c>
      <c r="W91" s="32" t="n">
        <v>9.6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Less than 1.5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IF(B92=0,"",RANK(B92,$B$2:$B$363,0))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SKIPPER</t>
        </is>
      </c>
      <c r="D92" s="31" t="inlineStr">
        <is>
          <t>Skipper Limited</t>
        </is>
      </c>
      <c r="E92" s="31" t="inlineStr">
        <is>
          <t>industrials</t>
        </is>
      </c>
      <c r="F92" s="31" t="inlineStr">
        <is>
          <t>engineering</t>
        </is>
      </c>
      <c r="G92" s="31" t="inlineStr">
        <is>
          <t>midcap</t>
        </is>
      </c>
      <c r="H92" s="32" t="n">
        <v>6679.15</v>
      </c>
      <c r="I92" s="32" t="n">
        <v>591.1</v>
      </c>
      <c r="J92" s="32" t="n">
        <v>8.08</v>
      </c>
      <c r="K92" s="32" t="n">
        <v>10118419</v>
      </c>
      <c r="L92" s="31" t="n">
        <v>22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67.54000000000001</v>
      </c>
      <c r="P92" s="32" t="n">
        <v>36.86</v>
      </c>
      <c r="Q92" s="32" t="n">
        <v>443.82</v>
      </c>
      <c r="R92" s="31" t="inlineStr">
        <is>
          <t>Volume Spike &amp; Near 52W High Breakout</t>
        </is>
      </c>
      <c r="S92" s="31" t="inlineStr">
        <is>
          <t>Nifty 50</t>
        </is>
      </c>
      <c r="T92" s="32" t="n">
        <v>-3.41</v>
      </c>
      <c r="U92" s="32" t="n">
        <v>4.04</v>
      </c>
      <c r="V92" s="32" t="n">
        <v>7.71</v>
      </c>
      <c r="W92" s="32" t="n">
        <v>5.87</v>
      </c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IF(B93=0,"",RANK(B93,$B$2:$B$363,0))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OMAXE</t>
        </is>
      </c>
      <c r="D93" s="31" t="inlineStr">
        <is>
          <t>Omaxe Limited</t>
        </is>
      </c>
      <c r="E93" s="31" t="inlineStr">
        <is>
          <t>realty</t>
        </is>
      </c>
      <c r="F93" s="31" t="inlineStr">
        <is>
          <t>construction</t>
        </is>
      </c>
      <c r="G93" s="31" t="inlineStr">
        <is>
          <t>smallcap</t>
        </is>
      </c>
      <c r="H93" s="32" t="n">
        <v>2328.14</v>
      </c>
      <c r="I93" s="32" t="n">
        <v>136.38</v>
      </c>
      <c r="J93" s="32" t="n">
        <v>7.14</v>
      </c>
      <c r="K93" s="32" t="n">
        <v>5607789</v>
      </c>
      <c r="L93" s="31" t="n">
        <v>76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81.22</v>
      </c>
      <c r="P93" s="32" t="n">
        <v>35.54</v>
      </c>
      <c r="Q93" s="32" t="n">
        <v>97.29000000000001</v>
      </c>
      <c r="R93" s="31" t="inlineStr">
        <is>
          <t>Volume Spike &amp; Near 52W High Breakout</t>
        </is>
      </c>
      <c r="S93" s="31" t="inlineStr">
        <is>
          <t>Nifty Realty</t>
        </is>
      </c>
      <c r="T93" s="32" t="n">
        <v>-4.49</v>
      </c>
      <c r="U93" s="32" t="n">
        <v>44.82</v>
      </c>
      <c r="V93" s="32" t="n">
        <v>51.63</v>
      </c>
      <c r="W93" s="32" t="n">
        <v>23.51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Above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IF(B94=0,"",RANK(B94,$B$2:$B$363,0))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FCL</t>
        </is>
      </c>
      <c r="D94" s="31" t="inlineStr">
        <is>
          <t>Fineotex Chemical Limited</t>
        </is>
      </c>
      <c r="E94" s="31" t="inlineStr">
        <is>
          <t>chemicals</t>
        </is>
      </c>
      <c r="F94" s="31" t="inlineStr">
        <is>
          <t>chemicals</t>
        </is>
      </c>
      <c r="G94" s="31" t="inlineStr">
        <is>
          <t>midcap</t>
        </is>
      </c>
      <c r="H94" s="32" t="n">
        <v>5637.35</v>
      </c>
      <c r="I94" s="32" t="n">
        <v>51.51</v>
      </c>
      <c r="J94" s="32" t="n">
        <v>6.4</v>
      </c>
      <c r="K94" s="32" t="n">
        <v>20692198</v>
      </c>
      <c r="L94" s="31" t="n">
        <v>81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76.98999999999999</v>
      </c>
      <c r="P94" s="32" t="n">
        <v>49.12</v>
      </c>
      <c r="Q94" s="32" t="n">
        <v>38.56</v>
      </c>
      <c r="R94" s="31" t="inlineStr">
        <is>
          <t>Near 52W High Breakout</t>
        </is>
      </c>
      <c r="S94" s="31" t="inlineStr">
        <is>
          <t>Nifty 50</t>
        </is>
      </c>
      <c r="T94" s="32" t="n">
        <v>-3.41</v>
      </c>
      <c r="U94" s="32" t="n">
        <v>118.77</v>
      </c>
      <c r="V94" s="32" t="n">
        <v>126.49</v>
      </c>
      <c r="W94" s="32" t="n">
        <v>26.63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Above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IF(B95=0,"",RANK(B95,$B$2:$B$363,0))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RUBYMILLS</t>
        </is>
      </c>
      <c r="D95" s="31" t="inlineStr">
        <is>
          <t>The Ruby Mills Limited</t>
        </is>
      </c>
      <c r="E95" s="31" t="inlineStr">
        <is>
          <t>textiles</t>
        </is>
      </c>
      <c r="F95" s="31" t="inlineStr">
        <is>
          <t>textiles - composite</t>
        </is>
      </c>
      <c r="G95" s="31" t="inlineStr">
        <is>
          <t>smallcap</t>
        </is>
      </c>
      <c r="H95" s="32" t="n">
        <v>1367.86</v>
      </c>
      <c r="I95" s="32" t="n">
        <v>428.3</v>
      </c>
      <c r="J95" s="32" t="n">
        <v>4.71</v>
      </c>
      <c r="K95" s="32" t="n">
        <v>23319</v>
      </c>
      <c r="L95" s="31" t="n">
        <v>71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71.36</v>
      </c>
      <c r="P95" s="32" t="n">
        <v>55.12</v>
      </c>
      <c r="Q95" s="32" t="n">
        <v>308.83</v>
      </c>
      <c r="R95" s="31" t="inlineStr">
        <is>
          <t>Near 52W High Breakout</t>
        </is>
      </c>
      <c r="S95" s="31" t="inlineStr">
        <is>
          <t>Nifty 50</t>
        </is>
      </c>
      <c r="T95" s="32" t="n">
        <v>-3.41</v>
      </c>
      <c r="U95" s="32" t="n">
        <v>91.42</v>
      </c>
      <c r="V95" s="32" t="n">
        <v>98.17</v>
      </c>
      <c r="W95" s="32" t="n">
        <v>21.38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Less than 12%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IF(B96=0,"",RANK(B96,$B$2:$B$363,0))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PVP</t>
        </is>
      </c>
      <c r="D96" s="31" t="inlineStr">
        <is>
          <t>Pvp Ventures Limited</t>
        </is>
      </c>
      <c r="E96" s="31" t="inlineStr">
        <is>
          <t>realty</t>
        </is>
      </c>
      <c r="F96" s="31" t="inlineStr">
        <is>
          <t>construction</t>
        </is>
      </c>
      <c r="G96" s="31" t="inlineStr">
        <is>
          <t>smallcap</t>
        </is>
      </c>
      <c r="H96" s="32" t="n">
        <v>1690.02</v>
      </c>
      <c r="I96" s="32" t="n">
        <v>67.94</v>
      </c>
      <c r="J96" s="32" t="n">
        <v>4.68</v>
      </c>
      <c r="K96" s="32" t="n">
        <v>5145513</v>
      </c>
      <c r="L96" s="31" t="n">
        <v>96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83.3</v>
      </c>
      <c r="P96" s="32" t="n">
        <v>24.81</v>
      </c>
      <c r="Q96" s="32" t="n">
        <v>49.76</v>
      </c>
      <c r="R96" s="31" t="inlineStr">
        <is>
          <t>Volume Spike &amp; Near 52W High Breakout</t>
        </is>
      </c>
      <c r="S96" s="31" t="inlineStr">
        <is>
          <t>Nifty Realty</t>
        </is>
      </c>
      <c r="T96" s="32" t="n">
        <v>-4.49</v>
      </c>
      <c r="U96" s="32" t="n">
        <v>221.69</v>
      </c>
      <c r="V96" s="32" t="n">
        <v>236.81</v>
      </c>
      <c r="W96" s="32" t="n">
        <v>53.52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Above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IF(B97=0,"",RANK(B97,$B$2:$B$363,0))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KENNAMET</t>
        </is>
      </c>
      <c r="D97" s="31" t="inlineStr">
        <is>
          <t>Kennametal India Ltd</t>
        </is>
      </c>
      <c r="E97" s="31" t="inlineStr">
        <is>
          <t>industrials</t>
        </is>
      </c>
      <c r="F97" s="31" t="inlineStr">
        <is>
          <t>castings &amp; forgings</t>
        </is>
      </c>
      <c r="G97" s="31" t="inlineStr">
        <is>
          <t>midcap</t>
        </is>
      </c>
      <c r="H97" s="32" t="n">
        <v>9960.98</v>
      </c>
      <c r="I97" s="32" t="n">
        <v>4688.5</v>
      </c>
      <c r="J97" s="32" t="n">
        <v>3.45</v>
      </c>
      <c r="K97" s="32" t="n">
        <v>21846</v>
      </c>
      <c r="L97" s="31" t="n">
        <v>91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85.26000000000001</v>
      </c>
      <c r="P97" s="32" t="n">
        <v>47.04</v>
      </c>
      <c r="Q97" s="32" t="n">
        <v>3693.31</v>
      </c>
      <c r="R97" s="31" t="inlineStr">
        <is>
          <t>Near 52W High Breakout</t>
        </is>
      </c>
      <c r="S97" s="31" t="inlineStr">
        <is>
          <t>Nifty Infra</t>
        </is>
      </c>
      <c r="T97" s="32" t="n">
        <v>1.45</v>
      </c>
      <c r="U97" s="32" t="n">
        <v>107.3</v>
      </c>
      <c r="V97" s="32" t="n">
        <v>104.34</v>
      </c>
      <c r="W97" s="32" t="n">
        <v>38.82</v>
      </c>
      <c r="X97" s="31" t="inlineStr">
        <is>
          <t>Cyclical in an Upturn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Above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Blue sky scenario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IF(B98=0,"",RANK(B98,$B$2:$B$363,0))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CASTROLIND</t>
        </is>
      </c>
      <c r="D98" s="31" t="inlineStr">
        <is>
          <t>Castrol India Limited</t>
        </is>
      </c>
      <c r="E98" s="31" t="inlineStr">
        <is>
          <t>chemicals</t>
        </is>
      </c>
      <c r="F98" s="31" t="inlineStr">
        <is>
          <t>chemicals</t>
        </is>
      </c>
      <c r="G98" s="31" t="inlineStr">
        <is>
          <t>midcap</t>
        </is>
      </c>
      <c r="H98" s="32" t="n">
        <v>18439.22</v>
      </c>
      <c r="I98" s="32" t="n">
        <v>190.27</v>
      </c>
      <c r="J98" s="32" t="n">
        <v>2.07</v>
      </c>
      <c r="K98" s="32" t="n">
        <v>4231930</v>
      </c>
      <c r="L98" s="31" t="n">
        <v>8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67.81</v>
      </c>
      <c r="P98" s="32" t="n">
        <v>27.59</v>
      </c>
      <c r="Q98" s="32" t="n">
        <v>175.17</v>
      </c>
      <c r="R98" s="31" t="inlineStr">
        <is>
          <t>Near 52W High Breakout</t>
        </is>
      </c>
      <c r="S98" s="31" t="inlineStr">
        <is>
          <t>Nifty 50</t>
        </is>
      </c>
      <c r="T98" s="32" t="n">
        <v>-3.41</v>
      </c>
      <c r="U98" s="32" t="n">
        <v>2.29</v>
      </c>
      <c r="V98" s="32" t="n">
        <v>5.9</v>
      </c>
      <c r="W98" s="32" t="n">
        <v>1.95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No</t>
        </is>
      </c>
      <c r="BS98" s="31">
        <f>IF(BR98="NO",5,0)</f>
        <v/>
      </c>
      <c r="BT98" s="31" t="inlineStr">
        <is>
          <t>Less than 1.5</t>
        </is>
      </c>
      <c r="BU98" s="31">
        <f>IF(BT98="Above 2",0,IF(BT98="Between 1.5 to 2",5,IF(BT98="Less than 1.5",10,0)))</f>
        <v/>
      </c>
      <c r="BV98" s="31" t="inlineStr">
        <is>
          <t>Between 50% to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IF(B99=0,"",RANK(B99,$B$2:$B$363,0))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RSWM</t>
        </is>
      </c>
      <c r="D99" s="31" t="inlineStr">
        <is>
          <t>Rswm Limited</t>
        </is>
      </c>
      <c r="E99" s="31" t="inlineStr">
        <is>
          <t>textiles</t>
        </is>
      </c>
      <c r="F99" s="31" t="inlineStr">
        <is>
          <t>textiles - cotton/blended</t>
        </is>
      </c>
      <c r="G99" s="31" t="inlineStr">
        <is>
          <t>smallcap</t>
        </is>
      </c>
      <c r="H99" s="32" t="n">
        <v>1023.43</v>
      </c>
      <c r="I99" s="32" t="n">
        <v>220.63</v>
      </c>
      <c r="J99" s="32" t="n">
        <v>1.54</v>
      </c>
      <c r="K99" s="32" t="n">
        <v>67600</v>
      </c>
      <c r="L99" s="31" t="n">
        <v>42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64.73999999999999</v>
      </c>
      <c r="P99" s="32" t="n">
        <v>47.73</v>
      </c>
      <c r="Q99" s="32" t="n">
        <v>162.69</v>
      </c>
      <c r="R99" s="31" t="inlineStr">
        <is>
          <t>Near 52W High Breakout</t>
        </is>
      </c>
      <c r="S99" s="31" t="inlineStr">
        <is>
          <t>Nifty 50</t>
        </is>
      </c>
      <c r="T99" s="32" t="n">
        <v>-3.41</v>
      </c>
      <c r="U99" s="32" t="n">
        <v>43.39</v>
      </c>
      <c r="V99" s="32" t="n">
        <v>48.45</v>
      </c>
      <c r="W99" s="32" t="n">
        <v>10.76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Less than 1.5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More than 1.2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IF(B100=0,"",RANK(B100,$B$2:$B$363,0))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RACLGEAR</t>
        </is>
      </c>
      <c r="D100" s="31" t="inlineStr">
        <is>
          <t>RACL Geartech Ltd</t>
        </is>
      </c>
      <c r="E100" s="31" t="inlineStr">
        <is>
          <t>auto</t>
        </is>
      </c>
      <c r="F100" s="31" t="inlineStr">
        <is>
          <t>auto ancillaries</t>
        </is>
      </c>
      <c r="G100" s="31" t="inlineStr">
        <is>
          <t>smallcap</t>
        </is>
      </c>
      <c r="H100" s="32" t="n">
        <v>1837.53</v>
      </c>
      <c r="I100" s="32" t="n">
        <v>1576.1</v>
      </c>
      <c r="J100" s="32" t="n">
        <v>1.11</v>
      </c>
      <c r="K100" s="32" t="n">
        <v>47944</v>
      </c>
      <c r="L100" s="31" t="n">
        <v>57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62.48</v>
      </c>
      <c r="P100" s="32" t="n">
        <v>49.82</v>
      </c>
      <c r="Q100" s="32" t="n">
        <v>1114.33</v>
      </c>
      <c r="R100" s="31" t="inlineStr">
        <is>
          <t>Near 52W High Breakout</t>
        </is>
      </c>
      <c r="S100" s="31" t="inlineStr">
        <is>
          <t>Nifty Auto</t>
        </is>
      </c>
      <c r="T100" s="32" t="n">
        <v>16.52</v>
      </c>
      <c r="U100" s="32" t="n">
        <v>57.62</v>
      </c>
      <c r="V100" s="32" t="n">
        <v>35.27</v>
      </c>
      <c r="W100" s="32" t="n">
        <v>16.51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Above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Less than 12%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IF(B101=0,"",RANK(B101,$B$2:$B$363,0))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KPRMILL</t>
        </is>
      </c>
      <c r="D101" s="31" t="inlineStr">
        <is>
          <t>K.p.r. Mill Limited</t>
        </is>
      </c>
      <c r="E101" s="31" t="inlineStr">
        <is>
          <t>consumer discretionary</t>
        </is>
      </c>
      <c r="F101" s="31" t="inlineStr">
        <is>
          <t>textiles - products</t>
        </is>
      </c>
      <c r="G101" s="31" t="inlineStr">
        <is>
          <t>largecap</t>
        </is>
      </c>
      <c r="H101" s="32" t="n">
        <v>40176.82</v>
      </c>
      <c r="I101" s="32" t="n">
        <v>1186.3</v>
      </c>
      <c r="J101" s="32" t="n">
        <v>0.93</v>
      </c>
      <c r="K101" s="32" t="n">
        <v>199902</v>
      </c>
      <c r="L101" s="31" t="n">
        <v>25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63.55</v>
      </c>
      <c r="P101" s="32" t="n">
        <v>48.99</v>
      </c>
      <c r="Q101" s="32" t="n">
        <v>930.45</v>
      </c>
      <c r="R101" s="31" t="inlineStr">
        <is>
          <t>Near 52W High Breakout</t>
        </is>
      </c>
      <c r="S101" s="31" t="inlineStr">
        <is>
          <t>Nifty 50</t>
        </is>
      </c>
      <c r="T101" s="32" t="n">
        <v>-3.41</v>
      </c>
      <c r="U101" s="32" t="n">
        <v>20.52</v>
      </c>
      <c r="V101" s="32" t="n">
        <v>24.78</v>
      </c>
      <c r="W101" s="32" t="n">
        <v>6.64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Above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IF(B102=0,"",RANK(B102,$B$2:$B$363,0))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SPAL</t>
        </is>
      </c>
      <c r="D102" s="31" t="inlineStr">
        <is>
          <t>S. P. Apparels Limited</t>
        </is>
      </c>
      <c r="E102" s="31" t="inlineStr">
        <is>
          <t>consumer discretionary</t>
        </is>
      </c>
      <c r="F102" s="31" t="inlineStr">
        <is>
          <t>textiles - products</t>
        </is>
      </c>
      <c r="G102" s="31" t="inlineStr">
        <is>
          <t>smallcap</t>
        </is>
      </c>
      <c r="H102" s="32" t="n">
        <v>2671.76</v>
      </c>
      <c r="I102" s="32" t="n">
        <v>1071.1</v>
      </c>
      <c r="J102" s="32" t="n">
        <v>0.78</v>
      </c>
      <c r="K102" s="32" t="n">
        <v>64434</v>
      </c>
      <c r="L102" s="31" t="n">
        <v>54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62.89</v>
      </c>
      <c r="P102" s="32" t="n">
        <v>40.73</v>
      </c>
      <c r="Q102" s="32" t="n">
        <v>827.76</v>
      </c>
      <c r="R102" s="31" t="inlineStr">
        <is>
          <t>Earnings / Momentum Support</t>
        </is>
      </c>
      <c r="S102" s="31" t="inlineStr">
        <is>
          <t>Nifty 50</t>
        </is>
      </c>
      <c r="T102" s="32" t="n">
        <v>-3.41</v>
      </c>
      <c r="U102" s="32" t="n">
        <v>46.46</v>
      </c>
      <c r="V102" s="32" t="n">
        <v>51.63</v>
      </c>
      <c r="W102" s="32" t="n">
        <v>15.34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No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Between 12 to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Less than 1.5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IF(B103=0,"",RANK(B103,$B$2:$B$363,0))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PANACHE</t>
        </is>
      </c>
      <c r="D103" s="31" t="inlineStr">
        <is>
          <t>Panache Digilife Ltd</t>
        </is>
      </c>
      <c r="E103" s="31" t="inlineStr">
        <is>
          <t>i.t</t>
        </is>
      </c>
      <c r="F103" s="31" t="inlineStr">
        <is>
          <t>computers - hardware</t>
        </is>
      </c>
      <c r="G103" s="31" t="inlineStr">
        <is>
          <t>smallcap</t>
        </is>
      </c>
      <c r="H103" s="32" t="n">
        <v>840.74</v>
      </c>
      <c r="I103" s="32" t="n">
        <v>525</v>
      </c>
      <c r="J103" s="32" t="n">
        <v>0</v>
      </c>
      <c r="K103" s="32" t="n">
        <v>3723</v>
      </c>
      <c r="L103" s="31" t="n">
        <v>82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70.97</v>
      </c>
      <c r="P103" s="32" t="n">
        <v>32.7</v>
      </c>
      <c r="Q103" s="32" t="n">
        <v>408.45</v>
      </c>
      <c r="R103" s="31" t="inlineStr">
        <is>
          <t>Near 52W High Breakout</t>
        </is>
      </c>
      <c r="S103" s="31" t="inlineStr">
        <is>
          <t>Nifty IT</t>
        </is>
      </c>
      <c r="T103" s="32" t="n">
        <v>-11.38</v>
      </c>
      <c r="U103" s="32" t="n">
        <v>107.17</v>
      </c>
      <c r="V103" s="32" t="n">
        <v>133.76</v>
      </c>
      <c r="W103" s="32" t="n">
        <v>27.26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IF(B104=0,"",RANK(B104,$B$2:$B$363,0))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BAJAJ-AUTO</t>
        </is>
      </c>
      <c r="D104" s="31" t="inlineStr">
        <is>
          <t>Bajaj Auto Limited</t>
        </is>
      </c>
      <c r="E104" s="31" t="inlineStr">
        <is>
          <t>auto</t>
        </is>
      </c>
      <c r="F104" s="31" t="inlineStr">
        <is>
          <t>automobiles - scooters and 3 - wheelers</t>
        </is>
      </c>
      <c r="G104" s="31" t="inlineStr">
        <is>
          <t>largecap</t>
        </is>
      </c>
      <c r="H104" s="32" t="n">
        <v>333161.42</v>
      </c>
      <c r="I104" s="32" t="n">
        <v>11919</v>
      </c>
      <c r="J104" s="32" t="n">
        <v>-0.01</v>
      </c>
      <c r="K104" s="32" t="n">
        <v>154199</v>
      </c>
      <c r="L104" s="31" t="n">
        <v>50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75.09</v>
      </c>
      <c r="P104" s="32" t="n">
        <v>26.51</v>
      </c>
      <c r="Q104" s="32" t="n">
        <v>10473.05</v>
      </c>
      <c r="R104" s="31" t="inlineStr">
        <is>
          <t>Near 52W High Breakout</t>
        </is>
      </c>
      <c r="S104" s="31" t="inlineStr">
        <is>
          <t>Nifty Auto</t>
        </is>
      </c>
      <c r="T104" s="32" t="n">
        <v>16.52</v>
      </c>
      <c r="U104" s="32" t="n">
        <v>49.67</v>
      </c>
      <c r="V104" s="32" t="n">
        <v>28.45</v>
      </c>
      <c r="W104" s="32" t="n">
        <v>14.05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Above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Less than 1.5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IF(B105=0,"",RANK(B105,$B$2:$B$363,0))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VRLLOG</t>
        </is>
      </c>
      <c r="D105" s="31" t="inlineStr">
        <is>
          <t>Vrl Logistics Limited</t>
        </is>
      </c>
      <c r="E105" s="31" t="inlineStr">
        <is>
          <t>transportation</t>
        </is>
      </c>
      <c r="F105" s="31" t="inlineStr">
        <is>
          <t>miscellaneous</t>
        </is>
      </c>
      <c r="G105" s="31" t="inlineStr">
        <is>
          <t>midcap</t>
        </is>
      </c>
      <c r="H105" s="32" t="n">
        <v>5210.5</v>
      </c>
      <c r="I105" s="32" t="n">
        <v>297.7</v>
      </c>
      <c r="J105" s="32" t="n">
        <v>-0.05</v>
      </c>
      <c r="K105" s="32" t="n">
        <v>133531</v>
      </c>
      <c r="L105" s="31" t="n">
        <v>35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65.51000000000001</v>
      </c>
      <c r="P105" s="32" t="n">
        <v>22.36</v>
      </c>
      <c r="Q105" s="32" t="n">
        <v>245.19</v>
      </c>
      <c r="R105" s="31" t="inlineStr">
        <is>
          <t>Near 52W High Breakout</t>
        </is>
      </c>
      <c r="S105" s="31" t="inlineStr">
        <is>
          <t>Nifty 50</t>
        </is>
      </c>
      <c r="T105" s="32" t="n">
        <v>-3.41</v>
      </c>
      <c r="U105" s="32" t="n">
        <v>14.67</v>
      </c>
      <c r="V105" s="32" t="n">
        <v>18.72</v>
      </c>
      <c r="W105" s="32" t="n">
        <v>8.92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No</t>
        </is>
      </c>
      <c r="BS105" s="31">
        <f>IF(BR105="NO",5,0)</f>
        <v/>
      </c>
      <c r="BT105" s="31" t="inlineStr">
        <is>
          <t>Less than 1.5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Between 0.7 to 1.2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IF(B106=0,"",RANK(B106,$B$2:$B$363,0))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NITINSPIN</t>
        </is>
      </c>
      <c r="D106" s="31" t="inlineStr">
        <is>
          <t>Nitin Spinners Limited</t>
        </is>
      </c>
      <c r="E106" s="31" t="inlineStr">
        <is>
          <t>textiles</t>
        </is>
      </c>
      <c r="F106" s="31" t="inlineStr">
        <is>
          <t>textiles - cotton/blended</t>
        </is>
      </c>
      <c r="G106" s="31" t="inlineStr">
        <is>
          <t>smallcap</t>
        </is>
      </c>
      <c r="H106" s="32" t="n">
        <v>3599.49</v>
      </c>
      <c r="I106" s="32" t="n">
        <v>639.05</v>
      </c>
      <c r="J106" s="32" t="n">
        <v>-0.19</v>
      </c>
      <c r="K106" s="32" t="n">
        <v>63257</v>
      </c>
      <c r="L106" s="31" t="n">
        <v>65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75.08</v>
      </c>
      <c r="P106" s="32" t="n">
        <v>65.5</v>
      </c>
      <c r="Q106" s="32" t="n">
        <v>503.29</v>
      </c>
      <c r="R106" s="31" t="inlineStr">
        <is>
          <t>Near 52W High Breakout</t>
        </is>
      </c>
      <c r="S106" s="31" t="inlineStr">
        <is>
          <t>Nifty 50</t>
        </is>
      </c>
      <c r="T106" s="32" t="n">
        <v>-3.41</v>
      </c>
      <c r="U106" s="32" t="n">
        <v>93.68000000000001</v>
      </c>
      <c r="V106" s="32" t="n">
        <v>100.52</v>
      </c>
      <c r="W106" s="32" t="n">
        <v>19.14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Above 40</t>
        </is>
      </c>
      <c r="AY106" s="31">
        <f>IF(AX106="Above 40",20,IF(AX106="20 to 40",10,IF(AX106="0 to 20",-5,0)))</f>
        <v/>
      </c>
      <c r="AZ106" s="31" t="inlineStr">
        <is>
          <t>Above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Less than 1.5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Between 0.7 to 1.2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IF(B107=0,"",RANK(B107,$B$2:$B$363,0))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NAHARINDUS</t>
        </is>
      </c>
      <c r="D107" s="31" t="inlineStr">
        <is>
          <t>Nahar Industrial Enterprises Limited</t>
        </is>
      </c>
      <c r="E107" s="31" t="inlineStr">
        <is>
          <t>textiles</t>
        </is>
      </c>
      <c r="F107" s="31" t="inlineStr">
        <is>
          <t>textiles - cotton/blended</t>
        </is>
      </c>
      <c r="G107" s="31" t="inlineStr">
        <is>
          <t>smallcap</t>
        </is>
      </c>
      <c r="H107" s="32" t="n">
        <v>596.0599999999999</v>
      </c>
      <c r="I107" s="32" t="n">
        <v>137.63</v>
      </c>
      <c r="J107" s="32" t="n">
        <v>-0.24</v>
      </c>
      <c r="K107" s="32" t="n">
        <v>17477</v>
      </c>
      <c r="L107" s="31" t="n">
        <v>31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67.8</v>
      </c>
      <c r="P107" s="32" t="n">
        <v>28.27</v>
      </c>
      <c r="Q107" s="32" t="n">
        <v>104.76</v>
      </c>
      <c r="R107" s="31" t="inlineStr">
        <is>
          <t>Near 52W High Breakout</t>
        </is>
      </c>
      <c r="S107" s="31" t="inlineStr">
        <is>
          <t>Nifty 50</t>
        </is>
      </c>
      <c r="T107" s="32" t="n">
        <v>-3.41</v>
      </c>
      <c r="U107" s="32" t="n">
        <v>21.73</v>
      </c>
      <c r="V107" s="32" t="n">
        <v>26.03</v>
      </c>
      <c r="W107" s="32" t="n">
        <v>8.109999999999999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Between 1.5 to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IF(B108=0,"",RANK(B108,$B$2:$B$363,0))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COMSYN</t>
        </is>
      </c>
      <c r="D108" s="31" t="inlineStr">
        <is>
          <t>Commercial Syn Bags Ltd</t>
        </is>
      </c>
      <c r="E108" s="31" t="inlineStr">
        <is>
          <t>industrials</t>
        </is>
      </c>
      <c r="F108" s="31" t="inlineStr">
        <is>
          <t>packaging</t>
        </is>
      </c>
      <c r="G108" s="31" t="inlineStr">
        <is>
          <t>smallcap</t>
        </is>
      </c>
      <c r="H108" s="32" t="n">
        <v>1221.07</v>
      </c>
      <c r="I108" s="32" t="n">
        <v>301.3</v>
      </c>
      <c r="J108" s="32" t="n">
        <v>-0.46</v>
      </c>
      <c r="K108" s="32" t="n">
        <v>108742</v>
      </c>
      <c r="L108" s="31" t="n">
        <v>91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80.98</v>
      </c>
      <c r="P108" s="32" t="n">
        <v>68.17</v>
      </c>
      <c r="Q108" s="32" t="n">
        <v>226.73</v>
      </c>
      <c r="R108" s="31" t="inlineStr">
        <is>
          <t>Near 52W High Breakout</t>
        </is>
      </c>
      <c r="S108" s="31" t="inlineStr">
        <is>
          <t>Nifty 50</t>
        </is>
      </c>
      <c r="T108" s="32" t="n">
        <v>-3.41</v>
      </c>
      <c r="U108" s="32" t="n">
        <v>95.63</v>
      </c>
      <c r="V108" s="32" t="n">
        <v>102.54</v>
      </c>
      <c r="W108" s="32" t="n">
        <v>38.81</v>
      </c>
      <c r="X108" s="31" t="inlineStr">
        <is>
          <t>Cyclical in an Upturn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Above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Less than 1.5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Between 0.7 to 1.2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IF(B109=0,"",RANK(B109,$B$2:$B$363,0))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SPORTKING</t>
        </is>
      </c>
      <c r="D109" s="31" t="inlineStr">
        <is>
          <t>Sportking India Ltd</t>
        </is>
      </c>
      <c r="E109" s="31" t="inlineStr">
        <is>
          <t>textiles</t>
        </is>
      </c>
      <c r="F109" s="31" t="inlineStr">
        <is>
          <t>textiles - spinning - synthetic / blended</t>
        </is>
      </c>
      <c r="G109" s="31" t="inlineStr">
        <is>
          <t>smallcap</t>
        </is>
      </c>
      <c r="H109" s="32" t="n">
        <v>2930.28</v>
      </c>
      <c r="I109" s="32" t="n">
        <v>229.22</v>
      </c>
      <c r="J109" s="32" t="n">
        <v>-0.6</v>
      </c>
      <c r="K109" s="32" t="n">
        <v>266293</v>
      </c>
      <c r="L109" s="31" t="n">
        <v>79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75.01000000000001</v>
      </c>
      <c r="P109" s="32" t="n">
        <v>73.13</v>
      </c>
      <c r="Q109" s="32" t="n">
        <v>169.24</v>
      </c>
      <c r="R109" s="31" t="inlineStr">
        <is>
          <t>Near 52W High Breakout</t>
        </is>
      </c>
      <c r="S109" s="31" t="inlineStr">
        <is>
          <t>Nifty 50</t>
        </is>
      </c>
      <c r="T109" s="32" t="n">
        <v>-3.41</v>
      </c>
      <c r="U109" s="32" t="n">
        <v>111.75</v>
      </c>
      <c r="V109" s="32" t="n">
        <v>119.23</v>
      </c>
      <c r="W109" s="32" t="n">
        <v>24.85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Above 40</t>
        </is>
      </c>
      <c r="AY109" s="31">
        <f>IF(AX109="Above 40",20,IF(AX109="20 to 40",10,IF(AX109="0 to 20",-5,0)))</f>
        <v/>
      </c>
      <c r="AZ109" s="31" t="inlineStr">
        <is>
          <t>Above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IF(B110=0,"",RANK(B110,$B$2:$B$363,0))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GHCLTEXTIL</t>
        </is>
      </c>
      <c r="D110" s="31" t="inlineStr">
        <is>
          <t>GHCL Textiles Ltd</t>
        </is>
      </c>
      <c r="E110" s="31" t="inlineStr">
        <is>
          <t>textiles</t>
        </is>
      </c>
      <c r="F110" s="31" t="inlineStr">
        <is>
          <t>textiles - spinning - synthetic / blended</t>
        </is>
      </c>
      <c r="G110" s="31" t="inlineStr">
        <is>
          <t>smallcap</t>
        </is>
      </c>
      <c r="H110" s="32" t="n">
        <v>1319.28</v>
      </c>
      <c r="I110" s="32" t="n">
        <v>136.72</v>
      </c>
      <c r="J110" s="32" t="n">
        <v>-0.9399999999999999</v>
      </c>
      <c r="K110" s="32" t="n">
        <v>424691</v>
      </c>
      <c r="L110" s="31" t="n">
        <v>73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77.22</v>
      </c>
      <c r="P110" s="32" t="n">
        <v>42.9</v>
      </c>
      <c r="Q110" s="32" t="n">
        <v>106.58</v>
      </c>
      <c r="R110" s="31" t="inlineStr">
        <is>
          <t>Near 52W High Breakout</t>
        </is>
      </c>
      <c r="S110" s="31" t="inlineStr">
        <is>
          <t>Nifty 50</t>
        </is>
      </c>
      <c r="T110" s="32" t="n">
        <v>-3.41</v>
      </c>
      <c r="U110" s="32" t="n">
        <v>79.70999999999999</v>
      </c>
      <c r="V110" s="32" t="n">
        <v>86.06</v>
      </c>
      <c r="W110" s="32" t="n">
        <v>21.92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Above 40</t>
        </is>
      </c>
      <c r="AY110" s="31">
        <f>IF(AX110="Above 40",20,IF(AX110="20 to 40",10,IF(AX110="0 to 20",-5,0)))</f>
        <v/>
      </c>
      <c r="AZ110" s="31" t="inlineStr">
        <is>
          <t>Above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Blue sky scenario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IF(B111=0,"",RANK(B111,$B$2:$B$363,0))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AVALON</t>
        </is>
      </c>
      <c r="D111" s="31" t="inlineStr">
        <is>
          <t>Avalon Technologies Ltd</t>
        </is>
      </c>
      <c r="E111" s="31" t="inlineStr">
        <is>
          <t>consumer discretionary</t>
        </is>
      </c>
      <c r="F111" s="31" t="inlineStr">
        <is>
          <t>electronics - components</t>
        </is>
      </c>
      <c r="G111" s="31" t="inlineStr">
        <is>
          <t>midcap</t>
        </is>
      </c>
      <c r="H111" s="32" t="n">
        <v>15023.29</v>
      </c>
      <c r="I111" s="32" t="n">
        <v>2196.6</v>
      </c>
      <c r="J111" s="32" t="n">
        <v>-2.31</v>
      </c>
      <c r="K111" s="32" t="n">
        <v>683759</v>
      </c>
      <c r="L111" s="31" t="n">
        <v>85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80.55</v>
      </c>
      <c r="P111" s="32" t="n">
        <v>59.79</v>
      </c>
      <c r="Q111" s="32" t="n">
        <v>1685.24</v>
      </c>
      <c r="R111" s="31" t="inlineStr">
        <is>
          <t>Near 52W High Breakout</t>
        </is>
      </c>
      <c r="S111" s="31" t="inlineStr">
        <is>
          <t>Nifty 50</t>
        </is>
      </c>
      <c r="T111" s="32" t="n">
        <v>-3.41</v>
      </c>
      <c r="U111" s="32" t="n">
        <v>138</v>
      </c>
      <c r="V111" s="32" t="n">
        <v>146.4</v>
      </c>
      <c r="W111" s="32" t="n">
        <v>29.47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Above 40</t>
        </is>
      </c>
      <c r="AY111" s="31">
        <f>IF(AX111="Above 40",20,IF(AX111="20 to 40",10,IF(AX111="0 to 20",-5,0)))</f>
        <v/>
      </c>
      <c r="AZ111" s="31" t="inlineStr">
        <is>
          <t>Above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Yes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IF(B112=0,"",RANK(B112,$B$2:$B$363,0))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HAPPYFORGE</t>
        </is>
      </c>
      <c r="D112" s="31" t="inlineStr">
        <is>
          <t>Happy Forgings Ltd</t>
        </is>
      </c>
      <c r="E112" s="31" t="inlineStr">
        <is>
          <t>industrials</t>
        </is>
      </c>
      <c r="F112" s="31" t="inlineStr">
        <is>
          <t>castings &amp; forgings</t>
        </is>
      </c>
      <c r="G112" s="31" t="inlineStr">
        <is>
          <t>largecap</t>
        </is>
      </c>
      <c r="H112" s="32" t="n">
        <v>21654.26</v>
      </c>
      <c r="I112" s="32" t="n">
        <v>2238.5</v>
      </c>
      <c r="J112" s="32" t="n">
        <v>-2.44</v>
      </c>
      <c r="K112" s="32" t="n">
        <v>69563</v>
      </c>
      <c r="L112" s="31" t="n">
        <v>89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82.73</v>
      </c>
      <c r="P112" s="32" t="n">
        <v>62.02</v>
      </c>
      <c r="Q112" s="32" t="n">
        <v>1863.02</v>
      </c>
      <c r="R112" s="31" t="inlineStr">
        <is>
          <t>Near 52W High Breakout</t>
        </is>
      </c>
      <c r="S112" s="31" t="inlineStr">
        <is>
          <t>Nifty 50</t>
        </is>
      </c>
      <c r="T112" s="32" t="n">
        <v>-3.41</v>
      </c>
      <c r="U112" s="32" t="n">
        <v>153.33</v>
      </c>
      <c r="V112" s="32" t="n">
        <v>162.27</v>
      </c>
      <c r="W112" s="32" t="n">
        <v>34.41</v>
      </c>
      <c r="X112" s="31" t="inlineStr">
        <is>
          <t>Cyclical in an Upturn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Above 40</t>
        </is>
      </c>
      <c r="AY112" s="31">
        <f>IF(AX112="Above 40",20,IF(AX112="20 to 40",10,IF(AX112="0 to 20",-5,0)))</f>
        <v/>
      </c>
      <c r="AZ112" s="31" t="inlineStr">
        <is>
          <t>Above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Yes</t>
        </is>
      </c>
      <c r="BS112" s="31">
        <f>IF(BR112="NO",5,0)</f>
        <v/>
      </c>
      <c r="BT112" s="31" t="inlineStr">
        <is>
          <t>Between 1.5 to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IF(B113=0,"",RANK(B113,$B$2:$B$363,0))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DYCL</t>
        </is>
      </c>
      <c r="D113" s="31" t="inlineStr">
        <is>
          <t>Dynamic Cables Ltd</t>
        </is>
      </c>
      <c r="E113" s="31" t="inlineStr">
        <is>
          <t>industrials</t>
        </is>
      </c>
      <c r="F113" s="31" t="inlineStr">
        <is>
          <t>cables - power</t>
        </is>
      </c>
      <c r="G113" s="31" t="inlineStr">
        <is>
          <t>smallcap</t>
        </is>
      </c>
      <c r="H113" s="32" t="n">
        <v>2637.6</v>
      </c>
      <c r="I113" s="32" t="n">
        <v>487.9</v>
      </c>
      <c r="J113" s="32" t="n">
        <v>-10.36</v>
      </c>
      <c r="K113" s="32" t="n">
        <v>1789647</v>
      </c>
      <c r="L113" s="31" t="n">
        <v>50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71.15000000000001</v>
      </c>
      <c r="P113" s="32" t="n">
        <v>32.63</v>
      </c>
      <c r="Q113" s="32" t="n">
        <v>345.16</v>
      </c>
      <c r="R113" s="31" t="inlineStr">
        <is>
          <t>Volume Spike &amp; Near 52W High Breakout</t>
        </is>
      </c>
      <c r="S113" s="31" t="inlineStr">
        <is>
          <t>Nifty Energy</t>
        </is>
      </c>
      <c r="T113" s="32" t="n">
        <v>7.99</v>
      </c>
      <c r="U113" s="32" t="n">
        <v>19.5</v>
      </c>
      <c r="V113" s="32" t="n">
        <v>10.66</v>
      </c>
      <c r="W113" s="32" t="n">
        <v>14.06</v>
      </c>
      <c r="X113" s="31" t="inlineStr">
        <is>
          <t>Cyclical in an Upturn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Less than 1.5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IF(B114=0,"",RANK(B114,$B$2:$B$363,0))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63MOONS</t>
        </is>
      </c>
      <c r="D114" s="31" t="inlineStr">
        <is>
          <t>63 Moons Technologies Ltd</t>
        </is>
      </c>
      <c r="E114" s="31" t="inlineStr">
        <is>
          <t>i.t</t>
        </is>
      </c>
      <c r="F114" s="31" t="inlineStr">
        <is>
          <t>computers - software - medium / small</t>
        </is>
      </c>
      <c r="G114" s="31" t="inlineStr">
        <is>
          <t>smallcap</t>
        </is>
      </c>
      <c r="H114" s="32" t="n">
        <v>3922.44</v>
      </c>
      <c r="I114" s="32" t="n">
        <v>876.5</v>
      </c>
      <c r="J114" s="32" t="n">
        <v>2.97</v>
      </c>
      <c r="K114" s="32" t="n">
        <v>1136718</v>
      </c>
      <c r="L114" s="31" t="n">
        <v>36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61.27</v>
      </c>
      <c r="P114" s="32" t="n">
        <v>26.3</v>
      </c>
      <c r="Q114" s="32" t="n">
        <v>669.71</v>
      </c>
      <c r="R114" s="31" t="inlineStr">
        <is>
          <t>Earnings / Momentum Support</t>
        </is>
      </c>
      <c r="S114" s="31" t="inlineStr">
        <is>
          <t>Nifty IT</t>
        </is>
      </c>
      <c r="T114" s="32" t="n">
        <v>-11.38</v>
      </c>
      <c r="U114" s="32" t="n">
        <v>-4.96</v>
      </c>
      <c r="V114" s="32" t="n">
        <v>7.25</v>
      </c>
      <c r="W114" s="32" t="n">
        <v>9.119999999999999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No</t>
        </is>
      </c>
      <c r="AQ114" s="31">
        <f>IF(AP114="Yes",10,0)</f>
        <v/>
      </c>
      <c r="AR114" s="31" t="inlineStr">
        <is>
          <t>Higher Annuity, Lower One Time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Less than 1.5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IF(B115=0,"",RANK(B115,$B$2:$B$363,0))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NOVARTIND</t>
        </is>
      </c>
      <c r="D115" s="31" t="inlineStr">
        <is>
          <t>Novartis India Ltd</t>
        </is>
      </c>
      <c r="E115" s="31" t="inlineStr">
        <is>
          <t>healthcare</t>
        </is>
      </c>
      <c r="F115" s="31" t="inlineStr">
        <is>
          <t>pharmaceuticals - multinational</t>
        </is>
      </c>
      <c r="G115" s="31" t="inlineStr">
        <is>
          <t>smallcap</t>
        </is>
      </c>
      <c r="H115" s="32" t="n">
        <v>3985.34</v>
      </c>
      <c r="I115" s="32" t="n">
        <v>1646.7</v>
      </c>
      <c r="J115" s="32" t="n">
        <v>2.02</v>
      </c>
      <c r="K115" s="32" t="n">
        <v>22436</v>
      </c>
      <c r="L115" s="31" t="n">
        <v>62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65.23999999999999</v>
      </c>
      <c r="P115" s="32" t="n">
        <v>65.41</v>
      </c>
      <c r="Q115" s="32" t="n">
        <v>1219.78</v>
      </c>
      <c r="R115" s="31" t="inlineStr">
        <is>
          <t>Near 52W High Breakout</t>
        </is>
      </c>
      <c r="S115" s="31" t="inlineStr">
        <is>
          <t>Nifty Pharma</t>
        </is>
      </c>
      <c r="T115" s="32" t="n">
        <v>20.77</v>
      </c>
      <c r="U115" s="32" t="n">
        <v>75.58</v>
      </c>
      <c r="V115" s="32" t="n">
        <v>45.39</v>
      </c>
      <c r="W115" s="32" t="n">
        <v>17.55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Yes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Annuity, Lower One Time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Above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Between 12 to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IF(B116=0,"",RANK(B116,$B$2:$B$363,0))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3" t="inlineStr">
        <is>
          <t>UNICHEMLAB</t>
        </is>
      </c>
      <c r="D116" s="33" t="inlineStr">
        <is>
          <t>Unichem Laboratories Limited</t>
        </is>
      </c>
      <c r="E116" s="31" t="inlineStr">
        <is>
          <t>healthcare</t>
        </is>
      </c>
      <c r="F116" s="31" t="inlineStr">
        <is>
          <t>pharmaceuticals - indian - bulk drugs &amp; formln</t>
        </is>
      </c>
      <c r="G116" s="31" t="inlineStr">
        <is>
          <t>smallcap</t>
        </is>
      </c>
      <c r="H116" s="32" t="n">
        <v>3857.88</v>
      </c>
      <c r="I116" s="32" t="n">
        <v>550.2</v>
      </c>
      <c r="J116" s="32" t="n">
        <v>0.41</v>
      </c>
      <c r="K116" s="32" t="n">
        <v>56415</v>
      </c>
      <c r="L116" s="31" t="n">
        <v>55</v>
      </c>
      <c r="M116" s="31" t="inlineStr">
        <is>
          <t>Underperforming</t>
        </is>
      </c>
      <c r="N116" s="32">
        <f>IF(M116="Underperforming",-5,IF(L116&gt;=95,15,IF(L116&gt;=90,10,IF(L116&gt;=80,5,0))))</f>
        <v/>
      </c>
      <c r="O116" s="32" t="n">
        <v>59.72</v>
      </c>
      <c r="P116" s="32" t="n">
        <v>46.35</v>
      </c>
      <c r="Q116" s="32" t="n">
        <v>456.48</v>
      </c>
      <c r="R116" s="31" t="inlineStr">
        <is>
          <t>Earnings / Momentum Support</t>
        </is>
      </c>
      <c r="S116" s="31" t="inlineStr">
        <is>
          <t>Nifty Pharma</t>
        </is>
      </c>
      <c r="T116" s="32" t="n">
        <v>20.77</v>
      </c>
      <c r="U116" s="32" t="n">
        <v>10.04</v>
      </c>
      <c r="V116" s="32" t="n">
        <v>-8.880000000000001</v>
      </c>
      <c r="W116" s="32" t="n">
        <v>15.44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Yes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No</t>
        </is>
      </c>
      <c r="AQ116" s="31">
        <f>IF(AP116="Yes",10,0)</f>
        <v/>
      </c>
      <c r="AR116" s="31" t="inlineStr">
        <is>
          <t>Higher Annuity, Lower One Time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Above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No</t>
        </is>
      </c>
      <c r="BS116" s="31">
        <f>IF(BR116="NO",5,0)</f>
        <v/>
      </c>
      <c r="BT116" s="31" t="inlineStr">
        <is>
          <t>Less than 1.5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IF(B117=0,"",RANK(B117,$B$2:$B$363,0))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MAWANASUG</t>
        </is>
      </c>
      <c r="D117" s="31" t="inlineStr">
        <is>
          <t>Mawana Sugars Limited</t>
        </is>
      </c>
      <c r="E117" s="31" t="inlineStr">
        <is>
          <t>fmcg</t>
        </is>
      </c>
      <c r="F117" s="31" t="inlineStr">
        <is>
          <t>sugar</t>
        </is>
      </c>
      <c r="G117" s="31" t="inlineStr">
        <is>
          <t>smallcap</t>
        </is>
      </c>
      <c r="H117" s="32" t="n">
        <v>572.16</v>
      </c>
      <c r="I117" s="32" t="n">
        <v>145.43</v>
      </c>
      <c r="J117" s="32" t="n">
        <v>-0.57</v>
      </c>
      <c r="K117" s="32" t="n">
        <v>186868</v>
      </c>
      <c r="L117" s="31" t="n">
        <v>70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74.04000000000001</v>
      </c>
      <c r="P117" s="32" t="n">
        <v>39.26</v>
      </c>
      <c r="Q117" s="32" t="n">
        <v>114</v>
      </c>
      <c r="R117" s="31" t="inlineStr">
        <is>
          <t>Near 52W High Breakout</t>
        </is>
      </c>
      <c r="S117" s="31" t="inlineStr">
        <is>
          <t>Nifty FMCG</t>
        </is>
      </c>
      <c r="T117" s="32" t="n">
        <v>-15.92</v>
      </c>
      <c r="U117" s="32" t="n">
        <v>55.75</v>
      </c>
      <c r="V117" s="32" t="n">
        <v>85.23</v>
      </c>
      <c r="W117" s="32" t="n">
        <v>20.57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B2C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Annuity, Lower One Time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Between 0.7 to 1.2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IF(B118=0,"",RANK(B118,$B$2:$B$363,0))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KRBL</t>
        </is>
      </c>
      <c r="D118" s="31" t="inlineStr">
        <is>
          <t>Krbl Limited</t>
        </is>
      </c>
      <c r="E118" s="31" t="inlineStr">
        <is>
          <t>fmcg</t>
        </is>
      </c>
      <c r="F118" s="31" t="inlineStr">
        <is>
          <t>food - processing - indian</t>
        </is>
      </c>
      <c r="G118" s="31" t="inlineStr">
        <is>
          <t>midcap</t>
        </is>
      </c>
      <c r="H118" s="32" t="n">
        <v>9725.530000000001</v>
      </c>
      <c r="I118" s="32" t="n">
        <v>421.95</v>
      </c>
      <c r="J118" s="32" t="n">
        <v>-0.6899999999999999</v>
      </c>
      <c r="K118" s="32" t="n">
        <v>313910</v>
      </c>
      <c r="L118" s="31" t="n">
        <v>21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63.42</v>
      </c>
      <c r="P118" s="32" t="n">
        <v>12.5</v>
      </c>
      <c r="Q118" s="32" t="n">
        <v>354.08</v>
      </c>
      <c r="R118" s="31" t="inlineStr">
        <is>
          <t>Near 52W High Breakout</t>
        </is>
      </c>
      <c r="S118" s="31" t="inlineStr">
        <is>
          <t>Nifty FMCG</t>
        </is>
      </c>
      <c r="T118" s="32" t="n">
        <v>-15.92</v>
      </c>
      <c r="U118" s="32" t="n">
        <v>9.1</v>
      </c>
      <c r="V118" s="32" t="n">
        <v>29.75</v>
      </c>
      <c r="W118" s="32" t="n">
        <v>5.79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B2C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Annuity, Lower One Time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0 to 20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IF(B119=0,"",RANK(B119,$B$2:$B$363,0))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TASTYBITE</t>
        </is>
      </c>
      <c r="D119" s="31" t="inlineStr">
        <is>
          <t>Tasty Bite Eatables Ltd</t>
        </is>
      </c>
      <c r="E119" s="31" t="inlineStr">
        <is>
          <t>fmcg</t>
        </is>
      </c>
      <c r="F119" s="31" t="inlineStr">
        <is>
          <t>food - processing - indian</t>
        </is>
      </c>
      <c r="G119" s="31" t="inlineStr">
        <is>
          <t>smallcap</t>
        </is>
      </c>
      <c r="H119" s="32" t="n">
        <v>2579.34</v>
      </c>
      <c r="I119" s="32" t="n">
        <v>9982</v>
      </c>
      <c r="J119" s="32" t="n">
        <v>-0.7</v>
      </c>
      <c r="K119" s="32" t="n">
        <v>1301</v>
      </c>
      <c r="L119" s="31" t="n">
        <v>38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69.73999999999999</v>
      </c>
      <c r="P119" s="32" t="n">
        <v>49.29</v>
      </c>
      <c r="Q119" s="32" t="n">
        <v>7958.21</v>
      </c>
      <c r="R119" s="31" t="inlineStr">
        <is>
          <t>Near 52W High Breakout</t>
        </is>
      </c>
      <c r="S119" s="31" t="inlineStr">
        <is>
          <t>Nifty FMCG</t>
        </is>
      </c>
      <c r="T119" s="32" t="n">
        <v>-15.92</v>
      </c>
      <c r="U119" s="32" t="n">
        <v>-7.33</v>
      </c>
      <c r="V119" s="32" t="n">
        <v>10.21</v>
      </c>
      <c r="W119" s="32" t="n">
        <v>9.52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B2C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Annuity, Lower One Time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Above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Less than 12%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IF(B120=0,"",RANK(B120,$B$2:$B$363,0))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RGL</t>
        </is>
      </c>
      <c r="D120" s="31" t="inlineStr">
        <is>
          <t>Renaissance Global Ltd</t>
        </is>
      </c>
      <c r="E120" s="31" t="inlineStr">
        <is>
          <t>consumer discretionary</t>
        </is>
      </c>
      <c r="F120" s="31" t="inlineStr">
        <is>
          <t>diamond cutting / jewellery</t>
        </is>
      </c>
      <c r="G120" s="31" t="inlineStr">
        <is>
          <t>smallcap</t>
        </is>
      </c>
      <c r="H120" s="32" t="n">
        <v>1472.24</v>
      </c>
      <c r="I120" s="32" t="n">
        <v>149.26</v>
      </c>
      <c r="J120" s="32" t="n">
        <v>8.85</v>
      </c>
      <c r="K120" s="32" t="n">
        <v>3035236</v>
      </c>
      <c r="L120" s="31" t="n">
        <v>59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72.29000000000001</v>
      </c>
      <c r="P120" s="32" t="n">
        <v>21.48</v>
      </c>
      <c r="Q120" s="32" t="n">
        <v>110.78</v>
      </c>
      <c r="R120" s="31" t="inlineStr">
        <is>
          <t>Near 52W High Breakout</t>
        </is>
      </c>
      <c r="S120" s="31" t="inlineStr">
        <is>
          <t>Nifty 50</t>
        </is>
      </c>
      <c r="T120" s="32" t="n">
        <v>-3.41</v>
      </c>
      <c r="U120" s="32" t="n">
        <v>31.88</v>
      </c>
      <c r="V120" s="32" t="n">
        <v>36.53</v>
      </c>
      <c r="W120" s="32" t="n">
        <v>17.21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IF(B121=0,"",RANK(B121,$B$2:$B$363,0))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STLTECH</t>
        </is>
      </c>
      <c r="D121" s="31" t="inlineStr">
        <is>
          <t>Sterlite Technologies Limited</t>
        </is>
      </c>
      <c r="E121" s="31" t="inlineStr">
        <is>
          <t>industrials</t>
        </is>
      </c>
      <c r="F121" s="31" t="inlineStr">
        <is>
          <t>cables - telephone</t>
        </is>
      </c>
      <c r="G121" s="31" t="inlineStr">
        <is>
          <t>largecap</t>
        </is>
      </c>
      <c r="H121" s="32" t="n">
        <v>36653.64</v>
      </c>
      <c r="I121" s="32" t="n">
        <v>748.9</v>
      </c>
      <c r="J121" s="32" t="n">
        <v>5</v>
      </c>
      <c r="K121" s="32" t="n">
        <v>295544</v>
      </c>
      <c r="L121" s="31" t="n">
        <v>99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77.5</v>
      </c>
      <c r="P121" s="32" t="n">
        <v>75.63</v>
      </c>
      <c r="Q121" s="32" t="n">
        <v>534.5</v>
      </c>
      <c r="R121" s="31" t="inlineStr">
        <is>
          <t>Near 52W High Breakout</t>
        </is>
      </c>
      <c r="S121" s="31" t="inlineStr">
        <is>
          <t>Nifty Infra</t>
        </is>
      </c>
      <c r="T121" s="32" t="n">
        <v>1.45</v>
      </c>
      <c r="U121" s="32" t="n">
        <v>538.5</v>
      </c>
      <c r="V121" s="32" t="n">
        <v>529.39</v>
      </c>
      <c r="W121" s="32" t="n">
        <v>107.91</v>
      </c>
      <c r="X121" s="31" t="inlineStr">
        <is>
          <t>Cyclical in an Upturn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Above 40</t>
        </is>
      </c>
      <c r="AY121" s="31">
        <f>IF(AX121="Above 40",20,IF(AX121="20 to 40",10,IF(AX121="0 to 20",-5,0)))</f>
        <v/>
      </c>
      <c r="AZ121" s="31" t="inlineStr">
        <is>
          <t>Above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Blue sky scenario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Between 0.7 to 1.2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IF(B122=0,"",RANK(B122,$B$2:$B$363,0))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SUTLEJTEX</t>
        </is>
      </c>
      <c r="D122" s="31" t="inlineStr">
        <is>
          <t>Sutlej Textiles And Industries Limited</t>
        </is>
      </c>
      <c r="E122" s="31" t="inlineStr">
        <is>
          <t>textiles</t>
        </is>
      </c>
      <c r="F122" s="31" t="inlineStr">
        <is>
          <t>textiles - cotton/blended</t>
        </is>
      </c>
      <c r="G122" s="31" t="inlineStr">
        <is>
          <t>smallcap</t>
        </is>
      </c>
      <c r="H122" s="32" t="n">
        <v>638.28</v>
      </c>
      <c r="I122" s="32" t="n">
        <v>40.89</v>
      </c>
      <c r="J122" s="32" t="n">
        <v>4.95</v>
      </c>
      <c r="K122" s="32" t="n">
        <v>71822</v>
      </c>
      <c r="L122" s="31" t="n">
        <v>15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62.61</v>
      </c>
      <c r="P122" s="32" t="n">
        <v>28.38</v>
      </c>
      <c r="Q122" s="32" t="n">
        <v>31.16</v>
      </c>
      <c r="R122" s="31" t="inlineStr">
        <is>
          <t>Near 52W High Breakout</t>
        </is>
      </c>
      <c r="S122" s="31" t="inlineStr">
        <is>
          <t>Nifty 50</t>
        </is>
      </c>
      <c r="T122" s="32" t="n">
        <v>-3.41</v>
      </c>
      <c r="U122" s="32" t="n">
        <v>8.630000000000001</v>
      </c>
      <c r="V122" s="32" t="n">
        <v>12.47</v>
      </c>
      <c r="W122" s="32" t="n">
        <v>3.87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No</t>
        </is>
      </c>
      <c r="BS122" s="31">
        <f>IF(BR122="NO",5,0)</f>
        <v/>
      </c>
      <c r="BT122" s="31" t="inlineStr">
        <is>
          <t>Less than 1.5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Between 0.7 to 1.2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IF(B123=0,"",RANK(B123,$B$2:$B$363,0))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BLUESTONE</t>
        </is>
      </c>
      <c r="D123" s="31" t="inlineStr">
        <is>
          <t>Bluestone Jewellery and Lifestyle Ltd</t>
        </is>
      </c>
      <c r="E123" s="31" t="inlineStr">
        <is>
          <t>consumer discretionary</t>
        </is>
      </c>
      <c r="F123" s="31" t="inlineStr">
        <is>
          <t>diamond cutting / jewellery</t>
        </is>
      </c>
      <c r="G123" s="31" t="inlineStr">
        <is>
          <t>midcap</t>
        </is>
      </c>
      <c r="H123" s="32" t="n">
        <v>12266.82</v>
      </c>
      <c r="I123" s="32" t="n">
        <v>842.75</v>
      </c>
      <c r="J123" s="32" t="n">
        <v>4.7</v>
      </c>
      <c r="K123" s="32" t="n">
        <v>1065449</v>
      </c>
      <c r="L123" s="31" t="n">
        <v>67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72.13</v>
      </c>
      <c r="P123" s="32" t="n">
        <v>46.31</v>
      </c>
      <c r="Q123" s="32" t="n">
        <v>621.36</v>
      </c>
      <c r="R123" s="31" t="inlineStr">
        <is>
          <t>Near 52W High Breakout</t>
        </is>
      </c>
      <c r="S123" s="31" t="inlineStr">
        <is>
          <t>Nifty 50</t>
        </is>
      </c>
      <c r="T123" s="32" t="n">
        <v>-3.41</v>
      </c>
      <c r="U123" s="32" t="n">
        <v>39.47</v>
      </c>
      <c r="V123" s="32" t="n">
        <v>44.39</v>
      </c>
      <c r="W123" s="32" t="n">
        <v>19.8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Above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Blue sky scenario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Between 0.7 to 1.2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IF(B124=0,"",RANK(B124,$B$2:$B$363,0))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ACMESOLAR</t>
        </is>
      </c>
      <c r="D124" s="31" t="inlineStr">
        <is>
          <t>ACME Solar Holdings Ltd</t>
        </is>
      </c>
      <c r="E124" s="31" t="inlineStr">
        <is>
          <t>realty</t>
        </is>
      </c>
      <c r="F124" s="31" t="inlineStr">
        <is>
          <t>engineering - turnkey services</t>
        </is>
      </c>
      <c r="G124" s="31" t="inlineStr">
        <is>
          <t>largecap</t>
        </is>
      </c>
      <c r="H124" s="32" t="n">
        <v>28409.28</v>
      </c>
      <c r="I124" s="32" t="n">
        <v>418</v>
      </c>
      <c r="J124" s="32" t="n">
        <v>4.01</v>
      </c>
      <c r="K124" s="32" t="n">
        <v>6203953</v>
      </c>
      <c r="L124" s="31" t="n">
        <v>69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71.67</v>
      </c>
      <c r="P124" s="32" t="n">
        <v>46.88</v>
      </c>
      <c r="Q124" s="32" t="n">
        <v>324.62</v>
      </c>
      <c r="R124" s="31" t="inlineStr">
        <is>
          <t>Near 52W High Breakout</t>
        </is>
      </c>
      <c r="S124" s="31" t="inlineStr">
        <is>
          <t>Nifty Realty</t>
        </is>
      </c>
      <c r="T124" s="32" t="n">
        <v>-4.49</v>
      </c>
      <c r="U124" s="32" t="n">
        <v>54.69</v>
      </c>
      <c r="V124" s="32" t="n">
        <v>61.97</v>
      </c>
      <c r="W124" s="32" t="n">
        <v>20.47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Above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Blue sky scenario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Less than 1.5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More than 1.2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IF(B125=0,"",RANK(B125,$B$2:$B$363,0))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WELSPUNLIV</t>
        </is>
      </c>
      <c r="D125" s="31" t="inlineStr">
        <is>
          <t>Welspun Living Ltd</t>
        </is>
      </c>
      <c r="E125" s="31" t="inlineStr">
        <is>
          <t>textiles</t>
        </is>
      </c>
      <c r="F125" s="31" t="inlineStr">
        <is>
          <t>textiles - products</t>
        </is>
      </c>
      <c r="G125" s="31" t="inlineStr">
        <is>
          <t>midcap</t>
        </is>
      </c>
      <c r="H125" s="32" t="n">
        <v>18952.68</v>
      </c>
      <c r="I125" s="32" t="n">
        <v>208.51</v>
      </c>
      <c r="J125" s="32" t="n">
        <v>3.94</v>
      </c>
      <c r="K125" s="32" t="n">
        <v>7470859</v>
      </c>
      <c r="L125" s="31" t="n">
        <v>76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78.84</v>
      </c>
      <c r="P125" s="32" t="n">
        <v>38.42</v>
      </c>
      <c r="Q125" s="32" t="n">
        <v>166.35</v>
      </c>
      <c r="R125" s="31" t="inlineStr">
        <is>
          <t>Near 52W High Breakout</t>
        </is>
      </c>
      <c r="S125" s="31" t="inlineStr">
        <is>
          <t>Nifty 50</t>
        </is>
      </c>
      <c r="T125" s="32" t="n">
        <v>-3.41</v>
      </c>
      <c r="U125" s="32" t="n">
        <v>82.98</v>
      </c>
      <c r="V125" s="32" t="n">
        <v>89.44</v>
      </c>
      <c r="W125" s="32" t="n">
        <v>23.59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Above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Blue sky scenario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Less than 1.5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IF(B126=0,"",RANK(B126,$B$2:$B$363,0))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TITAGARH</t>
        </is>
      </c>
      <c r="D126" s="31" t="inlineStr">
        <is>
          <t>Titagarh Rail Systems Ltd</t>
        </is>
      </c>
      <c r="E126" s="31" t="inlineStr">
        <is>
          <t>industrials</t>
        </is>
      </c>
      <c r="F126" s="31" t="inlineStr">
        <is>
          <t>engineering</t>
        </is>
      </c>
      <c r="G126" s="31" t="inlineStr">
        <is>
          <t>midcap</t>
        </is>
      </c>
      <c r="H126" s="32" t="n">
        <v>11369.16</v>
      </c>
      <c r="I126" s="32" t="n">
        <v>871.85</v>
      </c>
      <c r="J126" s="32" t="n">
        <v>3.28</v>
      </c>
      <c r="K126" s="32" t="n">
        <v>3001183</v>
      </c>
      <c r="L126" s="31" t="n">
        <v>10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56.86</v>
      </c>
      <c r="P126" s="32" t="n">
        <v>26.42</v>
      </c>
      <c r="Q126" s="32" t="n">
        <v>736.37</v>
      </c>
      <c r="R126" s="31" t="inlineStr">
        <is>
          <t>Volume Spike / Accumulation</t>
        </is>
      </c>
      <c r="S126" s="31" t="inlineStr">
        <is>
          <t>Nifty 50</t>
        </is>
      </c>
      <c r="T126" s="32" t="n">
        <v>-3.41</v>
      </c>
      <c r="U126" s="32" t="n">
        <v>3.92</v>
      </c>
      <c r="V126" s="32" t="n">
        <v>7.59</v>
      </c>
      <c r="W126" s="32" t="n">
        <v>2.31</v>
      </c>
      <c r="X126" s="31" t="inlineStr">
        <is>
          <t>Cyclical in an Upturn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Yes</t>
        </is>
      </c>
      <c r="BS126" s="31">
        <f>IF(BR126="NO",5,0)</f>
        <v/>
      </c>
      <c r="BT126" s="31" t="inlineStr">
        <is>
          <t>Less than 1.5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IF(B127=0,"",RANK(B127,$B$2:$B$363,0))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BODALCHEM</t>
        </is>
      </c>
      <c r="D127" s="31" t="inlineStr">
        <is>
          <t>Bodal Chemicals Limited</t>
        </is>
      </c>
      <c r="E127" s="31" t="inlineStr">
        <is>
          <t>chemicals</t>
        </is>
      </c>
      <c r="F127" s="31" t="inlineStr">
        <is>
          <t>dyes and pigments</t>
        </is>
      </c>
      <c r="G127" s="31" t="inlineStr">
        <is>
          <t>smallcap</t>
        </is>
      </c>
      <c r="H127" s="32" t="n">
        <v>1898.73</v>
      </c>
      <c r="I127" s="32" t="n">
        <v>155.62</v>
      </c>
      <c r="J127" s="32" t="n">
        <v>3.22</v>
      </c>
      <c r="K127" s="32" t="n">
        <v>5050468</v>
      </c>
      <c r="L127" s="31" t="n">
        <v>95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87.13</v>
      </c>
      <c r="P127" s="32" t="n">
        <v>36.18</v>
      </c>
      <c r="Q127" s="32" t="n">
        <v>120.87</v>
      </c>
      <c r="R127" s="31" t="inlineStr">
        <is>
          <t>Volume Spike &amp; Near 52W High Breakout</t>
        </is>
      </c>
      <c r="S127" s="31" t="inlineStr">
        <is>
          <t>Nifty IT</t>
        </is>
      </c>
      <c r="T127" s="32" t="n">
        <v>-11.38</v>
      </c>
      <c r="U127" s="32" t="n">
        <v>138.9</v>
      </c>
      <c r="V127" s="32" t="n">
        <v>169.57</v>
      </c>
      <c r="W127" s="32" t="n">
        <v>52.41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Above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Between 0.7 to 1.2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IF(B128=0,"",RANK(B128,$B$2:$B$363,0))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CRAFTSMAN</t>
        </is>
      </c>
      <c r="D128" s="31" t="inlineStr">
        <is>
          <t>Craftsman Automation Ltd</t>
        </is>
      </c>
      <c r="E128" s="31" t="inlineStr">
        <is>
          <t>auto</t>
        </is>
      </c>
      <c r="F128" s="31" t="inlineStr">
        <is>
          <t>auto ancillaries</t>
        </is>
      </c>
      <c r="G128" s="31" t="inlineStr">
        <is>
          <t>largecap</t>
        </is>
      </c>
      <c r="H128" s="32" t="n">
        <v>29345.27</v>
      </c>
      <c r="I128" s="32" t="n">
        <v>11398</v>
      </c>
      <c r="J128" s="32" t="n">
        <v>1.59</v>
      </c>
      <c r="K128" s="32" t="n">
        <v>28595</v>
      </c>
      <c r="L128" s="31" t="n">
        <v>78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74.45</v>
      </c>
      <c r="P128" s="32" t="n">
        <v>65.94</v>
      </c>
      <c r="Q128" s="32" t="n">
        <v>9373.969999999999</v>
      </c>
      <c r="R128" s="31" t="inlineStr">
        <is>
          <t>Volume Spike &amp; Near 52W High Breakout</t>
        </is>
      </c>
      <c r="S128" s="31" t="inlineStr">
        <is>
          <t>Nifty Auto</t>
        </is>
      </c>
      <c r="T128" s="32" t="n">
        <v>16.52</v>
      </c>
      <c r="U128" s="32" t="n">
        <v>81.81999999999999</v>
      </c>
      <c r="V128" s="32" t="n">
        <v>56.04</v>
      </c>
      <c r="W128" s="32" t="n">
        <v>24.19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Above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Blue sky scenario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Between 0.7 to 1.2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IF(B129=0,"",RANK(B129,$B$2:$B$363,0))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CHENNPETRO</t>
        </is>
      </c>
      <c r="D129" s="31" t="inlineStr">
        <is>
          <t>Chennai Petroleum Corporation Limited</t>
        </is>
      </c>
      <c r="E129" s="31" t="inlineStr">
        <is>
          <t>energy</t>
        </is>
      </c>
      <c r="F129" s="31" t="inlineStr">
        <is>
          <t>refineries</t>
        </is>
      </c>
      <c r="G129" s="31" t="inlineStr">
        <is>
          <t>largecap</t>
        </is>
      </c>
      <c r="H129" s="32" t="n">
        <v>21443.24</v>
      </c>
      <c r="I129" s="32" t="n">
        <v>1452.2</v>
      </c>
      <c r="J129" s="32" t="n">
        <v>0.85</v>
      </c>
      <c r="K129" s="32" t="n">
        <v>934269</v>
      </c>
      <c r="L129" s="31" t="n">
        <v>83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74.12</v>
      </c>
      <c r="P129" s="32" t="n">
        <v>56.62</v>
      </c>
      <c r="Q129" s="32" t="n">
        <v>1081.14</v>
      </c>
      <c r="R129" s="31" t="inlineStr">
        <is>
          <t>Near 52W High Breakout</t>
        </is>
      </c>
      <c r="S129" s="31" t="inlineStr">
        <is>
          <t>Nifty Energy</t>
        </is>
      </c>
      <c r="T129" s="32" t="n">
        <v>7.99</v>
      </c>
      <c r="U129" s="32" t="n">
        <v>123.79</v>
      </c>
      <c r="V129" s="32" t="n">
        <v>107.23</v>
      </c>
      <c r="W129" s="32" t="n">
        <v>27.78</v>
      </c>
      <c r="X129" s="31" t="inlineStr">
        <is>
          <t>Cyclical in an Upturn</t>
        </is>
      </c>
      <c r="Y129" s="31">
        <f>IF(X129="Growing Industry",10,IF(X129="Cyclical in an Upturn",5,0))</f>
        <v/>
      </c>
      <c r="Z129" s="31" t="inlineStr">
        <is>
          <t>Oligopoly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Yes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Cyclical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Volatile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Above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Blue sky scenario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Less than 1.5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IF(B130=0,"",RANK(B130,$B$2:$B$363,0))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MOLDTECH</t>
        </is>
      </c>
      <c r="D130" s="31" t="inlineStr">
        <is>
          <t>Mold-tek Technologies Limited</t>
        </is>
      </c>
      <c r="E130" s="31" t="inlineStr">
        <is>
          <t>realty</t>
        </is>
      </c>
      <c r="F130" s="31" t="inlineStr">
        <is>
          <t>engineering - turnkey services</t>
        </is>
      </c>
      <c r="G130" s="31" t="inlineStr">
        <is>
          <t>smallcap</t>
        </is>
      </c>
      <c r="H130" s="32" t="n">
        <v>597.16</v>
      </c>
      <c r="I130" s="32" t="n">
        <v>208.96</v>
      </c>
      <c r="J130" s="32" t="n">
        <v>0.8</v>
      </c>
      <c r="K130" s="32" t="n">
        <v>27919</v>
      </c>
      <c r="L130" s="31" t="n">
        <v>77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74.69</v>
      </c>
      <c r="P130" s="32" t="n">
        <v>37</v>
      </c>
      <c r="Q130" s="32" t="n">
        <v>153.04</v>
      </c>
      <c r="R130" s="31" t="inlineStr">
        <is>
          <t>Near 52W High Breakout</t>
        </is>
      </c>
      <c r="S130" s="31" t="inlineStr">
        <is>
          <t>Nifty Realty</t>
        </is>
      </c>
      <c r="T130" s="32" t="n">
        <v>-4.49</v>
      </c>
      <c r="U130" s="32" t="n">
        <v>39</v>
      </c>
      <c r="V130" s="32" t="n">
        <v>45.53</v>
      </c>
      <c r="W130" s="32" t="n">
        <v>23.91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IF(B131=0,"",RANK(B131,$B$2:$B$363,0))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NAZARA</t>
        </is>
      </c>
      <c r="D131" s="31" t="inlineStr">
        <is>
          <t>Nazara Technologies Ltd</t>
        </is>
      </c>
      <c r="E131" s="31" t="inlineStr">
        <is>
          <t>i.t</t>
        </is>
      </c>
      <c r="F131" s="31" t="inlineStr">
        <is>
          <t>telecommunications - service provider</t>
        </is>
      </c>
      <c r="G131" s="31" t="inlineStr">
        <is>
          <t>midcap</t>
        </is>
      </c>
      <c r="H131" s="32" t="n">
        <v>14072.18</v>
      </c>
      <c r="I131" s="32" t="n">
        <v>368.65</v>
      </c>
      <c r="J131" s="32" t="n">
        <v>0.78</v>
      </c>
      <c r="K131" s="32" t="n">
        <v>1088812</v>
      </c>
      <c r="L131" s="31" t="n">
        <v>51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72.67</v>
      </c>
      <c r="P131" s="32" t="n">
        <v>26.59</v>
      </c>
      <c r="Q131" s="32" t="n">
        <v>306.02</v>
      </c>
      <c r="R131" s="31" t="inlineStr">
        <is>
          <t>Near 52W High Breakout</t>
        </is>
      </c>
      <c r="S131" s="31" t="inlineStr">
        <is>
          <t>Nifty IT</t>
        </is>
      </c>
      <c r="T131" s="32" t="n">
        <v>-11.38</v>
      </c>
      <c r="U131" s="32" t="n">
        <v>33.65</v>
      </c>
      <c r="V131" s="32" t="n">
        <v>50.81</v>
      </c>
      <c r="W131" s="32" t="n">
        <v>14.29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Oligopoly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Yes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20 to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No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IF(B132=0,"",RANK(B132,$B$2:$B$363,0))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KAPSTON</t>
        </is>
      </c>
      <c r="D132" s="31" t="inlineStr">
        <is>
          <t>Kapston Services Ltd</t>
        </is>
      </c>
      <c r="E132" s="31" t="inlineStr">
        <is>
          <t>miscellaneous</t>
        </is>
      </c>
      <c r="F132" s="31" t="inlineStr">
        <is>
          <t>miscellaneous</t>
        </is>
      </c>
      <c r="G132" s="31" t="inlineStr">
        <is>
          <t>smallcap</t>
        </is>
      </c>
      <c r="H132" s="32" t="n">
        <v>1769.18</v>
      </c>
      <c r="I132" s="32" t="n">
        <v>584.05</v>
      </c>
      <c r="J132" s="32" t="n">
        <v>0.46</v>
      </c>
      <c r="K132" s="32" t="n">
        <v>70957</v>
      </c>
      <c r="L132" s="31" t="n">
        <v>90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74.45</v>
      </c>
      <c r="P132" s="32" t="n">
        <v>36.42</v>
      </c>
      <c r="Q132" s="32" t="n">
        <v>448.69</v>
      </c>
      <c r="R132" s="31" t="inlineStr">
        <is>
          <t>Near 52W High Breakout</t>
        </is>
      </c>
      <c r="S132" s="31" t="inlineStr">
        <is>
          <t>Nifty 50</t>
        </is>
      </c>
      <c r="T132" s="32" t="n">
        <v>-3.41</v>
      </c>
      <c r="U132" s="32" t="n">
        <v>140.88</v>
      </c>
      <c r="V132" s="32" t="n">
        <v>149.38</v>
      </c>
      <c r="W132" s="32" t="n">
        <v>36.82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Blue sky scenario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Less than 1.5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More than 1.2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IF(B133=0,"",RANK(B133,$B$2:$B$363,0))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AZAD</t>
        </is>
      </c>
      <c r="D133" s="31" t="inlineStr">
        <is>
          <t>Azad Engineering Ltd</t>
        </is>
      </c>
      <c r="E133" s="31" t="inlineStr">
        <is>
          <t>aerospace &amp; defence</t>
        </is>
      </c>
      <c r="F133" s="31" t="inlineStr">
        <is>
          <t>engineering</t>
        </is>
      </c>
      <c r="G133" s="31" t="inlineStr">
        <is>
          <t>midcap</t>
        </is>
      </c>
      <c r="H133" s="32" t="n">
        <v>17869.12</v>
      </c>
      <c r="I133" s="32" t="n">
        <v>2777.3</v>
      </c>
      <c r="J133" s="32" t="n">
        <v>0.38</v>
      </c>
      <c r="K133" s="32" t="n">
        <v>224210</v>
      </c>
      <c r="L133" s="31" t="n">
        <v>63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67.7</v>
      </c>
      <c r="P133" s="32" t="n">
        <v>38.95</v>
      </c>
      <c r="Q133" s="32" t="n">
        <v>2203.57</v>
      </c>
      <c r="R133" s="31" t="inlineStr">
        <is>
          <t>Near 52W High Breakout</t>
        </is>
      </c>
      <c r="S133" s="31" t="inlineStr">
        <is>
          <t>Nifty 50</t>
        </is>
      </c>
      <c r="T133" s="32" t="n">
        <v>-3.41</v>
      </c>
      <c r="U133" s="32" t="n">
        <v>76.08</v>
      </c>
      <c r="V133" s="32" t="n">
        <v>82.29000000000001</v>
      </c>
      <c r="W133" s="32" t="n">
        <v>18.16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Blue sky scenario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IF(B134=0,"",RANK(B134,$B$2:$B$363,0))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INDIGOPNTS</t>
        </is>
      </c>
      <c r="D134" s="31" t="inlineStr">
        <is>
          <t>Indigo Paints Ltd</t>
        </is>
      </c>
      <c r="E134" s="31" t="inlineStr">
        <is>
          <t>building materials</t>
        </is>
      </c>
      <c r="F134" s="31" t="inlineStr">
        <is>
          <t>paints / varnishes</t>
        </is>
      </c>
      <c r="G134" s="31" t="inlineStr">
        <is>
          <t>midcap</t>
        </is>
      </c>
      <c r="H134" s="32" t="n">
        <v>5640.51</v>
      </c>
      <c r="I134" s="32" t="n">
        <v>1185.8</v>
      </c>
      <c r="J134" s="32" t="n">
        <v>0.23</v>
      </c>
      <c r="K134" s="32" t="n">
        <v>94147</v>
      </c>
      <c r="L134" s="31" t="n">
        <v>40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68.47</v>
      </c>
      <c r="P134" s="32" t="n">
        <v>21.8</v>
      </c>
      <c r="Q134" s="32" t="n">
        <v>950.72</v>
      </c>
      <c r="R134" s="31" t="inlineStr">
        <is>
          <t>Earnings / Momentum Support</t>
        </is>
      </c>
      <c r="S134" s="31" t="inlineStr">
        <is>
          <t>Nifty Infra</t>
        </is>
      </c>
      <c r="T134" s="32" t="n">
        <v>1.45</v>
      </c>
      <c r="U134" s="32" t="n">
        <v>4.74</v>
      </c>
      <c r="V134" s="32" t="n">
        <v>3.25</v>
      </c>
      <c r="W134" s="32" t="n">
        <v>10.26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No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Less than 1.5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IF(B135=0,"",RANK(B135,$B$2:$B$363,0))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GANDHAR</t>
        </is>
      </c>
      <c r="D135" s="31" t="inlineStr">
        <is>
          <t>Gandhar Oil Refinery (India) Ltd</t>
        </is>
      </c>
      <c r="E135" s="31" t="inlineStr">
        <is>
          <t>energy</t>
        </is>
      </c>
      <c r="F135" s="31" t="inlineStr">
        <is>
          <t>refineries</t>
        </is>
      </c>
      <c r="G135" s="31" t="inlineStr">
        <is>
          <t>smallcap</t>
        </is>
      </c>
      <c r="H135" s="32" t="n">
        <v>2617.3</v>
      </c>
      <c r="I135" s="32" t="n">
        <v>267.6</v>
      </c>
      <c r="J135" s="32" t="n">
        <v>0.07000000000000001</v>
      </c>
      <c r="K135" s="32" t="n">
        <v>860917</v>
      </c>
      <c r="L135" s="31" t="n">
        <v>89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69.98999999999999</v>
      </c>
      <c r="P135" s="32" t="n">
        <v>70.70999999999999</v>
      </c>
      <c r="Q135" s="32" t="n">
        <v>213.36</v>
      </c>
      <c r="R135" s="31" t="inlineStr">
        <is>
          <t>Near 52W High Breakout</t>
        </is>
      </c>
      <c r="S135" s="31" t="inlineStr">
        <is>
          <t>Nifty Energy</t>
        </is>
      </c>
      <c r="T135" s="32" t="n">
        <v>7.99</v>
      </c>
      <c r="U135" s="32" t="n">
        <v>62.61</v>
      </c>
      <c r="V135" s="32" t="n">
        <v>50.58</v>
      </c>
      <c r="W135" s="32" t="n">
        <v>35.89</v>
      </c>
      <c r="X135" s="31" t="inlineStr">
        <is>
          <t>Cyclical in an Upturn</t>
        </is>
      </c>
      <c r="Y135" s="31">
        <f>IF(X135="Growing Industry",10,IF(X135="Cyclical in an Upturn",5,0))</f>
        <v/>
      </c>
      <c r="Z135" s="31" t="inlineStr">
        <is>
          <t>Oligopoly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Yes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Cyclical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Volatile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Above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Less than 1.5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IF(B136=0,"",RANK(B136,$B$2:$B$363,0))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DIVGIITTS</t>
        </is>
      </c>
      <c r="D136" s="31" t="inlineStr">
        <is>
          <t>Divgi Torqtransfer Systems Ltd</t>
        </is>
      </c>
      <c r="E136" s="31" t="inlineStr">
        <is>
          <t>auto</t>
        </is>
      </c>
      <c r="F136" s="31" t="inlineStr">
        <is>
          <t>auto ancillaries</t>
        </is>
      </c>
      <c r="G136" s="31" t="inlineStr">
        <is>
          <t>smallcap</t>
        </is>
      </c>
      <c r="H136" s="32" t="n">
        <v>3777.6</v>
      </c>
      <c r="I136" s="32" t="n">
        <v>1235.8</v>
      </c>
      <c r="J136" s="32" t="n">
        <v>0.05</v>
      </c>
      <c r="K136" s="32" t="n">
        <v>94690</v>
      </c>
      <c r="L136" s="31" t="n">
        <v>85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69.56</v>
      </c>
      <c r="P136" s="32" t="n">
        <v>54.17</v>
      </c>
      <c r="Q136" s="32" t="n">
        <v>979.36</v>
      </c>
      <c r="R136" s="31" t="inlineStr">
        <is>
          <t>Earnings / Momentum Support</t>
        </is>
      </c>
      <c r="S136" s="31" t="inlineStr">
        <is>
          <t>Nifty Auto</t>
        </is>
      </c>
      <c r="T136" s="32" t="n">
        <v>16.52</v>
      </c>
      <c r="U136" s="32" t="n">
        <v>92.33</v>
      </c>
      <c r="V136" s="32" t="n">
        <v>65.05</v>
      </c>
      <c r="W136" s="32" t="n">
        <v>29.47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No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Above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IF(B137=0,"",RANK(B137,$B$2:$B$363,0))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BHEL</t>
        </is>
      </c>
      <c r="D137" s="31" t="inlineStr">
        <is>
          <t>Bharat Heavy Electricals Limited</t>
        </is>
      </c>
      <c r="E137" s="31" t="inlineStr">
        <is>
          <t>industrials</t>
        </is>
      </c>
      <c r="F137" s="31" t="inlineStr">
        <is>
          <t>electric equipment</t>
        </is>
      </c>
      <c r="G137" s="31" t="inlineStr">
        <is>
          <t>largecap</t>
        </is>
      </c>
      <c r="H137" s="32" t="n">
        <v>150355.5</v>
      </c>
      <c r="I137" s="32" t="n">
        <v>431.1</v>
      </c>
      <c r="J137" s="32" t="n">
        <v>-0.16</v>
      </c>
      <c r="K137" s="32" t="n">
        <v>5925391</v>
      </c>
      <c r="L137" s="31" t="n">
        <v>66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66.12</v>
      </c>
      <c r="P137" s="32" t="n">
        <v>37</v>
      </c>
      <c r="Q137" s="32" t="n">
        <v>346.79</v>
      </c>
      <c r="R137" s="31" t="inlineStr">
        <is>
          <t>Near 52W High Breakout</t>
        </is>
      </c>
      <c r="S137" s="31" t="inlineStr">
        <is>
          <t>Nifty 50</t>
        </is>
      </c>
      <c r="T137" s="32" t="n">
        <v>-3.41</v>
      </c>
      <c r="U137" s="32" t="n">
        <v>103.66</v>
      </c>
      <c r="V137" s="32" t="n">
        <v>110.85</v>
      </c>
      <c r="W137" s="32" t="n">
        <v>19.4</v>
      </c>
      <c r="X137" s="31" t="inlineStr">
        <is>
          <t>Cyclical in an Upturn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Blue sky scenario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Between 1.5 to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IF(B138=0,"",RANK(B138,$B$2:$B$363,0))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TVSSRICHAK</t>
        </is>
      </c>
      <c r="D138" s="31" t="inlineStr">
        <is>
          <t>Tvs Srichakra Limited</t>
        </is>
      </c>
      <c r="E138" s="31" t="inlineStr">
        <is>
          <t>auto</t>
        </is>
      </c>
      <c r="F138" s="31" t="inlineStr">
        <is>
          <t>tyres</t>
        </is>
      </c>
      <c r="G138" s="31" t="inlineStr">
        <is>
          <t>smallcap</t>
        </is>
      </c>
      <c r="H138" s="32" t="n">
        <v>4019.19</v>
      </c>
      <c r="I138" s="32" t="n">
        <v>5237.5</v>
      </c>
      <c r="J138" s="32" t="n">
        <v>-0.22</v>
      </c>
      <c r="K138" s="32" t="n">
        <v>12133</v>
      </c>
      <c r="L138" s="31" t="n">
        <v>70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73.2</v>
      </c>
      <c r="P138" s="32" t="n">
        <v>29.36</v>
      </c>
      <c r="Q138" s="32" t="n">
        <v>4151.43</v>
      </c>
      <c r="R138" s="31" t="inlineStr">
        <is>
          <t>Near 52W High Breakout</t>
        </is>
      </c>
      <c r="S138" s="31" t="inlineStr">
        <is>
          <t>Nifty Auto</t>
        </is>
      </c>
      <c r="T138" s="32" t="n">
        <v>16.52</v>
      </c>
      <c r="U138" s="32" t="n">
        <v>75.77</v>
      </c>
      <c r="V138" s="32" t="n">
        <v>50.84</v>
      </c>
      <c r="W138" s="32" t="n">
        <v>21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Blue sky scenario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IF(B139=0,"",RANK(B139,$B$2:$B$363,0))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SOLARINDS</t>
        </is>
      </c>
      <c r="D139" s="31" t="inlineStr">
        <is>
          <t>Solar Industries India Limited</t>
        </is>
      </c>
      <c r="E139" s="31" t="inlineStr">
        <is>
          <t>aerospace &amp; defence</t>
        </is>
      </c>
      <c r="F139" s="31" t="inlineStr">
        <is>
          <t>chemicals</t>
        </is>
      </c>
      <c r="G139" s="31" t="inlineStr">
        <is>
          <t>largecap</t>
        </is>
      </c>
      <c r="H139" s="32" t="n">
        <v>194553.62</v>
      </c>
      <c r="I139" s="32" t="n">
        <v>21445</v>
      </c>
      <c r="J139" s="32" t="n">
        <v>-0.26</v>
      </c>
      <c r="K139" s="32" t="n">
        <v>127515</v>
      </c>
      <c r="L139" s="31" t="n">
        <v>47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76.3</v>
      </c>
      <c r="P139" s="32" t="n">
        <v>39.53</v>
      </c>
      <c r="Q139" s="32" t="n">
        <v>17687.48</v>
      </c>
      <c r="R139" s="31" t="inlineStr">
        <is>
          <t>Near 52W High Breakout</t>
        </is>
      </c>
      <c r="S139" s="31" t="inlineStr">
        <is>
          <t>Nifty 500</t>
        </is>
      </c>
      <c r="T139" s="32" t="n">
        <v>1.86</v>
      </c>
      <c r="U139" s="32" t="n">
        <v>54.21</v>
      </c>
      <c r="V139" s="32" t="n">
        <v>51.39</v>
      </c>
      <c r="W139" s="32" t="n">
        <v>12.95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Above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Blue sky scenario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Less than 1.5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IF(B140=0,"",RANK(B140,$B$2:$B$363,0))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USHAMART</t>
        </is>
      </c>
      <c r="D140" s="31" t="inlineStr">
        <is>
          <t>Usha Martin Limited</t>
        </is>
      </c>
      <c r="E140" s="31" t="inlineStr">
        <is>
          <t>metals &amp; mining</t>
        </is>
      </c>
      <c r="F140" s="31" t="inlineStr">
        <is>
          <t>steel - medium / small</t>
        </is>
      </c>
      <c r="G140" s="31" t="inlineStr">
        <is>
          <t>midcap</t>
        </is>
      </c>
      <c r="H140" s="32" t="n">
        <v>15714.02</v>
      </c>
      <c r="I140" s="32" t="n">
        <v>514.15</v>
      </c>
      <c r="J140" s="32" t="n">
        <v>-0.29</v>
      </c>
      <c r="K140" s="32" t="n">
        <v>1631592</v>
      </c>
      <c r="L140" s="31" t="n">
        <v>43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62.04</v>
      </c>
      <c r="P140" s="32" t="n">
        <v>46.85</v>
      </c>
      <c r="Q140" s="32" t="n">
        <v>417.15</v>
      </c>
      <c r="R140" s="31" t="inlineStr">
        <is>
          <t>Volume Spike &amp; Near 52W High Breakout</t>
        </is>
      </c>
      <c r="S140" s="31" t="inlineStr">
        <is>
          <t>Nifty Metal</t>
        </is>
      </c>
      <c r="T140" s="32" t="n">
        <v>41.3</v>
      </c>
      <c r="U140" s="32" t="n">
        <v>42.01</v>
      </c>
      <c r="V140" s="32" t="n">
        <v>0.5</v>
      </c>
      <c r="W140" s="32" t="n">
        <v>11.21</v>
      </c>
      <c r="X140" s="31" t="inlineStr">
        <is>
          <t>Cyclical in an Upturn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Cyclical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Volatile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Above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Blue sky scenario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No</t>
        </is>
      </c>
      <c r="BS140" s="31">
        <f>IF(BR140="NO",5,0)</f>
        <v/>
      </c>
      <c r="BT140" s="31" t="inlineStr">
        <is>
          <t>Less than 1.5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IF(B141=0,"",RANK(B141,$B$2:$B$363,0))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MACPOWER</t>
        </is>
      </c>
      <c r="D141" s="31" t="inlineStr">
        <is>
          <t>Macpower CNC Machines Ltd</t>
        </is>
      </c>
      <c r="E141" s="31" t="inlineStr">
        <is>
          <t>industrials</t>
        </is>
      </c>
      <c r="F141" s="31" t="inlineStr">
        <is>
          <t>engineering</t>
        </is>
      </c>
      <c r="G141" s="31" t="inlineStr">
        <is>
          <t>smallcap</t>
        </is>
      </c>
      <c r="H141" s="32" t="n">
        <v>1944.91</v>
      </c>
      <c r="I141" s="32" t="n">
        <v>1904.9</v>
      </c>
      <c r="J141" s="32" t="n">
        <v>-2.02</v>
      </c>
      <c r="K141" s="32" t="n">
        <v>38330</v>
      </c>
      <c r="L141" s="31" t="n">
        <v>92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73.56</v>
      </c>
      <c r="P141" s="32" t="n">
        <v>40.15</v>
      </c>
      <c r="Q141" s="32" t="n">
        <v>1469.25</v>
      </c>
      <c r="R141" s="31" t="inlineStr">
        <is>
          <t>Earnings / Momentum Support</t>
        </is>
      </c>
      <c r="S141" s="31" t="inlineStr">
        <is>
          <t>Nifty 50</t>
        </is>
      </c>
      <c r="T141" s="32" t="n">
        <v>-3.41</v>
      </c>
      <c r="U141" s="32" t="n">
        <v>134.17</v>
      </c>
      <c r="V141" s="32" t="n">
        <v>142.43</v>
      </c>
      <c r="W141" s="32" t="n">
        <v>40.25</v>
      </c>
      <c r="X141" s="31" t="inlineStr">
        <is>
          <t>Cyclical in an Upturn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No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Above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IF(B142=0,"",RANK(B142,$B$2:$B$363,0))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THELEELA</t>
        </is>
      </c>
      <c r="D142" s="31" t="inlineStr">
        <is>
          <t>Leela Palaces Hotels &amp; Resorts Ltd</t>
        </is>
      </c>
      <c r="E142" s="31" t="inlineStr">
        <is>
          <t>services</t>
        </is>
      </c>
      <c r="F142" s="31" t="inlineStr">
        <is>
          <t>hotels</t>
        </is>
      </c>
      <c r="G142" s="31" t="inlineStr">
        <is>
          <t>midcap</t>
        </is>
      </c>
      <c r="H142" s="32" t="n">
        <v>18903.69</v>
      </c>
      <c r="I142" s="32" t="n">
        <v>554.05</v>
      </c>
      <c r="J142" s="32" t="n">
        <v>-2.12</v>
      </c>
      <c r="K142" s="32" t="n">
        <v>561774</v>
      </c>
      <c r="L142" s="31" t="n">
        <v>49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68.47</v>
      </c>
      <c r="P142" s="32" t="n">
        <v>37.61</v>
      </c>
      <c r="Q142" s="32" t="n">
        <v>457.49</v>
      </c>
      <c r="R142" s="31" t="inlineStr">
        <is>
          <t>Near 52W High Breakout</t>
        </is>
      </c>
      <c r="S142" s="31" t="inlineStr">
        <is>
          <t>Nifty 50</t>
        </is>
      </c>
      <c r="T142" s="32" t="n">
        <v>-3.41</v>
      </c>
      <c r="U142" s="32" t="n">
        <v>34.87</v>
      </c>
      <c r="V142" s="32" t="n">
        <v>39.63</v>
      </c>
      <c r="W142" s="32" t="n">
        <v>13.36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Blue sky scenario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IF(B143=0,"",RANK(B143,$B$2:$B$363,0))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SOMANYCERA</t>
        </is>
      </c>
      <c r="D143" s="31" t="inlineStr">
        <is>
          <t>Somany Ceramics Limited</t>
        </is>
      </c>
      <c r="E143" s="31" t="inlineStr">
        <is>
          <t>building materials</t>
        </is>
      </c>
      <c r="F143" s="31" t="inlineStr">
        <is>
          <t>ceramics - tiles / sanitaryware</t>
        </is>
      </c>
      <c r="G143" s="31" t="inlineStr">
        <is>
          <t>smallcap</t>
        </is>
      </c>
      <c r="H143" s="32" t="n">
        <v>2335.68</v>
      </c>
      <c r="I143" s="32" t="n">
        <v>557.35</v>
      </c>
      <c r="J143" s="32" t="n">
        <v>-2.13</v>
      </c>
      <c r="K143" s="32" t="n">
        <v>78257</v>
      </c>
      <c r="L143" s="31" t="n">
        <v>23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64.70999999999999</v>
      </c>
      <c r="P143" s="32" t="n">
        <v>31.79</v>
      </c>
      <c r="Q143" s="32" t="n">
        <v>444.68</v>
      </c>
      <c r="R143" s="31" t="inlineStr">
        <is>
          <t>Near 52W High Breakout</t>
        </is>
      </c>
      <c r="S143" s="31" t="inlineStr">
        <is>
          <t>Nifty Infra</t>
        </is>
      </c>
      <c r="T143" s="32" t="n">
        <v>1.45</v>
      </c>
      <c r="U143" s="32" t="n">
        <v>5.83</v>
      </c>
      <c r="V143" s="32" t="n">
        <v>4.32</v>
      </c>
      <c r="W143" s="32" t="n">
        <v>6.46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IF(B144=0,"",RANK(B144,$B$2:$B$363,0))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ARTEMISMED</t>
        </is>
      </c>
      <c r="D144" s="31" t="inlineStr">
        <is>
          <t>Artemis Medicare Services Ltd</t>
        </is>
      </c>
      <c r="E144" s="31" t="inlineStr">
        <is>
          <t>healthcare</t>
        </is>
      </c>
      <c r="F144" s="31" t="inlineStr">
        <is>
          <t>healthcare</t>
        </is>
      </c>
      <c r="G144" s="31" t="inlineStr">
        <is>
          <t>midcap</t>
        </is>
      </c>
      <c r="H144" s="32" t="n">
        <v>5063.43</v>
      </c>
      <c r="I144" s="32" t="n">
        <v>332.8</v>
      </c>
      <c r="J144" s="32" t="n">
        <v>4.05</v>
      </c>
      <c r="K144" s="32" t="n">
        <v>885338</v>
      </c>
      <c r="L144" s="31" t="n">
        <v>49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72.29000000000001</v>
      </c>
      <c r="P144" s="32" t="n">
        <v>34.8</v>
      </c>
      <c r="Q144" s="32" t="n">
        <v>270.99</v>
      </c>
      <c r="R144" s="31" t="inlineStr">
        <is>
          <t>Near 52W High Breakout</t>
        </is>
      </c>
      <c r="S144" s="31" t="inlineStr">
        <is>
          <t>Nifty Pharma</t>
        </is>
      </c>
      <c r="T144" s="32" t="n">
        <v>20.77</v>
      </c>
      <c r="U144" s="32" t="n">
        <v>46.57</v>
      </c>
      <c r="V144" s="32" t="n">
        <v>21.37</v>
      </c>
      <c r="W144" s="32" t="n">
        <v>13.75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Yes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Annuity, Lower One Time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Blue sky scenario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IF(B145=0,"",RANK(B145,$B$2:$B$363,0))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SAILIFE</t>
        </is>
      </c>
      <c r="D145" s="31" t="inlineStr">
        <is>
          <t>Sai Life Sciences Ltd</t>
        </is>
      </c>
      <c r="E145" s="31" t="inlineStr">
        <is>
          <t>healthcare</t>
        </is>
      </c>
      <c r="F145" s="31" t="inlineStr">
        <is>
          <t>pharmaceuticals - indian - bulk drugs &amp; formln</t>
        </is>
      </c>
      <c r="G145" s="31" t="inlineStr">
        <is>
          <t>largecap</t>
        </is>
      </c>
      <c r="H145" s="32" t="n">
        <v>33430.8</v>
      </c>
      <c r="I145" s="32" t="n">
        <v>1584.3</v>
      </c>
      <c r="J145" s="32" t="n">
        <v>0.6</v>
      </c>
      <c r="K145" s="32" t="n">
        <v>561938</v>
      </c>
      <c r="L145" s="31" t="n">
        <v>69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84.97</v>
      </c>
      <c r="P145" s="32" t="n">
        <v>40.99</v>
      </c>
      <c r="Q145" s="32" t="n">
        <v>1311.52</v>
      </c>
      <c r="R145" s="31" t="inlineStr">
        <is>
          <t>Volume Spike &amp; Near 52W High Breakout</t>
        </is>
      </c>
      <c r="S145" s="31" t="inlineStr">
        <is>
          <t>Nifty Pharma</t>
        </is>
      </c>
      <c r="T145" s="32" t="n">
        <v>20.77</v>
      </c>
      <c r="U145" s="32" t="n">
        <v>84.17</v>
      </c>
      <c r="V145" s="32" t="n">
        <v>52.5</v>
      </c>
      <c r="W145" s="32" t="n">
        <v>20.34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Yes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Annuity, Lower One Time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Above 40</t>
        </is>
      </c>
      <c r="AY145" s="31">
        <f>IF(AX145="Above 40",20,IF(AX145="20 to 40",10,IF(AX145="0 to 20",-5,0)))</f>
        <v/>
      </c>
      <c r="AZ145" s="31" t="inlineStr">
        <is>
          <t>Above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Blue sky scenario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IF(B146=0,"",RANK(B146,$B$2:$B$363,0))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COFORGE</t>
        </is>
      </c>
      <c r="D146" s="31" t="inlineStr">
        <is>
          <t>Coforge (Niit Tech) Ltd</t>
        </is>
      </c>
      <c r="E146" s="31" t="inlineStr">
        <is>
          <t>i.t</t>
        </is>
      </c>
      <c r="F146" s="31" t="inlineStr">
        <is>
          <t>computers - software - large</t>
        </is>
      </c>
      <c r="G146" s="31" t="inlineStr">
        <is>
          <t>largecap</t>
        </is>
      </c>
      <c r="H146" s="32" t="n">
        <v>87289.77</v>
      </c>
      <c r="I146" s="32" t="n">
        <v>1972.8</v>
      </c>
      <c r="J146" s="32" t="n">
        <v>0.05</v>
      </c>
      <c r="K146" s="32" t="n">
        <v>1108102</v>
      </c>
      <c r="L146" s="31" t="n">
        <v>55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71.03</v>
      </c>
      <c r="P146" s="32" t="n">
        <v>19.67</v>
      </c>
      <c r="Q146" s="32" t="n">
        <v>1638.91</v>
      </c>
      <c r="R146" s="31" t="inlineStr">
        <is>
          <t>Near 52W High Breakout</t>
        </is>
      </c>
      <c r="S146" s="31" t="inlineStr">
        <is>
          <t>Nifty IT</t>
        </is>
      </c>
      <c r="T146" s="32" t="n">
        <v>-11.38</v>
      </c>
      <c r="U146" s="32" t="n">
        <v>20.07</v>
      </c>
      <c r="V146" s="32" t="n">
        <v>35.48</v>
      </c>
      <c r="W146" s="32" t="n">
        <v>15.61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Annuity, Lower One Time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0 to 20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Blue sky scenario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Less than 1.5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IF(B147=0,"",RANK(B147,$B$2:$B$363,0))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3" t="inlineStr">
        <is>
          <t>METROPOLIS</t>
        </is>
      </c>
      <c r="D147" s="33" t="inlineStr">
        <is>
          <t>Metropolis Healthcare Ltd</t>
        </is>
      </c>
      <c r="E147" s="31" t="inlineStr">
        <is>
          <t>healthcare</t>
        </is>
      </c>
      <c r="F147" s="31" t="inlineStr">
        <is>
          <t>healthcare</t>
        </is>
      </c>
      <c r="G147" s="31" t="inlineStr">
        <is>
          <t>midcap</t>
        </is>
      </c>
      <c r="H147" s="32" t="n">
        <v>12271.98</v>
      </c>
      <c r="I147" s="32" t="n">
        <v>588.7</v>
      </c>
      <c r="J147" s="32" t="n">
        <v>-0.54</v>
      </c>
      <c r="K147" s="32" t="n">
        <v>239323</v>
      </c>
      <c r="L147" s="31" t="n">
        <v>16</v>
      </c>
      <c r="M147" s="31" t="inlineStr">
        <is>
          <t>Underperforming</t>
        </is>
      </c>
      <c r="N147" s="32">
        <f>IF(M147="Underperforming",-5,IF(L147&gt;=95,15,IF(L147&gt;=90,10,IF(L147&gt;=80,5,0))))</f>
        <v/>
      </c>
      <c r="O147" s="32" t="n">
        <v>62.39</v>
      </c>
      <c r="P147" s="32" t="n">
        <v>42.12</v>
      </c>
      <c r="Q147" s="32" t="n">
        <v>470.43</v>
      </c>
      <c r="R147" s="31" t="inlineStr">
        <is>
          <t>Near 52W High Breakout</t>
        </is>
      </c>
      <c r="S147" s="31" t="inlineStr">
        <is>
          <t>Nifty Pharma</t>
        </is>
      </c>
      <c r="T147" s="32" t="n">
        <v>20.77</v>
      </c>
      <c r="U147" s="32" t="n">
        <v>7.18</v>
      </c>
      <c r="V147" s="32" t="n">
        <v>-11.25</v>
      </c>
      <c r="W147" s="32" t="n">
        <v>4.13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Yes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Annuity, Lower One Time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Above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Blue sky scenario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Between 12 to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Yes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IF(B148=0,"",RANK(B148,$B$2:$B$363,0))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BLSE</t>
        </is>
      </c>
      <c r="D148" s="31" t="inlineStr">
        <is>
          <t>BLS E-Services Ltd</t>
        </is>
      </c>
      <c r="E148" s="31" t="inlineStr">
        <is>
          <t>i.t</t>
        </is>
      </c>
      <c r="F148" s="31" t="inlineStr">
        <is>
          <t>computers - software - medium / small</t>
        </is>
      </c>
      <c r="G148" s="31" t="inlineStr">
        <is>
          <t>smallcap</t>
        </is>
      </c>
      <c r="H148" s="32" t="n">
        <v>2940.57</v>
      </c>
      <c r="I148" s="32" t="n">
        <v>320.05</v>
      </c>
      <c r="J148" s="32" t="n">
        <v>-1.11</v>
      </c>
      <c r="K148" s="32" t="n">
        <v>143302</v>
      </c>
      <c r="L148" s="31" t="n">
        <v>82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80.55</v>
      </c>
      <c r="P148" s="32" t="n">
        <v>55.78</v>
      </c>
      <c r="Q148" s="32" t="n">
        <v>262.17</v>
      </c>
      <c r="R148" s="31" t="inlineStr">
        <is>
          <t>Near 52W High Breakout</t>
        </is>
      </c>
      <c r="S148" s="31" t="inlineStr">
        <is>
          <t>Nifty IT</t>
        </is>
      </c>
      <c r="T148" s="32" t="n">
        <v>-11.38</v>
      </c>
      <c r="U148" s="32" t="n">
        <v>81.59</v>
      </c>
      <c r="V148" s="32" t="n">
        <v>104.9</v>
      </c>
      <c r="W148" s="32" t="n">
        <v>26.94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Annuity, Lower One Time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Above 40</t>
        </is>
      </c>
      <c r="AY148" s="31">
        <f>IF(AX148="Above 40",20,IF(AX148="20 to 40",10,IF(AX148="0 to 20",-5,0)))</f>
        <v/>
      </c>
      <c r="AZ148" s="31" t="inlineStr">
        <is>
          <t>Above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Blue sky scenario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Less than 12%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IF(B149=0,"",RANK(B149,$B$2:$B$363,0))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BALRAMCHIN</t>
        </is>
      </c>
      <c r="D149" s="31" t="inlineStr">
        <is>
          <t>Balrampur Chini Mills Limited</t>
        </is>
      </c>
      <c r="E149" s="31" t="inlineStr">
        <is>
          <t>fmcg</t>
        </is>
      </c>
      <c r="F149" s="31" t="inlineStr">
        <is>
          <t>sugar</t>
        </is>
      </c>
      <c r="G149" s="31" t="inlineStr">
        <is>
          <t>midcap</t>
        </is>
      </c>
      <c r="H149" s="32" t="n">
        <v>14880.61</v>
      </c>
      <c r="I149" s="32" t="n">
        <v>690.6</v>
      </c>
      <c r="J149" s="32" t="n">
        <v>-1.95</v>
      </c>
      <c r="K149" s="32" t="n">
        <v>2232338</v>
      </c>
      <c r="L149" s="31" t="n">
        <v>45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67.16</v>
      </c>
      <c r="P149" s="32" t="n">
        <v>53.17</v>
      </c>
      <c r="Q149" s="32" t="n">
        <v>556.22</v>
      </c>
      <c r="R149" s="31" t="inlineStr">
        <is>
          <t>Volume Spike / Accumulation</t>
        </is>
      </c>
      <c r="S149" s="31" t="inlineStr">
        <is>
          <t>Nifty FMCG</t>
        </is>
      </c>
      <c r="T149" s="32" t="n">
        <v>-15.92</v>
      </c>
      <c r="U149" s="32" t="n">
        <v>18.1</v>
      </c>
      <c r="V149" s="32" t="n">
        <v>40.45</v>
      </c>
      <c r="W149" s="32" t="n">
        <v>12.2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B2C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Annuity, Lower One Time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Above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Less than 12%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Between 0.7 to 1.2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IF(B150=0,"",RANK(B150,$B$2:$B$363,0))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AVADHSUGAR</t>
        </is>
      </c>
      <c r="D150" s="31" t="inlineStr">
        <is>
          <t>Avadh Sugar &amp; Energy</t>
        </is>
      </c>
      <c r="E150" s="31" t="inlineStr">
        <is>
          <t>fmcg</t>
        </is>
      </c>
      <c r="F150" s="31" t="inlineStr">
        <is>
          <t>sugar</t>
        </is>
      </c>
      <c r="G150" s="31" t="inlineStr">
        <is>
          <t>smallcap</t>
        </is>
      </c>
      <c r="H150" s="32" t="n">
        <v>1663.73</v>
      </c>
      <c r="I150" s="32" t="n">
        <v>809.5</v>
      </c>
      <c r="J150" s="32" t="n">
        <v>-2.6</v>
      </c>
      <c r="K150" s="32" t="n">
        <v>97497</v>
      </c>
      <c r="L150" s="31" t="n">
        <v>86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80.95</v>
      </c>
      <c r="P150" s="32" t="n">
        <v>47.63</v>
      </c>
      <c r="Q150" s="32" t="n">
        <v>642.51</v>
      </c>
      <c r="R150" s="31" t="inlineStr">
        <is>
          <t>Near 52W High Breakout</t>
        </is>
      </c>
      <c r="S150" s="31" t="inlineStr">
        <is>
          <t>Nifty FMCG</t>
        </is>
      </c>
      <c r="T150" s="32" t="n">
        <v>-15.92</v>
      </c>
      <c r="U150" s="32" t="n">
        <v>77.66</v>
      </c>
      <c r="V150" s="32" t="n">
        <v>111.3</v>
      </c>
      <c r="W150" s="32" t="n">
        <v>31.51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B2C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Annuity, Lower One Time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Above 40</t>
        </is>
      </c>
      <c r="AY150" s="31">
        <f>IF(AX150="Above 40",20,IF(AX150="20 to 40",10,IF(AX150="0 to 20",-5,0)))</f>
        <v/>
      </c>
      <c r="AZ150" s="31" t="inlineStr">
        <is>
          <t>Above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Blue sky scenario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More than 1.2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IF(B151=0,"",RANK(B151,$B$2:$B$363,0))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SBCL</t>
        </is>
      </c>
      <c r="D151" s="31" t="inlineStr">
        <is>
          <t>Shivalik Bimetal Controls Ltd</t>
        </is>
      </c>
      <c r="E151" s="31" t="inlineStr">
        <is>
          <t>metals &amp; mining</t>
        </is>
      </c>
      <c r="F151" s="31" t="inlineStr">
        <is>
          <t>mining / minerals / metals</t>
        </is>
      </c>
      <c r="G151" s="31" t="inlineStr">
        <is>
          <t>midcap</t>
        </is>
      </c>
      <c r="H151" s="32" t="n">
        <v>6658.47</v>
      </c>
      <c r="I151" s="32" t="n">
        <v>1121.1</v>
      </c>
      <c r="J151" s="32" t="n">
        <v>-3.01</v>
      </c>
      <c r="K151" s="32" t="n">
        <v>810275</v>
      </c>
      <c r="L151" s="31" t="n">
        <v>91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79.47</v>
      </c>
      <c r="P151" s="32" t="n">
        <v>51.22</v>
      </c>
      <c r="Q151" s="32" t="n">
        <v>849.86</v>
      </c>
      <c r="R151" s="31" t="inlineStr">
        <is>
          <t>Near 52W High Breakout</t>
        </is>
      </c>
      <c r="S151" s="31" t="inlineStr">
        <is>
          <t>Nifty Metal</t>
        </is>
      </c>
      <c r="T151" s="32" t="n">
        <v>41.3</v>
      </c>
      <c r="U151" s="32" t="n">
        <v>104.23</v>
      </c>
      <c r="V151" s="32" t="n">
        <v>44.54</v>
      </c>
      <c r="W151" s="32" t="n">
        <v>39.2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Monopoly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Shallow Cyclical (2 to 3 Years Growth)</t>
        </is>
      </c>
      <c r="AG151" s="31">
        <f>IF(AF151="Structural (10 Years Consistency)",10,IF(AF151="Shallow Cyclical (2 to 3 years growth)",5,0))</f>
        <v/>
      </c>
      <c r="AH151" s="31" t="inlineStr">
        <is>
          <t>Yes due to Product Mix change or Operating Leverage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Fully One Time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Yes</t>
        </is>
      </c>
      <c r="BQ151" s="31">
        <f>IF(BP151="No",10,0)</f>
        <v/>
      </c>
      <c r="BR151" s="31" t="inlineStr">
        <is>
          <t>No</t>
        </is>
      </c>
      <c r="BS151" s="31">
        <f>IF(BR151="NO",5,0)</f>
        <v/>
      </c>
      <c r="BT151" s="31" t="inlineStr">
        <is>
          <t>Between 1.5 to 2</t>
        </is>
      </c>
      <c r="BU151" s="31">
        <f>IF(BT151="Above 2",0,IF(BT151="Between 1.5 to 2",5,IF(BT151="Less than 1.5",10,0)))</f>
        <v/>
      </c>
      <c r="BV151" s="31" t="inlineStr">
        <is>
          <t>Less than 50%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IF(B152=0,"",RANK(B152,$B$2:$B$363,0))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NRAIL</t>
        </is>
      </c>
      <c r="D152" s="31" t="inlineStr">
        <is>
          <t>N R Agarwal Industries Ltd</t>
        </is>
      </c>
      <c r="E152" s="31" t="inlineStr">
        <is>
          <t>building materials</t>
        </is>
      </c>
      <c r="F152" s="31" t="inlineStr">
        <is>
          <t>paper</t>
        </is>
      </c>
      <c r="G152" s="31" t="inlineStr">
        <is>
          <t>smallcap</t>
        </is>
      </c>
      <c r="H152" s="32" t="n">
        <v>844.23</v>
      </c>
      <c r="I152" s="32" t="n">
        <v>584</v>
      </c>
      <c r="J152" s="32" t="n">
        <v>17.73</v>
      </c>
      <c r="K152" s="32" t="n">
        <v>157426</v>
      </c>
      <c r="L152" s="31" t="n">
        <v>60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65.39</v>
      </c>
      <c r="P152" s="32" t="n">
        <v>29.32</v>
      </c>
      <c r="Q152" s="32" t="n">
        <v>423.24</v>
      </c>
      <c r="R152" s="31" t="inlineStr">
        <is>
          <t>Volume Spike &amp; Near 52W High Breakout</t>
        </is>
      </c>
      <c r="S152" s="31" t="inlineStr">
        <is>
          <t>Nifty Infra</t>
        </is>
      </c>
      <c r="T152" s="32" t="n">
        <v>1.45</v>
      </c>
      <c r="U152" s="32" t="n">
        <v>70.3</v>
      </c>
      <c r="V152" s="32" t="n">
        <v>67.87</v>
      </c>
      <c r="W152" s="32" t="n">
        <v>17.26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Blue sky scenario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Between 0.7 to 1.2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IF(B153=0,"",RANK(B153,$B$2:$B$363,0))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EXICOM</t>
        </is>
      </c>
      <c r="D153" s="31" t="inlineStr">
        <is>
          <t>Exicom Tele-Systems Ltd</t>
        </is>
      </c>
      <c r="E153" s="31" t="inlineStr">
        <is>
          <t>industrials</t>
        </is>
      </c>
      <c r="F153" s="31" t="inlineStr">
        <is>
          <t>electric equipment</t>
        </is>
      </c>
      <c r="G153" s="31" t="inlineStr">
        <is>
          <t>smallcap</t>
        </is>
      </c>
      <c r="H153" s="32" t="n">
        <v>2310.53</v>
      </c>
      <c r="I153" s="32" t="n">
        <v>177.85</v>
      </c>
      <c r="J153" s="32" t="n">
        <v>7.05</v>
      </c>
      <c r="K153" s="32" t="n">
        <v>5389417</v>
      </c>
      <c r="L153" s="31" t="n">
        <v>53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63.53</v>
      </c>
      <c r="P153" s="32" t="n">
        <v>38</v>
      </c>
      <c r="Q153" s="32" t="n">
        <v>117.57</v>
      </c>
      <c r="R153" s="31" t="inlineStr">
        <is>
          <t>Near 52W High Breakout</t>
        </is>
      </c>
      <c r="S153" s="31" t="inlineStr">
        <is>
          <t>Nifty 50</t>
        </is>
      </c>
      <c r="T153" s="32" t="n">
        <v>-3.41</v>
      </c>
      <c r="U153" s="32" t="n">
        <v>22.29</v>
      </c>
      <c r="V153" s="32" t="n">
        <v>26.61</v>
      </c>
      <c r="W153" s="32" t="n">
        <v>14.67</v>
      </c>
      <c r="X153" s="31" t="inlineStr">
        <is>
          <t>Cyclical in an Upturn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20 to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Less than 1.5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Between 0.7 to 1.2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IF(B154=0,"",RANK(B154,$B$2:$B$363,0))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INDORAMA</t>
        </is>
      </c>
      <c r="D154" s="31" t="inlineStr">
        <is>
          <t>Indo Rama Synthetics (india) Limited</t>
        </is>
      </c>
      <c r="E154" s="31" t="inlineStr">
        <is>
          <t>textiles</t>
        </is>
      </c>
      <c r="F154" s="31" t="inlineStr">
        <is>
          <t>textiles - manmade</t>
        </is>
      </c>
      <c r="G154" s="31" t="inlineStr">
        <is>
          <t>smallcap</t>
        </is>
      </c>
      <c r="H154" s="32" t="n">
        <v>1798.29</v>
      </c>
      <c r="I154" s="32" t="n">
        <v>72.95999999999999</v>
      </c>
      <c r="J154" s="32" t="n">
        <v>5.94</v>
      </c>
      <c r="K154" s="32" t="n">
        <v>1609101</v>
      </c>
      <c r="L154" s="31" t="n">
        <v>76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76.93000000000001</v>
      </c>
      <c r="P154" s="32" t="n">
        <v>48.78</v>
      </c>
      <c r="Q154" s="32" t="n">
        <v>53.21</v>
      </c>
      <c r="R154" s="31" t="inlineStr">
        <is>
          <t>Volume Spike &amp; Near 52W High Breakout</t>
        </is>
      </c>
      <c r="S154" s="31" t="inlineStr">
        <is>
          <t>Nifty 50</t>
        </is>
      </c>
      <c r="T154" s="32" t="n">
        <v>-3.41</v>
      </c>
      <c r="U154" s="32" t="n">
        <v>39.77</v>
      </c>
      <c r="V154" s="32" t="n">
        <v>44.7</v>
      </c>
      <c r="W154" s="32" t="n">
        <v>23.38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Above 40</t>
        </is>
      </c>
      <c r="AY154" s="31">
        <f>IF(AX154="Above 40",20,IF(AX154="20 to 40",10,IF(AX154="0 to 20",-5,0)))</f>
        <v/>
      </c>
      <c r="AZ154" s="31" t="inlineStr">
        <is>
          <t>Above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Blue sky scenario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Less than 1.5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More than 1.2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IF(B155=0,"",RANK(B155,$B$2:$B$363,0))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BHAGERIA</t>
        </is>
      </c>
      <c r="D155" s="31" t="inlineStr">
        <is>
          <t>Bhageria Industries Limited</t>
        </is>
      </c>
      <c r="E155" s="31" t="inlineStr">
        <is>
          <t>chemicals</t>
        </is>
      </c>
      <c r="F155" s="31" t="inlineStr">
        <is>
          <t>dyes and pigments</t>
        </is>
      </c>
      <c r="G155" s="31" t="inlineStr">
        <is>
          <t>smallcap</t>
        </is>
      </c>
      <c r="H155" s="32" t="n">
        <v>1266.34</v>
      </c>
      <c r="I155" s="32" t="n">
        <v>304.65</v>
      </c>
      <c r="J155" s="32" t="n">
        <v>5</v>
      </c>
      <c r="K155" s="32" t="n">
        <v>218809</v>
      </c>
      <c r="L155" s="31" t="n">
        <v>71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75.22</v>
      </c>
      <c r="P155" s="32" t="n">
        <v>34.83</v>
      </c>
      <c r="Q155" s="32" t="n">
        <v>231.92</v>
      </c>
      <c r="R155" s="31" t="inlineStr">
        <is>
          <t>Volume Spike &amp; Near 52W High Breakout</t>
        </is>
      </c>
      <c r="S155" s="31" t="inlineStr">
        <is>
          <t>Nifty IT</t>
        </is>
      </c>
      <c r="T155" s="32" t="n">
        <v>-11.38</v>
      </c>
      <c r="U155" s="32" t="n">
        <v>54.84</v>
      </c>
      <c r="V155" s="32" t="n">
        <v>74.72</v>
      </c>
      <c r="W155" s="32" t="n">
        <v>21.39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20 to 40</t>
        </is>
      </c>
      <c r="AY155" s="31">
        <f>IF(AX155="Above 40",20,IF(AX155="20 to 40",10,IF(AX155="0 to 20",-5,0)))</f>
        <v/>
      </c>
      <c r="AZ155" s="31" t="inlineStr">
        <is>
          <t>Above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No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IF(B156=0,"",RANK(B156,$B$2:$B$363,0))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MTARTECH</t>
        </is>
      </c>
      <c r="D156" s="31" t="inlineStr">
        <is>
          <t>MTAR Technologies Ltd</t>
        </is>
      </c>
      <c r="E156" s="31" t="inlineStr">
        <is>
          <t>aerospace &amp; defence</t>
        </is>
      </c>
      <c r="F156" s="31" t="inlineStr">
        <is>
          <t>engineering</t>
        </is>
      </c>
      <c r="G156" s="31" t="inlineStr">
        <is>
          <t>largecap</t>
        </is>
      </c>
      <c r="H156" s="32" t="n">
        <v>20978.04</v>
      </c>
      <c r="I156" s="32" t="n">
        <v>7161</v>
      </c>
      <c r="J156" s="32" t="n">
        <v>5</v>
      </c>
      <c r="K156" s="32" t="n">
        <v>222417</v>
      </c>
      <c r="L156" s="31" t="n">
        <v>94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60.95</v>
      </c>
      <c r="P156" s="32" t="n">
        <v>25.78</v>
      </c>
      <c r="Q156" s="32" t="n">
        <v>6116.4</v>
      </c>
      <c r="R156" s="31" t="inlineStr">
        <is>
          <t>Earnings / Momentum Support</t>
        </is>
      </c>
      <c r="S156" s="31" t="inlineStr">
        <is>
          <t>Nifty 50</t>
        </is>
      </c>
      <c r="T156" s="32" t="n">
        <v>-3.41</v>
      </c>
      <c r="U156" s="32" t="n">
        <v>408.59</v>
      </c>
      <c r="V156" s="32" t="n">
        <v>426.54</v>
      </c>
      <c r="W156" s="32" t="n">
        <v>43.45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No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IF(B157=0,"",RANK(B157,$B$2:$B$363,0))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EMAMIPAP</t>
        </is>
      </c>
      <c r="D157" s="31" t="inlineStr">
        <is>
          <t>Emami Paper Mills Ltd</t>
        </is>
      </c>
      <c r="E157" s="31" t="inlineStr">
        <is>
          <t>building materials</t>
        </is>
      </c>
      <c r="F157" s="31" t="inlineStr">
        <is>
          <t>paper</t>
        </is>
      </c>
      <c r="G157" s="31" t="inlineStr">
        <is>
          <t>smallcap</t>
        </is>
      </c>
      <c r="H157" s="32" t="n">
        <v>667.91</v>
      </c>
      <c r="I157" s="32" t="n">
        <v>115.92</v>
      </c>
      <c r="J157" s="32" t="n">
        <v>5</v>
      </c>
      <c r="K157" s="32" t="n">
        <v>35403</v>
      </c>
      <c r="L157" s="31" t="n">
        <v>68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71.11</v>
      </c>
      <c r="P157" s="32" t="n">
        <v>29.79</v>
      </c>
      <c r="Q157" s="32" t="n">
        <v>86.08</v>
      </c>
      <c r="R157" s="31" t="inlineStr">
        <is>
          <t>Near 52W High Breakout</t>
        </is>
      </c>
      <c r="S157" s="31" t="inlineStr">
        <is>
          <t>Nifty Infra</t>
        </is>
      </c>
      <c r="T157" s="32" t="n">
        <v>1.45</v>
      </c>
      <c r="U157" s="32" t="n">
        <v>23.2</v>
      </c>
      <c r="V157" s="32" t="n">
        <v>21.44</v>
      </c>
      <c r="W157" s="32" t="n">
        <v>19.83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Blue sky scenario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Less than 1.5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More than 1.2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IF(B158=0,"",RANK(B158,$B$2:$B$363,0))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KRN</t>
        </is>
      </c>
      <c r="D158" s="31" t="inlineStr">
        <is>
          <t>KRN Heat Exchanger and Refrigeration Ltd</t>
        </is>
      </c>
      <c r="E158" s="31" t="inlineStr">
        <is>
          <t>industrials</t>
        </is>
      </c>
      <c r="F158" s="31" t="inlineStr">
        <is>
          <t>engineering</t>
        </is>
      </c>
      <c r="G158" s="31" t="inlineStr">
        <is>
          <t>midcap</t>
        </is>
      </c>
      <c r="H158" s="32" t="n">
        <v>9857.389999999999</v>
      </c>
      <c r="I158" s="32" t="n">
        <v>1578.7</v>
      </c>
      <c r="J158" s="32" t="n">
        <v>4.83</v>
      </c>
      <c r="K158" s="32" t="n">
        <v>408862</v>
      </c>
      <c r="L158" s="31" t="n">
        <v>67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72.51000000000001</v>
      </c>
      <c r="P158" s="32" t="n">
        <v>35.18</v>
      </c>
      <c r="Q158" s="32" t="n">
        <v>1198.07</v>
      </c>
      <c r="R158" s="31" t="inlineStr">
        <is>
          <t>Volume Spike &amp; Near 52W High Breakout</t>
        </is>
      </c>
      <c r="S158" s="31" t="inlineStr">
        <is>
          <t>Nifty 50</t>
        </is>
      </c>
      <c r="T158" s="32" t="n">
        <v>-3.41</v>
      </c>
      <c r="U158" s="32" t="n">
        <v>80.59999999999999</v>
      </c>
      <c r="V158" s="32" t="n">
        <v>86.97</v>
      </c>
      <c r="W158" s="32" t="n">
        <v>19.74</v>
      </c>
      <c r="X158" s="31" t="inlineStr">
        <is>
          <t>Cyclical in an Upturn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Blue sky scenario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IF(B159=0,"",RANK(B159,$B$2:$B$363,0))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3" t="inlineStr">
        <is>
          <t>SHALPAINTS</t>
        </is>
      </c>
      <c r="D159" s="33" t="inlineStr">
        <is>
          <t>Shalimar Paints Limited</t>
        </is>
      </c>
      <c r="E159" s="31" t="inlineStr">
        <is>
          <t>building materials</t>
        </is>
      </c>
      <c r="F159" s="31" t="inlineStr">
        <is>
          <t>paints / varnishes</t>
        </is>
      </c>
      <c r="G159" s="31" t="inlineStr">
        <is>
          <t>smallcap</t>
        </is>
      </c>
      <c r="H159" s="32" t="n">
        <v>682.66</v>
      </c>
      <c r="I159" s="32" t="n">
        <v>85.47</v>
      </c>
      <c r="J159" s="32" t="n">
        <v>4.81</v>
      </c>
      <c r="K159" s="32" t="n">
        <v>141870</v>
      </c>
      <c r="L159" s="31" t="n">
        <v>65</v>
      </c>
      <c r="M159" s="31" t="inlineStr">
        <is>
          <t>Underperforming</t>
        </is>
      </c>
      <c r="N159" s="32">
        <f>IF(M159="Underperforming",-5,IF(L159&gt;=95,15,IF(L159&gt;=90,10,IF(L159&gt;=80,5,0))))</f>
        <v/>
      </c>
      <c r="O159" s="32" t="n">
        <v>65.03</v>
      </c>
      <c r="P159" s="32" t="n">
        <v>27.12</v>
      </c>
      <c r="Q159" s="32" t="n">
        <v>65.22</v>
      </c>
      <c r="R159" s="31" t="inlineStr">
        <is>
          <t>Earnings / Momentum Support</t>
        </is>
      </c>
      <c r="S159" s="31" t="inlineStr">
        <is>
          <t>Nifty Infra</t>
        </is>
      </c>
      <c r="T159" s="32" t="n">
        <v>1.45</v>
      </c>
      <c r="U159" s="32" t="n">
        <v>1.12</v>
      </c>
      <c r="V159" s="32" t="n">
        <v>-0.32</v>
      </c>
      <c r="W159" s="32" t="n">
        <v>18.83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No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Less than 1.5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IF(B160=0,"",RANK(B160,$B$2:$B$363,0))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INDNIPPON</t>
        </is>
      </c>
      <c r="D160" s="31" t="inlineStr">
        <is>
          <t>India Nippon Electricals Limited</t>
        </is>
      </c>
      <c r="E160" s="31" t="inlineStr">
        <is>
          <t>auto</t>
        </is>
      </c>
      <c r="F160" s="31" t="inlineStr">
        <is>
          <t>auto ancillaries</t>
        </is>
      </c>
      <c r="G160" s="31" t="inlineStr">
        <is>
          <t>smallcap</t>
        </is>
      </c>
      <c r="H160" s="32" t="n">
        <v>2509.62</v>
      </c>
      <c r="I160" s="32" t="n">
        <v>1158.2</v>
      </c>
      <c r="J160" s="32" t="n">
        <v>4.4</v>
      </c>
      <c r="K160" s="32" t="n">
        <v>63581</v>
      </c>
      <c r="L160" s="31" t="n">
        <v>73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65.38</v>
      </c>
      <c r="P160" s="32" t="n">
        <v>44.18</v>
      </c>
      <c r="Q160" s="32" t="n">
        <v>954.77</v>
      </c>
      <c r="R160" s="31" t="inlineStr">
        <is>
          <t>Near 52W High Breakout</t>
        </is>
      </c>
      <c r="S160" s="31" t="inlineStr">
        <is>
          <t>Nifty Auto</t>
        </is>
      </c>
      <c r="T160" s="32" t="n">
        <v>16.52</v>
      </c>
      <c r="U160" s="32" t="n">
        <v>52.4</v>
      </c>
      <c r="V160" s="32" t="n">
        <v>30.79</v>
      </c>
      <c r="W160" s="32" t="n">
        <v>21.85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Above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Negative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Blue sky scenario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Less than 1.5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IF(B161=0,"",RANK(B161,$B$2:$B$363,0))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3" t="inlineStr">
        <is>
          <t>GREENPLY</t>
        </is>
      </c>
      <c r="D161" s="33" t="inlineStr">
        <is>
          <t>Greenply Industries Limited</t>
        </is>
      </c>
      <c r="E161" s="31" t="inlineStr">
        <is>
          <t>building materials</t>
        </is>
      </c>
      <c r="F161" s="31" t="inlineStr">
        <is>
          <t>miscellaneous</t>
        </is>
      </c>
      <c r="G161" s="31" t="inlineStr">
        <is>
          <t>smallcap</t>
        </is>
      </c>
      <c r="H161" s="32" t="n">
        <v>3659.63</v>
      </c>
      <c r="I161" s="32" t="n">
        <v>304.7</v>
      </c>
      <c r="J161" s="32" t="n">
        <v>3.99</v>
      </c>
      <c r="K161" s="32" t="n">
        <v>387224</v>
      </c>
      <c r="L161" s="31" t="n">
        <v>21</v>
      </c>
      <c r="M161" s="31" t="inlineStr">
        <is>
          <t>Underperforming</t>
        </is>
      </c>
      <c r="N161" s="32">
        <f>IF(M161="Underperforming",-5,IF(L161&gt;=95,15,IF(L161&gt;=90,10,IF(L161&gt;=80,5,0))))</f>
        <v/>
      </c>
      <c r="O161" s="32" t="n">
        <v>59.83</v>
      </c>
      <c r="P161" s="32" t="n">
        <v>27.35</v>
      </c>
      <c r="Q161" s="32" t="n">
        <v>247.73</v>
      </c>
      <c r="R161" s="31" t="inlineStr">
        <is>
          <t>Earnings / Momentum Support</t>
        </is>
      </c>
      <c r="S161" s="31" t="inlineStr">
        <is>
          <t>Nifty Infra</t>
        </is>
      </c>
      <c r="T161" s="32" t="n">
        <v>1.45</v>
      </c>
      <c r="U161" s="32" t="n">
        <v>-7.85</v>
      </c>
      <c r="V161" s="32" t="n">
        <v>-9.16</v>
      </c>
      <c r="W161" s="32" t="n">
        <v>5.67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No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Less than 1.5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IF(B162=0,"",RANK(B162,$B$2:$B$363,0))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TCPLPACK</t>
        </is>
      </c>
      <c r="D162" s="31" t="inlineStr">
        <is>
          <t>TCPL Packaging Ltd</t>
        </is>
      </c>
      <c r="E162" s="31" t="inlineStr">
        <is>
          <t>industrials</t>
        </is>
      </c>
      <c r="F162" s="31" t="inlineStr">
        <is>
          <t>packaging</t>
        </is>
      </c>
      <c r="G162" s="31" t="inlineStr">
        <is>
          <t>smallcap</t>
        </is>
      </c>
      <c r="H162" s="32" t="n">
        <v>3600.51</v>
      </c>
      <c r="I162" s="32" t="n">
        <v>4091.9</v>
      </c>
      <c r="J162" s="32" t="n">
        <v>3.42</v>
      </c>
      <c r="K162" s="32" t="n">
        <v>15468</v>
      </c>
      <c r="L162" s="31" t="n">
        <v>59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71.19</v>
      </c>
      <c r="P162" s="32" t="n">
        <v>37.64</v>
      </c>
      <c r="Q162" s="32" t="n">
        <v>3115.06</v>
      </c>
      <c r="R162" s="31" t="inlineStr">
        <is>
          <t>Near 52W High Breakout</t>
        </is>
      </c>
      <c r="S162" s="31" t="inlineStr">
        <is>
          <t>Nifty Infra</t>
        </is>
      </c>
      <c r="T162" s="32" t="n">
        <v>1.45</v>
      </c>
      <c r="U162" s="32" t="n">
        <v>13.23</v>
      </c>
      <c r="V162" s="32" t="n">
        <v>11.61</v>
      </c>
      <c r="W162" s="32" t="n">
        <v>17.18</v>
      </c>
      <c r="X162" s="31" t="inlineStr">
        <is>
          <t>Cyclical in an Upturn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No</t>
        </is>
      </c>
      <c r="BS162" s="31">
        <f>IF(BR162="NO",5,0)</f>
        <v/>
      </c>
      <c r="BT162" s="31" t="inlineStr">
        <is>
          <t>Less than 1.5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Between 0.7 to 1.2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IF(B163=0,"",RANK(B163,$B$2:$B$363,0))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HEG</t>
        </is>
      </c>
      <c r="D163" s="31" t="inlineStr">
        <is>
          <t>Heg Limited</t>
        </is>
      </c>
      <c r="E163" s="31" t="inlineStr">
        <is>
          <t>industrials</t>
        </is>
      </c>
      <c r="F163" s="31" t="inlineStr">
        <is>
          <t>electrodes - graphites</t>
        </is>
      </c>
      <c r="G163" s="31" t="inlineStr">
        <is>
          <t>midcap</t>
        </is>
      </c>
      <c r="H163" s="32" t="n">
        <v>13652.2</v>
      </c>
      <c r="I163" s="32" t="n">
        <v>728.25</v>
      </c>
      <c r="J163" s="32" t="n">
        <v>2.94</v>
      </c>
      <c r="K163" s="32" t="n">
        <v>2565950</v>
      </c>
      <c r="L163" s="31" t="n">
        <v>56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69.48999999999999</v>
      </c>
      <c r="P163" s="32" t="n">
        <v>30.58</v>
      </c>
      <c r="Q163" s="32" t="n">
        <v>579.51</v>
      </c>
      <c r="R163" s="31" t="inlineStr">
        <is>
          <t>Near 52W High Breakout</t>
        </is>
      </c>
      <c r="S163" s="31" t="inlineStr">
        <is>
          <t>Nifty 50</t>
        </is>
      </c>
      <c r="T163" s="32" t="n">
        <v>-3.41</v>
      </c>
      <c r="U163" s="32" t="n">
        <v>48.72</v>
      </c>
      <c r="V163" s="32" t="n">
        <v>53.97</v>
      </c>
      <c r="W163" s="32" t="n">
        <v>16.17</v>
      </c>
      <c r="X163" s="31" t="inlineStr">
        <is>
          <t>Cyclical in an Upturn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Blue sky scenario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Between 12 to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IF(B164=0,"",RANK(B164,$B$2:$B$363,0))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SHREEJISPG</t>
        </is>
      </c>
      <c r="D164" s="31" t="inlineStr">
        <is>
          <t>Shreeji Shipping Global Ltd</t>
        </is>
      </c>
      <c r="E164" s="31" t="inlineStr">
        <is>
          <t>transportation</t>
        </is>
      </c>
      <c r="F164" s="31" t="inlineStr">
        <is>
          <t>shipping</t>
        </is>
      </c>
      <c r="G164" s="31" t="inlineStr">
        <is>
          <t>midcap</t>
        </is>
      </c>
      <c r="H164" s="32" t="n">
        <v>10821.85</v>
      </c>
      <c r="I164" s="32" t="n">
        <v>680.15</v>
      </c>
      <c r="J164" s="32" t="n">
        <v>2.39</v>
      </c>
      <c r="K164" s="32" t="n">
        <v>2336669</v>
      </c>
      <c r="L164" s="31" t="n">
        <v>87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77.27</v>
      </c>
      <c r="P164" s="32" t="n">
        <v>55.83</v>
      </c>
      <c r="Q164" s="32" t="n">
        <v>555.99</v>
      </c>
      <c r="R164" s="31" t="inlineStr">
        <is>
          <t>Near 52W High Breakout</t>
        </is>
      </c>
      <c r="S164" s="31" t="inlineStr">
        <is>
          <t>Nifty 50</t>
        </is>
      </c>
      <c r="T164" s="32" t="n">
        <v>-3.41</v>
      </c>
      <c r="U164" s="32" t="n">
        <v>169.14</v>
      </c>
      <c r="V164" s="32" t="n">
        <v>178.63</v>
      </c>
      <c r="W164" s="32" t="n">
        <v>31.56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Above 40</t>
        </is>
      </c>
      <c r="AY164" s="31">
        <f>IF(AX164="Above 40",20,IF(AX164="20 to 40",10,IF(AX164="0 to 20",-5,0)))</f>
        <v/>
      </c>
      <c r="AZ164" s="31" t="inlineStr">
        <is>
          <t>Above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Blue sky scenario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Less than 12%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IF(B165=0,"",RANK(B165,$B$2:$B$363,0))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BOSCH-HCIL</t>
        </is>
      </c>
      <c r="D165" s="31" t="inlineStr">
        <is>
          <t>Bosch Home Comfort India Ltd</t>
        </is>
      </c>
      <c r="E165" s="31" t="inlineStr">
        <is>
          <t>consumer discretionary</t>
        </is>
      </c>
      <c r="F165" s="31" t="inlineStr">
        <is>
          <t>air-conditioners</t>
        </is>
      </c>
      <c r="G165" s="31" t="inlineStr">
        <is>
          <t>smallcap</t>
        </is>
      </c>
      <c r="H165" s="32" t="n">
        <v>4833.72</v>
      </c>
      <c r="I165" s="32" t="n">
        <v>1818.8</v>
      </c>
      <c r="J165" s="32" t="n">
        <v>2.31</v>
      </c>
      <c r="K165" s="32" t="n">
        <v>64153</v>
      </c>
      <c r="L165" s="31" t="n">
        <v>34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71.68000000000001</v>
      </c>
      <c r="P165" s="32" t="n">
        <v>24.5</v>
      </c>
      <c r="Q165" s="32" t="n">
        <v>1468.12</v>
      </c>
      <c r="R165" s="31" t="inlineStr">
        <is>
          <t>Near 52W High Breakout</t>
        </is>
      </c>
      <c r="S165" s="31" t="inlineStr">
        <is>
          <t>Nifty 50</t>
        </is>
      </c>
      <c r="T165" s="32" t="n">
        <v>-3.41</v>
      </c>
      <c r="U165" s="32" t="n">
        <v>5.17</v>
      </c>
      <c r="V165" s="32" t="n">
        <v>8.880000000000001</v>
      </c>
      <c r="W165" s="32" t="n">
        <v>8.710000000000001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IF(B166=0,"",RANK(B166,$B$2:$B$363,0))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3" t="inlineStr">
        <is>
          <t>VALIANTORG</t>
        </is>
      </c>
      <c r="D166" s="33" t="inlineStr">
        <is>
          <t>Valiant Organics Ltd</t>
        </is>
      </c>
      <c r="E166" s="31" t="inlineStr">
        <is>
          <t>chemicals</t>
        </is>
      </c>
      <c r="F166" s="31" t="inlineStr">
        <is>
          <t>chemicals</t>
        </is>
      </c>
      <c r="G166" s="31" t="inlineStr">
        <is>
          <t>smallcap</t>
        </is>
      </c>
      <c r="H166" s="32" t="n">
        <v>886.3099999999999</v>
      </c>
      <c r="I166" s="32" t="n">
        <v>320.25</v>
      </c>
      <c r="J166" s="32" t="n">
        <v>1.3</v>
      </c>
      <c r="K166" s="32" t="n">
        <v>45087</v>
      </c>
      <c r="L166" s="31" t="n">
        <v>11</v>
      </c>
      <c r="M166" s="31" t="inlineStr">
        <is>
          <t>Underperforming</t>
        </is>
      </c>
      <c r="N166" s="32">
        <f>IF(M166="Underperforming",-5,IF(L166&gt;=95,15,IF(L166&gt;=90,10,IF(L166&gt;=80,5,0))))</f>
        <v/>
      </c>
      <c r="O166" s="32" t="n">
        <v>58.81</v>
      </c>
      <c r="P166" s="32" t="n">
        <v>33.22</v>
      </c>
      <c r="Q166" s="32" t="n">
        <v>229.93</v>
      </c>
      <c r="R166" s="31" t="inlineStr">
        <is>
          <t>Volume Spike / Accumulation</t>
        </is>
      </c>
      <c r="S166" s="31" t="inlineStr">
        <is>
          <t>Nifty 50</t>
        </is>
      </c>
      <c r="T166" s="32" t="n">
        <v>-3.41</v>
      </c>
      <c r="U166" s="32" t="n">
        <v>-9.76</v>
      </c>
      <c r="V166" s="32" t="n">
        <v>-6.58</v>
      </c>
      <c r="W166" s="32" t="n">
        <v>2.64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IF(B167=0,"",RANK(B167,$B$2:$B$363,0))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SIGMAADV</t>
        </is>
      </c>
      <c r="D167" s="31" t="inlineStr">
        <is>
          <t>Sigma Advanced System Ltd</t>
        </is>
      </c>
      <c r="E167" s="31" t="inlineStr">
        <is>
          <t>aerospace &amp; defence</t>
        </is>
      </c>
      <c r="F167" s="31" t="inlineStr">
        <is>
          <t>electronics - components</t>
        </is>
      </c>
      <c r="G167" s="31" t="inlineStr">
        <is>
          <t>midcap</t>
        </is>
      </c>
      <c r="H167" s="32" t="n">
        <v>14303.17</v>
      </c>
      <c r="I167" s="32" t="n">
        <v>762.4</v>
      </c>
      <c r="J167" s="32" t="n">
        <v>1.01</v>
      </c>
      <c r="K167" s="32" t="n">
        <v>118525</v>
      </c>
      <c r="L167" s="31" t="n">
        <v>98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75.86</v>
      </c>
      <c r="P167" s="32" t="n">
        <v>65.75</v>
      </c>
      <c r="Q167" s="32" t="n">
        <v>573.03</v>
      </c>
      <c r="R167" s="31" t="inlineStr">
        <is>
          <t>Near 52W High Breakout</t>
        </is>
      </c>
      <c r="S167" s="31" t="inlineStr">
        <is>
          <t>Nifty 50</t>
        </is>
      </c>
      <c r="T167" s="32" t="n">
        <v>-3.41</v>
      </c>
      <c r="U167" s="32" t="n">
        <v>432.89</v>
      </c>
      <c r="V167" s="32" t="n">
        <v>451.69</v>
      </c>
      <c r="W167" s="32" t="n">
        <v>68.25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Above 40</t>
        </is>
      </c>
      <c r="AY167" s="31">
        <f>IF(AX167="Above 40",20,IF(AX167="20 to 40",10,IF(AX167="0 to 20",-5,0)))</f>
        <v/>
      </c>
      <c r="AZ167" s="31" t="inlineStr">
        <is>
          <t>Above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Blue sky scenario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Less than 12%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Between 0.7 to 1.2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IF(B168=0,"",RANK(B168,$B$2:$B$363,0))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ALKYLAMINE</t>
        </is>
      </c>
      <c r="D168" s="31" t="inlineStr">
        <is>
          <t>Alkyl Amines Chemicals Limited</t>
        </is>
      </c>
      <c r="E168" s="31" t="inlineStr">
        <is>
          <t>chemicals</t>
        </is>
      </c>
      <c r="F168" s="31" t="inlineStr">
        <is>
          <t>chemicals</t>
        </is>
      </c>
      <c r="G168" s="31" t="inlineStr">
        <is>
          <t>midcap</t>
        </is>
      </c>
      <c r="H168" s="32" t="n">
        <v>10245.6</v>
      </c>
      <c r="I168" s="32" t="n">
        <v>2020.9</v>
      </c>
      <c r="J168" s="32" t="n">
        <v>0.88</v>
      </c>
      <c r="K168" s="32" t="n">
        <v>97864</v>
      </c>
      <c r="L168" s="31" t="n">
        <v>16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66.02</v>
      </c>
      <c r="P168" s="32" t="n">
        <v>42.16</v>
      </c>
      <c r="Q168" s="32" t="n">
        <v>1597.38</v>
      </c>
      <c r="R168" s="31" t="inlineStr">
        <is>
          <t>Near 52W High Breakout</t>
        </is>
      </c>
      <c r="S168" s="31" t="inlineStr">
        <is>
          <t>Nifty 50</t>
        </is>
      </c>
      <c r="T168" s="32" t="n">
        <v>-3.41</v>
      </c>
      <c r="U168" s="32" t="n">
        <v>-1.99</v>
      </c>
      <c r="V168" s="32" t="n">
        <v>1.47</v>
      </c>
      <c r="W168" s="32" t="n">
        <v>4.15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Above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Less than 12%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IF(B169=0,"",RANK(B169,$B$2:$B$363,0))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KRONOX</t>
        </is>
      </c>
      <c r="D169" s="31" t="inlineStr">
        <is>
          <t>Kronox Lab Sciences Ltd</t>
        </is>
      </c>
      <c r="E169" s="31" t="inlineStr">
        <is>
          <t>chemicals</t>
        </is>
      </c>
      <c r="F169" s="31" t="inlineStr">
        <is>
          <t>chemicals</t>
        </is>
      </c>
      <c r="G169" s="31" t="inlineStr">
        <is>
          <t>smallcap</t>
        </is>
      </c>
      <c r="H169" s="32" t="n">
        <v>680.38</v>
      </c>
      <c r="I169" s="32" t="n">
        <v>184.69</v>
      </c>
      <c r="J169" s="32" t="n">
        <v>0.72</v>
      </c>
      <c r="K169" s="32" t="n">
        <v>86294</v>
      </c>
      <c r="L169" s="31" t="n">
        <v>44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60.44</v>
      </c>
      <c r="P169" s="32" t="n">
        <v>37.46</v>
      </c>
      <c r="Q169" s="32" t="n">
        <v>150.09</v>
      </c>
      <c r="R169" s="31" t="inlineStr">
        <is>
          <t>Earnings / Momentum Support</t>
        </is>
      </c>
      <c r="S169" s="31" t="inlineStr">
        <is>
          <t>Nifty 50</t>
        </is>
      </c>
      <c r="T169" s="32" t="n">
        <v>-3.41</v>
      </c>
      <c r="U169" s="32" t="n">
        <v>8.710000000000001</v>
      </c>
      <c r="V169" s="32" t="n">
        <v>12.55</v>
      </c>
      <c r="W169" s="32" t="n">
        <v>11.58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No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Between 12 to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No</t>
        </is>
      </c>
      <c r="BS169" s="31">
        <f>IF(BR169="NO",5,0)</f>
        <v/>
      </c>
      <c r="BT169" s="31" t="inlineStr">
        <is>
          <t>Less than 1.5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IF(B170=0,"",RANK(B170,$B$2:$B$363,0))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RISHABH</t>
        </is>
      </c>
      <c r="D170" s="31" t="inlineStr">
        <is>
          <t>Rishabh Instruments Ltd</t>
        </is>
      </c>
      <c r="E170" s="31" t="inlineStr">
        <is>
          <t>industrials</t>
        </is>
      </c>
      <c r="F170" s="31" t="inlineStr">
        <is>
          <t>electric equipment</t>
        </is>
      </c>
      <c r="G170" s="31" t="inlineStr">
        <is>
          <t>smallcap</t>
        </is>
      </c>
      <c r="H170" s="32" t="n">
        <v>2832.94</v>
      </c>
      <c r="I170" s="32" t="n">
        <v>738.45</v>
      </c>
      <c r="J170" s="32" t="n">
        <v>0.48</v>
      </c>
      <c r="K170" s="32" t="n">
        <v>208178</v>
      </c>
      <c r="L170" s="31" t="n">
        <v>88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75.08</v>
      </c>
      <c r="P170" s="32" t="n">
        <v>45.57</v>
      </c>
      <c r="Q170" s="32" t="n">
        <v>552.09</v>
      </c>
      <c r="R170" s="31" t="inlineStr">
        <is>
          <t>Near 52W High Breakout</t>
        </is>
      </c>
      <c r="S170" s="31" t="inlineStr">
        <is>
          <t>Nifty Infra</t>
        </is>
      </c>
      <c r="T170" s="32" t="n">
        <v>1.45</v>
      </c>
      <c r="U170" s="32" t="n">
        <v>159.97</v>
      </c>
      <c r="V170" s="32" t="n">
        <v>156.26</v>
      </c>
      <c r="W170" s="32" t="n">
        <v>34.18</v>
      </c>
      <c r="X170" s="31" t="inlineStr">
        <is>
          <t>Cyclical in an Upturn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Above 40</t>
        </is>
      </c>
      <c r="AY170" s="31">
        <f>IF(AX170="Above 40",20,IF(AX170="20 to 40",10,IF(AX170="0 to 20",-5,0)))</f>
        <v/>
      </c>
      <c r="AZ170" s="31" t="inlineStr">
        <is>
          <t>Above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Blue sky scenario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Less than 12%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IF(B171=0,"",RANK(B171,$B$2:$B$363,0))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3" t="inlineStr">
        <is>
          <t>KROSS</t>
        </is>
      </c>
      <c r="D171" s="33" t="inlineStr">
        <is>
          <t>Kross Ltd</t>
        </is>
      </c>
      <c r="E171" s="31" t="inlineStr">
        <is>
          <t>auto</t>
        </is>
      </c>
      <c r="F171" s="31" t="inlineStr">
        <is>
          <t>auto ancillaries</t>
        </is>
      </c>
      <c r="G171" s="31" t="inlineStr">
        <is>
          <t>smallcap</t>
        </is>
      </c>
      <c r="H171" s="32" t="n">
        <v>1363.34</v>
      </c>
      <c r="I171" s="32" t="n">
        <v>211.57</v>
      </c>
      <c r="J171" s="32" t="n">
        <v>0.11</v>
      </c>
      <c r="K171" s="32" t="n">
        <v>223590</v>
      </c>
      <c r="L171" s="31" t="n">
        <v>21</v>
      </c>
      <c r="M171" s="31" t="inlineStr">
        <is>
          <t>Underperforming</t>
        </is>
      </c>
      <c r="N171" s="32">
        <f>IF(M171="Underperforming",-5,IF(L171&gt;=95,15,IF(L171&gt;=90,10,IF(L171&gt;=80,5,0))))</f>
        <v/>
      </c>
      <c r="O171" s="32" t="n">
        <v>57.39</v>
      </c>
      <c r="P171" s="32" t="n">
        <v>24.94</v>
      </c>
      <c r="Q171" s="32" t="n">
        <v>161.26</v>
      </c>
      <c r="R171" s="31" t="inlineStr">
        <is>
          <t>Earnings / Momentum Support</t>
        </is>
      </c>
      <c r="S171" s="31" t="inlineStr">
        <is>
          <t>Nifty Auto</t>
        </is>
      </c>
      <c r="T171" s="32" t="n">
        <v>16.52</v>
      </c>
      <c r="U171" s="32" t="n">
        <v>13.42</v>
      </c>
      <c r="V171" s="32" t="n">
        <v>-2.66</v>
      </c>
      <c r="W171" s="32" t="n">
        <v>5.7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No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Less than 1.5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IF(B172=0,"",RANK(B172,$B$2:$B$363,0))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ANANTRAJ</t>
        </is>
      </c>
      <c r="D172" s="31" t="inlineStr">
        <is>
          <t>Anant Raj Limited</t>
        </is>
      </c>
      <c r="E172" s="31" t="inlineStr">
        <is>
          <t>realty</t>
        </is>
      </c>
      <c r="F172" s="31" t="inlineStr">
        <is>
          <t>construction</t>
        </is>
      </c>
      <c r="G172" s="31" t="inlineStr">
        <is>
          <t>largecap</t>
        </is>
      </c>
      <c r="H172" s="32" t="n">
        <v>22611.07</v>
      </c>
      <c r="I172" s="32" t="n">
        <v>625.45</v>
      </c>
      <c r="J172" s="32" t="n">
        <v>-0.45</v>
      </c>
      <c r="K172" s="32" t="n">
        <v>4215356</v>
      </c>
      <c r="L172" s="31" t="n">
        <v>40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59.82</v>
      </c>
      <c r="P172" s="32" t="n">
        <v>24.28</v>
      </c>
      <c r="Q172" s="32" t="n">
        <v>485.87</v>
      </c>
      <c r="R172" s="31" t="inlineStr">
        <is>
          <t>Volume Spike / Accumulation</t>
        </is>
      </c>
      <c r="S172" s="31" t="inlineStr">
        <is>
          <t>Nifty Realty</t>
        </is>
      </c>
      <c r="T172" s="32" t="n">
        <v>-4.49</v>
      </c>
      <c r="U172" s="32" t="n">
        <v>9.25</v>
      </c>
      <c r="V172" s="32" t="n">
        <v>14.39</v>
      </c>
      <c r="W172" s="32" t="n">
        <v>10.41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Between 12 to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IF(B173=0,"",RANK(B173,$B$2:$B$363,0))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SHREEPUSHK</t>
        </is>
      </c>
      <c r="D173" s="31" t="inlineStr">
        <is>
          <t>Shree Pushkar Chemicals &amp; Fertilisers Limited</t>
        </is>
      </c>
      <c r="E173" s="31" t="inlineStr">
        <is>
          <t>chemicals</t>
        </is>
      </c>
      <c r="F173" s="31" t="inlineStr">
        <is>
          <t>dyes and pigments</t>
        </is>
      </c>
      <c r="G173" s="31" t="inlineStr">
        <is>
          <t>smallcap</t>
        </is>
      </c>
      <c r="H173" s="32" t="n">
        <v>1543.96</v>
      </c>
      <c r="I173" s="32" t="n">
        <v>475.25</v>
      </c>
      <c r="J173" s="32" t="n">
        <v>-0.46</v>
      </c>
      <c r="K173" s="32" t="n">
        <v>50352</v>
      </c>
      <c r="L173" s="31" t="n">
        <v>53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66.83</v>
      </c>
      <c r="P173" s="32" t="n">
        <v>36.82</v>
      </c>
      <c r="Q173" s="32" t="n">
        <v>349.47</v>
      </c>
      <c r="R173" s="31" t="inlineStr">
        <is>
          <t>Volume Spike &amp; Near 52W High Breakout</t>
        </is>
      </c>
      <c r="S173" s="31" t="inlineStr">
        <is>
          <t>Nifty 50</t>
        </is>
      </c>
      <c r="T173" s="32" t="n">
        <v>-3.41</v>
      </c>
      <c r="U173" s="32" t="n">
        <v>37.19</v>
      </c>
      <c r="V173" s="32" t="n">
        <v>42.03</v>
      </c>
      <c r="W173" s="32" t="n">
        <v>14.89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Blue sky scenario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Less than 12%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No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IF(B174=0,"",RANK(B174,$B$2:$B$363,0))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ETERNAL</t>
        </is>
      </c>
      <c r="D174" s="31" t="inlineStr">
        <is>
          <t>Eternal Ltd</t>
        </is>
      </c>
      <c r="E174" s="31" t="inlineStr">
        <is>
          <t>i.t</t>
        </is>
      </c>
      <c r="F174" s="31" t="inlineStr">
        <is>
          <t>miscellaneous</t>
        </is>
      </c>
      <c r="G174" s="31" t="inlineStr">
        <is>
          <t>largecap</t>
        </is>
      </c>
      <c r="H174" s="32" t="n">
        <v>313443.39</v>
      </c>
      <c r="I174" s="32" t="n">
        <v>322.75</v>
      </c>
      <c r="J174" s="32" t="n">
        <v>-0.63</v>
      </c>
      <c r="K174" s="32" t="n">
        <v>17824027</v>
      </c>
      <c r="L174" s="31" t="n">
        <v>22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65.48999999999999</v>
      </c>
      <c r="P174" s="32" t="n">
        <v>24.14</v>
      </c>
      <c r="Q174" s="32" t="n">
        <v>267.9</v>
      </c>
      <c r="R174" s="31" t="inlineStr">
        <is>
          <t>Volume Spike / Accumulation</t>
        </is>
      </c>
      <c r="S174" s="31" t="inlineStr">
        <is>
          <t>Nifty IT</t>
        </is>
      </c>
      <c r="T174" s="32" t="n">
        <v>-11.38</v>
      </c>
      <c r="U174" s="32" t="n">
        <v>-1.94</v>
      </c>
      <c r="V174" s="32" t="n">
        <v>10.64</v>
      </c>
      <c r="W174" s="32" t="n">
        <v>6.06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Yes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IF(B175=0,"",RANK(B175,$B$2:$B$363,0))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3" t="inlineStr">
        <is>
          <t>AEROENTER</t>
        </is>
      </c>
      <c r="D175" s="33" t="inlineStr">
        <is>
          <t>Aeroflex Enterprises Ltd</t>
        </is>
      </c>
      <c r="E175" s="31" t="inlineStr">
        <is>
          <t>metals &amp; mining</t>
        </is>
      </c>
      <c r="F175" s="31" t="inlineStr">
        <is>
          <t>steel - medium / small</t>
        </is>
      </c>
      <c r="G175" s="31" t="inlineStr">
        <is>
          <t>smallcap</t>
        </is>
      </c>
      <c r="H175" s="32" t="n">
        <v>1616.66</v>
      </c>
      <c r="I175" s="32" t="n">
        <v>141.81</v>
      </c>
      <c r="J175" s="32" t="n">
        <v>-0.74</v>
      </c>
      <c r="K175" s="32" t="n">
        <v>477542</v>
      </c>
      <c r="L175" s="31" t="n">
        <v>69</v>
      </c>
      <c r="M175" s="31" t="inlineStr">
        <is>
          <t>Underperforming</t>
        </is>
      </c>
      <c r="N175" s="32">
        <f>IF(M175="Underperforming",-5,IF(L175&gt;=95,15,IF(L175&gt;=90,10,IF(L175&gt;=80,5,0))))</f>
        <v/>
      </c>
      <c r="O175" s="32" t="n">
        <v>66.15000000000001</v>
      </c>
      <c r="P175" s="32" t="n">
        <v>53.16</v>
      </c>
      <c r="Q175" s="32" t="n">
        <v>106.2</v>
      </c>
      <c r="R175" s="31" t="inlineStr">
        <is>
          <t>Near 52W High Breakout</t>
        </is>
      </c>
      <c r="S175" s="31" t="inlineStr">
        <is>
          <t>Nifty Metal</t>
        </is>
      </c>
      <c r="T175" s="32" t="n">
        <v>41.3</v>
      </c>
      <c r="U175" s="32" t="n">
        <v>38.56</v>
      </c>
      <c r="V175" s="32" t="n">
        <v>-1.94</v>
      </c>
      <c r="W175" s="32" t="n">
        <v>20.14</v>
      </c>
      <c r="X175" s="31" t="inlineStr">
        <is>
          <t>Cyclical in an Upturn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Cyclical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Volatile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Above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Blue sky scenario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No</t>
        </is>
      </c>
      <c r="BS175" s="31">
        <f>IF(BR175="NO",5,0)</f>
        <v/>
      </c>
      <c r="BT175" s="31" t="inlineStr">
        <is>
          <t>Less than 1.5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IF(B176=0,"",RANK(B176,$B$2:$B$363,0))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AEROFLEX</t>
        </is>
      </c>
      <c r="D176" s="31" t="inlineStr">
        <is>
          <t>Aeroflex Industries Ltd</t>
        </is>
      </c>
      <c r="E176" s="31" t="inlineStr">
        <is>
          <t>metals &amp; mining</t>
        </is>
      </c>
      <c r="F176" s="31" t="inlineStr">
        <is>
          <t>steel - medium / small</t>
        </is>
      </c>
      <c r="G176" s="31" t="inlineStr">
        <is>
          <t>midcap</t>
        </is>
      </c>
      <c r="H176" s="32" t="n">
        <v>7174.31</v>
      </c>
      <c r="I176" s="32" t="n">
        <v>537.45</v>
      </c>
      <c r="J176" s="32" t="n">
        <v>-0.87</v>
      </c>
      <c r="K176" s="32" t="n">
        <v>1026759</v>
      </c>
      <c r="L176" s="31" t="n">
        <v>94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71.39</v>
      </c>
      <c r="P176" s="32" t="n">
        <v>62.21</v>
      </c>
      <c r="Q176" s="32" t="n">
        <v>389.61</v>
      </c>
      <c r="R176" s="31" t="inlineStr">
        <is>
          <t>Near 52W High Breakout</t>
        </is>
      </c>
      <c r="S176" s="31" t="inlineStr">
        <is>
          <t>Nifty Metal</t>
        </is>
      </c>
      <c r="T176" s="32" t="n">
        <v>41.3</v>
      </c>
      <c r="U176" s="32" t="n">
        <v>161.62</v>
      </c>
      <c r="V176" s="32" t="n">
        <v>85.15000000000001</v>
      </c>
      <c r="W176" s="32" t="n">
        <v>47.63</v>
      </c>
      <c r="X176" s="31" t="inlineStr">
        <is>
          <t>Cyclical in an Upturn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Cyclical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Volatile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Above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Blue sky scenario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IF(B177=0,"",RANK(B177,$B$2:$B$363,0))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MAZDA</t>
        </is>
      </c>
      <c r="D177" s="31" t="inlineStr">
        <is>
          <t>Mazda Limited</t>
        </is>
      </c>
      <c r="E177" s="31" t="inlineStr">
        <is>
          <t>industrials</t>
        </is>
      </c>
      <c r="F177" s="31" t="inlineStr">
        <is>
          <t>engineering</t>
        </is>
      </c>
      <c r="G177" s="31" t="inlineStr">
        <is>
          <t>smallcap</t>
        </is>
      </c>
      <c r="H177" s="32" t="n">
        <v>546.38</v>
      </c>
      <c r="I177" s="32" t="n">
        <v>270</v>
      </c>
      <c r="J177" s="32" t="n">
        <v>-1.04</v>
      </c>
      <c r="K177" s="32" t="n">
        <v>28256</v>
      </c>
      <c r="L177" s="31" t="n">
        <v>18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68.65000000000001</v>
      </c>
      <c r="P177" s="32" t="n">
        <v>29.11</v>
      </c>
      <c r="Q177" s="32" t="n">
        <v>210.17</v>
      </c>
      <c r="R177" s="31" t="inlineStr">
        <is>
          <t>Earnings / Momentum Support</t>
        </is>
      </c>
      <c r="S177" s="31" t="inlineStr">
        <is>
          <t>Nifty 50</t>
        </is>
      </c>
      <c r="T177" s="32" t="n">
        <v>-3.41</v>
      </c>
      <c r="U177" s="32" t="n">
        <v>-2.55</v>
      </c>
      <c r="V177" s="32" t="n">
        <v>0.88</v>
      </c>
      <c r="W177" s="32" t="n">
        <v>5.13</v>
      </c>
      <c r="X177" s="31" t="inlineStr">
        <is>
          <t>Cyclical in an Upturn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No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20 to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No</t>
        </is>
      </c>
      <c r="BS177" s="31">
        <f>IF(BR177="NO",5,0)</f>
        <v/>
      </c>
      <c r="BT177" s="31" t="inlineStr">
        <is>
          <t>Less than 1.5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IF(B178=0,"",RANK(B178,$B$2:$B$363,0))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EIMCOELECO</t>
        </is>
      </c>
      <c r="D178" s="31" t="inlineStr">
        <is>
          <t>Eimco Elecon (india) Limited</t>
        </is>
      </c>
      <c r="E178" s="31" t="inlineStr">
        <is>
          <t>industrials</t>
        </is>
      </c>
      <c r="F178" s="31" t="inlineStr">
        <is>
          <t>engineering</t>
        </is>
      </c>
      <c r="G178" s="31" t="inlineStr">
        <is>
          <t>smallcap</t>
        </is>
      </c>
      <c r="H178" s="32" t="n">
        <v>1315.42</v>
      </c>
      <c r="I178" s="32" t="n">
        <v>2254.4</v>
      </c>
      <c r="J178" s="32" t="n">
        <v>-1.14</v>
      </c>
      <c r="K178" s="32" t="n">
        <v>19567</v>
      </c>
      <c r="L178" s="31" t="n">
        <v>52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73.43000000000001</v>
      </c>
      <c r="P178" s="32" t="n">
        <v>43.89</v>
      </c>
      <c r="Q178" s="32" t="n">
        <v>1737.61</v>
      </c>
      <c r="R178" s="31" t="inlineStr">
        <is>
          <t>Near 52W High Breakout</t>
        </is>
      </c>
      <c r="S178" s="31" t="inlineStr">
        <is>
          <t>Nifty 50</t>
        </is>
      </c>
      <c r="T178" s="32" t="n">
        <v>-3.41</v>
      </c>
      <c r="U178" s="32" t="n">
        <v>17.45</v>
      </c>
      <c r="V178" s="32" t="n">
        <v>21.59</v>
      </c>
      <c r="W178" s="32" t="n">
        <v>14.65</v>
      </c>
      <c r="X178" s="31" t="inlineStr">
        <is>
          <t>Cyclical in an Upturn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Above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Less than 12%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IF(B179=0,"",RANK(B179,$B$2:$B$363,0))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ANDHRSUGAR</t>
        </is>
      </c>
      <c r="D179" s="31" t="inlineStr">
        <is>
          <t>The Andhra Sugars Limited</t>
        </is>
      </c>
      <c r="E179" s="31" t="inlineStr">
        <is>
          <t>chemicals</t>
        </is>
      </c>
      <c r="F179" s="31" t="inlineStr">
        <is>
          <t>chlor alkali / soda ash</t>
        </is>
      </c>
      <c r="G179" s="31" t="inlineStr">
        <is>
          <t>smallcap</t>
        </is>
      </c>
      <c r="H179" s="32" t="n">
        <v>1372.84</v>
      </c>
      <c r="I179" s="32" t="n">
        <v>99.51000000000001</v>
      </c>
      <c r="J179" s="32" t="n">
        <v>-1.76</v>
      </c>
      <c r="K179" s="32" t="n">
        <v>477164</v>
      </c>
      <c r="L179" s="31" t="n">
        <v>42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62.54</v>
      </c>
      <c r="P179" s="32" t="n">
        <v>13.34</v>
      </c>
      <c r="Q179" s="32" t="n">
        <v>77.44</v>
      </c>
      <c r="R179" s="31" t="inlineStr">
        <is>
          <t>Near 52W High Breakout</t>
        </is>
      </c>
      <c r="S179" s="31" t="inlineStr">
        <is>
          <t>Nifty 50</t>
        </is>
      </c>
      <c r="T179" s="32" t="n">
        <v>-3.41</v>
      </c>
      <c r="U179" s="32" t="n">
        <v>31.1</v>
      </c>
      <c r="V179" s="32" t="n">
        <v>35.72</v>
      </c>
      <c r="W179" s="32" t="n">
        <v>11.12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0 to 20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Less than 1.5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IF(B180=0,"",RANK(B180,$B$2:$B$363,0))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RAYMOND</t>
        </is>
      </c>
      <c r="D180" s="31" t="inlineStr">
        <is>
          <t>Raymond Limited</t>
        </is>
      </c>
      <c r="E180" s="31" t="inlineStr">
        <is>
          <t>transportation</t>
        </is>
      </c>
      <c r="F180" s="31" t="inlineStr">
        <is>
          <t>transport - airlines</t>
        </is>
      </c>
      <c r="G180" s="31" t="inlineStr">
        <is>
          <t>midcap</t>
        </is>
      </c>
      <c r="H180" s="32" t="n">
        <v>5045.62</v>
      </c>
      <c r="I180" s="32" t="n">
        <v>740.85</v>
      </c>
      <c r="J180" s="32" t="n">
        <v>-2.25</v>
      </c>
      <c r="K180" s="32" t="n">
        <v>1867268</v>
      </c>
      <c r="L180" s="31" t="n">
        <v>56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71.45999999999999</v>
      </c>
      <c r="P180" s="32" t="n">
        <v>43.3</v>
      </c>
      <c r="Q180" s="32" t="n">
        <v>575.8099999999999</v>
      </c>
      <c r="R180" s="31" t="inlineStr">
        <is>
          <t>Volume Spike &amp; Near 52W High Breakout</t>
        </is>
      </c>
      <c r="S180" s="31" t="inlineStr">
        <is>
          <t>Nifty 50</t>
        </is>
      </c>
      <c r="T180" s="32" t="n">
        <v>-3.41</v>
      </c>
      <c r="U180" s="32" t="n">
        <v>21.11</v>
      </c>
      <c r="V180" s="32" t="n">
        <v>25.39</v>
      </c>
      <c r="W180" s="32" t="n">
        <v>16.5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Above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Less than 12%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Yes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IF(B181=0,"",RANK(B181,$B$2:$B$363,0))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PRECWIRE</t>
        </is>
      </c>
      <c r="D181" s="31" t="inlineStr">
        <is>
          <t>Precision Wires India Limited</t>
        </is>
      </c>
      <c r="E181" s="31" t="inlineStr">
        <is>
          <t>metals &amp; mining</t>
        </is>
      </c>
      <c r="F181" s="31" t="inlineStr">
        <is>
          <t>mining / minerals / metals</t>
        </is>
      </c>
      <c r="G181" s="31" t="inlineStr">
        <is>
          <t>midcap</t>
        </is>
      </c>
      <c r="H181" s="32" t="n">
        <v>8918.290000000001</v>
      </c>
      <c r="I181" s="32" t="n">
        <v>472.8</v>
      </c>
      <c r="J181" s="32" t="n">
        <v>-3.09</v>
      </c>
      <c r="K181" s="32" t="n">
        <v>830119</v>
      </c>
      <c r="L181" s="31" t="n">
        <v>84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63.66</v>
      </c>
      <c r="P181" s="32" t="n">
        <v>41.9</v>
      </c>
      <c r="Q181" s="32" t="n">
        <v>370.83</v>
      </c>
      <c r="R181" s="31" t="inlineStr">
        <is>
          <t>Volume Spike / Accumulation</t>
        </is>
      </c>
      <c r="S181" s="31" t="inlineStr">
        <is>
          <t>Nifty Metal</t>
        </is>
      </c>
      <c r="T181" s="32" t="n">
        <v>41.3</v>
      </c>
      <c r="U181" s="32" t="n">
        <v>160.96</v>
      </c>
      <c r="V181" s="32" t="n">
        <v>84.69</v>
      </c>
      <c r="W181" s="32" t="n">
        <v>28.42</v>
      </c>
      <c r="X181" s="31" t="inlineStr">
        <is>
          <t>Cyclical in an Upturn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Cyclical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Volatile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Above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Yes</t>
        </is>
      </c>
      <c r="BS181" s="31">
        <f>IF(BR181="NO",5,0)</f>
        <v/>
      </c>
      <c r="BT181" s="31" t="inlineStr">
        <is>
          <t>Less than 1.5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IF(B182=0,"",RANK(B182,$B$2:$B$363,0))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HMT</t>
        </is>
      </c>
      <c r="D182" s="31" t="inlineStr">
        <is>
          <t>Hmt Limited</t>
        </is>
      </c>
      <c r="E182" s="31" t="inlineStr">
        <is>
          <t>consumer discretionary</t>
        </is>
      </c>
      <c r="F182" s="31" t="inlineStr">
        <is>
          <t>miscellaneous</t>
        </is>
      </c>
      <c r="G182" s="31" t="inlineStr">
        <is>
          <t>midcap</t>
        </is>
      </c>
      <c r="H182" s="32" t="n">
        <v>8316.66</v>
      </c>
      <c r="I182" s="32" t="n">
        <v>66.91</v>
      </c>
      <c r="J182" s="32" t="n">
        <v>-3.13</v>
      </c>
      <c r="K182" s="32" t="n">
        <v>31667</v>
      </c>
      <c r="L182" s="31" t="n">
        <v>39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60.61</v>
      </c>
      <c r="P182" s="32" t="n">
        <v>17.48</v>
      </c>
      <c r="Q182" s="32" t="n">
        <v>50.68</v>
      </c>
      <c r="R182" s="31" t="inlineStr">
        <is>
          <t>Volume Spike &amp; Near 52W High Breakout</t>
        </is>
      </c>
      <c r="S182" s="31" t="inlineStr">
        <is>
          <t>Nifty 50</t>
        </is>
      </c>
      <c r="T182" s="32" t="n">
        <v>-3.41</v>
      </c>
      <c r="U182" s="32" t="n">
        <v>17.02</v>
      </c>
      <c r="V182" s="32" t="n">
        <v>21.15</v>
      </c>
      <c r="W182" s="32" t="n">
        <v>9.960000000000001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0 to 20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No</t>
        </is>
      </c>
      <c r="BS182" s="31">
        <f>IF(BR182="NO",5,0)</f>
        <v/>
      </c>
      <c r="BT182" s="31" t="inlineStr">
        <is>
          <t>Less than 1.5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IF(B183=0,"",RANK(B183,$B$2:$B$363,0))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EMCURE</t>
        </is>
      </c>
      <c r="D183" s="31" t="inlineStr">
        <is>
          <t>Emcure Pharmaceuticals Ltd</t>
        </is>
      </c>
      <c r="E183" s="31" t="inlineStr">
        <is>
          <t>healthcare</t>
        </is>
      </c>
      <c r="F183" s="31" t="inlineStr">
        <is>
          <t>pharmaceuticals - indian - bulk drugs &amp; formln</t>
        </is>
      </c>
      <c r="G183" s="31" t="inlineStr">
        <is>
          <t>largecap</t>
        </is>
      </c>
      <c r="H183" s="32" t="n">
        <v>35179.98</v>
      </c>
      <c r="I183" s="32" t="n">
        <v>1927.6</v>
      </c>
      <c r="J183" s="32" t="n">
        <v>3.93</v>
      </c>
      <c r="K183" s="32" t="n">
        <v>276608</v>
      </c>
      <c r="L183" s="31" t="n">
        <v>37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63.8</v>
      </c>
      <c r="P183" s="32" t="n">
        <v>60.57</v>
      </c>
      <c r="Q183" s="32" t="n">
        <v>1622.98</v>
      </c>
      <c r="R183" s="31" t="inlineStr">
        <is>
          <t>Near 52W High Breakout</t>
        </is>
      </c>
      <c r="S183" s="31" t="inlineStr">
        <is>
          <t>Nifty Pharma</t>
        </is>
      </c>
      <c r="T183" s="32" t="n">
        <v>20.77</v>
      </c>
      <c r="U183" s="32" t="n">
        <v>40.7</v>
      </c>
      <c r="V183" s="32" t="n">
        <v>16.5</v>
      </c>
      <c r="W183" s="32" t="n">
        <v>9.41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Yes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Annuity, Lower One Time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Above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Negative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Blue sky scenario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No</t>
        </is>
      </c>
      <c r="BS183" s="31">
        <f>IF(BR183="NO",5,0)</f>
        <v/>
      </c>
      <c r="BT183" s="31" t="inlineStr">
        <is>
          <t>Less than 1.5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IF(B184=0,"",RANK(B184,$B$2:$B$363,0))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3" t="inlineStr">
        <is>
          <t>SOLARA</t>
        </is>
      </c>
      <c r="D184" s="33" t="inlineStr">
        <is>
          <t>Solara Active Pharma Sciences Ltd</t>
        </is>
      </c>
      <c r="E184" s="31" t="inlineStr">
        <is>
          <t>healthcare</t>
        </is>
      </c>
      <c r="F184" s="31" t="inlineStr">
        <is>
          <t>pharmaceuticals - indian - bulk drugs &amp; formln</t>
        </is>
      </c>
      <c r="G184" s="31" t="inlineStr">
        <is>
          <t>smallcap</t>
        </is>
      </c>
      <c r="H184" s="32" t="n">
        <v>3038.78</v>
      </c>
      <c r="I184" s="32" t="n">
        <v>639.15</v>
      </c>
      <c r="J184" s="32" t="n">
        <v>1.48</v>
      </c>
      <c r="K184" s="32" t="n">
        <v>396998</v>
      </c>
      <c r="L184" s="31" t="n">
        <v>17</v>
      </c>
      <c r="M184" s="31" t="inlineStr">
        <is>
          <t>Underperforming</t>
        </is>
      </c>
      <c r="N184" s="32">
        <f>IF(M184="Underperforming",-5,IF(L184&gt;=95,15,IF(L184&gt;=90,10,IF(L184&gt;=80,5,0))))</f>
        <v/>
      </c>
      <c r="O184" s="32" t="n">
        <v>63</v>
      </c>
      <c r="P184" s="32" t="n">
        <v>26.33</v>
      </c>
      <c r="Q184" s="32" t="n">
        <v>469.1</v>
      </c>
      <c r="R184" s="31" t="inlineStr">
        <is>
          <t>Earnings / Momentum Support</t>
        </is>
      </c>
      <c r="S184" s="31" t="inlineStr">
        <is>
          <t>Nifty Pharma</t>
        </is>
      </c>
      <c r="T184" s="32" t="n">
        <v>20.77</v>
      </c>
      <c r="U184" s="32" t="n">
        <v>-3.85</v>
      </c>
      <c r="V184" s="32" t="n">
        <v>-20.39</v>
      </c>
      <c r="W184" s="32" t="n">
        <v>4.34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Yes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No</t>
        </is>
      </c>
      <c r="AQ184" s="31">
        <f>IF(AP184="Yes",10,0)</f>
        <v/>
      </c>
      <c r="AR184" s="31" t="inlineStr">
        <is>
          <t>Higher Annuity, Lower One Time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No</t>
        </is>
      </c>
      <c r="BS184" s="31">
        <f>IF(BR184="NO",5,0)</f>
        <v/>
      </c>
      <c r="BT184" s="31" t="inlineStr">
        <is>
          <t>Less than 1.5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IF(B185=0,"",RANK(B185,$B$2:$B$363,0))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LTFOODS</t>
        </is>
      </c>
      <c r="D185" s="31" t="inlineStr">
        <is>
          <t>L T Foods Ltd</t>
        </is>
      </c>
      <c r="E185" s="31" t="inlineStr">
        <is>
          <t>fmcg</t>
        </is>
      </c>
      <c r="F185" s="31" t="inlineStr">
        <is>
          <t>food - processing - indian</t>
        </is>
      </c>
      <c r="G185" s="31" t="inlineStr">
        <is>
          <t>midcap</t>
        </is>
      </c>
      <c r="H185" s="32" t="n">
        <v>15367.68</v>
      </c>
      <c r="I185" s="32" t="n">
        <v>444.8</v>
      </c>
      <c r="J185" s="32" t="n">
        <v>0.51</v>
      </c>
      <c r="K185" s="32" t="n">
        <v>450291</v>
      </c>
      <c r="L185" s="31" t="n">
        <v>4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63.66</v>
      </c>
      <c r="P185" s="32" t="n">
        <v>19.27</v>
      </c>
      <c r="Q185" s="32" t="n">
        <v>359.84</v>
      </c>
      <c r="R185" s="31" t="inlineStr">
        <is>
          <t>Earnings / Momentum Support</t>
        </is>
      </c>
      <c r="S185" s="31" t="inlineStr">
        <is>
          <t>Nifty FMCG</t>
        </is>
      </c>
      <c r="T185" s="32" t="n">
        <v>-15.92</v>
      </c>
      <c r="U185" s="32" t="n">
        <v>-8.050000000000001</v>
      </c>
      <c r="V185" s="32" t="n">
        <v>9.359999999999999</v>
      </c>
      <c r="W185" s="32" t="n">
        <v>0.57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B2C</t>
        </is>
      </c>
      <c r="AO185" s="31">
        <f>IF(AN185="B2C",10,IF(AN185="B2B",5,0))</f>
        <v/>
      </c>
      <c r="AP185" s="31" t="inlineStr">
        <is>
          <t>No</t>
        </is>
      </c>
      <c r="AQ185" s="31">
        <f>IF(AP185="Yes",10,0)</f>
        <v/>
      </c>
      <c r="AR185" s="31" t="inlineStr">
        <is>
          <t>Higher Annuity, Lower One Time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0 to 20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No</t>
        </is>
      </c>
      <c r="BS185" s="31">
        <f>IF(BR185="NO",5,0)</f>
        <v/>
      </c>
      <c r="BT185" s="31" t="inlineStr">
        <is>
          <t>Less than 1.5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IF(B186=0,"",RANK(B186,$B$2:$B$363,0))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KOPRAN</t>
        </is>
      </c>
      <c r="D186" s="31" t="inlineStr">
        <is>
          <t>Kopran Limited</t>
        </is>
      </c>
      <c r="E186" s="31" t="inlineStr">
        <is>
          <t>healthcare</t>
        </is>
      </c>
      <c r="F186" s="31" t="inlineStr">
        <is>
          <t>pharmaceuticals - indian - bulk drugs &amp; formln</t>
        </is>
      </c>
      <c r="G186" s="31" t="inlineStr">
        <is>
          <t>smallcap</t>
        </is>
      </c>
      <c r="H186" s="32" t="n">
        <v>1121.38</v>
      </c>
      <c r="I186" s="32" t="n">
        <v>232.54</v>
      </c>
      <c r="J186" s="32" t="n">
        <v>0.13</v>
      </c>
      <c r="K186" s="32" t="n">
        <v>661197</v>
      </c>
      <c r="L186" s="31" t="n">
        <v>51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70.59999999999999</v>
      </c>
      <c r="P186" s="32" t="n">
        <v>40.5</v>
      </c>
      <c r="Q186" s="32" t="n">
        <v>170.93</v>
      </c>
      <c r="R186" s="31" t="inlineStr">
        <is>
          <t>Volume Spike &amp; Near 52W High Breakout</t>
        </is>
      </c>
      <c r="S186" s="31" t="inlineStr">
        <is>
          <t>Nifty Pharma</t>
        </is>
      </c>
      <c r="T186" s="32" t="n">
        <v>20.77</v>
      </c>
      <c r="U186" s="32" t="n">
        <v>33.6</v>
      </c>
      <c r="V186" s="32" t="n">
        <v>10.63</v>
      </c>
      <c r="W186" s="32" t="n">
        <v>14.27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Yes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Annuity, Lower One Time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Above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Less than 12%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Yes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IF(B187=0,"",RANK(B187,$B$2:$B$363,0))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3" t="inlineStr">
        <is>
          <t>PPLPHARMA</t>
        </is>
      </c>
      <c r="D187" s="33" t="inlineStr">
        <is>
          <t>Piramal Pharma Ltd</t>
        </is>
      </c>
      <c r="E187" s="31" t="inlineStr">
        <is>
          <t>healthcare</t>
        </is>
      </c>
      <c r="F187" s="31" t="inlineStr">
        <is>
          <t>pharmaceuticals - indian - bulk drugs &amp; formln</t>
        </is>
      </c>
      <c r="G187" s="31" t="inlineStr">
        <is>
          <t>largecap</t>
        </is>
      </c>
      <c r="H187" s="32" t="n">
        <v>28556.09</v>
      </c>
      <c r="I187" s="32" t="n">
        <v>214.22</v>
      </c>
      <c r="J187" s="32" t="n">
        <v>-0.13</v>
      </c>
      <c r="K187" s="32" t="n">
        <v>2618467</v>
      </c>
      <c r="L187" s="31" t="n">
        <v>31</v>
      </c>
      <c r="M187" s="31" t="inlineStr">
        <is>
          <t>Underperforming</t>
        </is>
      </c>
      <c r="N187" s="32">
        <f>IF(M187="Underperforming",-5,IF(L187&gt;=95,15,IF(L187&gt;=90,10,IF(L187&gt;=80,5,0))))</f>
        <v/>
      </c>
      <c r="O187" s="32" t="n">
        <v>69.11</v>
      </c>
      <c r="P187" s="32" t="n">
        <v>30.28</v>
      </c>
      <c r="Q187" s="32" t="n">
        <v>175.27</v>
      </c>
      <c r="R187" s="31" t="inlineStr">
        <is>
          <t>Near 52W High Breakout</t>
        </is>
      </c>
      <c r="S187" s="31" t="inlineStr">
        <is>
          <t>Nifty Pharma</t>
        </is>
      </c>
      <c r="T187" s="32" t="n">
        <v>20.77</v>
      </c>
      <c r="U187" s="32" t="n">
        <v>6.76</v>
      </c>
      <c r="V187" s="32" t="n">
        <v>-11.6</v>
      </c>
      <c r="W187" s="32" t="n">
        <v>8.16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Yes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Annuity, Lower One Time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No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IF(B188=0,"",RANK(B188,$B$2:$B$363,0))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3" t="inlineStr">
        <is>
          <t>LINCOLN</t>
        </is>
      </c>
      <c r="D188" s="33" t="inlineStr">
        <is>
          <t>Lincoln Pharmaceuticals Limited</t>
        </is>
      </c>
      <c r="E188" s="31" t="inlineStr">
        <is>
          <t>healthcare</t>
        </is>
      </c>
      <c r="F188" s="31" t="inlineStr">
        <is>
          <t>pharmaceuticals - indian - formulations</t>
        </is>
      </c>
      <c r="G188" s="31" t="inlineStr">
        <is>
          <t>smallcap</t>
        </is>
      </c>
      <c r="H188" s="32" t="n">
        <v>1247.15</v>
      </c>
      <c r="I188" s="32" t="n">
        <v>620.8</v>
      </c>
      <c r="J188" s="32" t="n">
        <v>-0.3</v>
      </c>
      <c r="K188" s="32" t="n">
        <v>29091</v>
      </c>
      <c r="L188" s="31" t="n">
        <v>11</v>
      </c>
      <c r="M188" s="31" t="inlineStr">
        <is>
          <t>Underperforming</t>
        </is>
      </c>
      <c r="N188" s="32">
        <f>IF(M188="Underperforming",-5,IF(L188&gt;=95,15,IF(L188&gt;=90,10,IF(L188&gt;=80,5,0))))</f>
        <v/>
      </c>
      <c r="O188" s="32" t="n">
        <v>53.38</v>
      </c>
      <c r="P188" s="32" t="n">
        <v>28.73</v>
      </c>
      <c r="Q188" s="32" t="n">
        <v>493.27</v>
      </c>
      <c r="R188" s="31" t="inlineStr">
        <is>
          <t>Earnings / Momentum Support</t>
        </is>
      </c>
      <c r="S188" s="31" t="inlineStr">
        <is>
          <t>Nifty Pharma</t>
        </is>
      </c>
      <c r="T188" s="32" t="n">
        <v>20.77</v>
      </c>
      <c r="U188" s="32" t="n">
        <v>11.47</v>
      </c>
      <c r="V188" s="32" t="n">
        <v>-7.7</v>
      </c>
      <c r="W188" s="32" t="n">
        <v>2.7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Yes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No</t>
        </is>
      </c>
      <c r="AQ188" s="31">
        <f>IF(AP188="Yes",10,0)</f>
        <v/>
      </c>
      <c r="AR188" s="31" t="inlineStr">
        <is>
          <t>Higher Annuity, Lower One Time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20 to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No</t>
        </is>
      </c>
      <c r="BS188" s="31">
        <f>IF(BR188="NO",5,0)</f>
        <v/>
      </c>
      <c r="BT188" s="31" t="inlineStr">
        <is>
          <t>Less than 1.5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IF(B189=0,"",RANK(B189,$B$2:$B$363,0))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ENTERO</t>
        </is>
      </c>
      <c r="D189" s="31" t="inlineStr">
        <is>
          <t>Entero Healthcare Solutions Ltd</t>
        </is>
      </c>
      <c r="E189" s="31" t="inlineStr">
        <is>
          <t>healthcare</t>
        </is>
      </c>
      <c r="F189" s="31" t="inlineStr">
        <is>
          <t>trading</t>
        </is>
      </c>
      <c r="G189" s="31" t="inlineStr">
        <is>
          <t>midcap</t>
        </is>
      </c>
      <c r="H189" s="32" t="n">
        <v>8043.06</v>
      </c>
      <c r="I189" s="32" t="n">
        <v>1827.6</v>
      </c>
      <c r="J189" s="32" t="n">
        <v>-1.1</v>
      </c>
      <c r="K189" s="32" t="n">
        <v>96165</v>
      </c>
      <c r="L189" s="31" t="n">
        <v>78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78.33</v>
      </c>
      <c r="P189" s="32" t="n">
        <v>33.27</v>
      </c>
      <c r="Q189" s="32" t="n">
        <v>1440.32</v>
      </c>
      <c r="R189" s="31" t="inlineStr">
        <is>
          <t>Near 52W High Breakout</t>
        </is>
      </c>
      <c r="S189" s="31" t="inlineStr">
        <is>
          <t>Nifty Pharma</t>
        </is>
      </c>
      <c r="T189" s="32" t="n">
        <v>20.77</v>
      </c>
      <c r="U189" s="32" t="n">
        <v>51.88</v>
      </c>
      <c r="V189" s="32" t="n">
        <v>25.76</v>
      </c>
      <c r="W189" s="32" t="n">
        <v>24.35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Yes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Annuity, Lower One Time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Above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Blue sky scenario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Between 1.5 to 2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IF(B190=0,"",RANK(B190,$B$2:$B$363,0))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3" t="inlineStr">
        <is>
          <t>ANTHEM</t>
        </is>
      </c>
      <c r="D190" s="33" t="inlineStr">
        <is>
          <t>Anthem Biosciences Ltd</t>
        </is>
      </c>
      <c r="E190" s="31" t="inlineStr">
        <is>
          <t>healthcare</t>
        </is>
      </c>
      <c r="F190" s="31" t="inlineStr">
        <is>
          <t>pharmaceuticals - indian - bulk drugs &amp; formln</t>
        </is>
      </c>
      <c r="G190" s="31" t="inlineStr">
        <is>
          <t>largecap</t>
        </is>
      </c>
      <c r="H190" s="32" t="n">
        <v>53560.99</v>
      </c>
      <c r="I190" s="32" t="n">
        <v>934.05</v>
      </c>
      <c r="J190" s="32" t="n">
        <v>-1.75</v>
      </c>
      <c r="K190" s="32" t="n">
        <v>872940</v>
      </c>
      <c r="L190" s="31" t="n">
        <v>31</v>
      </c>
      <c r="M190" s="31" t="inlineStr">
        <is>
          <t>Underperforming</t>
        </is>
      </c>
      <c r="N190" s="32">
        <f>IF(M190="Underperforming",-5,IF(L190&gt;=95,15,IF(L190&gt;=90,10,IF(L190&gt;=80,5,0))))</f>
        <v/>
      </c>
      <c r="O190" s="32" t="n">
        <v>72.53</v>
      </c>
      <c r="P190" s="32" t="n">
        <v>42.76</v>
      </c>
      <c r="Q190" s="32" t="n">
        <v>779.02</v>
      </c>
      <c r="R190" s="31" t="inlineStr">
        <is>
          <t>Near 52W High Breakout</t>
        </is>
      </c>
      <c r="S190" s="31" t="inlineStr">
        <is>
          <t>Nifty Pharma</t>
        </is>
      </c>
      <c r="T190" s="32" t="n">
        <v>20.77</v>
      </c>
      <c r="U190" s="32" t="n">
        <v>12.86</v>
      </c>
      <c r="V190" s="32" t="n">
        <v>-6.55</v>
      </c>
      <c r="W190" s="32" t="n">
        <v>8.199999999999999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Yes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Annuity, Lower One Time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Above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Blue sky scenario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Less than 12%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Yes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IF(B191=0,"",RANK(B191,$B$2:$B$363,0))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3" t="inlineStr">
        <is>
          <t>SYNCOMF</t>
        </is>
      </c>
      <c r="D191" s="33" t="inlineStr">
        <is>
          <t>Syncom Formulations (India) Ltd</t>
        </is>
      </c>
      <c r="E191" s="31" t="inlineStr">
        <is>
          <t>healthcare</t>
        </is>
      </c>
      <c r="F191" s="31" t="inlineStr">
        <is>
          <t>pharmaceuticals - indian - bulk drugs &amp; formln</t>
        </is>
      </c>
      <c r="G191" s="31" t="inlineStr">
        <is>
          <t>smallcap</t>
        </is>
      </c>
      <c r="H191" s="32" t="n">
        <v>2007.84</v>
      </c>
      <c r="I191" s="32" t="n">
        <v>20.58</v>
      </c>
      <c r="J191" s="32" t="n">
        <v>-3.65</v>
      </c>
      <c r="K191" s="32" t="n">
        <v>16788160</v>
      </c>
      <c r="L191" s="31" t="n">
        <v>52</v>
      </c>
      <c r="M191" s="31" t="inlineStr">
        <is>
          <t>Underperforming</t>
        </is>
      </c>
      <c r="N191" s="32">
        <f>IF(M191="Underperforming",-5,IF(L191&gt;=95,15,IF(L191&gt;=90,10,IF(L191&gt;=80,5,0))))</f>
        <v/>
      </c>
      <c r="O191" s="32" t="n">
        <v>76.81999999999999</v>
      </c>
      <c r="P191" s="32" t="n">
        <v>23.41</v>
      </c>
      <c r="Q191" s="32" t="n">
        <v>15.49</v>
      </c>
      <c r="R191" s="31" t="inlineStr">
        <is>
          <t>Volume Spike &amp; Near 52W High Breakout</t>
        </is>
      </c>
      <c r="S191" s="31" t="inlineStr">
        <is>
          <t>Nifty Pharma</t>
        </is>
      </c>
      <c r="T191" s="32" t="n">
        <v>20.77</v>
      </c>
      <c r="U191" s="32" t="n">
        <v>19.58</v>
      </c>
      <c r="V191" s="32" t="n">
        <v>-0.98</v>
      </c>
      <c r="W191" s="32" t="n">
        <v>14.41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Yes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Annuity, Lower One Time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Above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No</t>
        </is>
      </c>
      <c r="BS191" s="31">
        <f>IF(BR191="NO",5,0)</f>
        <v/>
      </c>
      <c r="BT191" s="31" t="inlineStr">
        <is>
          <t>Less than 1.5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IF(B192=0,"",RANK(B192,$B$2:$B$363,0))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WELENT</t>
        </is>
      </c>
      <c r="D192" s="31" t="inlineStr">
        <is>
          <t>Welspun Enterprises Limited</t>
        </is>
      </c>
      <c r="E192" s="31" t="inlineStr">
        <is>
          <t>realty</t>
        </is>
      </c>
      <c r="F192" s="31" t="inlineStr">
        <is>
          <t>construction</t>
        </is>
      </c>
      <c r="G192" s="31" t="inlineStr">
        <is>
          <t>midcap</t>
        </is>
      </c>
      <c r="H192" s="32" t="n">
        <v>10585.2</v>
      </c>
      <c r="I192" s="32" t="n">
        <v>813.6</v>
      </c>
      <c r="J192" s="32" t="n">
        <v>6.39</v>
      </c>
      <c r="K192" s="32" t="n">
        <v>2915318</v>
      </c>
      <c r="L192" s="31" t="n">
        <v>80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80.81</v>
      </c>
      <c r="P192" s="32" t="n">
        <v>27.6</v>
      </c>
      <c r="Q192" s="32" t="n">
        <v>649.84</v>
      </c>
      <c r="R192" s="31" t="inlineStr">
        <is>
          <t>Volume Spike &amp; Near 52W High Breakout</t>
        </is>
      </c>
      <c r="S192" s="31" t="inlineStr">
        <is>
          <t>Nifty Realty</t>
        </is>
      </c>
      <c r="T192" s="32" t="n">
        <v>-4.49</v>
      </c>
      <c r="U192" s="32" t="n">
        <v>64.26000000000001</v>
      </c>
      <c r="V192" s="32" t="n">
        <v>71.98999999999999</v>
      </c>
      <c r="W192" s="32" t="n">
        <v>25.4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20 to 40</t>
        </is>
      </c>
      <c r="AY192" s="31">
        <f>IF(AX192="Above 40",20,IF(AX192="20 to 40",10,IF(AX192="0 to 20",-5,0)))</f>
        <v/>
      </c>
      <c r="AZ192" s="31" t="inlineStr">
        <is>
          <t>Above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Blue sky scenario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Less than 12%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IF(B193=0,"",RANK(B193,$B$2:$B$363,0))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UNIVPHOTO</t>
        </is>
      </c>
      <c r="D193" s="31" t="inlineStr">
        <is>
          <t>Universus Photo Imagings Ltd</t>
        </is>
      </c>
      <c r="E193" s="31" t="inlineStr">
        <is>
          <t>consumer discretionary</t>
        </is>
      </c>
      <c r="F193" s="31" t="inlineStr">
        <is>
          <t>photographic and allied products</t>
        </is>
      </c>
      <c r="G193" s="31" t="inlineStr">
        <is>
          <t>smallcap</t>
        </is>
      </c>
      <c r="H193" s="32" t="n">
        <v>511.48</v>
      </c>
      <c r="I193" s="32" t="n">
        <v>490.4</v>
      </c>
      <c r="J193" s="32" t="n">
        <v>4.95</v>
      </c>
      <c r="K193" s="32" t="n">
        <v>2480</v>
      </c>
      <c r="L193" s="31" t="n">
        <v>79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63.48</v>
      </c>
      <c r="P193" s="32" t="n">
        <v>15.69</v>
      </c>
      <c r="Q193" s="32" t="n">
        <v>358.19</v>
      </c>
      <c r="R193" s="31" t="inlineStr">
        <is>
          <t>Near 52W High Breakout</t>
        </is>
      </c>
      <c r="S193" s="31" t="inlineStr">
        <is>
          <t>Nifty 50</t>
        </is>
      </c>
      <c r="T193" s="32" t="n">
        <v>-3.41</v>
      </c>
      <c r="U193" s="32" t="n">
        <v>92.23999999999999</v>
      </c>
      <c r="V193" s="32" t="n">
        <v>99.02</v>
      </c>
      <c r="W193" s="32" t="n">
        <v>24.85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Headwind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0 to 20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Blue sky scenario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No</t>
        </is>
      </c>
      <c r="BS193" s="31">
        <f>IF(BR193="NO",5,0)</f>
        <v/>
      </c>
      <c r="BT193" s="31" t="inlineStr">
        <is>
          <t>Less than 1.5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IF(B194=0,"",RANK(B194,$B$2:$B$363,0))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3" t="inlineStr">
        <is>
          <t>LOTUSDEV</t>
        </is>
      </c>
      <c r="D194" s="33" t="inlineStr">
        <is>
          <t>Sri Lotus Developers &amp; Realty Ltd</t>
        </is>
      </c>
      <c r="E194" s="31" t="inlineStr">
        <is>
          <t>realty</t>
        </is>
      </c>
      <c r="F194" s="31" t="inlineStr">
        <is>
          <t>construction</t>
        </is>
      </c>
      <c r="G194" s="31" t="inlineStr">
        <is>
          <t>midcap</t>
        </is>
      </c>
      <c r="H194" s="32" t="n">
        <v>9023.790000000001</v>
      </c>
      <c r="I194" s="32" t="n">
        <v>193.25</v>
      </c>
      <c r="J194" s="32" t="n">
        <v>4.66</v>
      </c>
      <c r="K194" s="32" t="n">
        <v>1589932</v>
      </c>
      <c r="L194" s="31" t="n">
        <v>29</v>
      </c>
      <c r="M194" s="31" t="inlineStr">
        <is>
          <t>Underperforming</t>
        </is>
      </c>
      <c r="N194" s="32">
        <f>IF(M194="Underperforming",-5,IF(L194&gt;=95,15,IF(L194&gt;=90,10,IF(L194&gt;=80,5,0))))</f>
        <v/>
      </c>
      <c r="O194" s="32" t="n">
        <v>61.03</v>
      </c>
      <c r="P194" s="32" t="n">
        <v>19.25</v>
      </c>
      <c r="Q194" s="32" t="n">
        <v>149.73</v>
      </c>
      <c r="R194" s="31" t="inlineStr">
        <is>
          <t>Near 52W High Breakout</t>
        </is>
      </c>
      <c r="S194" s="31" t="inlineStr">
        <is>
          <t>Nifty Realty</t>
        </is>
      </c>
      <c r="T194" s="32" t="n">
        <v>3.86</v>
      </c>
      <c r="U194" s="32" t="n">
        <v>-7.88</v>
      </c>
      <c r="V194" s="32" t="n">
        <v>-11.3</v>
      </c>
      <c r="W194" s="32" t="n">
        <v>7.7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0 to 20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Less than 1.5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IF(B195=0,"",RANK(B195,$B$2:$B$363,0))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OAL</t>
        </is>
      </c>
      <c r="D195" s="31" t="inlineStr">
        <is>
          <t>Oriental Aromatics Ltd</t>
        </is>
      </c>
      <c r="E195" s="31" t="inlineStr">
        <is>
          <t>chemicals</t>
        </is>
      </c>
      <c r="F195" s="31" t="inlineStr">
        <is>
          <t>chemicals</t>
        </is>
      </c>
      <c r="G195" s="31" t="inlineStr">
        <is>
          <t>smallcap</t>
        </is>
      </c>
      <c r="H195" s="32" t="n">
        <v>1690.42</v>
      </c>
      <c r="I195" s="32" t="n">
        <v>519.9</v>
      </c>
      <c r="J195" s="32" t="n">
        <v>3.5</v>
      </c>
      <c r="K195" s="32" t="n">
        <v>181436</v>
      </c>
      <c r="L195" s="31" t="n">
        <v>80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76.42</v>
      </c>
      <c r="P195" s="32" t="n">
        <v>30.67</v>
      </c>
      <c r="Q195" s="32" t="n">
        <v>382.92</v>
      </c>
      <c r="R195" s="31" t="inlineStr">
        <is>
          <t>Near 52W High Breakout</t>
        </is>
      </c>
      <c r="S195" s="31" t="inlineStr">
        <is>
          <t>Nifty 50</t>
        </is>
      </c>
      <c r="T195" s="32" t="n">
        <v>-3.41</v>
      </c>
      <c r="U195" s="32" t="n">
        <v>53.66</v>
      </c>
      <c r="V195" s="32" t="n">
        <v>59.08</v>
      </c>
      <c r="W195" s="32" t="n">
        <v>25.36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Above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Yes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IF(B196=0,"",RANK(B196,$B$2:$B$363,0))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VOLTAMP</t>
        </is>
      </c>
      <c r="D196" s="31" t="inlineStr">
        <is>
          <t>Voltamp Transformers Limited</t>
        </is>
      </c>
      <c r="E196" s="31" t="inlineStr">
        <is>
          <t>industrials</t>
        </is>
      </c>
      <c r="F196" s="31" t="inlineStr">
        <is>
          <t>electric equipment</t>
        </is>
      </c>
      <c r="G196" s="31" t="inlineStr">
        <is>
          <t>midcap</t>
        </is>
      </c>
      <c r="H196" s="32" t="n">
        <v>11312.96</v>
      </c>
      <c r="I196" s="32" t="n">
        <v>11418</v>
      </c>
      <c r="J196" s="32" t="n">
        <v>2.11</v>
      </c>
      <c r="K196" s="32" t="n">
        <v>50836</v>
      </c>
      <c r="L196" s="31" t="n">
        <v>43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67.45999999999999</v>
      </c>
      <c r="P196" s="32" t="n">
        <v>30.43</v>
      </c>
      <c r="Q196" s="32" t="n">
        <v>8938.16</v>
      </c>
      <c r="R196" s="31" t="inlineStr">
        <is>
          <t>Near 52W High Breakout</t>
        </is>
      </c>
      <c r="S196" s="31" t="inlineStr">
        <is>
          <t>Nifty 50</t>
        </is>
      </c>
      <c r="T196" s="32" t="n">
        <v>-3.41</v>
      </c>
      <c r="U196" s="32" t="n">
        <v>46.84</v>
      </c>
      <c r="V196" s="32" t="n">
        <v>52.02</v>
      </c>
      <c r="W196" s="32" t="n">
        <v>11.56</v>
      </c>
      <c r="X196" s="31" t="inlineStr">
        <is>
          <t>Cyclical in an Upturn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Yes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20 to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Between 12 to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No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IF(B197=0,"",RANK(B197,$B$2:$B$363,0))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MMP</t>
        </is>
      </c>
      <c r="D197" s="31" t="inlineStr">
        <is>
          <t>MMP Industries Ltd</t>
        </is>
      </c>
      <c r="E197" s="31" t="inlineStr">
        <is>
          <t>metals &amp; mining</t>
        </is>
      </c>
      <c r="F197" s="31" t="inlineStr">
        <is>
          <t>aluminium and aluminium products</t>
        </is>
      </c>
      <c r="G197" s="31" t="inlineStr">
        <is>
          <t>smallcap</t>
        </is>
      </c>
      <c r="H197" s="32" t="n">
        <v>749.17</v>
      </c>
      <c r="I197" s="32" t="n">
        <v>404.15</v>
      </c>
      <c r="J197" s="32" t="n">
        <v>2.07</v>
      </c>
      <c r="K197" s="32" t="n">
        <v>112103</v>
      </c>
      <c r="L197" s="31" t="n">
        <v>75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79.45</v>
      </c>
      <c r="P197" s="32" t="n">
        <v>45.69</v>
      </c>
      <c r="Q197" s="32" t="n">
        <v>302.87</v>
      </c>
      <c r="R197" s="31" t="inlineStr">
        <is>
          <t>Near 52W High Breakout</t>
        </is>
      </c>
      <c r="S197" s="31" t="inlineStr">
        <is>
          <t>Nifty Metal</t>
        </is>
      </c>
      <c r="T197" s="32" t="n">
        <v>41.3</v>
      </c>
      <c r="U197" s="32" t="n">
        <v>50.17</v>
      </c>
      <c r="V197" s="32" t="n">
        <v>6.28</v>
      </c>
      <c r="W197" s="32" t="n">
        <v>23.37</v>
      </c>
      <c r="X197" s="31" t="inlineStr">
        <is>
          <t>Cyclical in an Upturn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Cyclical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Volatile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Above 40</t>
        </is>
      </c>
      <c r="AY197" s="31">
        <f>IF(AX197="Above 40",20,IF(AX197="20 to 40",10,IF(AX197="0 to 20",-5,0)))</f>
        <v/>
      </c>
      <c r="AZ197" s="31" t="inlineStr">
        <is>
          <t>Above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Blue sky scenario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No</t>
        </is>
      </c>
      <c r="BS197" s="31">
        <f>IF(BR197="NO",5,0)</f>
        <v/>
      </c>
      <c r="BT197" s="31" t="inlineStr">
        <is>
          <t>Less than 1.5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IF(B198=0,"",RANK(B198,$B$2:$B$363,0))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IKIO</t>
        </is>
      </c>
      <c r="D198" s="31" t="inlineStr">
        <is>
          <t>IKIO Lighting Ltd</t>
        </is>
      </c>
      <c r="E198" s="31" t="inlineStr">
        <is>
          <t>consumer discretionary</t>
        </is>
      </c>
      <c r="F198" s="31" t="inlineStr">
        <is>
          <t>electric equipment</t>
        </is>
      </c>
      <c r="G198" s="31" t="inlineStr">
        <is>
          <t>smallcap</t>
        </is>
      </c>
      <c r="H198" s="32" t="n">
        <v>1609.83</v>
      </c>
      <c r="I198" s="32" t="n">
        <v>212.34</v>
      </c>
      <c r="J198" s="32" t="n">
        <v>1.93</v>
      </c>
      <c r="K198" s="32" t="n">
        <v>831128</v>
      </c>
      <c r="L198" s="31" t="n">
        <v>39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61.77</v>
      </c>
      <c r="P198" s="32" t="n">
        <v>39.5</v>
      </c>
      <c r="Q198" s="32" t="n">
        <v>156.42</v>
      </c>
      <c r="R198" s="31" t="inlineStr">
        <is>
          <t>Earnings / Momentum Support</t>
        </is>
      </c>
      <c r="S198" s="31" t="inlineStr">
        <is>
          <t>Nifty 50</t>
        </is>
      </c>
      <c r="T198" s="32" t="n">
        <v>-3.41</v>
      </c>
      <c r="U198" s="32" t="n">
        <v>2.81</v>
      </c>
      <c r="V198" s="32" t="n">
        <v>6.44</v>
      </c>
      <c r="W198" s="32" t="n">
        <v>10.22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No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IF(B199=0,"",RANK(B199,$B$2:$B$363,0))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ELGIEQUIP</t>
        </is>
      </c>
      <c r="D199" s="31" t="inlineStr">
        <is>
          <t>Elgi Equipments Limited</t>
        </is>
      </c>
      <c r="E199" s="31" t="inlineStr">
        <is>
          <t>industrials</t>
        </is>
      </c>
      <c r="F199" s="31" t="inlineStr">
        <is>
          <t>compressors / drilling equipment</t>
        </is>
      </c>
      <c r="G199" s="31" t="inlineStr">
        <is>
          <t>midcap</t>
        </is>
      </c>
      <c r="H199" s="32" t="n">
        <v>19976.36</v>
      </c>
      <c r="I199" s="32" t="n">
        <v>642.1</v>
      </c>
      <c r="J199" s="32" t="n">
        <v>1.86</v>
      </c>
      <c r="K199" s="32" t="n">
        <v>691967</v>
      </c>
      <c r="L199" s="31" t="n">
        <v>28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67.54000000000001</v>
      </c>
      <c r="P199" s="32" t="n">
        <v>25.73</v>
      </c>
      <c r="Q199" s="32" t="n">
        <v>529.99</v>
      </c>
      <c r="R199" s="31" t="inlineStr">
        <is>
          <t>Near 52W High Breakout</t>
        </is>
      </c>
      <c r="S199" s="31" t="inlineStr">
        <is>
          <t>Nifty 50</t>
        </is>
      </c>
      <c r="T199" s="32" t="n">
        <v>-3.41</v>
      </c>
      <c r="U199" s="32" t="n">
        <v>35.23</v>
      </c>
      <c r="V199" s="32" t="n">
        <v>40</v>
      </c>
      <c r="W199" s="32" t="n">
        <v>7.52</v>
      </c>
      <c r="X199" s="31" t="inlineStr">
        <is>
          <t>Cyclical in an Upturn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Yes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IF(B200=0,"",RANK(B200,$B$2:$B$363,0))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GANESHBE</t>
        </is>
      </c>
      <c r="D200" s="31" t="inlineStr">
        <is>
          <t>Ganesh Benzoplast Ltd</t>
        </is>
      </c>
      <c r="E200" s="31" t="inlineStr">
        <is>
          <t>miscellaneous</t>
        </is>
      </c>
      <c r="F200" s="31" t="inlineStr">
        <is>
          <t>miscellaneous</t>
        </is>
      </c>
      <c r="G200" s="31" t="inlineStr">
        <is>
          <t>smallcap</t>
        </is>
      </c>
      <c r="H200" s="32" t="n">
        <v>872.37</v>
      </c>
      <c r="I200" s="32" t="n">
        <v>123.23</v>
      </c>
      <c r="J200" s="32" t="n">
        <v>1.69</v>
      </c>
      <c r="K200" s="32" t="n">
        <v>82123</v>
      </c>
      <c r="L200" s="31" t="n">
        <v>33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65.98999999999999</v>
      </c>
      <c r="P200" s="32" t="n">
        <v>32.64</v>
      </c>
      <c r="Q200" s="32" t="n">
        <v>89.76000000000001</v>
      </c>
      <c r="R200" s="31" t="inlineStr">
        <is>
          <t>Near 52W High Breakout</t>
        </is>
      </c>
      <c r="S200" s="31" t="inlineStr">
        <is>
          <t>Nifty 50</t>
        </is>
      </c>
      <c r="T200" s="32" t="n">
        <v>-3.41</v>
      </c>
      <c r="U200" s="32" t="n">
        <v>28.06</v>
      </c>
      <c r="V200" s="32" t="n">
        <v>32.58</v>
      </c>
      <c r="W200" s="32" t="n">
        <v>8.619999999999999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Less than 12%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IF(B201=0,"",RANK(B201,$B$2:$B$363,0))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PAYTM</t>
        </is>
      </c>
      <c r="D201" s="31" t="inlineStr">
        <is>
          <t>One 97 Communications Ltd</t>
        </is>
      </c>
      <c r="E201" s="31" t="inlineStr">
        <is>
          <t>i.t</t>
        </is>
      </c>
      <c r="F201" s="31" t="inlineStr">
        <is>
          <t>miscellaneous</t>
        </is>
      </c>
      <c r="G201" s="31" t="inlineStr">
        <is>
          <t>largecap</t>
        </is>
      </c>
      <c r="H201" s="32" t="n">
        <v>104823.17</v>
      </c>
      <c r="I201" s="32" t="n">
        <v>1659.5</v>
      </c>
      <c r="J201" s="32" t="n">
        <v>1.37</v>
      </c>
      <c r="K201" s="32" t="n">
        <v>5191803</v>
      </c>
      <c r="L201" s="31" t="n">
        <v>67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75.34999999999999</v>
      </c>
      <c r="P201" s="32" t="n">
        <v>25.91</v>
      </c>
      <c r="Q201" s="32" t="n">
        <v>1330.78</v>
      </c>
      <c r="R201" s="31" t="inlineStr">
        <is>
          <t>Near 52W High Breakout</t>
        </is>
      </c>
      <c r="S201" s="31" t="inlineStr">
        <is>
          <t>Nifty IT</t>
        </is>
      </c>
      <c r="T201" s="32" t="n">
        <v>-11.38</v>
      </c>
      <c r="U201" s="32" t="n">
        <v>32.26</v>
      </c>
      <c r="V201" s="32" t="n">
        <v>49.24</v>
      </c>
      <c r="W201" s="32" t="n">
        <v>19.71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Yes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Above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Blue sky scenario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Yes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IF(B202=0,"",RANK(B202,$B$2:$B$363,0))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3" t="inlineStr">
        <is>
          <t>KAMDHENU</t>
        </is>
      </c>
      <c r="D202" s="33" t="inlineStr">
        <is>
          <t>Kamdhenu Limited</t>
        </is>
      </c>
      <c r="E202" s="31" t="inlineStr">
        <is>
          <t>metals &amp; mining</t>
        </is>
      </c>
      <c r="F202" s="31" t="inlineStr">
        <is>
          <t>steel - medium / small</t>
        </is>
      </c>
      <c r="G202" s="31" t="inlineStr">
        <is>
          <t>smallcap</t>
        </is>
      </c>
      <c r="H202" s="32" t="n">
        <v>1092.86</v>
      </c>
      <c r="I202" s="32" t="n">
        <v>39.24</v>
      </c>
      <c r="J202" s="32" t="n">
        <v>1.21</v>
      </c>
      <c r="K202" s="32" t="n">
        <v>1255794</v>
      </c>
      <c r="L202" s="31" t="n">
        <v>81</v>
      </c>
      <c r="M202" s="31" t="inlineStr">
        <is>
          <t>Underperforming</t>
        </is>
      </c>
      <c r="N202" s="32">
        <f>IF(M202="Underperforming",-5,IF(L202&gt;=95,15,IF(L202&gt;=90,10,IF(L202&gt;=80,5,0))))</f>
        <v/>
      </c>
      <c r="O202" s="32" t="n">
        <v>74.38</v>
      </c>
      <c r="P202" s="32" t="n">
        <v>48.38</v>
      </c>
      <c r="Q202" s="32" t="n">
        <v>29.29</v>
      </c>
      <c r="R202" s="31" t="inlineStr">
        <is>
          <t>Near 52W High Breakout</t>
        </is>
      </c>
      <c r="S202" s="31" t="inlineStr">
        <is>
          <t>Nifty Metal</t>
        </is>
      </c>
      <c r="T202" s="32" t="n">
        <v>41.3</v>
      </c>
      <c r="U202" s="32" t="n">
        <v>32.59</v>
      </c>
      <c r="V202" s="32" t="n">
        <v>-6.16</v>
      </c>
      <c r="W202" s="32" t="n">
        <v>26.56</v>
      </c>
      <c r="X202" s="31" t="inlineStr">
        <is>
          <t>Cyclical in an Upturn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Cyclical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Volatile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Above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No</t>
        </is>
      </c>
      <c r="BS202" s="31">
        <f>IF(BR202="NO",5,0)</f>
        <v/>
      </c>
      <c r="BT202" s="31" t="inlineStr">
        <is>
          <t>Less than 1.5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IF(B203=0,"",RANK(B203,$B$2:$B$363,0))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LOKESHMACH</t>
        </is>
      </c>
      <c r="D203" s="31" t="inlineStr">
        <is>
          <t>Lokesh Machines Limited</t>
        </is>
      </c>
      <c r="E203" s="31" t="inlineStr">
        <is>
          <t>industrials</t>
        </is>
      </c>
      <c r="F203" s="31" t="inlineStr">
        <is>
          <t>engineering</t>
        </is>
      </c>
      <c r="G203" s="31" t="inlineStr">
        <is>
          <t>smallcap</t>
        </is>
      </c>
      <c r="H203" s="32" t="n">
        <v>785.34</v>
      </c>
      <c r="I203" s="32" t="n">
        <v>364.6</v>
      </c>
      <c r="J203" s="32" t="n">
        <v>1.19</v>
      </c>
      <c r="K203" s="32" t="n">
        <v>56473</v>
      </c>
      <c r="L203" s="31" t="n">
        <v>79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71</v>
      </c>
      <c r="P203" s="32" t="n">
        <v>42.8</v>
      </c>
      <c r="Q203" s="32" t="n">
        <v>275.69</v>
      </c>
      <c r="R203" s="31" t="inlineStr">
        <is>
          <t>Volume Spike &amp; Near 52W High Breakout</t>
        </is>
      </c>
      <c r="S203" s="31" t="inlineStr">
        <is>
          <t>Nifty 50</t>
        </is>
      </c>
      <c r="T203" s="32" t="n">
        <v>-3.41</v>
      </c>
      <c r="U203" s="32" t="n">
        <v>80.2</v>
      </c>
      <c r="V203" s="32" t="n">
        <v>86.56</v>
      </c>
      <c r="W203" s="32" t="n">
        <v>24.97</v>
      </c>
      <c r="X203" s="31" t="inlineStr">
        <is>
          <t>Cyclical in an Upturn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Yes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Above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Yes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Between 0.7 to 1.2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IF(B204=0,"",RANK(B204,$B$2:$B$363,0))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ARIES</t>
        </is>
      </c>
      <c r="D204" s="31" t="inlineStr">
        <is>
          <t>Aries Agro Limited</t>
        </is>
      </c>
      <c r="E204" s="31" t="inlineStr">
        <is>
          <t>chemicals</t>
        </is>
      </c>
      <c r="F204" s="31" t="inlineStr">
        <is>
          <t>fertilizers</t>
        </is>
      </c>
      <c r="G204" s="31" t="inlineStr">
        <is>
          <t>smallcap</t>
        </is>
      </c>
      <c r="H204" s="32" t="n">
        <v>645.8</v>
      </c>
      <c r="I204" s="32" t="n">
        <v>500.1</v>
      </c>
      <c r="J204" s="32" t="n">
        <v>0.7</v>
      </c>
      <c r="K204" s="32" t="n">
        <v>59836</v>
      </c>
      <c r="L204" s="31" t="n">
        <v>57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79.92</v>
      </c>
      <c r="P204" s="32" t="n">
        <v>19.81</v>
      </c>
      <c r="Q204" s="32" t="n">
        <v>389.74</v>
      </c>
      <c r="R204" s="31" t="inlineStr">
        <is>
          <t>Volume Spike &amp; Near 52W High Breakout</t>
        </is>
      </c>
      <c r="S204" s="31" t="inlineStr">
        <is>
          <t>Nifty 50</t>
        </is>
      </c>
      <c r="T204" s="32" t="n">
        <v>-3.41</v>
      </c>
      <c r="U204" s="32" t="n">
        <v>21.25</v>
      </c>
      <c r="V204" s="32" t="n">
        <v>25.53</v>
      </c>
      <c r="W204" s="32" t="n">
        <v>16.67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Yes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0 to 20</t>
        </is>
      </c>
      <c r="AY204" s="31">
        <f>IF(AX204="Above 40",20,IF(AX204="20 to 40",10,IF(AX204="0 to 20",-5,0)))</f>
        <v/>
      </c>
      <c r="AZ204" s="31" t="inlineStr">
        <is>
          <t>Above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Blue sky scenario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No</t>
        </is>
      </c>
      <c r="BS204" s="31">
        <f>IF(BR204="NO",5,0)</f>
        <v/>
      </c>
      <c r="BT204" s="31" t="inlineStr">
        <is>
          <t>Less than 1.5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IF(B205=0,"",RANK(B205,$B$2:$B$363,0))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SGIL</t>
        </is>
      </c>
      <c r="D205" s="31" t="inlineStr">
        <is>
          <t>Synergy Green Industries Ltd</t>
        </is>
      </c>
      <c r="E205" s="31" t="inlineStr">
        <is>
          <t>industrials</t>
        </is>
      </c>
      <c r="F205" s="31" t="inlineStr">
        <is>
          <t>castings &amp; forgings</t>
        </is>
      </c>
      <c r="G205" s="31" t="inlineStr">
        <is>
          <t>smallcap</t>
        </is>
      </c>
      <c r="H205" s="32" t="n">
        <v>938.49</v>
      </c>
      <c r="I205" s="32" t="n">
        <v>606.2</v>
      </c>
      <c r="J205" s="32" t="n">
        <v>0.4</v>
      </c>
      <c r="K205" s="32" t="n">
        <v>4698</v>
      </c>
      <c r="L205" s="31" t="n">
        <v>14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58.61</v>
      </c>
      <c r="P205" s="32" t="n">
        <v>22.92</v>
      </c>
      <c r="Q205" s="32" t="n">
        <v>456.13</v>
      </c>
      <c r="R205" s="31" t="inlineStr">
        <is>
          <t>Near 52W High Breakout</t>
        </is>
      </c>
      <c r="S205" s="31" t="inlineStr">
        <is>
          <t>Nifty 50</t>
        </is>
      </c>
      <c r="T205" s="32" t="n">
        <v>-3.41</v>
      </c>
      <c r="U205" s="32" t="n">
        <v>10.23</v>
      </c>
      <c r="V205" s="32" t="n">
        <v>14.12</v>
      </c>
      <c r="W205" s="32" t="n">
        <v>3.44</v>
      </c>
      <c r="X205" s="31" t="inlineStr">
        <is>
          <t>Cyclical in an Upturn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Blue sky scenario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No</t>
        </is>
      </c>
      <c r="BS205" s="31">
        <f>IF(BR205="NO",5,0)</f>
        <v/>
      </c>
      <c r="BT205" s="31" t="inlineStr">
        <is>
          <t>Less than 1.5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More than 1.2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IF(B206=0,"",RANK(B206,$B$2:$B$363,0))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YUKEN</t>
        </is>
      </c>
      <c r="D206" s="31" t="inlineStr">
        <is>
          <t>Yuken India Ltd</t>
        </is>
      </c>
      <c r="E206" s="31" t="inlineStr">
        <is>
          <t>industrials</t>
        </is>
      </c>
      <c r="F206" s="31" t="inlineStr">
        <is>
          <t>engineering</t>
        </is>
      </c>
      <c r="G206" s="31" t="inlineStr">
        <is>
          <t>smallcap</t>
        </is>
      </c>
      <c r="H206" s="32" t="n">
        <v>1372.05</v>
      </c>
      <c r="I206" s="32" t="n">
        <v>1010.8</v>
      </c>
      <c r="J206" s="32" t="n">
        <v>0.07000000000000001</v>
      </c>
      <c r="K206" s="32" t="n">
        <v>9116</v>
      </c>
      <c r="L206" s="31" t="n">
        <v>47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71.81</v>
      </c>
      <c r="P206" s="32" t="n">
        <v>22.52</v>
      </c>
      <c r="Q206" s="32" t="n">
        <v>797.24</v>
      </c>
      <c r="R206" s="31" t="inlineStr">
        <is>
          <t>Near 52W High Breakout</t>
        </is>
      </c>
      <c r="S206" s="31" t="inlineStr">
        <is>
          <t>Nifty 50</t>
        </is>
      </c>
      <c r="T206" s="32" t="n">
        <v>-3.41</v>
      </c>
      <c r="U206" s="32" t="n">
        <v>4.6</v>
      </c>
      <c r="V206" s="32" t="n">
        <v>8.289999999999999</v>
      </c>
      <c r="W206" s="32" t="n">
        <v>12.67</v>
      </c>
      <c r="X206" s="31" t="inlineStr">
        <is>
          <t>Cyclical in an Upturn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20 to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Yes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IF(B207=0,"",RANK(B207,$B$2:$B$363,0))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INGERRAND</t>
        </is>
      </c>
      <c r="D207" s="31" t="inlineStr">
        <is>
          <t>Ingersoll Rand (india) Limited</t>
        </is>
      </c>
      <c r="E207" s="31" t="inlineStr">
        <is>
          <t>industrials</t>
        </is>
      </c>
      <c r="F207" s="31" t="inlineStr">
        <is>
          <t>compressors / drilling equipment</t>
        </is>
      </c>
      <c r="G207" s="31" t="inlineStr">
        <is>
          <t>midcap</t>
        </is>
      </c>
      <c r="H207" s="32" t="n">
        <v>15299.12</v>
      </c>
      <c r="I207" s="32" t="n">
        <v>4844.7</v>
      </c>
      <c r="J207" s="32" t="n">
        <v>-0.04</v>
      </c>
      <c r="K207" s="32" t="n">
        <v>11320</v>
      </c>
      <c r="L207" s="31" t="n">
        <v>35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64.19</v>
      </c>
      <c r="P207" s="32" t="n">
        <v>23.36</v>
      </c>
      <c r="Q207" s="32" t="n">
        <v>3944.05</v>
      </c>
      <c r="R207" s="31" t="inlineStr">
        <is>
          <t>Near 52W High Breakout</t>
        </is>
      </c>
      <c r="S207" s="31" t="inlineStr">
        <is>
          <t>Nifty Infra</t>
        </is>
      </c>
      <c r="T207" s="32" t="n">
        <v>1.45</v>
      </c>
      <c r="U207" s="32" t="n">
        <v>24.28</v>
      </c>
      <c r="V207" s="32" t="n">
        <v>22.51</v>
      </c>
      <c r="W207" s="32" t="n">
        <v>9.029999999999999</v>
      </c>
      <c r="X207" s="31" t="inlineStr">
        <is>
          <t>Cyclical in an Upturn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Blue sky scenario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Between 12 to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Yes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IF(B208=0,"",RANK(B208,$B$2:$B$363,0))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MATRIMONY</t>
        </is>
      </c>
      <c r="D208" s="31" t="inlineStr">
        <is>
          <t>Matrimony.com Ltd</t>
        </is>
      </c>
      <c r="E208" s="31" t="inlineStr">
        <is>
          <t>miscellaneous</t>
        </is>
      </c>
      <c r="F208" s="31" t="inlineStr">
        <is>
          <t>miscellaneous</t>
        </is>
      </c>
      <c r="G208" s="31" t="inlineStr">
        <is>
          <t>smallcap</t>
        </is>
      </c>
      <c r="H208" s="32" t="n">
        <v>1094.86</v>
      </c>
      <c r="I208" s="32" t="n">
        <v>529.05</v>
      </c>
      <c r="J208" s="32" t="n">
        <v>-0.1</v>
      </c>
      <c r="K208" s="32" t="n">
        <v>7124</v>
      </c>
      <c r="L208" s="31" t="n">
        <v>32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64.54000000000001</v>
      </c>
      <c r="P208" s="32" t="n">
        <v>30.26</v>
      </c>
      <c r="Q208" s="32" t="n">
        <v>422.41</v>
      </c>
      <c r="R208" s="31" t="inlineStr">
        <is>
          <t>Earnings / Momentum Support</t>
        </is>
      </c>
      <c r="S208" s="31" t="inlineStr">
        <is>
          <t>Nifty 50</t>
        </is>
      </c>
      <c r="T208" s="32" t="n">
        <v>-3.41</v>
      </c>
      <c r="U208" s="32" t="n">
        <v>4.8</v>
      </c>
      <c r="V208" s="32" t="n">
        <v>8.5</v>
      </c>
      <c r="W208" s="32" t="n">
        <v>8.210000000000001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No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No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IF(B209=0,"",RANK(B209,$B$2:$B$363,0))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ENGINERSIN</t>
        </is>
      </c>
      <c r="D209" s="31" t="inlineStr">
        <is>
          <t>Engineers India Limited</t>
        </is>
      </c>
      <c r="E209" s="31" t="inlineStr">
        <is>
          <t>realty</t>
        </is>
      </c>
      <c r="F209" s="31" t="inlineStr">
        <is>
          <t>engineering - turnkey services</t>
        </is>
      </c>
      <c r="G209" s="31" t="inlineStr">
        <is>
          <t>midcap</t>
        </is>
      </c>
      <c r="H209" s="32" t="n">
        <v>15846.78</v>
      </c>
      <c r="I209" s="32" t="n">
        <v>279.45</v>
      </c>
      <c r="J209" s="32" t="n">
        <v>-0.89</v>
      </c>
      <c r="K209" s="32" t="n">
        <v>3490446</v>
      </c>
      <c r="L209" s="31" t="n">
        <v>39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68.13</v>
      </c>
      <c r="P209" s="32" t="n">
        <v>13.63</v>
      </c>
      <c r="Q209" s="32" t="n">
        <v>221.23</v>
      </c>
      <c r="R209" s="31" t="inlineStr">
        <is>
          <t>Volume Spike &amp; Near 52W High Breakout</t>
        </is>
      </c>
      <c r="S209" s="31" t="inlineStr">
        <is>
          <t>Nifty Realty</t>
        </is>
      </c>
      <c r="T209" s="32" t="n">
        <v>-4.49</v>
      </c>
      <c r="U209" s="32" t="n">
        <v>24.59</v>
      </c>
      <c r="V209" s="32" t="n">
        <v>30.45</v>
      </c>
      <c r="W209" s="32" t="n">
        <v>9.710000000000001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Yes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0 to 20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Blue sky scenario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No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IF(B210=0,"",RANK(B210,$B$2:$B$363,0))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LMW</t>
        </is>
      </c>
      <c r="D210" s="31" t="inlineStr">
        <is>
          <t>LMW Ltd</t>
        </is>
      </c>
      <c r="E210" s="31" t="inlineStr">
        <is>
          <t>industrials</t>
        </is>
      </c>
      <c r="F210" s="31" t="inlineStr">
        <is>
          <t>textile machinery</t>
        </is>
      </c>
      <c r="G210" s="31" t="inlineStr">
        <is>
          <t>largecap</t>
        </is>
      </c>
      <c r="H210" s="32" t="n">
        <v>20290.22</v>
      </c>
      <c r="I210" s="32" t="n">
        <v>18774</v>
      </c>
      <c r="J210" s="32" t="n">
        <v>-1.15</v>
      </c>
      <c r="K210" s="32" t="n">
        <v>2214</v>
      </c>
      <c r="L210" s="31" t="n">
        <v>39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66.09999999999999</v>
      </c>
      <c r="P210" s="32" t="n">
        <v>45.66</v>
      </c>
      <c r="Q210" s="32" t="n">
        <v>16253.39</v>
      </c>
      <c r="R210" s="31" t="inlineStr">
        <is>
          <t>Earnings / Momentum Support</t>
        </is>
      </c>
      <c r="S210" s="31" t="inlineStr">
        <is>
          <t>Nifty 50</t>
        </is>
      </c>
      <c r="T210" s="32" t="n">
        <v>-3.41</v>
      </c>
      <c r="U210" s="32" t="n">
        <v>32.48</v>
      </c>
      <c r="V210" s="32" t="n">
        <v>37.16</v>
      </c>
      <c r="W210" s="32" t="n">
        <v>10.05</v>
      </c>
      <c r="X210" s="31" t="inlineStr">
        <is>
          <t>Cyclical in an Upturn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No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Above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IF(B211=0,"",RANK(B211,$B$2:$B$363,0))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ORIENTHOT</t>
        </is>
      </c>
      <c r="D211" s="31" t="inlineStr">
        <is>
          <t>Oriental Hotels Limited</t>
        </is>
      </c>
      <c r="E211" s="31" t="inlineStr">
        <is>
          <t>services</t>
        </is>
      </c>
      <c r="F211" s="31" t="inlineStr">
        <is>
          <t>hotels</t>
        </is>
      </c>
      <c r="G211" s="31" t="inlineStr">
        <is>
          <t>smallcap</t>
        </is>
      </c>
      <c r="H211" s="32" t="n">
        <v>2535.39</v>
      </c>
      <c r="I211" s="32" t="n">
        <v>139.93</v>
      </c>
      <c r="J211" s="32" t="n">
        <v>-1.43</v>
      </c>
      <c r="K211" s="32" t="n">
        <v>301159</v>
      </c>
      <c r="L211" s="31" t="n">
        <v>38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62.93</v>
      </c>
      <c r="P211" s="32" t="n">
        <v>38.17</v>
      </c>
      <c r="Q211" s="32" t="n">
        <v>103.77</v>
      </c>
      <c r="R211" s="31" t="inlineStr">
        <is>
          <t>Near 52W High Breakout</t>
        </is>
      </c>
      <c r="S211" s="31" t="inlineStr">
        <is>
          <t>Nifty 50</t>
        </is>
      </c>
      <c r="T211" s="32" t="n">
        <v>-3.41</v>
      </c>
      <c r="U211" s="32" t="n">
        <v>0.25</v>
      </c>
      <c r="V211" s="32" t="n">
        <v>3.78</v>
      </c>
      <c r="W211" s="32" t="n">
        <v>9.609999999999999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Yes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20 to 40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Less than 12%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IF(B212=0,"",RANK(B212,$B$2:$B$363,0))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VARROC</t>
        </is>
      </c>
      <c r="D212" s="31" t="inlineStr">
        <is>
          <t>Varroc Engineering Ltd</t>
        </is>
      </c>
      <c r="E212" s="31" t="inlineStr">
        <is>
          <t>auto</t>
        </is>
      </c>
      <c r="F212" s="31" t="inlineStr">
        <is>
          <t>auto ancillaries</t>
        </is>
      </c>
      <c r="G212" s="31" t="inlineStr">
        <is>
          <t>midcap</t>
        </is>
      </c>
      <c r="H212" s="32" t="n">
        <v>12821.07</v>
      </c>
      <c r="I212" s="32" t="n">
        <v>826.35</v>
      </c>
      <c r="J212" s="32" t="n">
        <v>-1.53</v>
      </c>
      <c r="K212" s="32" t="n">
        <v>282257</v>
      </c>
      <c r="L212" s="31" t="n">
        <v>77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75.23</v>
      </c>
      <c r="P212" s="32" t="n">
        <v>50.12</v>
      </c>
      <c r="Q212" s="32" t="n">
        <v>681.6900000000001</v>
      </c>
      <c r="R212" s="31" t="inlineStr">
        <is>
          <t>Near 52W High Breakout</t>
        </is>
      </c>
      <c r="S212" s="31" t="inlineStr">
        <is>
          <t>Nifty Auto</t>
        </is>
      </c>
      <c r="T212" s="32" t="n">
        <v>16.52</v>
      </c>
      <c r="U212" s="32" t="n">
        <v>54.07</v>
      </c>
      <c r="V212" s="32" t="n">
        <v>32.23</v>
      </c>
      <c r="W212" s="32" t="n">
        <v>24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Above 40</t>
        </is>
      </c>
      <c r="AY212" s="31">
        <f>IF(AX212="Above 40",20,IF(AX212="20 to 40",10,IF(AX212="0 to 20",-5,0)))</f>
        <v/>
      </c>
      <c r="AZ212" s="31" t="inlineStr">
        <is>
          <t>Above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Blue sky scenario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Less than 12%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Yes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IF(B213=0,"",RANK(B213,$B$2:$B$363,0))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FOSECOIND</t>
        </is>
      </c>
      <c r="D213" s="31" t="inlineStr">
        <is>
          <t>Foseco India Limited</t>
        </is>
      </c>
      <c r="E213" s="31" t="inlineStr">
        <is>
          <t>chemicals</t>
        </is>
      </c>
      <c r="F213" s="31" t="inlineStr">
        <is>
          <t>chemicals</t>
        </is>
      </c>
      <c r="G213" s="31" t="inlineStr">
        <is>
          <t>smallcap</t>
        </is>
      </c>
      <c r="H213" s="32" t="n">
        <v>4803.12</v>
      </c>
      <c r="I213" s="32" t="n">
        <v>6263</v>
      </c>
      <c r="J213" s="32" t="n">
        <v>-1.72</v>
      </c>
      <c r="K213" s="32" t="n">
        <v>7937</v>
      </c>
      <c r="L213" s="31" t="n">
        <v>25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67.91</v>
      </c>
      <c r="P213" s="32" t="n">
        <v>24.48</v>
      </c>
      <c r="Q213" s="32" t="n">
        <v>4973.96</v>
      </c>
      <c r="R213" s="31" t="inlineStr">
        <is>
          <t>Volume Spike &amp; Near 52W High Breakout</t>
        </is>
      </c>
      <c r="S213" s="31" t="inlineStr">
        <is>
          <t>Nifty 50</t>
        </is>
      </c>
      <c r="T213" s="32" t="n">
        <v>-3.41</v>
      </c>
      <c r="U213" s="32" t="n">
        <v>-2.44</v>
      </c>
      <c r="V213" s="32" t="n">
        <v>1.01</v>
      </c>
      <c r="W213" s="32" t="n">
        <v>6.6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Yes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20 to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Blue sky scenario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Less than 12%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Yes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IF(B214=0,"",RANK(B214,$B$2:$B$363,0))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BEPL</t>
        </is>
      </c>
      <c r="D214" s="31" t="inlineStr">
        <is>
          <t>Bhansali Engineering Polymers Limited</t>
        </is>
      </c>
      <c r="E214" s="31" t="inlineStr">
        <is>
          <t>energy</t>
        </is>
      </c>
      <c r="F214" s="31" t="inlineStr">
        <is>
          <t>petrochemicals</t>
        </is>
      </c>
      <c r="G214" s="31" t="inlineStr">
        <is>
          <t>smallcap</t>
        </is>
      </c>
      <c r="H214" s="32" t="n">
        <v>3228.69</v>
      </c>
      <c r="I214" s="32" t="n">
        <v>127.5</v>
      </c>
      <c r="J214" s="32" t="n">
        <v>-1.73</v>
      </c>
      <c r="K214" s="32" t="n">
        <v>1190325</v>
      </c>
      <c r="L214" s="31" t="n">
        <v>44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71.61</v>
      </c>
      <c r="P214" s="32" t="n">
        <v>54.75</v>
      </c>
      <c r="Q214" s="32" t="n">
        <v>99.29000000000001</v>
      </c>
      <c r="R214" s="31" t="inlineStr">
        <is>
          <t>Near 52W High Breakout</t>
        </is>
      </c>
      <c r="S214" s="31" t="inlineStr">
        <is>
          <t>Nifty Energy</t>
        </is>
      </c>
      <c r="T214" s="32" t="n">
        <v>7.99</v>
      </c>
      <c r="U214" s="32" t="n">
        <v>23.55</v>
      </c>
      <c r="V214" s="32" t="n">
        <v>14.41</v>
      </c>
      <c r="W214" s="32" t="n">
        <v>11.89</v>
      </c>
      <c r="X214" s="31" t="inlineStr">
        <is>
          <t>Cyclical in an Upturn</t>
        </is>
      </c>
      <c r="Y214" s="31">
        <f>IF(X214="Growing Industry",10,IF(X214="Cyclical in an Upturn",5,0))</f>
        <v/>
      </c>
      <c r="Z214" s="31" t="inlineStr">
        <is>
          <t>Oligopoly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Yes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Cyclical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Volatile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Yes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Above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Less than 1.5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IF(B215=0,"",RANK(B215,$B$2:$B$363,0))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3" t="inlineStr">
        <is>
          <t>JINDALSAW</t>
        </is>
      </c>
      <c r="D215" s="33" t="inlineStr">
        <is>
          <t>Jindal Saw Limited</t>
        </is>
      </c>
      <c r="E215" s="31" t="inlineStr">
        <is>
          <t>industrials</t>
        </is>
      </c>
      <c r="F215" s="31" t="inlineStr">
        <is>
          <t>steel - large</t>
        </is>
      </c>
      <c r="G215" s="31" t="inlineStr">
        <is>
          <t>midcap</t>
        </is>
      </c>
      <c r="H215" s="32" t="n">
        <v>19879.11</v>
      </c>
      <c r="I215" s="32" t="n">
        <v>305.3</v>
      </c>
      <c r="J215" s="32" t="n">
        <v>-1.79</v>
      </c>
      <c r="K215" s="32" t="n">
        <v>868641</v>
      </c>
      <c r="L215" s="31" t="n">
        <v>51</v>
      </c>
      <c r="M215" s="31" t="inlineStr">
        <is>
          <t>Underperforming</t>
        </is>
      </c>
      <c r="N215" s="32">
        <f>IF(M215="Underperforming",-5,IF(L215&gt;=95,15,IF(L215&gt;=90,10,IF(L215&gt;=80,5,0))))</f>
        <v/>
      </c>
      <c r="O215" s="32" t="n">
        <v>69.58</v>
      </c>
      <c r="P215" s="32" t="n">
        <v>46.41</v>
      </c>
      <c r="Q215" s="32" t="n">
        <v>240.71</v>
      </c>
      <c r="R215" s="31" t="inlineStr">
        <is>
          <t>Near 52W High Breakout</t>
        </is>
      </c>
      <c r="S215" s="31" t="inlineStr">
        <is>
          <t>Nifty Metal</t>
        </is>
      </c>
      <c r="T215" s="32" t="n">
        <v>41.3</v>
      </c>
      <c r="U215" s="32" t="n">
        <v>38.27</v>
      </c>
      <c r="V215" s="32" t="n">
        <v>-2.15</v>
      </c>
      <c r="W215" s="32" t="n">
        <v>14.29</v>
      </c>
      <c r="X215" s="31" t="inlineStr">
        <is>
          <t>Cyclical in an Upturn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Yes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Above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Less than 12%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No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IF(B216=0,"",RANK(B216,$B$2:$B$363,0))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3" t="inlineStr">
        <is>
          <t>QUADFUTURE</t>
        </is>
      </c>
      <c r="D216" s="33" t="inlineStr">
        <is>
          <t>Quadrant Future Tek Ltd</t>
        </is>
      </c>
      <c r="E216" s="31" t="inlineStr">
        <is>
          <t>industrials</t>
        </is>
      </c>
      <c r="F216" s="31" t="inlineStr">
        <is>
          <t>cables - power</t>
        </is>
      </c>
      <c r="G216" s="31" t="inlineStr">
        <is>
          <t>smallcap</t>
        </is>
      </c>
      <c r="H216" s="32" t="n">
        <v>1702.4</v>
      </c>
      <c r="I216" s="32" t="n">
        <v>417.9</v>
      </c>
      <c r="J216" s="32" t="n">
        <v>-1.81</v>
      </c>
      <c r="K216" s="32" t="n">
        <v>294130</v>
      </c>
      <c r="L216" s="31" t="n">
        <v>26</v>
      </c>
      <c r="M216" s="31" t="inlineStr">
        <is>
          <t>Underperforming</t>
        </is>
      </c>
      <c r="N216" s="32">
        <f>IF(M216="Underperforming",-5,IF(L216&gt;=95,15,IF(L216&gt;=90,10,IF(L216&gt;=80,5,0))))</f>
        <v/>
      </c>
      <c r="O216" s="32" t="n">
        <v>58.68</v>
      </c>
      <c r="P216" s="32" t="n">
        <v>35.6</v>
      </c>
      <c r="Q216" s="32" t="n">
        <v>329.74</v>
      </c>
      <c r="R216" s="31" t="inlineStr">
        <is>
          <t>Earnings / Momentum Support</t>
        </is>
      </c>
      <c r="S216" s="31" t="inlineStr">
        <is>
          <t>Nifty Energy</t>
        </is>
      </c>
      <c r="T216" s="32" t="n">
        <v>7.99</v>
      </c>
      <c r="U216" s="32" t="n">
        <v>-11.06</v>
      </c>
      <c r="V216" s="32" t="n">
        <v>-17.64</v>
      </c>
      <c r="W216" s="32" t="n">
        <v>6.66</v>
      </c>
      <c r="X216" s="31" t="inlineStr">
        <is>
          <t>Cyclical in an Upturn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No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20 to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No</t>
        </is>
      </c>
      <c r="BS216" s="31">
        <f>IF(BR216="NO",5,0)</f>
        <v/>
      </c>
      <c r="BT216" s="31" t="inlineStr">
        <is>
          <t>Less than 1.5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IF(B217=0,"",RANK(B217,$B$2:$B$363,0))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LUMAXIND</t>
        </is>
      </c>
      <c r="D217" s="31" t="inlineStr">
        <is>
          <t>Lumax Industries Limited</t>
        </is>
      </c>
      <c r="E217" s="31" t="inlineStr">
        <is>
          <t>auto</t>
        </is>
      </c>
      <c r="F217" s="31" t="inlineStr">
        <is>
          <t>auto ancillaries</t>
        </is>
      </c>
      <c r="G217" s="31" t="inlineStr">
        <is>
          <t>midcap</t>
        </is>
      </c>
      <c r="H217" s="32" t="n">
        <v>5964.32</v>
      </c>
      <c r="I217" s="32" t="n">
        <v>6181.5</v>
      </c>
      <c r="J217" s="32" t="n">
        <v>-3.12</v>
      </c>
      <c r="K217" s="32" t="n">
        <v>15590</v>
      </c>
      <c r="L217" s="31" t="n">
        <v>55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64.83</v>
      </c>
      <c r="P217" s="32" t="n">
        <v>14.14</v>
      </c>
      <c r="Q217" s="32" t="n">
        <v>4732.37</v>
      </c>
      <c r="R217" s="31" t="inlineStr">
        <is>
          <t>Volume Spike &amp; Near 52W High Breakout</t>
        </is>
      </c>
      <c r="S217" s="31" t="inlineStr">
        <is>
          <t>Nifty Auto</t>
        </is>
      </c>
      <c r="T217" s="32" t="n">
        <v>16.52</v>
      </c>
      <c r="U217" s="32" t="n">
        <v>64.51000000000001</v>
      </c>
      <c r="V217" s="32" t="n">
        <v>41.18</v>
      </c>
      <c r="W217" s="32" t="n">
        <v>15.44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0 to 20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Blue sky scenario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Less than 1.5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Between 0.7 to 1.2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IF(B218=0,"",RANK(B218,$B$2:$B$363,0))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YATHARTH</t>
        </is>
      </c>
      <c r="D218" s="31" t="inlineStr">
        <is>
          <t>Yatharth Hospital &amp; Trauma Care Services Ltd</t>
        </is>
      </c>
      <c r="E218" s="31" t="inlineStr">
        <is>
          <t>healthcare</t>
        </is>
      </c>
      <c r="F218" s="31" t="inlineStr">
        <is>
          <t>healthcare</t>
        </is>
      </c>
      <c r="G218" s="31" t="inlineStr">
        <is>
          <t>midcap</t>
        </is>
      </c>
      <c r="H218" s="32" t="n">
        <v>9272.18</v>
      </c>
      <c r="I218" s="32" t="n">
        <v>991.1</v>
      </c>
      <c r="J218" s="32" t="n">
        <v>2.99</v>
      </c>
      <c r="K218" s="32" t="n">
        <v>314144</v>
      </c>
      <c r="L218" s="31" t="n">
        <v>41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69.51000000000001</v>
      </c>
      <c r="P218" s="32" t="n">
        <v>38.41</v>
      </c>
      <c r="Q218" s="32" t="n">
        <v>789.3200000000001</v>
      </c>
      <c r="R218" s="31" t="inlineStr">
        <is>
          <t>Near 52W High Breakout</t>
        </is>
      </c>
      <c r="S218" s="31" t="inlineStr">
        <is>
          <t>Nifty Pharma</t>
        </is>
      </c>
      <c r="T218" s="32" t="n">
        <v>20.77</v>
      </c>
      <c r="U218" s="32" t="n">
        <v>26.91</v>
      </c>
      <c r="V218" s="32" t="n">
        <v>5.09</v>
      </c>
      <c r="W218" s="32" t="n">
        <v>10.46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Yes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Yes</t>
        </is>
      </c>
      <c r="AQ218" s="31">
        <f>IF(AP218="Yes",10,0)</f>
        <v/>
      </c>
      <c r="AR218" s="31" t="inlineStr">
        <is>
          <t>Higher Annuity, Lower One Time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Blue sky scenario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Less than 12%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Yes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IF(B219=0,"",RANK(B219,$B$2:$B$363,0))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SAGILITY</t>
        </is>
      </c>
      <c r="D219" s="31" t="inlineStr">
        <is>
          <t>Sagility India Ltd</t>
        </is>
      </c>
      <c r="E219" s="31" t="inlineStr">
        <is>
          <t>i.t</t>
        </is>
      </c>
      <c r="F219" s="31" t="inlineStr">
        <is>
          <t>computers - software - medium / small</t>
        </is>
      </c>
      <c r="G219" s="31" t="inlineStr">
        <is>
          <t>largecap</t>
        </is>
      </c>
      <c r="H219" s="32" t="n">
        <v>21908.62</v>
      </c>
      <c r="I219" s="32" t="n">
        <v>46.82</v>
      </c>
      <c r="J219" s="32" t="n">
        <v>0.04</v>
      </c>
      <c r="K219" s="32" t="n">
        <v>11136928</v>
      </c>
      <c r="L219" s="31" t="n">
        <v>23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60.58</v>
      </c>
      <c r="P219" s="32" t="n">
        <v>14.47</v>
      </c>
      <c r="Q219" s="32" t="n">
        <v>37.99</v>
      </c>
      <c r="R219" s="31" t="inlineStr">
        <is>
          <t>Earnings / Momentum Support</t>
        </is>
      </c>
      <c r="S219" s="31" t="inlineStr">
        <is>
          <t>Nifty IT</t>
        </is>
      </c>
      <c r="T219" s="32" t="n">
        <v>-11.38</v>
      </c>
      <c r="U219" s="32" t="n">
        <v>9.390000000000001</v>
      </c>
      <c r="V219" s="32" t="n">
        <v>23.44</v>
      </c>
      <c r="W219" s="32" t="n">
        <v>6.21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No</t>
        </is>
      </c>
      <c r="AQ219" s="31">
        <f>IF(AP219="Yes",10,0)</f>
        <v/>
      </c>
      <c r="AR219" s="31" t="inlineStr">
        <is>
          <t>Higher Annuity, Lower One Time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0 to 20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Less than 1.5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IF(B220=0,"",RANK(B220,$B$2:$B$363,0))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PVRINOX</t>
        </is>
      </c>
      <c r="D220" s="31" t="inlineStr">
        <is>
          <t>PVR Inox Ltd</t>
        </is>
      </c>
      <c r="E220" s="31" t="inlineStr">
        <is>
          <t>media</t>
        </is>
      </c>
      <c r="F220" s="31" t="inlineStr">
        <is>
          <t>entertainment / electronic media software</t>
        </is>
      </c>
      <c r="G220" s="31" t="inlineStr">
        <is>
          <t>midcap</t>
        </is>
      </c>
      <c r="H220" s="32" t="n">
        <v>12250.45</v>
      </c>
      <c r="I220" s="32" t="n">
        <v>1227.2</v>
      </c>
      <c r="J220" s="32" t="n">
        <v>-1.63</v>
      </c>
      <c r="K220" s="32" t="n">
        <v>213587</v>
      </c>
      <c r="L220" s="31" t="n">
        <v>28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72.48</v>
      </c>
      <c r="P220" s="32" t="n">
        <v>24.8</v>
      </c>
      <c r="Q220" s="32" t="n">
        <v>1028.52</v>
      </c>
      <c r="R220" s="31" t="inlineStr">
        <is>
          <t>Near 52W High Breakout</t>
        </is>
      </c>
      <c r="S220" s="31" t="inlineStr">
        <is>
          <t>Nifty IT</t>
        </is>
      </c>
      <c r="T220" s="32" t="n">
        <v>-11.38</v>
      </c>
      <c r="U220" s="32" t="n">
        <v>7.06</v>
      </c>
      <c r="V220" s="32" t="n">
        <v>20.8</v>
      </c>
      <c r="W220" s="32" t="n">
        <v>7.25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Higher Annuity, Lower One Time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20 to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Yes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Between 0.7 to 1.2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IF(B221=0,"",RANK(B221,$B$2:$B$363,0))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SUBEXLTD</t>
        </is>
      </c>
      <c r="D221" s="31" t="inlineStr">
        <is>
          <t>Subex Ltd</t>
        </is>
      </c>
      <c r="E221" s="31" t="inlineStr">
        <is>
          <t>i.t</t>
        </is>
      </c>
      <c r="F221" s="31" t="inlineStr">
        <is>
          <t>computers - software - medium / small</t>
        </is>
      </c>
      <c r="G221" s="31" t="inlineStr">
        <is>
          <t>smallcap</t>
        </is>
      </c>
      <c r="H221" s="32" t="n">
        <v>994.1799999999999</v>
      </c>
      <c r="I221" s="32" t="n">
        <v>17.28</v>
      </c>
      <c r="J221" s="32" t="n">
        <v>-2.32</v>
      </c>
      <c r="K221" s="32" t="n">
        <v>1970415</v>
      </c>
      <c r="L221" s="31" t="n">
        <v>72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69.04000000000001</v>
      </c>
      <c r="P221" s="32" t="n">
        <v>32.68</v>
      </c>
      <c r="Q221" s="32" t="n">
        <v>13.6</v>
      </c>
      <c r="R221" s="31" t="inlineStr">
        <is>
          <t>Earnings / Momentum Support</t>
        </is>
      </c>
      <c r="S221" s="31" t="inlineStr">
        <is>
          <t>Nifty IT</t>
        </is>
      </c>
      <c r="T221" s="32" t="n">
        <v>-11.38</v>
      </c>
      <c r="U221" s="32" t="n">
        <v>33.85</v>
      </c>
      <c r="V221" s="32" t="n">
        <v>51.03</v>
      </c>
      <c r="W221" s="32" t="n">
        <v>21.66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No</t>
        </is>
      </c>
      <c r="AQ221" s="31">
        <f>IF(AP221="Yes",10,0)</f>
        <v/>
      </c>
      <c r="AR221" s="31" t="inlineStr">
        <is>
          <t>Higher Annuity, Lower One Time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Between 12 to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No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IF(B222=0,"",RANK(B222,$B$2:$B$363,0))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TEJASNET</t>
        </is>
      </c>
      <c r="D222" s="31" t="inlineStr">
        <is>
          <t>Tejas Networks Ltd</t>
        </is>
      </c>
      <c r="E222" s="31" t="inlineStr">
        <is>
          <t>telecom</t>
        </is>
      </c>
      <c r="F222" s="31" t="inlineStr">
        <is>
          <t>telecommunications - equipment</t>
        </is>
      </c>
      <c r="G222" s="31" t="inlineStr">
        <is>
          <t>midcap</t>
        </is>
      </c>
      <c r="H222" s="32" t="n">
        <v>10099.13</v>
      </c>
      <c r="I222" s="32" t="n">
        <v>614.15</v>
      </c>
      <c r="J222" s="32" t="n">
        <v>8.23</v>
      </c>
      <c r="K222" s="32" t="n">
        <v>26085952</v>
      </c>
      <c r="L222" s="31" t="n">
        <v>13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61.19</v>
      </c>
      <c r="P222" s="32" t="n">
        <v>29.01</v>
      </c>
      <c r="Q222" s="32" t="n">
        <v>460.38</v>
      </c>
      <c r="R222" s="31" t="inlineStr">
        <is>
          <t>Volume Spike &amp; Near 52W High Breakout</t>
        </is>
      </c>
      <c r="S222" s="31" t="inlineStr">
        <is>
          <t>Nifty 50</t>
        </is>
      </c>
      <c r="T222" s="32" t="n">
        <v>-3.41</v>
      </c>
      <c r="U222" s="32" t="n">
        <v>4.4</v>
      </c>
      <c r="V222" s="32" t="n">
        <v>8.09</v>
      </c>
      <c r="W222" s="32" t="n">
        <v>3.04</v>
      </c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Oligopoly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Yes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Yes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No</t>
        </is>
      </c>
      <c r="BS222" s="31">
        <f>IF(BR222="NO",5,0)</f>
        <v/>
      </c>
      <c r="BT222" s="31" t="inlineStr">
        <is>
          <t>Less than 1.5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More than 1.2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IF(B223=0,"",RANK(B223,$B$2:$B$363,0))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QPOWER</t>
        </is>
      </c>
      <c r="D223" s="31" t="inlineStr">
        <is>
          <t>Quality Power Electrical Equipments Ltd</t>
        </is>
      </c>
      <c r="E223" s="31" t="inlineStr">
        <is>
          <t>industrials</t>
        </is>
      </c>
      <c r="F223" s="31" t="inlineStr">
        <is>
          <t>electric equipment</t>
        </is>
      </c>
      <c r="G223" s="31" t="inlineStr">
        <is>
          <t>midcap</t>
        </is>
      </c>
      <c r="H223" s="32" t="n">
        <v>11028.81</v>
      </c>
      <c r="I223" s="32" t="n">
        <v>1495.3</v>
      </c>
      <c r="J223" s="32" t="n">
        <v>5</v>
      </c>
      <c r="K223" s="32" t="n">
        <v>228191</v>
      </c>
      <c r="L223" s="31" t="n">
        <v>70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67.77</v>
      </c>
      <c r="P223" s="32" t="n">
        <v>16.64</v>
      </c>
      <c r="Q223" s="32" t="n">
        <v>1100.9</v>
      </c>
      <c r="R223" s="31" t="inlineStr">
        <is>
          <t>Volume Spike &amp; Near 52W High Breakout</t>
        </is>
      </c>
      <c r="S223" s="31" t="inlineStr">
        <is>
          <t>Nifty 50</t>
        </is>
      </c>
      <c r="T223" s="32" t="n">
        <v>-3.41</v>
      </c>
      <c r="U223" s="32" t="n">
        <v>64.79000000000001</v>
      </c>
      <c r="V223" s="32" t="n">
        <v>70.59999999999999</v>
      </c>
      <c r="W223" s="32" t="n">
        <v>20.58</v>
      </c>
      <c r="X223" s="31" t="inlineStr">
        <is>
          <t>Cyclical in an Upturn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0 to 20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Blue sky scenario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More than 20%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Yes</t>
        </is>
      </c>
      <c r="BS223" s="31">
        <f>IF(BR223="NO",5,0)</f>
        <v/>
      </c>
      <c r="BT223" s="31" t="inlineStr">
        <is>
          <t>Between 1.5 to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IF(B224=0,"",RANK(B224,$B$2:$B$363,0))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GLOBAL</t>
        </is>
      </c>
      <c r="D224" s="31" t="inlineStr">
        <is>
          <t>Global Education Ltd</t>
        </is>
      </c>
      <c r="E224" s="31" t="inlineStr">
        <is>
          <t>services</t>
        </is>
      </c>
      <c r="F224" s="31" t="inlineStr">
        <is>
          <t>miscellaneous</t>
        </is>
      </c>
      <c r="G224" s="31" t="inlineStr">
        <is>
          <t>smallcap</t>
        </is>
      </c>
      <c r="H224" s="32" t="n">
        <v>591.83</v>
      </c>
      <c r="I224" s="32" t="n">
        <v>120.45</v>
      </c>
      <c r="J224" s="32" t="n">
        <v>3.6</v>
      </c>
      <c r="K224" s="32" t="n">
        <v>570402</v>
      </c>
      <c r="L224" s="31" t="n">
        <v>57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67.69</v>
      </c>
      <c r="P224" s="32" t="n">
        <v>39.21</v>
      </c>
      <c r="Q224" s="32" t="n">
        <v>88.68000000000001</v>
      </c>
      <c r="R224" s="31" t="inlineStr">
        <is>
          <t>Volume Spike &amp; Near 52W High Breakout</t>
        </is>
      </c>
      <c r="S224" s="31" t="inlineStr">
        <is>
          <t>Nifty 50</t>
        </is>
      </c>
      <c r="T224" s="32" t="n">
        <v>-3.41</v>
      </c>
      <c r="U224" s="32" t="n">
        <v>89.72</v>
      </c>
      <c r="V224" s="32" t="n">
        <v>96.41</v>
      </c>
      <c r="W224" s="32" t="n">
        <v>16.73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Yes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Blue sky scenario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Less than 12%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No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Less than 50%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IF(B225=0,"",RANK(B225,$B$2:$B$363,0))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INOXINDIA</t>
        </is>
      </c>
      <c r="D225" s="31" t="inlineStr">
        <is>
          <t>Inox India Ltd</t>
        </is>
      </c>
      <c r="E225" s="31" t="inlineStr">
        <is>
          <t>industrials</t>
        </is>
      </c>
      <c r="F225" s="31" t="inlineStr">
        <is>
          <t>packaging</t>
        </is>
      </c>
      <c r="G225" s="31" t="inlineStr">
        <is>
          <t>midcap</t>
        </is>
      </c>
      <c r="H225" s="32" t="n">
        <v>19751.95</v>
      </c>
      <c r="I225" s="32" t="n">
        <v>2247.8</v>
      </c>
      <c r="J225" s="32" t="n">
        <v>3.29</v>
      </c>
      <c r="K225" s="32" t="n">
        <v>1027233</v>
      </c>
      <c r="L225" s="31" t="n">
        <v>78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81.17</v>
      </c>
      <c r="P225" s="32" t="n">
        <v>64.40000000000001</v>
      </c>
      <c r="Q225" s="32" t="n">
        <v>1723.84</v>
      </c>
      <c r="R225" s="31" t="inlineStr">
        <is>
          <t>Near 52W High Breakout</t>
        </is>
      </c>
      <c r="S225" s="31" t="inlineStr">
        <is>
          <t>Nifty 50</t>
        </is>
      </c>
      <c r="T225" s="32" t="n">
        <v>-3.41</v>
      </c>
      <c r="U225" s="32" t="n">
        <v>93.67</v>
      </c>
      <c r="V225" s="32" t="n">
        <v>100.51</v>
      </c>
      <c r="W225" s="32" t="n">
        <v>24.1</v>
      </c>
      <c r="X225" s="31" t="inlineStr">
        <is>
          <t>Cyclical in an Upturn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Yes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Above 40</t>
        </is>
      </c>
      <c r="AY225" s="31">
        <f>IF(AX225="Above 40",20,IF(AX225="20 to 40",10,IF(AX225="0 to 20",-5,0)))</f>
        <v/>
      </c>
      <c r="AZ225" s="31" t="inlineStr">
        <is>
          <t>Above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Blue sky scenario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Less than 12%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Yes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IF(B226=0,"",RANK(B226,$B$2:$B$363,0))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MAHASTEEL</t>
        </is>
      </c>
      <c r="D226" s="31" t="inlineStr">
        <is>
          <t>Mahamaya Steel Industries Limited</t>
        </is>
      </c>
      <c r="E226" s="31" t="inlineStr">
        <is>
          <t>metals &amp; mining</t>
        </is>
      </c>
      <c r="F226" s="31" t="inlineStr">
        <is>
          <t>steel - medium / small</t>
        </is>
      </c>
      <c r="G226" s="31" t="inlineStr">
        <is>
          <t>smallcap</t>
        </is>
      </c>
      <c r="H226" s="32" t="n">
        <v>2067.78</v>
      </c>
      <c r="I226" s="32" t="n">
        <v>1282.5</v>
      </c>
      <c r="J226" s="32" t="n">
        <v>1.93</v>
      </c>
      <c r="K226" s="32" t="n">
        <v>10107</v>
      </c>
      <c r="L226" s="31" t="n">
        <v>92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70.8</v>
      </c>
      <c r="P226" s="32" t="n">
        <v>22.18</v>
      </c>
      <c r="Q226" s="32" t="n">
        <v>973.9400000000001</v>
      </c>
      <c r="R226" s="31" t="inlineStr">
        <is>
          <t>Near 52W High Breakout</t>
        </is>
      </c>
      <c r="S226" s="31" t="inlineStr">
        <is>
          <t>Nifty Metal</t>
        </is>
      </c>
      <c r="T226" s="32" t="n">
        <v>41.3</v>
      </c>
      <c r="U226" s="32" t="n">
        <v>256.25</v>
      </c>
      <c r="V226" s="32" t="n">
        <v>152.13</v>
      </c>
      <c r="W226" s="32" t="n">
        <v>41.72</v>
      </c>
      <c r="X226" s="31" t="inlineStr">
        <is>
          <t>Cyclical in an Upturn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Cyclical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Volatile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Yes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Blue sky scenario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Yes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IF(B227=0,"",RANK(B227,$B$2:$B$363,0))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MAHLOG</t>
        </is>
      </c>
      <c r="D227" s="31" t="inlineStr">
        <is>
          <t>Mahindra Logistics Ltd</t>
        </is>
      </c>
      <c r="E227" s="31" t="inlineStr">
        <is>
          <t>transportation</t>
        </is>
      </c>
      <c r="F227" s="31" t="inlineStr">
        <is>
          <t>miscellaneous</t>
        </is>
      </c>
      <c r="G227" s="31" t="inlineStr">
        <is>
          <t>smallcap</t>
        </is>
      </c>
      <c r="H227" s="32" t="n">
        <v>3971.88</v>
      </c>
      <c r="I227" s="32" t="n">
        <v>405.35</v>
      </c>
      <c r="J227" s="32" t="n">
        <v>1.26</v>
      </c>
      <c r="K227" s="32" t="n">
        <v>130587</v>
      </c>
      <c r="L227" s="31" t="n">
        <v>35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57.59</v>
      </c>
      <c r="P227" s="32" t="n">
        <v>24.4</v>
      </c>
      <c r="Q227" s="32" t="n">
        <v>329.92</v>
      </c>
      <c r="R227" s="31" t="inlineStr">
        <is>
          <t>Earnings / Momentum Support</t>
        </is>
      </c>
      <c r="S227" s="31" t="inlineStr">
        <is>
          <t>Nifty 50</t>
        </is>
      </c>
      <c r="T227" s="32" t="n">
        <v>-3.41</v>
      </c>
      <c r="U227" s="32" t="n">
        <v>27.21</v>
      </c>
      <c r="V227" s="32" t="n">
        <v>31.7</v>
      </c>
      <c r="W227" s="32" t="n">
        <v>9.109999999999999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No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20 to 40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IF(B228=0,"",RANK(B228,$B$2:$B$363,0))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SWANDEF</t>
        </is>
      </c>
      <c r="D228" s="31" t="inlineStr">
        <is>
          <t>Swan Defence and Heavy Industries Ltd</t>
        </is>
      </c>
      <c r="E228" s="31" t="inlineStr">
        <is>
          <t>transportation</t>
        </is>
      </c>
      <c r="F228" s="31" t="inlineStr">
        <is>
          <t>miscellaneous</t>
        </is>
      </c>
      <c r="G228" s="31" t="inlineStr">
        <is>
          <t>midcap</t>
        </is>
      </c>
      <c r="H228" s="32" t="n">
        <v>13117.86</v>
      </c>
      <c r="I228" s="32" t="n">
        <v>2520.2</v>
      </c>
      <c r="J228" s="32" t="n">
        <v>1.21</v>
      </c>
      <c r="K228" s="32" t="n">
        <v>18892</v>
      </c>
      <c r="L228" s="31" t="n">
        <v>95</v>
      </c>
      <c r="M228" s="31" t="inlineStr">
        <is>
          <t>Outperforming</t>
        </is>
      </c>
      <c r="N228" s="32">
        <f>IF(M228="Underperforming",-5,IF(L228&gt;=95,15,IF(L228&gt;=90,10,IF(L228&gt;=80,5,0))))</f>
        <v/>
      </c>
      <c r="O228" s="32" t="n">
        <v>63.97</v>
      </c>
      <c r="P228" s="32" t="n">
        <v>54.95</v>
      </c>
      <c r="Q228" s="32" t="n">
        <v>2056.59</v>
      </c>
      <c r="R228" s="31" t="inlineStr">
        <is>
          <t>Volume Spike / Accumulation</t>
        </is>
      </c>
      <c r="S228" s="31" t="inlineStr">
        <is>
          <t>Nifty 50</t>
        </is>
      </c>
      <c r="T228" s="32" t="n">
        <v>-3.41</v>
      </c>
      <c r="U228" s="32" t="n">
        <v>405.46</v>
      </c>
      <c r="V228" s="32" t="n">
        <v>423.29</v>
      </c>
      <c r="W228" s="32" t="n">
        <v>51.86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Yes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Above 40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Negative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Less than 1.5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More than 1.2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IF(B229=0,"",RANK(B229,$B$2:$B$363,0))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3" t="inlineStr">
        <is>
          <t>UDS</t>
        </is>
      </c>
      <c r="D229" s="33" t="inlineStr">
        <is>
          <t>Updater Services Ltd</t>
        </is>
      </c>
      <c r="E229" s="31" t="inlineStr">
        <is>
          <t>miscellaneous</t>
        </is>
      </c>
      <c r="F229" s="31" t="inlineStr">
        <is>
          <t>miscellaneous</t>
        </is>
      </c>
      <c r="G229" s="31" t="inlineStr">
        <is>
          <t>smallcap</t>
        </is>
      </c>
      <c r="H229" s="32" t="n">
        <v>1584.18</v>
      </c>
      <c r="I229" s="32" t="n">
        <v>239.03</v>
      </c>
      <c r="J229" s="32" t="n">
        <v>1.02</v>
      </c>
      <c r="K229" s="32" t="n">
        <v>487592</v>
      </c>
      <c r="L229" s="31" t="n">
        <v>26</v>
      </c>
      <c r="M229" s="31" t="inlineStr">
        <is>
          <t>Underperforming</t>
        </is>
      </c>
      <c r="N229" s="32">
        <f>IF(M229="Underperforming",-5,IF(L229&gt;=95,15,IF(L229&gt;=90,10,IF(L229&gt;=80,5,0))))</f>
        <v/>
      </c>
      <c r="O229" s="32" t="n">
        <v>73.94</v>
      </c>
      <c r="P229" s="32" t="n">
        <v>39.86</v>
      </c>
      <c r="Q229" s="32" t="n">
        <v>189.8</v>
      </c>
      <c r="R229" s="31" t="inlineStr">
        <is>
          <t>Volume Spike / Accumulation</t>
        </is>
      </c>
      <c r="S229" s="31" t="inlineStr">
        <is>
          <t>Nifty 50</t>
        </is>
      </c>
      <c r="T229" s="32" t="n">
        <v>-3.41</v>
      </c>
      <c r="U229" s="32" t="n">
        <v>-3.53</v>
      </c>
      <c r="V229" s="32" t="n">
        <v>-0.13</v>
      </c>
      <c r="W229" s="32" t="n">
        <v>6.67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Yes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Less than 12%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No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IF(B230=0,"",RANK(B230,$B$2:$B$363,0))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HARSHA</t>
        </is>
      </c>
      <c r="D230" s="31" t="inlineStr">
        <is>
          <t>Harsha Engineers International Ltd</t>
        </is>
      </c>
      <c r="E230" s="31" t="inlineStr">
        <is>
          <t>industrials</t>
        </is>
      </c>
      <c r="F230" s="31" t="inlineStr">
        <is>
          <t>engineering</t>
        </is>
      </c>
      <c r="G230" s="31" t="inlineStr">
        <is>
          <t>smallcap</t>
        </is>
      </c>
      <c r="H230" s="32" t="n">
        <v>4106.54</v>
      </c>
      <c r="I230" s="32" t="n">
        <v>454.35</v>
      </c>
      <c r="J230" s="32" t="n">
        <v>0.73</v>
      </c>
      <c r="K230" s="32" t="n">
        <v>132144</v>
      </c>
      <c r="L230" s="31" t="n">
        <v>24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63.16</v>
      </c>
      <c r="P230" s="32" t="n">
        <v>37.85</v>
      </c>
      <c r="Q230" s="32" t="n">
        <v>362.84</v>
      </c>
      <c r="R230" s="31" t="inlineStr">
        <is>
          <t>Near 52W High Breakout</t>
        </is>
      </c>
      <c r="S230" s="31" t="inlineStr">
        <is>
          <t>Nifty Infra</t>
        </is>
      </c>
      <c r="T230" s="32" t="n">
        <v>1.45</v>
      </c>
      <c r="U230" s="32" t="n">
        <v>11.51</v>
      </c>
      <c r="V230" s="32" t="n">
        <v>9.92</v>
      </c>
      <c r="W230" s="32" t="n">
        <v>6.48</v>
      </c>
      <c r="X230" s="31" t="inlineStr">
        <is>
          <t>Cyclical in an Upturn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Yes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20 to 40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Less than 12%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No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IF(B231=0,"",RANK(B231,$B$2:$B$363,0))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PTCIL</t>
        </is>
      </c>
      <c r="D231" s="31" t="inlineStr">
        <is>
          <t>PTC Industries Ltd</t>
        </is>
      </c>
      <c r="E231" s="31" t="inlineStr">
        <is>
          <t>industrials</t>
        </is>
      </c>
      <c r="F231" s="31" t="inlineStr">
        <is>
          <t>castings &amp; forgings</t>
        </is>
      </c>
      <c r="G231" s="31" t="inlineStr">
        <is>
          <t>largecap</t>
        </is>
      </c>
      <c r="H231" s="32" t="n">
        <v>35712.25</v>
      </c>
      <c r="I231" s="32" t="n">
        <v>23830</v>
      </c>
      <c r="J231" s="32" t="n">
        <v>0.04</v>
      </c>
      <c r="K231" s="32" t="n">
        <v>65344</v>
      </c>
      <c r="L231" s="31" t="n">
        <v>65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78.33</v>
      </c>
      <c r="P231" s="32" t="n">
        <v>30.52</v>
      </c>
      <c r="Q231" s="32" t="n">
        <v>19608.62</v>
      </c>
      <c r="R231" s="31" t="inlineStr">
        <is>
          <t>Volume Spike &amp; Near 52W High Breakout</t>
        </is>
      </c>
      <c r="S231" s="31" t="inlineStr">
        <is>
          <t>Nifty 50</t>
        </is>
      </c>
      <c r="T231" s="32" t="n">
        <v>-3.41</v>
      </c>
      <c r="U231" s="32" t="n">
        <v>75.44</v>
      </c>
      <c r="V231" s="32" t="n">
        <v>81.63</v>
      </c>
      <c r="W231" s="32" t="n">
        <v>18.93</v>
      </c>
      <c r="X231" s="31" t="inlineStr">
        <is>
          <t>Cyclical in an Upturn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Yes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Above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Blue sky scenario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More than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Yes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IF(B232=0,"",RANK(B232,$B$2:$B$363,0))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MANGLMCEM</t>
        </is>
      </c>
      <c r="D232" s="31" t="inlineStr">
        <is>
          <t>Mangalam Cement Limited</t>
        </is>
      </c>
      <c r="E232" s="31" t="inlineStr">
        <is>
          <t>building materials</t>
        </is>
      </c>
      <c r="F232" s="31" t="inlineStr">
        <is>
          <t>cement - north india</t>
        </is>
      </c>
      <c r="G232" s="31" t="inlineStr">
        <is>
          <t>smallcap</t>
        </is>
      </c>
      <c r="H232" s="32" t="n">
        <v>3019.75</v>
      </c>
      <c r="I232" s="32" t="n">
        <v>1095.2</v>
      </c>
      <c r="J232" s="32" t="n">
        <v>-0.27</v>
      </c>
      <c r="K232" s="32" t="n">
        <v>64519</v>
      </c>
      <c r="L232" s="31" t="n">
        <v>48</v>
      </c>
      <c r="M232" s="31" t="inlineStr">
        <is>
          <t>Outperforming</t>
        </is>
      </c>
      <c r="N232" s="32">
        <f>IF(M232="Underperforming",-5,IF(L232&gt;=95,15,IF(L232&gt;=90,10,IF(L232&gt;=80,5,0))))</f>
        <v/>
      </c>
      <c r="O232" s="32" t="n">
        <v>70.03</v>
      </c>
      <c r="P232" s="32" t="n">
        <v>26.87</v>
      </c>
      <c r="Q232" s="32" t="n">
        <v>895.4400000000001</v>
      </c>
      <c r="R232" s="31" t="inlineStr">
        <is>
          <t>Volume Spike &amp; Near 52W High Breakout</t>
        </is>
      </c>
      <c r="S232" s="31" t="inlineStr">
        <is>
          <t>Nifty Infra</t>
        </is>
      </c>
      <c r="T232" s="32" t="n">
        <v>1.45</v>
      </c>
      <c r="U232" s="32" t="n">
        <v>51.86</v>
      </c>
      <c r="V232" s="32" t="n">
        <v>49.69</v>
      </c>
      <c r="W232" s="32" t="n">
        <v>13.23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20 to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Blue sky scenario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Less than 12%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No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Between 0.7 to 1.2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IF(B233=0,"",RANK(B233,$B$2:$B$363,0))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GENUSPOWER</t>
        </is>
      </c>
      <c r="D233" s="31" t="inlineStr">
        <is>
          <t>Genus Power Infrastructures Limited</t>
        </is>
      </c>
      <c r="E233" s="31" t="inlineStr">
        <is>
          <t>consumer discretionary</t>
        </is>
      </c>
      <c r="F233" s="31" t="inlineStr">
        <is>
          <t>electronics - components</t>
        </is>
      </c>
      <c r="G233" s="31" t="inlineStr">
        <is>
          <t>midcap</t>
        </is>
      </c>
      <c r="H233" s="32" t="n">
        <v>10335.12</v>
      </c>
      <c r="I233" s="32" t="n">
        <v>337.8</v>
      </c>
      <c r="J233" s="32" t="n">
        <v>-0.5600000000000001</v>
      </c>
      <c r="K233" s="32" t="n">
        <v>2486451</v>
      </c>
      <c r="L233" s="31" t="n">
        <v>14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59.84</v>
      </c>
      <c r="P233" s="32" t="n">
        <v>9.65</v>
      </c>
      <c r="Q233" s="32" t="n">
        <v>268</v>
      </c>
      <c r="R233" s="31" t="inlineStr">
        <is>
          <t>Near 52W High Breakout</t>
        </is>
      </c>
      <c r="S233" s="31" t="inlineStr">
        <is>
          <t>Nifty 50</t>
        </is>
      </c>
      <c r="T233" s="32" t="n">
        <v>-3.41</v>
      </c>
      <c r="U233" s="32" t="n">
        <v>3.45</v>
      </c>
      <c r="V233" s="32" t="n">
        <v>7.1</v>
      </c>
      <c r="W233" s="32" t="n">
        <v>3.34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0 to 20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Less than 1.5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Between 0.7 to 1.2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IF(B234=0,"",RANK(B234,$B$2:$B$363,0))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MANINDS</t>
        </is>
      </c>
      <c r="D234" s="31" t="inlineStr">
        <is>
          <t>Man Industries (india) Limited</t>
        </is>
      </c>
      <c r="E234" s="31" t="inlineStr">
        <is>
          <t>metals &amp; mining</t>
        </is>
      </c>
      <c r="F234" s="31" t="inlineStr">
        <is>
          <t>steel - medium / small</t>
        </is>
      </c>
      <c r="G234" s="31" t="inlineStr">
        <is>
          <t>midcap</t>
        </is>
      </c>
      <c r="H234" s="32" t="n">
        <v>5951.26</v>
      </c>
      <c r="I234" s="32" t="n">
        <v>788.55</v>
      </c>
      <c r="J234" s="32" t="n">
        <v>-0.61</v>
      </c>
      <c r="K234" s="32" t="n">
        <v>505736</v>
      </c>
      <c r="L234" s="31" t="n">
        <v>82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76.23</v>
      </c>
      <c r="P234" s="32" t="n">
        <v>32.45</v>
      </c>
      <c r="Q234" s="32" t="n">
        <v>600.47</v>
      </c>
      <c r="R234" s="31" t="inlineStr">
        <is>
          <t>Near 52W High Breakout</t>
        </is>
      </c>
      <c r="S234" s="31" t="inlineStr">
        <is>
          <t>Nifty Metal</t>
        </is>
      </c>
      <c r="T234" s="32" t="n">
        <v>41.3</v>
      </c>
      <c r="U234" s="32" t="n">
        <v>85.08</v>
      </c>
      <c r="V234" s="32" t="n">
        <v>30.99</v>
      </c>
      <c r="W234" s="32" t="n">
        <v>26.88</v>
      </c>
      <c r="X234" s="31" t="inlineStr">
        <is>
          <t>Cyclical in an Upturn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Cyclical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Volatile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Yes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20 to 40</t>
        </is>
      </c>
      <c r="AY234" s="31">
        <f>IF(AX234="Above 40",20,IF(AX234="20 to 40",10,IF(AX234="0 to 20",-5,0)))</f>
        <v/>
      </c>
      <c r="AZ234" s="31" t="inlineStr">
        <is>
          <t>Above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Blue sky scenario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Less than 1.5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IF(B235=0,"",RANK(B235,$B$2:$B$363,0))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ASAHIINDIA</t>
        </is>
      </c>
      <c r="D235" s="31" t="inlineStr">
        <is>
          <t>Asahi India Glass Limited</t>
        </is>
      </c>
      <c r="E235" s="31" t="inlineStr">
        <is>
          <t>building materials</t>
        </is>
      </c>
      <c r="F235" s="31" t="inlineStr">
        <is>
          <t>glass &amp; glass products</t>
        </is>
      </c>
      <c r="G235" s="31" t="inlineStr">
        <is>
          <t>largecap</t>
        </is>
      </c>
      <c r="H235" s="32" t="n">
        <v>24530.37</v>
      </c>
      <c r="I235" s="32" t="n">
        <v>955.9</v>
      </c>
      <c r="J235" s="32" t="n">
        <v>-0.66</v>
      </c>
      <c r="K235" s="32" t="n">
        <v>256318</v>
      </c>
      <c r="L235" s="31" t="n">
        <v>23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59.48</v>
      </c>
      <c r="P235" s="32" t="n">
        <v>25.92</v>
      </c>
      <c r="Q235" s="32" t="n">
        <v>791.67</v>
      </c>
      <c r="R235" s="31" t="inlineStr">
        <is>
          <t>Earnings / Momentum Support</t>
        </is>
      </c>
      <c r="S235" s="31" t="inlineStr">
        <is>
          <t>Nifty Infra</t>
        </is>
      </c>
      <c r="T235" s="32" t="n">
        <v>1.45</v>
      </c>
      <c r="U235" s="32" t="n">
        <v>14.57</v>
      </c>
      <c r="V235" s="32" t="n">
        <v>12.94</v>
      </c>
      <c r="W235" s="32" t="n">
        <v>6.14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No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20 to 40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Yes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IF(B236=0,"",RANK(B236,$B$2:$B$363,0))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3" t="inlineStr">
        <is>
          <t>SAMBHV</t>
        </is>
      </c>
      <c r="D236" s="33" t="inlineStr">
        <is>
          <t>Sambhv Steel Tubes Ltd</t>
        </is>
      </c>
      <c r="E236" s="31" t="inlineStr">
        <is>
          <t>metals &amp; mining</t>
        </is>
      </c>
      <c r="F236" s="31" t="inlineStr">
        <is>
          <t>steel - medium / small</t>
        </is>
      </c>
      <c r="G236" s="31" t="inlineStr">
        <is>
          <t>smallcap</t>
        </is>
      </c>
      <c r="H236" s="32" t="n">
        <v>3820.12</v>
      </c>
      <c r="I236" s="32" t="n">
        <v>128.69</v>
      </c>
      <c r="J236" s="32" t="n">
        <v>-0.73</v>
      </c>
      <c r="K236" s="32" t="n">
        <v>1221798</v>
      </c>
      <c r="L236" s="31" t="n">
        <v>13</v>
      </c>
      <c r="M236" s="31" t="inlineStr">
        <is>
          <t>Underperforming</t>
        </is>
      </c>
      <c r="N236" s="32">
        <f>IF(M236="Underperforming",-5,IF(L236&gt;=95,15,IF(L236&gt;=90,10,IF(L236&gt;=80,5,0))))</f>
        <v/>
      </c>
      <c r="O236" s="32" t="n">
        <v>65.22</v>
      </c>
      <c r="P236" s="32" t="n">
        <v>31.11</v>
      </c>
      <c r="Q236" s="32" t="n">
        <v>98.63</v>
      </c>
      <c r="R236" s="31" t="inlineStr">
        <is>
          <t>Near 52W High Breakout</t>
        </is>
      </c>
      <c r="S236" s="31" t="inlineStr">
        <is>
          <t>Nifty Metal</t>
        </is>
      </c>
      <c r="T236" s="32" t="n">
        <v>41.3</v>
      </c>
      <c r="U236" s="32" t="n">
        <v>-2.98</v>
      </c>
      <c r="V236" s="32" t="n">
        <v>-31.34</v>
      </c>
      <c r="W236" s="32" t="n">
        <v>3.25</v>
      </c>
      <c r="X236" s="31" t="inlineStr">
        <is>
          <t>Cyclical in an Upturn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Cyclical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Volatile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Yes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20 to 40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Blue sky scenario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No</t>
        </is>
      </c>
      <c r="BS236" s="31">
        <f>IF(BR236="NO",5,0)</f>
        <v/>
      </c>
      <c r="BT236" s="31" t="inlineStr">
        <is>
          <t>Less than 1.5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IF(B237=0,"",RANK(B237,$B$2:$B$363,0))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3" t="inlineStr">
        <is>
          <t>SHYAMMETL</t>
        </is>
      </c>
      <c r="D237" s="33" t="inlineStr">
        <is>
          <t>Shyam Metalics &amp; Energy Ltd</t>
        </is>
      </c>
      <c r="E237" s="31" t="inlineStr">
        <is>
          <t>metals &amp; mining</t>
        </is>
      </c>
      <c r="F237" s="31" t="inlineStr">
        <is>
          <t>steel - large</t>
        </is>
      </c>
      <c r="G237" s="31" t="inlineStr">
        <is>
          <t>largecap</t>
        </is>
      </c>
      <c r="H237" s="32" t="n">
        <v>30045.75</v>
      </c>
      <c r="I237" s="32" t="n">
        <v>1065.3</v>
      </c>
      <c r="J237" s="32" t="n">
        <v>-1.03</v>
      </c>
      <c r="K237" s="32" t="n">
        <v>199343</v>
      </c>
      <c r="L237" s="31" t="n">
        <v>36</v>
      </c>
      <c r="M237" s="31" t="inlineStr">
        <is>
          <t>Underperforming</t>
        </is>
      </c>
      <c r="N237" s="32">
        <f>IF(M237="Underperforming",-5,IF(L237&gt;=95,15,IF(L237&gt;=90,10,IF(L237&gt;=80,5,0))))</f>
        <v/>
      </c>
      <c r="O237" s="32" t="n">
        <v>63.96</v>
      </c>
      <c r="P237" s="32" t="n">
        <v>25.05</v>
      </c>
      <c r="Q237" s="32" t="n">
        <v>916.04</v>
      </c>
      <c r="R237" s="31" t="inlineStr">
        <is>
          <t>Near 52W High Breakout</t>
        </is>
      </c>
      <c r="S237" s="31" t="inlineStr">
        <is>
          <t>Nifty Metal</t>
        </is>
      </c>
      <c r="T237" s="32" t="n">
        <v>41.3</v>
      </c>
      <c r="U237" s="32" t="n">
        <v>10.89</v>
      </c>
      <c r="V237" s="32" t="n">
        <v>-21.52</v>
      </c>
      <c r="W237" s="32" t="n">
        <v>9.19</v>
      </c>
      <c r="X237" s="31" t="inlineStr">
        <is>
          <t>Cyclical in an Upturn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Cyclical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Volatile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Yes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20 to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Blue sky scenario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More than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No</t>
        </is>
      </c>
      <c r="BS237" s="31">
        <f>IF(BR237="NO",5,0)</f>
        <v/>
      </c>
      <c r="BT237" s="31" t="inlineStr">
        <is>
          <t>Less than 1.5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IF(B238=0,"",RANK(B238,$B$2:$B$363,0))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3" t="inlineStr">
        <is>
          <t>VGUARD</t>
        </is>
      </c>
      <c r="D238" s="33" t="inlineStr">
        <is>
          <t>V-guard Industries Limited</t>
        </is>
      </c>
      <c r="E238" s="31" t="inlineStr">
        <is>
          <t>industrials</t>
        </is>
      </c>
      <c r="F238" s="31" t="inlineStr">
        <is>
          <t>electric equipment</t>
        </is>
      </c>
      <c r="G238" s="31" t="inlineStr">
        <is>
          <t>midcap</t>
        </is>
      </c>
      <c r="H238" s="32" t="n">
        <v>14821.53</v>
      </c>
      <c r="I238" s="32" t="n">
        <v>335.4</v>
      </c>
      <c r="J238" s="32" t="n">
        <v>-1.13</v>
      </c>
      <c r="K238" s="32" t="n">
        <v>751013</v>
      </c>
      <c r="L238" s="31" t="n">
        <v>3</v>
      </c>
      <c r="M238" s="31" t="inlineStr">
        <is>
          <t>Underperforming</t>
        </is>
      </c>
      <c r="N238" s="32">
        <f>IF(M238="Underperforming",-5,IF(L238&gt;=95,15,IF(L238&gt;=90,10,IF(L238&gt;=80,5,0))))</f>
        <v/>
      </c>
      <c r="O238" s="32" t="n">
        <v>59.01</v>
      </c>
      <c r="P238" s="32" t="n">
        <v>22.42</v>
      </c>
      <c r="Q238" s="32" t="n">
        <v>276.61</v>
      </c>
      <c r="R238" s="31" t="inlineStr">
        <is>
          <t>Earnings / Momentum Support</t>
        </is>
      </c>
      <c r="S238" s="31" t="inlineStr">
        <is>
          <t>Nifty 50</t>
        </is>
      </c>
      <c r="T238" s="32" t="n">
        <v>-3.41</v>
      </c>
      <c r="U238" s="32" t="n">
        <v>-9.09</v>
      </c>
      <c r="V238" s="32" t="n">
        <v>-5.88</v>
      </c>
      <c r="W238" s="32" t="n">
        <v>0.02</v>
      </c>
      <c r="X238" s="31" t="inlineStr">
        <is>
          <t>Cyclical in an Upturn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No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20 to 40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Yes</t>
        </is>
      </c>
      <c r="BS238" s="31">
        <f>IF(BR238="NO",5,0)</f>
        <v/>
      </c>
      <c r="BT238" s="31" t="inlineStr">
        <is>
          <t>Less than 1.5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IF(B239=0,"",RANK(B239,$B$2:$B$363,0))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CPPLUS</t>
        </is>
      </c>
      <c r="D239" s="31" t="inlineStr">
        <is>
          <t>Aditya Infotech Ltd</t>
        </is>
      </c>
      <c r="E239" s="31" t="inlineStr">
        <is>
          <t>consumer discretionary</t>
        </is>
      </c>
      <c r="F239" s="31" t="inlineStr">
        <is>
          <t>trading</t>
        </is>
      </c>
      <c r="G239" s="31" t="inlineStr">
        <is>
          <t>largecap</t>
        </is>
      </c>
      <c r="H239" s="32" t="n">
        <v>44209.25</v>
      </c>
      <c r="I239" s="32" t="n">
        <v>3704.6</v>
      </c>
      <c r="J239" s="32" t="n">
        <v>-1.24</v>
      </c>
      <c r="K239" s="32" t="n">
        <v>202259</v>
      </c>
      <c r="L239" s="31" t="n">
        <v>84</v>
      </c>
      <c r="M239" s="31" t="inlineStr">
        <is>
          <t>Outperforming</t>
        </is>
      </c>
      <c r="N239" s="32">
        <f>IF(M239="Underperforming",-5,IF(L239&gt;=95,15,IF(L239&gt;=90,10,IF(L239&gt;=80,5,0))))</f>
        <v/>
      </c>
      <c r="O239" s="32" t="n">
        <v>70.5</v>
      </c>
      <c r="P239" s="32" t="n">
        <v>62.97</v>
      </c>
      <c r="Q239" s="32" t="n">
        <v>2766.86</v>
      </c>
      <c r="R239" s="31" t="inlineStr">
        <is>
          <t>Near 52W High Breakout</t>
        </is>
      </c>
      <c r="S239" s="31" t="inlineStr">
        <is>
          <t>Nifty 50</t>
        </is>
      </c>
      <c r="T239" s="32" t="n">
        <v>-3.41</v>
      </c>
      <c r="U239" s="32" t="n">
        <v>170.89</v>
      </c>
      <c r="V239" s="32" t="n">
        <v>180.45</v>
      </c>
      <c r="W239" s="32" t="n">
        <v>28.46</v>
      </c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Yes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Above 40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Negative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Blue sky scenario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Yes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IF(B240=0,"",RANK(B240,$B$2:$B$363,0))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TEXINFRA</t>
        </is>
      </c>
      <c r="D240" s="31" t="inlineStr">
        <is>
          <t>Texmaco Infrastructure &amp; Holdings Limited</t>
        </is>
      </c>
      <c r="E240" s="31" t="inlineStr">
        <is>
          <t>realty</t>
        </is>
      </c>
      <c r="F240" s="31" t="inlineStr">
        <is>
          <t>construction</t>
        </is>
      </c>
      <c r="G240" s="31" t="inlineStr">
        <is>
          <t>smallcap</t>
        </is>
      </c>
      <c r="H240" s="32" t="n">
        <v>1487.07</v>
      </c>
      <c r="I240" s="32" t="n">
        <v>115.02</v>
      </c>
      <c r="J240" s="32" t="n">
        <v>-1.44</v>
      </c>
      <c r="K240" s="32" t="n">
        <v>122665</v>
      </c>
      <c r="L240" s="31" t="n">
        <v>28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63.57</v>
      </c>
      <c r="P240" s="32" t="n">
        <v>38.46</v>
      </c>
      <c r="Q240" s="32" t="n">
        <v>94.84</v>
      </c>
      <c r="R240" s="31" t="inlineStr">
        <is>
          <t>Volume Spike &amp; Near 52W High Breakout</t>
        </is>
      </c>
      <c r="S240" s="31" t="inlineStr">
        <is>
          <t>Nifty Realty</t>
        </is>
      </c>
      <c r="T240" s="32" t="n">
        <v>-4.49</v>
      </c>
      <c r="U240" s="32" t="n">
        <v>16.98</v>
      </c>
      <c r="V240" s="32" t="n">
        <v>22.48</v>
      </c>
      <c r="W240" s="32" t="n">
        <v>7.44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Yes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Less than 12%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Yes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IF(B241=0,"",RANK(B241,$B$2:$B$363,0))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3" t="inlineStr">
        <is>
          <t>TIIL</t>
        </is>
      </c>
      <c r="D241" s="33" t="inlineStr">
        <is>
          <t>Technocraft Industries (india) Limited</t>
        </is>
      </c>
      <c r="E241" s="31" t="inlineStr">
        <is>
          <t>metals &amp; mining</t>
        </is>
      </c>
      <c r="F241" s="31" t="inlineStr">
        <is>
          <t>steel - medium / small</t>
        </is>
      </c>
      <c r="G241" s="31" t="inlineStr">
        <is>
          <t>midcap</t>
        </is>
      </c>
      <c r="H241" s="32" t="n">
        <v>7408.11</v>
      </c>
      <c r="I241" s="32" t="n">
        <v>3194.6</v>
      </c>
      <c r="J241" s="32" t="n">
        <v>-2.23</v>
      </c>
      <c r="K241" s="32" t="n">
        <v>25085</v>
      </c>
      <c r="L241" s="31" t="n">
        <v>30</v>
      </c>
      <c r="M241" s="31" t="inlineStr">
        <is>
          <t>Underperforming</t>
        </is>
      </c>
      <c r="N241" s="32">
        <f>IF(M241="Underperforming",-5,IF(L241&gt;=95,15,IF(L241&gt;=90,10,IF(L241&gt;=80,5,0))))</f>
        <v/>
      </c>
      <c r="O241" s="32" t="n">
        <v>70.01000000000001</v>
      </c>
      <c r="P241" s="32" t="n">
        <v>35.03</v>
      </c>
      <c r="Q241" s="32" t="n">
        <v>2622.05</v>
      </c>
      <c r="R241" s="31" t="inlineStr">
        <is>
          <t>Near 52W High Breakout</t>
        </is>
      </c>
      <c r="S241" s="31" t="inlineStr">
        <is>
          <t>Nifty Metal</t>
        </is>
      </c>
      <c r="T241" s="32" t="n">
        <v>41.3</v>
      </c>
      <c r="U241" s="32" t="n">
        <v>-3.01</v>
      </c>
      <c r="V241" s="32" t="n">
        <v>-31.36</v>
      </c>
      <c r="W241" s="32" t="n">
        <v>7.71</v>
      </c>
      <c r="X241" s="31" t="inlineStr">
        <is>
          <t>Cyclical in an Upturn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Cyclical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Volatile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Yes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20 to 40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Blue sky scenario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No</t>
        </is>
      </c>
      <c r="BS241" s="31">
        <f>IF(BR241="NO",5,0)</f>
        <v/>
      </c>
      <c r="BT241" s="31" t="inlineStr">
        <is>
          <t>Less than 1.5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IF(B242=0,"",RANK(B242,$B$2:$B$363,0))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ANTELOPUS</t>
        </is>
      </c>
      <c r="D242" s="31" t="inlineStr">
        <is>
          <t>Antelopus Selan Energy Ltd</t>
        </is>
      </c>
      <c r="E242" s="31" t="inlineStr">
        <is>
          <t>energy</t>
        </is>
      </c>
      <c r="F242" s="31" t="inlineStr">
        <is>
          <t>oil drilling / allied services</t>
        </is>
      </c>
      <c r="G242" s="31" t="inlineStr">
        <is>
          <t>smallcap</t>
        </is>
      </c>
      <c r="H242" s="32" t="n">
        <v>3563</v>
      </c>
      <c r="I242" s="32" t="n">
        <v>957.15</v>
      </c>
      <c r="J242" s="32" t="n">
        <v>-5.54</v>
      </c>
      <c r="K242" s="32" t="n">
        <v>4816181</v>
      </c>
      <c r="L242" s="31" t="n">
        <v>74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66.73999999999999</v>
      </c>
      <c r="P242" s="32" t="n">
        <v>45.52</v>
      </c>
      <c r="Q242" s="32" t="n">
        <v>654.5700000000001</v>
      </c>
      <c r="R242" s="31" t="inlineStr">
        <is>
          <t>Volume Spike &amp; Near 52W High Breakout</t>
        </is>
      </c>
      <c r="S242" s="31" t="inlineStr">
        <is>
          <t>Nifty Energy</t>
        </is>
      </c>
      <c r="T242" s="32" t="n">
        <v>7.99</v>
      </c>
      <c r="U242" s="32" t="n">
        <v>53.52</v>
      </c>
      <c r="V242" s="32" t="n">
        <v>42.16</v>
      </c>
      <c r="W242" s="32" t="n">
        <v>22.47</v>
      </c>
      <c r="X242" s="31" t="inlineStr">
        <is>
          <t>Cyclical in an Upturn</t>
        </is>
      </c>
      <c r="Y242" s="31">
        <f>IF(X242="Growing Industry",10,IF(X242="Cyclical in an Upturn",5,0))</f>
        <v/>
      </c>
      <c r="Z242" s="31" t="inlineStr">
        <is>
          <t>Oligopoly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Yes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Cyclical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Volatile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Yes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Above 40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Blue sky scenario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No</t>
        </is>
      </c>
      <c r="BS242" s="31">
        <f>IF(BR242="NO",5,0)</f>
        <v/>
      </c>
      <c r="BT242" s="31" t="inlineStr">
        <is>
          <t>Above 2</t>
        </is>
      </c>
      <c r="BU242" s="31">
        <f>IF(BT242="Above 2",0,IF(BT242="Between 1.5 to 2",5,IF(BT242="Less than 1.5",10,0)))</f>
        <v/>
      </c>
      <c r="BV242" s="31" t="inlineStr">
        <is>
          <t>Above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IF(B243=0,"",RANK(B243,$B$2:$B$363,0))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MUKKA</t>
        </is>
      </c>
      <c r="D243" s="31" t="inlineStr">
        <is>
          <t>Mukka Proteins Ltd</t>
        </is>
      </c>
      <c r="E243" s="31" t="inlineStr">
        <is>
          <t>fmcg</t>
        </is>
      </c>
      <c r="F243" s="31" t="inlineStr">
        <is>
          <t>food - processing - indian</t>
        </is>
      </c>
      <c r="G243" s="31" t="inlineStr">
        <is>
          <t>smallcap</t>
        </is>
      </c>
      <c r="H243" s="32" t="n">
        <v>861.6</v>
      </c>
      <c r="I243" s="32" t="n">
        <v>31.34</v>
      </c>
      <c r="J243" s="32" t="n">
        <v>9.119999999999999</v>
      </c>
      <c r="K243" s="32" t="n">
        <v>6910108</v>
      </c>
      <c r="L243" s="31" t="n">
        <v>34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71.68000000000001</v>
      </c>
      <c r="P243" s="32" t="n">
        <v>12.87</v>
      </c>
      <c r="Q243" s="32" t="n">
        <v>23.88</v>
      </c>
      <c r="R243" s="31" t="inlineStr">
        <is>
          <t>Volume Spike &amp; Near 52W High Breakout</t>
        </is>
      </c>
      <c r="S243" s="31" t="inlineStr">
        <is>
          <t>Nifty FMCG</t>
        </is>
      </c>
      <c r="T243" s="32" t="n">
        <v>-15.92</v>
      </c>
      <c r="U243" s="32" t="n">
        <v>7.77</v>
      </c>
      <c r="V243" s="32" t="n">
        <v>28.17</v>
      </c>
      <c r="W243" s="32" t="n">
        <v>8.81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B2C</t>
        </is>
      </c>
      <c r="AO243" s="31">
        <f>IF(AN243="B2C",10,IF(AN243="B2B",5,0))</f>
        <v/>
      </c>
      <c r="AP243" s="31" t="inlineStr">
        <is>
          <t>Yes</t>
        </is>
      </c>
      <c r="AQ243" s="31">
        <f>IF(AP243="Yes",10,0)</f>
        <v/>
      </c>
      <c r="AR243" s="31" t="inlineStr">
        <is>
          <t>Higher Annuity, Lower One Time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0 to 20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No</t>
        </is>
      </c>
      <c r="BS243" s="31">
        <f>IF(BR243="NO",5,0)</f>
        <v/>
      </c>
      <c r="BT243" s="31" t="inlineStr">
        <is>
          <t>Less than 1.5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More than 1.2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IF(B244=0,"",RANK(B244,$B$2:$B$363,0))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3" t="inlineStr">
        <is>
          <t>MEDANTA</t>
        </is>
      </c>
      <c r="D244" s="33" t="inlineStr">
        <is>
          <t>Global Health Ltd</t>
        </is>
      </c>
      <c r="E244" s="31" t="inlineStr">
        <is>
          <t>healthcare</t>
        </is>
      </c>
      <c r="F244" s="31" t="inlineStr">
        <is>
          <t>healthcare</t>
        </is>
      </c>
      <c r="G244" s="31" t="inlineStr">
        <is>
          <t>largecap</t>
        </is>
      </c>
      <c r="H244" s="32" t="n">
        <v>38107.2</v>
      </c>
      <c r="I244" s="32" t="n">
        <v>1469.8</v>
      </c>
      <c r="J244" s="32" t="n">
        <v>3.7</v>
      </c>
      <c r="K244" s="32" t="n">
        <v>470026</v>
      </c>
      <c r="L244" s="31" t="n">
        <v>20</v>
      </c>
      <c r="M244" s="31" t="inlineStr">
        <is>
          <t>Underperforming</t>
        </is>
      </c>
      <c r="N244" s="32">
        <f>IF(M244="Underperforming",-5,IF(L244&gt;=95,15,IF(L244&gt;=90,10,IF(L244&gt;=80,5,0))))</f>
        <v/>
      </c>
      <c r="O244" s="32" t="n">
        <v>69.33</v>
      </c>
      <c r="P244" s="32" t="n">
        <v>28.98</v>
      </c>
      <c r="Q244" s="32" t="n">
        <v>1222.99</v>
      </c>
      <c r="R244" s="31" t="inlineStr">
        <is>
          <t>Near 52W High Breakout</t>
        </is>
      </c>
      <c r="S244" s="31" t="inlineStr">
        <is>
          <t>Nifty Pharma</t>
        </is>
      </c>
      <c r="T244" s="32" t="n">
        <v>20.77</v>
      </c>
      <c r="U244" s="32" t="n">
        <v>4.4</v>
      </c>
      <c r="V244" s="32" t="n">
        <v>-13.56</v>
      </c>
      <c r="W244" s="32" t="n">
        <v>5.37</v>
      </c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Yes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Yes</t>
        </is>
      </c>
      <c r="AQ244" s="31">
        <f>IF(AP244="Yes",10,0)</f>
        <v/>
      </c>
      <c r="AR244" s="31" t="inlineStr">
        <is>
          <t>Higher Annuity, Lower One Time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20 to 40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Blue sky scenario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Less than 12%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Yes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IF(B245=0,"",RANK(B245,$B$2:$B$363,0))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3" t="inlineStr">
        <is>
          <t>GLAXO</t>
        </is>
      </c>
      <c r="D245" s="33" t="inlineStr">
        <is>
          <t>Glaxosmithkline Pharmaceuticals Limited</t>
        </is>
      </c>
      <c r="E245" s="31" t="inlineStr">
        <is>
          <t>healthcare</t>
        </is>
      </c>
      <c r="F245" s="31" t="inlineStr">
        <is>
          <t>pharmaceuticals - multinational</t>
        </is>
      </c>
      <c r="G245" s="31" t="inlineStr">
        <is>
          <t>largecap</t>
        </is>
      </c>
      <c r="H245" s="32" t="n">
        <v>49763.02</v>
      </c>
      <c r="I245" s="32" t="n">
        <v>2958.1</v>
      </c>
      <c r="J245" s="32" t="n">
        <v>0.7</v>
      </c>
      <c r="K245" s="32" t="n">
        <v>48109</v>
      </c>
      <c r="L245" s="31" t="n">
        <v>41</v>
      </c>
      <c r="M245" s="31" t="inlineStr">
        <is>
          <t>Underperforming</t>
        </is>
      </c>
      <c r="N245" s="32">
        <f>IF(M245="Underperforming",-5,IF(L245&gt;=95,15,IF(L245&gt;=90,10,IF(L245&gt;=80,5,0))))</f>
        <v/>
      </c>
      <c r="O245" s="32" t="n">
        <v>66.81</v>
      </c>
      <c r="P245" s="32" t="n">
        <v>26.63</v>
      </c>
      <c r="Q245" s="32" t="n">
        <v>2598.72</v>
      </c>
      <c r="R245" s="31" t="inlineStr">
        <is>
          <t>Near 52W High Breakout</t>
        </is>
      </c>
      <c r="S245" s="31" t="inlineStr">
        <is>
          <t>Nifty Pharma</t>
        </is>
      </c>
      <c r="T245" s="32" t="n">
        <v>20.77</v>
      </c>
      <c r="U245" s="32" t="n">
        <v>9.5</v>
      </c>
      <c r="V245" s="32" t="n">
        <v>-9.33</v>
      </c>
      <c r="W245" s="32" t="n">
        <v>10.46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Yes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Yes</t>
        </is>
      </c>
      <c r="AQ245" s="31">
        <f>IF(AP245="Yes",10,0)</f>
        <v/>
      </c>
      <c r="AR245" s="31" t="inlineStr">
        <is>
          <t>Higher Annuity, Lower One Time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20 to 40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Between 12 to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Yes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IF(B246=0,"",RANK(B246,$B$2:$B$363,0))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3" t="inlineStr">
        <is>
          <t>INDGN</t>
        </is>
      </c>
      <c r="D246" s="33" t="inlineStr">
        <is>
          <t>Indegene Ltd</t>
        </is>
      </c>
      <c r="E246" s="31" t="inlineStr">
        <is>
          <t>healthcare</t>
        </is>
      </c>
      <c r="F246" s="31" t="inlineStr">
        <is>
          <t>miscellaneous</t>
        </is>
      </c>
      <c r="G246" s="31" t="inlineStr">
        <is>
          <t>midcap</t>
        </is>
      </c>
      <c r="H246" s="32" t="n">
        <v>14460.87</v>
      </c>
      <c r="I246" s="32" t="n">
        <v>601.5</v>
      </c>
      <c r="J246" s="32" t="n">
        <v>0.22</v>
      </c>
      <c r="K246" s="32" t="n">
        <v>804735</v>
      </c>
      <c r="L246" s="31" t="n">
        <v>18</v>
      </c>
      <c r="M246" s="31" t="inlineStr">
        <is>
          <t>Underperforming</t>
        </is>
      </c>
      <c r="N246" s="32">
        <f>IF(M246="Underperforming",-5,IF(L246&gt;=95,15,IF(L246&gt;=90,10,IF(L246&gt;=80,5,0))))</f>
        <v/>
      </c>
      <c r="O246" s="32" t="n">
        <v>70.44</v>
      </c>
      <c r="P246" s="32" t="n">
        <v>20.75</v>
      </c>
      <c r="Q246" s="32" t="n">
        <v>502.05</v>
      </c>
      <c r="R246" s="31" t="inlineStr">
        <is>
          <t>Volume Spike &amp; Near 52W High Breakout</t>
        </is>
      </c>
      <c r="S246" s="31" t="inlineStr">
        <is>
          <t>Nifty Pharma</t>
        </is>
      </c>
      <c r="T246" s="32" t="n">
        <v>20.77</v>
      </c>
      <c r="U246" s="32" t="n">
        <v>7.61</v>
      </c>
      <c r="V246" s="32" t="n">
        <v>-10.89</v>
      </c>
      <c r="W246" s="32" t="n">
        <v>5.21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Yes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Yes</t>
        </is>
      </c>
      <c r="AQ246" s="31">
        <f>IF(AP246="Yes",10,0)</f>
        <v/>
      </c>
      <c r="AR246" s="31" t="inlineStr">
        <is>
          <t>Higher Annuity, Lower One Time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20 to 40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Less than 12%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No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IF(B247=0,"",RANK(B247,$B$2:$B$363,0))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3" t="inlineStr">
        <is>
          <t>GLENMARK</t>
        </is>
      </c>
      <c r="D247" s="33" t="inlineStr">
        <is>
          <t>Glenmark Pharmaceuticals Limited</t>
        </is>
      </c>
      <c r="E247" s="31" t="inlineStr">
        <is>
          <t>healthcare</t>
        </is>
      </c>
      <c r="F247" s="31" t="inlineStr">
        <is>
          <t>pharmaceuticals - indian - bulk drugs &amp; formln</t>
        </is>
      </c>
      <c r="G247" s="31" t="inlineStr">
        <is>
          <t>largecap</t>
        </is>
      </c>
      <c r="H247" s="32" t="n">
        <v>69393.17999999999</v>
      </c>
      <c r="I247" s="32" t="n">
        <v>2437.2</v>
      </c>
      <c r="J247" s="32" t="n">
        <v>-0.89</v>
      </c>
      <c r="K247" s="32" t="n">
        <v>412728</v>
      </c>
      <c r="L247" s="31" t="n">
        <v>23</v>
      </c>
      <c r="M247" s="31" t="inlineStr">
        <is>
          <t>Underperforming</t>
        </is>
      </c>
      <c r="N247" s="32">
        <f>IF(M247="Underperforming",-5,IF(L247&gt;=95,15,IF(L247&gt;=90,10,IF(L247&gt;=80,5,0))))</f>
        <v/>
      </c>
      <c r="O247" s="32" t="n">
        <v>63.25</v>
      </c>
      <c r="P247" s="32" t="n">
        <v>17.77</v>
      </c>
      <c r="Q247" s="32" t="n">
        <v>2120.62</v>
      </c>
      <c r="R247" s="31" t="inlineStr">
        <is>
          <t>Near 52W High Breakout</t>
        </is>
      </c>
      <c r="S247" s="31" t="inlineStr">
        <is>
          <t>Nifty Pharma</t>
        </is>
      </c>
      <c r="T247" s="32" t="n">
        <v>20.77</v>
      </c>
      <c r="U247" s="32" t="n">
        <v>19.19</v>
      </c>
      <c r="V247" s="32" t="n">
        <v>-1.31</v>
      </c>
      <c r="W247" s="32" t="n">
        <v>6.26</v>
      </c>
      <c r="X247" s="31" t="inlineStr">
        <is>
          <t>Growing Industry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Yes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Yes</t>
        </is>
      </c>
      <c r="AQ247" s="31">
        <f>IF(AP247="Yes",10,0)</f>
        <v/>
      </c>
      <c r="AR247" s="31" t="inlineStr">
        <is>
          <t>Higher Annuity, Lower One Time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0 to 20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Blue sky scenario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IF(B248=0,"",RANK(B248,$B$2:$B$363,0))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3" t="inlineStr">
        <is>
          <t>SURAKSHA</t>
        </is>
      </c>
      <c r="D248" s="33" t="inlineStr">
        <is>
          <t>Suraksha Diagnostic Ltd</t>
        </is>
      </c>
      <c r="E248" s="31" t="inlineStr">
        <is>
          <t>healthcare</t>
        </is>
      </c>
      <c r="F248" s="31" t="inlineStr">
        <is>
          <t>healthcare</t>
        </is>
      </c>
      <c r="G248" s="31" t="inlineStr">
        <is>
          <t>smallcap</t>
        </is>
      </c>
      <c r="H248" s="32" t="n">
        <v>1768.66</v>
      </c>
      <c r="I248" s="32" t="n">
        <v>332.45</v>
      </c>
      <c r="J248" s="32" t="n">
        <v>-2.11</v>
      </c>
      <c r="K248" s="32" t="n">
        <v>38299</v>
      </c>
      <c r="L248" s="31" t="n">
        <v>26</v>
      </c>
      <c r="M248" s="31" t="inlineStr">
        <is>
          <t>Underperforming</t>
        </is>
      </c>
      <c r="N248" s="32">
        <f>IF(M248="Underperforming",-5,IF(L248&gt;=95,15,IF(L248&gt;=90,10,IF(L248&gt;=80,5,0))))</f>
        <v/>
      </c>
      <c r="O248" s="32" t="n">
        <v>65.75</v>
      </c>
      <c r="P248" s="32" t="n">
        <v>17.66</v>
      </c>
      <c r="Q248" s="32" t="n">
        <v>268.09</v>
      </c>
      <c r="R248" s="31" t="inlineStr">
        <is>
          <t>Near 52W High Breakout</t>
        </is>
      </c>
      <c r="S248" s="31" t="inlineStr">
        <is>
          <t>Nifty Pharma</t>
        </is>
      </c>
      <c r="T248" s="32" t="n">
        <v>20.77</v>
      </c>
      <c r="U248" s="32" t="n">
        <v>10.52</v>
      </c>
      <c r="V248" s="32" t="n">
        <v>-8.48</v>
      </c>
      <c r="W248" s="32" t="n">
        <v>6.7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Yes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Yes</t>
        </is>
      </c>
      <c r="AQ248" s="31">
        <f>IF(AP248="Yes",10,0)</f>
        <v/>
      </c>
      <c r="AR248" s="31" t="inlineStr">
        <is>
          <t>Higher Annuity, Lower One Time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0 to 20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Yes</t>
        </is>
      </c>
      <c r="BS248" s="31">
        <f>IF(BR248="NO",5,0)</f>
        <v/>
      </c>
      <c r="BT248" s="31" t="inlineStr">
        <is>
          <t>Less than 1.5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IF(B249=0,"",RANK(B249,$B$2:$B$363,0))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3" t="inlineStr">
        <is>
          <t>THEMISMED</t>
        </is>
      </c>
      <c r="D249" s="33" t="inlineStr">
        <is>
          <t>Themis Medicare Limited</t>
        </is>
      </c>
      <c r="E249" s="31" t="inlineStr">
        <is>
          <t>healthcare</t>
        </is>
      </c>
      <c r="F249" s="31" t="inlineStr">
        <is>
          <t>pharmaceuticals - indian - bulk drugs &amp; formln</t>
        </is>
      </c>
      <c r="G249" s="31" t="inlineStr">
        <is>
          <t>smallcap</t>
        </is>
      </c>
      <c r="H249" s="32" t="n">
        <v>1150.05</v>
      </c>
      <c r="I249" s="32" t="n">
        <v>120.42</v>
      </c>
      <c r="J249" s="32" t="n">
        <v>-3.56</v>
      </c>
      <c r="K249" s="32" t="n">
        <v>159319</v>
      </c>
      <c r="L249" s="31" t="n">
        <v>33</v>
      </c>
      <c r="M249" s="31" t="inlineStr">
        <is>
          <t>Underperforming</t>
        </is>
      </c>
      <c r="N249" s="32">
        <f>IF(M249="Underperforming",-5,IF(L249&gt;=95,15,IF(L249&gt;=90,10,IF(L249&gt;=80,5,0))))</f>
        <v/>
      </c>
      <c r="O249" s="32" t="n">
        <v>60.16</v>
      </c>
      <c r="P249" s="32" t="n">
        <v>37.43</v>
      </c>
      <c r="Q249" s="32" t="n">
        <v>86.64</v>
      </c>
      <c r="R249" s="31" t="inlineStr">
        <is>
          <t>Earnings / Momentum Support</t>
        </is>
      </c>
      <c r="S249" s="31" t="inlineStr">
        <is>
          <t>Nifty Pharma</t>
        </is>
      </c>
      <c r="T249" s="32" t="n">
        <v>20.77</v>
      </c>
      <c r="U249" s="32" t="n">
        <v>20.06</v>
      </c>
      <c r="V249" s="32" t="n">
        <v>-0.59</v>
      </c>
      <c r="W249" s="32" t="n">
        <v>8.630000000000001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Yes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No</t>
        </is>
      </c>
      <c r="AQ249" s="31">
        <f>IF(AP249="Yes",10,0)</f>
        <v/>
      </c>
      <c r="AR249" s="31" t="inlineStr">
        <is>
          <t>Higher Annuity, Lower One Time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20 to 40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More than 20%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No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IF(B250=0,"",RANK(B250,$B$2:$B$363,0))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1" t="inlineStr">
        <is>
          <t>SMLMAH</t>
        </is>
      </c>
      <c r="D250" s="31" t="inlineStr">
        <is>
          <t>SML Mahindra Ltd</t>
        </is>
      </c>
      <c r="E250" s="31" t="inlineStr">
        <is>
          <t>auto</t>
        </is>
      </c>
      <c r="F250" s="31" t="inlineStr">
        <is>
          <t>automobiles - lcvs / hcvs</t>
        </is>
      </c>
      <c r="G250" s="31" t="inlineStr">
        <is>
          <t>midcap</t>
        </is>
      </c>
      <c r="H250" s="32" t="n">
        <v>8286.459999999999</v>
      </c>
      <c r="I250" s="32" t="n">
        <v>6298.5</v>
      </c>
      <c r="J250" s="32" t="n">
        <v>10</v>
      </c>
      <c r="K250" s="32" t="n">
        <v>427607</v>
      </c>
      <c r="L250" s="31" t="n">
        <v>82</v>
      </c>
      <c r="M250" s="31" t="inlineStr">
        <is>
          <t>Outperforming</t>
        </is>
      </c>
      <c r="N250" s="32">
        <f>IF(M250="Underperforming",-5,IF(L250&gt;=95,15,IF(L250&gt;=90,10,IF(L250&gt;=80,5,0))))</f>
        <v/>
      </c>
      <c r="O250" s="32" t="n">
        <v>70.5</v>
      </c>
      <c r="P250" s="32" t="n">
        <v>19.74</v>
      </c>
      <c r="Q250" s="32" t="n">
        <v>4607.78</v>
      </c>
      <c r="R250" s="31" t="inlineStr">
        <is>
          <t>Near 52W High Breakout</t>
        </is>
      </c>
      <c r="S250" s="31" t="inlineStr">
        <is>
          <t>Nifty Auto</t>
        </is>
      </c>
      <c r="T250" s="32" t="n">
        <v>16.52</v>
      </c>
      <c r="U250" s="32" t="n">
        <v>66.75</v>
      </c>
      <c r="V250" s="32" t="n">
        <v>43.11</v>
      </c>
      <c r="W250" s="32" t="n">
        <v>27.03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Yes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0 to 20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Blue sky scenario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Less than 12%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Yes</t>
        </is>
      </c>
      <c r="BS250" s="31">
        <f>IF(BR250="NO",5,0)</f>
        <v/>
      </c>
      <c r="BT250" s="31" t="inlineStr">
        <is>
          <t>Above 2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IF(B251=0,"",RANK(B251,$B$2:$B$363,0))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3" t="inlineStr">
        <is>
          <t>MOTISONS</t>
        </is>
      </c>
      <c r="D251" s="33" t="inlineStr">
        <is>
          <t>Motisons Jewellers Ltd</t>
        </is>
      </c>
      <c r="E251" s="31" t="inlineStr">
        <is>
          <t>consumer discretionary</t>
        </is>
      </c>
      <c r="F251" s="31" t="inlineStr">
        <is>
          <t>diamond cutting / jewellery</t>
        </is>
      </c>
      <c r="G251" s="31" t="inlineStr">
        <is>
          <t>smallcap</t>
        </is>
      </c>
      <c r="H251" s="32" t="n">
        <v>1748.35</v>
      </c>
      <c r="I251" s="32" t="n">
        <v>16.48</v>
      </c>
      <c r="J251" s="32" t="n">
        <v>7.22</v>
      </c>
      <c r="K251" s="32" t="n">
        <v>123701270</v>
      </c>
      <c r="L251" s="31" t="n">
        <v>27</v>
      </c>
      <c r="M251" s="31" t="inlineStr">
        <is>
          <t>Underperforming</t>
        </is>
      </c>
      <c r="N251" s="32">
        <f>IF(M251="Underperforming",-5,IF(L251&gt;=95,15,IF(L251&gt;=90,10,IF(L251&gt;=80,5,0))))</f>
        <v/>
      </c>
      <c r="O251" s="32" t="n">
        <v>60.78</v>
      </c>
      <c r="P251" s="32" t="n">
        <v>19.67</v>
      </c>
      <c r="Q251" s="32" t="n">
        <v>11.75</v>
      </c>
      <c r="R251" s="31" t="inlineStr">
        <is>
          <t>Earnings / Momentum Support</t>
        </is>
      </c>
      <c r="S251" s="31" t="inlineStr">
        <is>
          <t>Nifty 50</t>
        </is>
      </c>
      <c r="T251" s="32" t="n">
        <v>-3.41</v>
      </c>
      <c r="U251" s="32" t="n">
        <v>-14.61</v>
      </c>
      <c r="V251" s="32" t="n">
        <v>-11.6</v>
      </c>
      <c r="W251" s="32" t="n">
        <v>7.11</v>
      </c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No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0 to 20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Positive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More than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No</t>
        </is>
      </c>
      <c r="BS251" s="31">
        <f>IF(BR251="NO",5,0)</f>
        <v/>
      </c>
      <c r="BT251" s="31" t="inlineStr">
        <is>
          <t>Less than 1.5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IF(B252=0,"",RANK(B252,$B$2:$B$363,0))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RATNAVEER</t>
        </is>
      </c>
      <c r="D252" s="31" t="inlineStr">
        <is>
          <t>Ratnaveer Precision Engineering Ltd</t>
        </is>
      </c>
      <c r="E252" s="31" t="inlineStr">
        <is>
          <t>metals &amp; mining</t>
        </is>
      </c>
      <c r="F252" s="31" t="inlineStr">
        <is>
          <t>steel - medium / small</t>
        </is>
      </c>
      <c r="G252" s="31" t="inlineStr">
        <is>
          <t>smallcap</t>
        </is>
      </c>
      <c r="H252" s="32" t="n">
        <v>2043.52</v>
      </c>
      <c r="I252" s="32" t="n">
        <v>304.75</v>
      </c>
      <c r="J252" s="32" t="n">
        <v>6.52</v>
      </c>
      <c r="K252" s="32" t="n">
        <v>4493978</v>
      </c>
      <c r="L252" s="31" t="n">
        <v>93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83.14</v>
      </c>
      <c r="P252" s="32" t="n">
        <v>54.81</v>
      </c>
      <c r="Q252" s="32" t="n">
        <v>226.3</v>
      </c>
      <c r="R252" s="31" t="inlineStr">
        <is>
          <t>Near 52W High Breakout</t>
        </is>
      </c>
      <c r="S252" s="31" t="inlineStr">
        <is>
          <t>Nifty Metal</t>
        </is>
      </c>
      <c r="T252" s="32" t="n">
        <v>41.3</v>
      </c>
      <c r="U252" s="32" t="n">
        <v>96.44</v>
      </c>
      <c r="V252" s="32" t="n">
        <v>39.02</v>
      </c>
      <c r="W252" s="32" t="n">
        <v>42.9</v>
      </c>
      <c r="X252" s="31" t="inlineStr">
        <is>
          <t>Cyclical in an Upturn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Cyclical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Volatile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Yes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Above 40</t>
        </is>
      </c>
      <c r="AY252" s="31">
        <f>IF(AX252="Above 40",20,IF(AX252="20 to 40",10,IF(AX252="0 to 20",-5,0)))</f>
        <v/>
      </c>
      <c r="AZ252" s="31" t="inlineStr">
        <is>
          <t>Above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Blue sky scenario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Less than 12%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No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IF(B253=0,"",RANK(B253,$B$2:$B$363,0))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SBC</t>
        </is>
      </c>
      <c r="D253" s="31" t="inlineStr">
        <is>
          <t>SBC Exports Ltd</t>
        </is>
      </c>
      <c r="E253" s="31" t="inlineStr">
        <is>
          <t>textiles</t>
        </is>
      </c>
      <c r="F253" s="31" t="inlineStr">
        <is>
          <t>textiles - products</t>
        </is>
      </c>
      <c r="G253" s="31" t="inlineStr">
        <is>
          <t>smallcap</t>
        </is>
      </c>
      <c r="H253" s="32" t="n">
        <v>2059.52</v>
      </c>
      <c r="I253" s="32" t="n">
        <v>45.76</v>
      </c>
      <c r="J253" s="32" t="n">
        <v>5.8</v>
      </c>
      <c r="K253" s="32" t="n">
        <v>13241116</v>
      </c>
      <c r="L253" s="31" t="n">
        <v>74</v>
      </c>
      <c r="M253" s="31" t="inlineStr">
        <is>
          <t>Outperforming</t>
        </is>
      </c>
      <c r="N253" s="32">
        <f>IF(M253="Underperforming",-5,IF(L253&gt;=95,15,IF(L253&gt;=90,10,IF(L253&gt;=80,5,0))))</f>
        <v/>
      </c>
      <c r="O253" s="32" t="n">
        <v>71.84999999999999</v>
      </c>
      <c r="P253" s="32" t="n">
        <v>33.86</v>
      </c>
      <c r="Q253" s="32" t="n">
        <v>37.11</v>
      </c>
      <c r="R253" s="31" t="inlineStr">
        <is>
          <t>Near 52W High Breakout</t>
        </is>
      </c>
      <c r="S253" s="31" t="inlineStr">
        <is>
          <t>Nifty 50</t>
        </is>
      </c>
      <c r="T253" s="32" t="n">
        <v>-3.41</v>
      </c>
      <c r="U253" s="32" t="n">
        <v>123.98</v>
      </c>
      <c r="V253" s="32" t="n">
        <v>131.89</v>
      </c>
      <c r="W253" s="32" t="n">
        <v>22.72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Yes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20 to 40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Positive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Blue sky scenario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Yes</t>
        </is>
      </c>
      <c r="BS253" s="31">
        <f>IF(BR253="NO",5,0)</f>
        <v/>
      </c>
      <c r="BT253" s="31" t="inlineStr">
        <is>
          <t>Above 2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More than 1.2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IF(B254=0,"",RANK(B254,$B$2:$B$363,0))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1" t="inlineStr">
        <is>
          <t>DEEPINDS</t>
        </is>
      </c>
      <c r="D254" s="31" t="inlineStr">
        <is>
          <t>Deep Industries Ltd</t>
        </is>
      </c>
      <c r="E254" s="31" t="inlineStr">
        <is>
          <t>energy</t>
        </is>
      </c>
      <c r="F254" s="31" t="inlineStr">
        <is>
          <t>oil drilling / allied services</t>
        </is>
      </c>
      <c r="G254" s="31" t="inlineStr">
        <is>
          <t>smallcap</t>
        </is>
      </c>
      <c r="H254" s="32" t="n">
        <v>4767.04</v>
      </c>
      <c r="I254" s="32" t="n">
        <v>786.45</v>
      </c>
      <c r="J254" s="32" t="n">
        <v>5.59</v>
      </c>
      <c r="K254" s="32" t="n">
        <v>1324171</v>
      </c>
      <c r="L254" s="31" t="n">
        <v>84</v>
      </c>
      <c r="M254" s="31" t="inlineStr">
        <is>
          <t>Outperforming</t>
        </is>
      </c>
      <c r="N254" s="32">
        <f>IF(M254="Underperforming",-5,IF(L254&gt;=95,15,IF(L254&gt;=90,10,IF(L254&gt;=80,5,0))))</f>
        <v/>
      </c>
      <c r="O254" s="32" t="n">
        <v>80.51000000000001</v>
      </c>
      <c r="P254" s="32" t="n">
        <v>30.15</v>
      </c>
      <c r="Q254" s="32" t="n">
        <v>609.46</v>
      </c>
      <c r="R254" s="31" t="inlineStr">
        <is>
          <t>Near 52W High Breakout</t>
        </is>
      </c>
      <c r="S254" s="31" t="inlineStr">
        <is>
          <t>Nifty Energy</t>
        </is>
      </c>
      <c r="T254" s="32" t="n">
        <v>7.99</v>
      </c>
      <c r="U254" s="32" t="n">
        <v>76.06999999999999</v>
      </c>
      <c r="V254" s="32" t="n">
        <v>63.04</v>
      </c>
      <c r="W254" s="32" t="n">
        <v>28.16</v>
      </c>
      <c r="X254" s="31" t="inlineStr">
        <is>
          <t>Cyclical in an Upturn</t>
        </is>
      </c>
      <c r="Y254" s="31">
        <f>IF(X254="Growing Industry",10,IF(X254="Cyclical in an Upturn",5,0))</f>
        <v/>
      </c>
      <c r="Z254" s="31" t="inlineStr">
        <is>
          <t>Oligopoly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Yes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Cyclical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Volatile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Yes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20 to 40</t>
        </is>
      </c>
      <c r="AY254" s="31">
        <f>IF(AX254="Above 40",20,IF(AX254="20 to 40",10,IF(AX254="0 to 20",-5,0)))</f>
        <v/>
      </c>
      <c r="AZ254" s="31" t="inlineStr">
        <is>
          <t>Above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Blue sky scenario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More than 20%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No</t>
        </is>
      </c>
      <c r="BS254" s="31">
        <f>IF(BR254="NO",5,0)</f>
        <v/>
      </c>
      <c r="BT254" s="31" t="inlineStr">
        <is>
          <t>Less than 1.5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IF(B255=0,"",RANK(B255,$B$2:$B$363,0))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1" t="inlineStr">
        <is>
          <t>XPROINDIA</t>
        </is>
      </c>
      <c r="D255" s="31" t="inlineStr">
        <is>
          <t>Xpro India Limited</t>
        </is>
      </c>
      <c r="E255" s="31" t="inlineStr">
        <is>
          <t>industrials</t>
        </is>
      </c>
      <c r="F255" s="31" t="inlineStr">
        <is>
          <t>packaging</t>
        </is>
      </c>
      <c r="G255" s="31" t="inlineStr">
        <is>
          <t>smallcap</t>
        </is>
      </c>
      <c r="H255" s="32" t="n">
        <v>3004.91</v>
      </c>
      <c r="I255" s="32" t="n">
        <v>1325.1</v>
      </c>
      <c r="J255" s="32" t="n">
        <v>3.5</v>
      </c>
      <c r="K255" s="32" t="n">
        <v>154351</v>
      </c>
      <c r="L255" s="31" t="n">
        <v>20</v>
      </c>
      <c r="M255" s="31" t="inlineStr">
        <is>
          <t>Outperforming</t>
        </is>
      </c>
      <c r="N255" s="32">
        <f>IF(M255="Underperforming",-5,IF(L255&gt;=95,15,IF(L255&gt;=90,10,IF(L255&gt;=80,5,0))))</f>
        <v/>
      </c>
      <c r="O255" s="32" t="n">
        <v>56.23</v>
      </c>
      <c r="P255" s="32" t="n">
        <v>40.65</v>
      </c>
      <c r="Q255" s="32" t="n">
        <v>1063.48</v>
      </c>
      <c r="R255" s="31" t="inlineStr">
        <is>
          <t>Volume Spike / Accumulation</t>
        </is>
      </c>
      <c r="S255" s="31" t="inlineStr">
        <is>
          <t>Nifty 50</t>
        </is>
      </c>
      <c r="T255" s="32" t="n">
        <v>-3.41</v>
      </c>
      <c r="U255" s="32" t="n">
        <v>8.289999999999999</v>
      </c>
      <c r="V255" s="32" t="n">
        <v>12.11</v>
      </c>
      <c r="W255" s="32" t="n">
        <v>5.57</v>
      </c>
      <c r="X255" s="31" t="inlineStr">
        <is>
          <t>Cyclical in an Upturn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Yes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Above 40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1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Yes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Less than 0.7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IF(B256=0,"",RANK(B256,$B$2:$B$363,0))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ROSSTECH</t>
        </is>
      </c>
      <c r="D256" s="31" t="inlineStr">
        <is>
          <t>Rossell Techsys Ltd</t>
        </is>
      </c>
      <c r="E256" s="31" t="inlineStr">
        <is>
          <t>aerospace &amp; defence</t>
        </is>
      </c>
      <c r="F256" s="31" t="inlineStr">
        <is>
          <t>engineering</t>
        </is>
      </c>
      <c r="G256" s="31" t="inlineStr">
        <is>
          <t>smallcap</t>
        </is>
      </c>
      <c r="H256" s="32" t="n">
        <v>4208.06</v>
      </c>
      <c r="I256" s="32" t="n">
        <v>1150.5</v>
      </c>
      <c r="J256" s="32" t="n">
        <v>3.06</v>
      </c>
      <c r="K256" s="32" t="n">
        <v>234989</v>
      </c>
      <c r="L256" s="31" t="n">
        <v>71</v>
      </c>
      <c r="M256" s="31" t="inlineStr">
        <is>
          <t>Outperforming</t>
        </is>
      </c>
      <c r="N256" s="32">
        <f>IF(M256="Underperforming",-5,IF(L256&gt;=95,15,IF(L256&gt;=90,10,IF(L256&gt;=80,5,0))))</f>
        <v/>
      </c>
      <c r="O256" s="32" t="n">
        <v>66.8</v>
      </c>
      <c r="P256" s="32" t="n">
        <v>27.54</v>
      </c>
      <c r="Q256" s="32" t="n">
        <v>821.6799999999999</v>
      </c>
      <c r="R256" s="31" t="inlineStr">
        <is>
          <t>Near 52W High Breakout</t>
        </is>
      </c>
      <c r="S256" s="31" t="inlineStr">
        <is>
          <t>Nifty Infra</t>
        </is>
      </c>
      <c r="T256" s="32" t="n">
        <v>1.45</v>
      </c>
      <c r="U256" s="32" t="n">
        <v>98.18000000000001</v>
      </c>
      <c r="V256" s="32" t="n">
        <v>95.34999999999999</v>
      </c>
      <c r="W256" s="32" t="n">
        <v>21.35</v>
      </c>
      <c r="X256" s="31" t="inlineStr">
        <is>
          <t>Growing Industry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Yes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20 to 40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Blue sky scenario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More than 20%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Yes</t>
        </is>
      </c>
      <c r="BS256" s="31">
        <f>IF(BR256="NO",5,0)</f>
        <v/>
      </c>
      <c r="BT256" s="31" t="inlineStr">
        <is>
          <t>Above 2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More than 1.2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IF(B257=0,"",RANK(B257,$B$2:$B$363,0))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MBAPL</t>
        </is>
      </c>
      <c r="D257" s="31" t="inlineStr">
        <is>
          <t>Madhya Bharat Agro Products Ltd</t>
        </is>
      </c>
      <c r="E257" s="31" t="inlineStr">
        <is>
          <t>chemicals</t>
        </is>
      </c>
      <c r="F257" s="31" t="inlineStr">
        <is>
          <t>fertilizers</t>
        </is>
      </c>
      <c r="G257" s="31" t="inlineStr">
        <is>
          <t>smallcap</t>
        </is>
      </c>
      <c r="H257" s="32" t="n">
        <v>1420.26</v>
      </c>
      <c r="I257" s="32" t="n">
        <v>166.12</v>
      </c>
      <c r="J257" s="32" t="n">
        <v>2.49</v>
      </c>
      <c r="K257" s="32" t="n">
        <v>983522</v>
      </c>
      <c r="L257" s="31" t="n">
        <v>81</v>
      </c>
      <c r="M257" s="31" t="inlineStr">
        <is>
          <t>Outperforming</t>
        </is>
      </c>
      <c r="N257" s="32">
        <f>IF(M257="Underperforming",-5,IF(L257&gt;=95,15,IF(L257&gt;=90,10,IF(L257&gt;=80,5,0))))</f>
        <v/>
      </c>
      <c r="O257" s="32" t="n">
        <v>79.48999999999999</v>
      </c>
      <c r="P257" s="32" t="n">
        <v>71.31</v>
      </c>
      <c r="Q257" s="32" t="n">
        <v>135.17</v>
      </c>
      <c r="R257" s="31" t="inlineStr">
        <is>
          <t>Near 52W High Breakout</t>
        </is>
      </c>
      <c r="S257" s="31" t="inlineStr">
        <is>
          <t>Nifty 50</t>
        </is>
      </c>
      <c r="T257" s="32" t="n">
        <v>-3.41</v>
      </c>
      <c r="U257" s="32" t="n">
        <v>99.73999999999999</v>
      </c>
      <c r="V257" s="32" t="n">
        <v>106.79</v>
      </c>
      <c r="W257" s="32" t="n">
        <v>26.74</v>
      </c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Yes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Above 40</t>
        </is>
      </c>
      <c r="AY257" s="31">
        <f>IF(AX257="Above 40",20,IF(AX257="20 to 40",10,IF(AX257="0 to 20",-5,0)))</f>
        <v/>
      </c>
      <c r="AZ257" s="31" t="inlineStr">
        <is>
          <t>Above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Blue sky scenario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Between 12 to 20%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Yes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More than 1.2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IF(B258=0,"",RANK(B258,$B$2:$B$363,0))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3" t="inlineStr">
        <is>
          <t>TREL</t>
        </is>
      </c>
      <c r="D258" s="33" t="inlineStr">
        <is>
          <t>TransIndia Real Estate Ltd</t>
        </is>
      </c>
      <c r="E258" s="31" t="inlineStr">
        <is>
          <t>transportation</t>
        </is>
      </c>
      <c r="F258" s="31" t="inlineStr">
        <is>
          <t>miscellaneous</t>
        </is>
      </c>
      <c r="G258" s="31" t="inlineStr">
        <is>
          <t>smallcap</t>
        </is>
      </c>
      <c r="H258" s="32" t="n">
        <v>661.9</v>
      </c>
      <c r="I258" s="32" t="n">
        <v>27.44</v>
      </c>
      <c r="J258" s="32" t="n">
        <v>1.86</v>
      </c>
      <c r="K258" s="32" t="n">
        <v>215792</v>
      </c>
      <c r="L258" s="31" t="n">
        <v>2</v>
      </c>
      <c r="M258" s="31" t="inlineStr">
        <is>
          <t>Underperforming</t>
        </is>
      </c>
      <c r="N258" s="32">
        <f>IF(M258="Underperforming",-5,IF(L258&gt;=95,15,IF(L258&gt;=90,10,IF(L258&gt;=80,5,0))))</f>
        <v/>
      </c>
      <c r="O258" s="32" t="n">
        <v>56.48</v>
      </c>
      <c r="P258" s="32" t="n">
        <v>15.51</v>
      </c>
      <c r="Q258" s="32" t="n">
        <v>20.53</v>
      </c>
      <c r="R258" s="31" t="inlineStr">
        <is>
          <t>Earnings / Momentum Support</t>
        </is>
      </c>
      <c r="S258" s="31" t="inlineStr">
        <is>
          <t>Nifty 50</t>
        </is>
      </c>
      <c r="T258" s="32" t="n">
        <v>-3.41</v>
      </c>
      <c r="U258" s="32" t="n">
        <v>-16.42</v>
      </c>
      <c r="V258" s="32" t="n">
        <v>-13.47</v>
      </c>
      <c r="W258" s="32" t="n">
        <v>-1.24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No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0 to 20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More than 20%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No</t>
        </is>
      </c>
      <c r="BS258" s="31">
        <f>IF(BR258="NO",5,0)</f>
        <v/>
      </c>
      <c r="BT258" s="31" t="inlineStr">
        <is>
          <t>Less than 1.5</t>
        </is>
      </c>
      <c r="BU258" s="31">
        <f>IF(BT258="Above 2",0,IF(BT258="Between 1.5 to 2",5,IF(BT258="Less than 1.5",10,0)))</f>
        <v/>
      </c>
      <c r="BV258" s="31" t="inlineStr">
        <is>
          <t>Above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IF(B259=0,"",RANK(B259,$B$2:$B$363,0))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1" t="inlineStr">
        <is>
          <t>ALEMBICLTD</t>
        </is>
      </c>
      <c r="D259" s="31" t="inlineStr">
        <is>
          <t>Alembic Limited</t>
        </is>
      </c>
      <c r="E259" s="31" t="inlineStr">
        <is>
          <t>realty</t>
        </is>
      </c>
      <c r="F259" s="31" t="inlineStr">
        <is>
          <t>construction</t>
        </is>
      </c>
      <c r="G259" s="31" t="inlineStr">
        <is>
          <t>smallcap</t>
        </is>
      </c>
      <c r="H259" s="32" t="n">
        <v>2812.02</v>
      </c>
      <c r="I259" s="32" t="n">
        <v>111.41</v>
      </c>
      <c r="J259" s="32" t="n">
        <v>1.74</v>
      </c>
      <c r="K259" s="32" t="n">
        <v>5309246</v>
      </c>
      <c r="L259" s="31" t="n">
        <v>22</v>
      </c>
      <c r="M259" s="31" t="inlineStr">
        <is>
          <t>Outperforming</t>
        </is>
      </c>
      <c r="N259" s="32">
        <f>IF(M259="Underperforming",-5,IF(L259&gt;=95,15,IF(L259&gt;=90,10,IF(L259&gt;=80,5,0))))</f>
        <v/>
      </c>
      <c r="O259" s="32" t="n">
        <v>72.37</v>
      </c>
      <c r="P259" s="32" t="n">
        <v>13.68</v>
      </c>
      <c r="Q259" s="32" t="n">
        <v>90.31</v>
      </c>
      <c r="R259" s="31" t="inlineStr">
        <is>
          <t>Volume Spike &amp; Near 52W High Breakout</t>
        </is>
      </c>
      <c r="S259" s="31" t="inlineStr">
        <is>
          <t>Nifty Realty</t>
        </is>
      </c>
      <c r="T259" s="32" t="n">
        <v>-4.49</v>
      </c>
      <c r="U259" s="32" t="n">
        <v>1.61</v>
      </c>
      <c r="V259" s="32" t="n">
        <v>6.39</v>
      </c>
      <c r="W259" s="32" t="n">
        <v>6.09</v>
      </c>
      <c r="X259" s="31" t="inlineStr">
        <is>
          <t>Growing Industry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Yes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0 to 20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Less than 12%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No</t>
        </is>
      </c>
      <c r="BS259" s="31">
        <f>IF(BR259="NO",5,0)</f>
        <v/>
      </c>
      <c r="BT259" s="31" t="inlineStr">
        <is>
          <t>Between 1.5 to 2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IF(B260=0,"",RANK(B260,$B$2:$B$363,0))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1" t="inlineStr">
        <is>
          <t>GRAPHITE</t>
        </is>
      </c>
      <c r="D260" s="31" t="inlineStr">
        <is>
          <t>Graphite India Limited</t>
        </is>
      </c>
      <c r="E260" s="31" t="inlineStr">
        <is>
          <t>industrials</t>
        </is>
      </c>
      <c r="F260" s="31" t="inlineStr">
        <is>
          <t>electrodes - graphites</t>
        </is>
      </c>
      <c r="G260" s="31" t="inlineStr">
        <is>
          <t>midcap</t>
        </is>
      </c>
      <c r="H260" s="32" t="n">
        <v>14092.44</v>
      </c>
      <c r="I260" s="32" t="n">
        <v>733.6</v>
      </c>
      <c r="J260" s="32" t="n">
        <v>1.71</v>
      </c>
      <c r="K260" s="32" t="n">
        <v>1066661</v>
      </c>
      <c r="L260" s="31" t="n">
        <v>34</v>
      </c>
      <c r="M260" s="31" t="inlineStr">
        <is>
          <t>Outperforming</t>
        </is>
      </c>
      <c r="N260" s="32">
        <f>IF(M260="Underperforming",-5,IF(L260&gt;=95,15,IF(L260&gt;=90,10,IF(L260&gt;=80,5,0))))</f>
        <v/>
      </c>
      <c r="O260" s="32" t="n">
        <v>59.87</v>
      </c>
      <c r="P260" s="32" t="n">
        <v>12.58</v>
      </c>
      <c r="Q260" s="32" t="n">
        <v>560.66</v>
      </c>
      <c r="R260" s="31" t="inlineStr">
        <is>
          <t>Near 52W High Breakout</t>
        </is>
      </c>
      <c r="S260" s="31" t="inlineStr">
        <is>
          <t>Nifty 50</t>
        </is>
      </c>
      <c r="T260" s="32" t="n">
        <v>-3.41</v>
      </c>
      <c r="U260" s="32" t="n">
        <v>43.61</v>
      </c>
      <c r="V260" s="32" t="n">
        <v>48.67</v>
      </c>
      <c r="W260" s="32" t="n">
        <v>8.84</v>
      </c>
      <c r="X260" s="31" t="inlineStr">
        <is>
          <t>Cyclical in an Upturn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Yes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0 to 20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Blue sky scenario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More than 20%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Yes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IF(B261=0,"",RANK(B261,$B$2:$B$363,0))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3" t="inlineStr">
        <is>
          <t>WONDERLA</t>
        </is>
      </c>
      <c r="D261" s="33" t="inlineStr">
        <is>
          <t>Wonderla Holidays Limited</t>
        </is>
      </c>
      <c r="E261" s="31" t="inlineStr">
        <is>
          <t>media</t>
        </is>
      </c>
      <c r="F261" s="31" t="inlineStr">
        <is>
          <t>recreation / amusement parks</t>
        </is>
      </c>
      <c r="G261" s="31" t="inlineStr">
        <is>
          <t>smallcap</t>
        </is>
      </c>
      <c r="H261" s="32" t="n">
        <v>3332.71</v>
      </c>
      <c r="I261" s="32" t="n">
        <v>533.9</v>
      </c>
      <c r="J261" s="32" t="n">
        <v>1.65</v>
      </c>
      <c r="K261" s="32" t="n">
        <v>74859</v>
      </c>
      <c r="L261" s="31" t="n">
        <v>1</v>
      </c>
      <c r="M261" s="31" t="inlineStr">
        <is>
          <t>Underperforming</t>
        </is>
      </c>
      <c r="N261" s="32">
        <f>IF(M261="Underperforming",-5,IF(L261&gt;=95,15,IF(L261&gt;=90,10,IF(L261&gt;=80,5,0))))</f>
        <v/>
      </c>
      <c r="O261" s="32" t="n">
        <v>57.86</v>
      </c>
      <c r="P261" s="32" t="n">
        <v>12.51</v>
      </c>
      <c r="Q261" s="32" t="n">
        <v>438.57</v>
      </c>
      <c r="R261" s="31" t="inlineStr">
        <is>
          <t>Earnings / Momentum Support</t>
        </is>
      </c>
      <c r="S261" s="31" t="inlineStr">
        <is>
          <t>Nifty Media</t>
        </is>
      </c>
      <c r="T261" s="32" t="n">
        <v>-6.24</v>
      </c>
      <c r="U261" s="32" t="n">
        <v>-16.95</v>
      </c>
      <c r="V261" s="32" t="n">
        <v>-11.42</v>
      </c>
      <c r="W261" s="32" t="n">
        <v>-3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No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0 to 20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More than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No</t>
        </is>
      </c>
      <c r="BS261" s="31">
        <f>IF(BR261="NO",5,0)</f>
        <v/>
      </c>
      <c r="BT261" s="31" t="inlineStr">
        <is>
          <t>Less than 1.5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Less than 0.7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IF(B262=0,"",RANK(B262,$B$2:$B$363,0))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3" t="inlineStr">
        <is>
          <t>VIDHIING</t>
        </is>
      </c>
      <c r="D262" s="33" t="inlineStr">
        <is>
          <t>Vidhi Specialty Food Ingredients</t>
        </is>
      </c>
      <c r="E262" s="31" t="inlineStr">
        <is>
          <t>chemicals</t>
        </is>
      </c>
      <c r="F262" s="31" t="inlineStr">
        <is>
          <t>dyes and pigments</t>
        </is>
      </c>
      <c r="G262" s="31" t="inlineStr">
        <is>
          <t>smallcap</t>
        </is>
      </c>
      <c r="H262" s="32" t="n">
        <v>1712.11</v>
      </c>
      <c r="I262" s="32" t="n">
        <v>347.75</v>
      </c>
      <c r="J262" s="32" t="n">
        <v>1.44</v>
      </c>
      <c r="K262" s="32" t="n">
        <v>10251</v>
      </c>
      <c r="L262" s="31" t="n">
        <v>11</v>
      </c>
      <c r="M262" s="31" t="inlineStr">
        <is>
          <t>Underperforming</t>
        </is>
      </c>
      <c r="N262" s="32">
        <f>IF(M262="Underperforming",-5,IF(L262&gt;=95,15,IF(L262&gt;=90,10,IF(L262&gt;=80,5,0))))</f>
        <v/>
      </c>
      <c r="O262" s="32" t="n">
        <v>60.89</v>
      </c>
      <c r="P262" s="32" t="n">
        <v>17.84</v>
      </c>
      <c r="Q262" s="32" t="n">
        <v>277.38</v>
      </c>
      <c r="R262" s="31" t="inlineStr">
        <is>
          <t>Earnings / Momentum Support</t>
        </is>
      </c>
      <c r="S262" s="31" t="inlineStr">
        <is>
          <t>Nifty 50</t>
        </is>
      </c>
      <c r="T262" s="32" t="n">
        <v>-3.41</v>
      </c>
      <c r="U262" s="32" t="n">
        <v>-9.08</v>
      </c>
      <c r="V262" s="32" t="n">
        <v>-5.88</v>
      </c>
      <c r="W262" s="32" t="n">
        <v>2.6</v>
      </c>
      <c r="X262" s="31" t="inlineStr">
        <is>
          <t>Growing Industry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No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0 to 20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More than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No</t>
        </is>
      </c>
      <c r="BS262" s="31">
        <f>IF(BR262="NO",5,0)</f>
        <v/>
      </c>
      <c r="BT262" s="31" t="inlineStr">
        <is>
          <t>Less than 1.5</t>
        </is>
      </c>
      <c r="BU262" s="31">
        <f>IF(BT262="Above 2",0,IF(BT262="Between 1.5 to 2",5,IF(BT262="Less than 1.5",10,0)))</f>
        <v/>
      </c>
      <c r="BV262" s="31" t="inlineStr">
        <is>
          <t>Above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IF(B263=0,"",RANK(B263,$B$2:$B$363,0))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SUNDRMFAST</t>
        </is>
      </c>
      <c r="D263" s="31" t="inlineStr">
        <is>
          <t>Sundram Fasteners Limited</t>
        </is>
      </c>
      <c r="E263" s="31" t="inlineStr">
        <is>
          <t>auto</t>
        </is>
      </c>
      <c r="F263" s="31" t="inlineStr">
        <is>
          <t>auto ancillaries</t>
        </is>
      </c>
      <c r="G263" s="31" t="inlineStr">
        <is>
          <t>largecap</t>
        </is>
      </c>
      <c r="H263" s="32" t="n">
        <v>25196.49</v>
      </c>
      <c r="I263" s="32" t="n">
        <v>1212.3</v>
      </c>
      <c r="J263" s="32" t="n">
        <v>1.1</v>
      </c>
      <c r="K263" s="32" t="n">
        <v>44457</v>
      </c>
      <c r="L263" s="31" t="n">
        <v>57</v>
      </c>
      <c r="M263" s="31" t="inlineStr">
        <is>
          <t>Outperforming</t>
        </is>
      </c>
      <c r="N263" s="32">
        <f>IF(M263="Underperforming",-5,IF(L263&gt;=95,15,IF(L263&gt;=90,10,IF(L263&gt;=80,5,0))))</f>
        <v/>
      </c>
      <c r="O263" s="32" t="n">
        <v>77.7</v>
      </c>
      <c r="P263" s="32" t="n">
        <v>34.56</v>
      </c>
      <c r="Q263" s="32" t="n">
        <v>1051.37</v>
      </c>
      <c r="R263" s="31" t="inlineStr">
        <is>
          <t>Near 52W High Breakout</t>
        </is>
      </c>
      <c r="S263" s="31" t="inlineStr">
        <is>
          <t>Nifty Auto</t>
        </is>
      </c>
      <c r="T263" s="32" t="n">
        <v>16.52</v>
      </c>
      <c r="U263" s="32" t="n">
        <v>21.87</v>
      </c>
      <c r="V263" s="32" t="n">
        <v>4.59</v>
      </c>
      <c r="W263" s="32" t="n">
        <v>16.58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Yes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20 to 40</t>
        </is>
      </c>
      <c r="AY263" s="31">
        <f>IF(AX263="Above 40",20,IF(AX263="20 to 40",10,IF(AX263="0 to 20",-5,0)))</f>
        <v/>
      </c>
      <c r="AZ263" s="31" t="inlineStr">
        <is>
          <t>Above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Between 12 to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Yes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Less than 0.7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IF(B264=0,"",RANK(B264,$B$2:$B$363,0))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1" t="inlineStr">
        <is>
          <t>DYNAMATECH</t>
        </is>
      </c>
      <c r="D264" s="31" t="inlineStr">
        <is>
          <t>Dynamatic Technologies Limited</t>
        </is>
      </c>
      <c r="E264" s="31" t="inlineStr">
        <is>
          <t>aerospace &amp; defence</t>
        </is>
      </c>
      <c r="F264" s="31" t="inlineStr">
        <is>
          <t>engineering</t>
        </is>
      </c>
      <c r="G264" s="31" t="inlineStr">
        <is>
          <t>midcap</t>
        </is>
      </c>
      <c r="H264" s="32" t="n">
        <v>7831.89</v>
      </c>
      <c r="I264" s="32" t="n">
        <v>11654</v>
      </c>
      <c r="J264" s="32" t="n">
        <v>1.06</v>
      </c>
      <c r="K264" s="32" t="n">
        <v>8608</v>
      </c>
      <c r="L264" s="31" t="n">
        <v>53</v>
      </c>
      <c r="M264" s="31" t="inlineStr">
        <is>
          <t>Outperforming</t>
        </is>
      </c>
      <c r="N264" s="32">
        <f>IF(M264="Underperforming",-5,IF(L264&gt;=95,15,IF(L264&gt;=90,10,IF(L264&gt;=80,5,0))))</f>
        <v/>
      </c>
      <c r="O264" s="32" t="n">
        <v>59.17</v>
      </c>
      <c r="P264" s="32" t="n">
        <v>22.01</v>
      </c>
      <c r="Q264" s="32" t="n">
        <v>8561.25</v>
      </c>
      <c r="R264" s="31" t="inlineStr">
        <is>
          <t>Earnings / Momentum Support</t>
        </is>
      </c>
      <c r="S264" s="31" t="inlineStr">
        <is>
          <t>Nifty 50</t>
        </is>
      </c>
      <c r="T264" s="32" t="n">
        <v>-3.41</v>
      </c>
      <c r="U264" s="32" t="n">
        <v>76.42</v>
      </c>
      <c r="V264" s="32" t="n">
        <v>82.64</v>
      </c>
      <c r="W264" s="32" t="n">
        <v>14.87</v>
      </c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No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20 to 40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2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More than 20%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Yes</t>
        </is>
      </c>
      <c r="BS264" s="31">
        <f>IF(BR264="NO",5,0)</f>
        <v/>
      </c>
      <c r="BT264" s="31" t="inlineStr">
        <is>
          <t>Between 1.5 to 2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Between 0.7 to 1.2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IF(B265=0,"",RANK(B265,$B$2:$B$363,0))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1" t="inlineStr">
        <is>
          <t>SEAMECLTD</t>
        </is>
      </c>
      <c r="D265" s="31" t="inlineStr">
        <is>
          <t>Seamec Limited</t>
        </is>
      </c>
      <c r="E265" s="31" t="inlineStr">
        <is>
          <t>miscellaneous</t>
        </is>
      </c>
      <c r="F265" s="31" t="inlineStr">
        <is>
          <t>miscellaneous</t>
        </is>
      </c>
      <c r="G265" s="31" t="inlineStr">
        <is>
          <t>smallcap</t>
        </is>
      </c>
      <c r="H265" s="32" t="n">
        <v>4542.43</v>
      </c>
      <c r="I265" s="32" t="n">
        <v>1793.6</v>
      </c>
      <c r="J265" s="32" t="n">
        <v>0.39</v>
      </c>
      <c r="K265" s="32" t="n">
        <v>130765</v>
      </c>
      <c r="L265" s="31" t="n">
        <v>60</v>
      </c>
      <c r="M265" s="31" t="inlineStr">
        <is>
          <t>Outperforming</t>
        </is>
      </c>
      <c r="N265" s="32">
        <f>IF(M265="Underperforming",-5,IF(L265&gt;=95,15,IF(L265&gt;=90,10,IF(L265&gt;=80,5,0))))</f>
        <v/>
      </c>
      <c r="O265" s="32" t="n">
        <v>71.54000000000001</v>
      </c>
      <c r="P265" s="32" t="n">
        <v>19.25</v>
      </c>
      <c r="Q265" s="32" t="n">
        <v>1407.04</v>
      </c>
      <c r="R265" s="31" t="inlineStr">
        <is>
          <t>Near 52W High Breakout</t>
        </is>
      </c>
      <c r="S265" s="31" t="inlineStr">
        <is>
          <t>Nifty 50</t>
        </is>
      </c>
      <c r="T265" s="32" t="n">
        <v>-3.41</v>
      </c>
      <c r="U265" s="32" t="n">
        <v>93.86</v>
      </c>
      <c r="V265" s="32" t="n">
        <v>100.7</v>
      </c>
      <c r="W265" s="32" t="n">
        <v>17.31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Yes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0 to 20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Blue sky scenario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Less than 12%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No</t>
        </is>
      </c>
      <c r="BS265" s="31">
        <f>IF(BR265="NO",5,0)</f>
        <v/>
      </c>
      <c r="BT265" s="31" t="inlineStr">
        <is>
          <t>Above 2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IF(B266=0,"",RANK(B266,$B$2:$B$363,0))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3" t="inlineStr">
        <is>
          <t>JSWDULUX</t>
        </is>
      </c>
      <c r="D266" s="33" t="inlineStr">
        <is>
          <t>JSW Dulux Ltd</t>
        </is>
      </c>
      <c r="E266" s="31" t="inlineStr">
        <is>
          <t>building materials</t>
        </is>
      </c>
      <c r="F266" s="31" t="inlineStr">
        <is>
          <t>paints / varnishes</t>
        </is>
      </c>
      <c r="G266" s="31" t="inlineStr">
        <is>
          <t>midcap</t>
        </is>
      </c>
      <c r="H266" s="32" t="n">
        <v>14425.35</v>
      </c>
      <c r="I266" s="32" t="n">
        <v>3174.5</v>
      </c>
      <c r="J266" s="32" t="n">
        <v>0.22</v>
      </c>
      <c r="K266" s="32" t="n">
        <v>24093</v>
      </c>
      <c r="L266" s="31" t="n">
        <v>3</v>
      </c>
      <c r="M266" s="31" t="inlineStr">
        <is>
          <t>Underperforming</t>
        </is>
      </c>
      <c r="N266" s="32">
        <f>IF(M266="Underperforming",-5,IF(L266&gt;=95,15,IF(L266&gt;=90,10,IF(L266&gt;=80,5,0))))</f>
        <v/>
      </c>
      <c r="O266" s="32" t="n">
        <v>55.44</v>
      </c>
      <c r="P266" s="32" t="n">
        <v>13.7</v>
      </c>
      <c r="Q266" s="32" t="n">
        <v>2736.86</v>
      </c>
      <c r="R266" s="31" t="inlineStr">
        <is>
          <t>Earnings / Momentum Support</t>
        </is>
      </c>
      <c r="S266" s="31" t="inlineStr">
        <is>
          <t>Nifty Infra</t>
        </is>
      </c>
      <c r="T266" s="32" t="n">
        <v>1.45</v>
      </c>
      <c r="U266" s="32" t="n">
        <v>-10.58</v>
      </c>
      <c r="V266" s="32" t="n">
        <v>-11.86</v>
      </c>
      <c r="W266" s="32" t="n">
        <v>-0.08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No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0 to 20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Positive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More than 20%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No</t>
        </is>
      </c>
      <c r="BS266" s="31">
        <f>IF(BR266="NO",5,0)</f>
        <v/>
      </c>
      <c r="BT266" s="31" t="inlineStr">
        <is>
          <t>Less than 1.5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IF(B267=0,"",RANK(B267,$B$2:$B$363,0))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VSSL</t>
        </is>
      </c>
      <c r="D267" s="31" t="inlineStr">
        <is>
          <t>Vardhman Special Steels Limited</t>
        </is>
      </c>
      <c r="E267" s="31" t="inlineStr">
        <is>
          <t>metals &amp; mining</t>
        </is>
      </c>
      <c r="F267" s="31" t="inlineStr">
        <is>
          <t>steel - medium / small</t>
        </is>
      </c>
      <c r="G267" s="31" t="inlineStr">
        <is>
          <t>smallcap</t>
        </is>
      </c>
      <c r="H267" s="32" t="n">
        <v>3518.88</v>
      </c>
      <c r="I267" s="32" t="n">
        <v>364.15</v>
      </c>
      <c r="J267" s="32" t="n">
        <v>0.05</v>
      </c>
      <c r="K267" s="32" t="n">
        <v>140547</v>
      </c>
      <c r="L267" s="31" t="n">
        <v>59</v>
      </c>
      <c r="M267" s="31" t="inlineStr">
        <is>
          <t>Outperforming</t>
        </is>
      </c>
      <c r="N267" s="32">
        <f>IF(M267="Underperforming",-5,IF(L267&gt;=95,15,IF(L267&gt;=90,10,IF(L267&gt;=80,5,0))))</f>
        <v/>
      </c>
      <c r="O267" s="32" t="n">
        <v>77.7</v>
      </c>
      <c r="P267" s="32" t="n">
        <v>34.65</v>
      </c>
      <c r="Q267" s="32" t="n">
        <v>290.56</v>
      </c>
      <c r="R267" s="31" t="inlineStr">
        <is>
          <t>Near 52W High Breakout</t>
        </is>
      </c>
      <c r="S267" s="31" t="inlineStr">
        <is>
          <t>Nifty Metal</t>
        </is>
      </c>
      <c r="T267" s="32" t="n">
        <v>41.3</v>
      </c>
      <c r="U267" s="32" t="n">
        <v>44.11</v>
      </c>
      <c r="V267" s="32" t="n">
        <v>1.99</v>
      </c>
      <c r="W267" s="32" t="n">
        <v>17.21</v>
      </c>
      <c r="X267" s="31" t="inlineStr">
        <is>
          <t>Cyclical in an Upturn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Cyclical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Volatile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Yes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20 to 40</t>
        </is>
      </c>
      <c r="AY267" s="31">
        <f>IF(AX267="Above 40",20,IF(AX267="20 to 40",10,IF(AX267="0 to 20",-5,0)))</f>
        <v/>
      </c>
      <c r="AZ267" s="31" t="inlineStr">
        <is>
          <t>Above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Positive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Blue sky scenario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More than 20%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No</t>
        </is>
      </c>
      <c r="BS267" s="31">
        <f>IF(BR267="NO",5,0)</f>
        <v/>
      </c>
      <c r="BT267" s="31" t="inlineStr">
        <is>
          <t>Less than 1.5</t>
        </is>
      </c>
      <c r="BU267" s="31">
        <f>IF(BT267="Above 2",0,IF(BT267="Between 1.5 to 2",5,IF(BT267="Less than 1.5",10,0)))</f>
        <v/>
      </c>
      <c r="BV267" s="31" t="inlineStr">
        <is>
          <t>Above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IF(B268=0,"",RANK(B268,$B$2:$B$363,0))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1" t="inlineStr">
        <is>
          <t>SAIL</t>
        </is>
      </c>
      <c r="D268" s="31" t="inlineStr">
        <is>
          <t>Steel Authority Of India Limited</t>
        </is>
      </c>
      <c r="E268" s="31" t="inlineStr">
        <is>
          <t>metals &amp; mining</t>
        </is>
      </c>
      <c r="F268" s="31" t="inlineStr">
        <is>
          <t>steel - large</t>
        </is>
      </c>
      <c r="G268" s="31" t="inlineStr">
        <is>
          <t>largecap</t>
        </is>
      </c>
      <c r="H268" s="32" t="n">
        <v>81371.35000000001</v>
      </c>
      <c r="I268" s="32" t="n">
        <v>196.8</v>
      </c>
      <c r="J268" s="32" t="n">
        <v>-0.1</v>
      </c>
      <c r="K268" s="32" t="n">
        <v>19094202</v>
      </c>
      <c r="L268" s="31" t="n">
        <v>42</v>
      </c>
      <c r="M268" s="31" t="inlineStr">
        <is>
          <t>Outperforming</t>
        </is>
      </c>
      <c r="N268" s="32">
        <f>IF(M268="Underperforming",-5,IF(L268&gt;=95,15,IF(L268&gt;=90,10,IF(L268&gt;=80,5,0))))</f>
        <v/>
      </c>
      <c r="O268" s="32" t="n">
        <v>63.53</v>
      </c>
      <c r="P268" s="32" t="n">
        <v>21.41</v>
      </c>
      <c r="Q268" s="32" t="n">
        <v>158.68</v>
      </c>
      <c r="R268" s="31" t="inlineStr">
        <is>
          <t>Near 52W High Breakout</t>
        </is>
      </c>
      <c r="S268" s="31" t="inlineStr">
        <is>
          <t>Nifty Metal</t>
        </is>
      </c>
      <c r="T268" s="32" t="n">
        <v>41.3</v>
      </c>
      <c r="U268" s="32" t="n">
        <v>52.5</v>
      </c>
      <c r="V268" s="32" t="n">
        <v>7.93</v>
      </c>
      <c r="W268" s="32" t="n">
        <v>11.15</v>
      </c>
      <c r="X268" s="31" t="inlineStr">
        <is>
          <t>Cyclical in an Upturn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Cyclical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Volatile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Yes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20 to 40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Blue sky scenario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No</t>
        </is>
      </c>
      <c r="BS268" s="31">
        <f>IF(BR268="NO",5,0)</f>
        <v/>
      </c>
      <c r="BT268" s="31" t="inlineStr">
        <is>
          <t>Above 2</t>
        </is>
      </c>
      <c r="BU268" s="31">
        <f>IF(BT268="Above 2",0,IF(BT268="Between 1.5 to 2",5,IF(BT268="Less than 1.5",10,0)))</f>
        <v/>
      </c>
      <c r="BV268" s="31" t="inlineStr">
        <is>
          <t>Above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IF(B269=0,"",RANK(B269,$B$2:$B$363,0))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CENTUM</t>
        </is>
      </c>
      <c r="D269" s="31" t="inlineStr">
        <is>
          <t>Centum Electronics Limited</t>
        </is>
      </c>
      <c r="E269" s="31" t="inlineStr">
        <is>
          <t>aerospace &amp; defence</t>
        </is>
      </c>
      <c r="F269" s="31" t="inlineStr">
        <is>
          <t>electronics - components</t>
        </is>
      </c>
      <c r="G269" s="31" t="inlineStr">
        <is>
          <t>midcap</t>
        </is>
      </c>
      <c r="H269" s="32" t="n">
        <v>5573.15</v>
      </c>
      <c r="I269" s="32" t="n">
        <v>3767.3</v>
      </c>
      <c r="J269" s="32" t="n">
        <v>-0.23</v>
      </c>
      <c r="K269" s="32" t="n">
        <v>29156</v>
      </c>
      <c r="L269" s="31" t="n">
        <v>33</v>
      </c>
      <c r="M269" s="31" t="inlineStr">
        <is>
          <t>Outperforming</t>
        </is>
      </c>
      <c r="N269" s="32">
        <f>IF(M269="Underperforming",-5,IF(L269&gt;=95,15,IF(L269&gt;=90,10,IF(L269&gt;=80,5,0))))</f>
        <v/>
      </c>
      <c r="O269" s="32" t="n">
        <v>62.78</v>
      </c>
      <c r="P269" s="32" t="n">
        <v>52.8</v>
      </c>
      <c r="Q269" s="32" t="n">
        <v>2903.73</v>
      </c>
      <c r="R269" s="31" t="inlineStr">
        <is>
          <t>Volume Spike &amp; Near 52W High Breakout</t>
        </is>
      </c>
      <c r="S269" s="31" t="inlineStr">
        <is>
          <t>Nifty 50</t>
        </is>
      </c>
      <c r="T269" s="32" t="n">
        <v>-3.41</v>
      </c>
      <c r="U269" s="32" t="n">
        <v>27.21</v>
      </c>
      <c r="V269" s="32" t="n">
        <v>31.7</v>
      </c>
      <c r="W269" s="32" t="n">
        <v>8.59</v>
      </c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Yes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Above 40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Negative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Blue sky scenario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More than 20%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Yes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IF(B270=0,"",RANK(B270,$B$2:$B$363,0))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SVLL</t>
        </is>
      </c>
      <c r="D270" s="31" t="inlineStr">
        <is>
          <t>Shree Vasu Logistics Ltd</t>
        </is>
      </c>
      <c r="E270" s="31" t="inlineStr">
        <is>
          <t>transportation</t>
        </is>
      </c>
      <c r="F270" s="31" t="inlineStr">
        <is>
          <t>miscellaneous</t>
        </is>
      </c>
      <c r="G270" s="31" t="inlineStr">
        <is>
          <t>smallcap</t>
        </is>
      </c>
      <c r="H270" s="32" t="n">
        <v>926.39</v>
      </c>
      <c r="I270" s="32" t="n">
        <v>799.25</v>
      </c>
      <c r="J270" s="32" t="n">
        <v>-0.84</v>
      </c>
      <c r="K270" s="32" t="n">
        <v>623</v>
      </c>
      <c r="L270" s="31" t="n">
        <v>15</v>
      </c>
      <c r="M270" s="31" t="inlineStr">
        <is>
          <t>Outperforming</t>
        </is>
      </c>
      <c r="N270" s="32">
        <f>IF(M270="Underperforming",-5,IF(L270&gt;=95,15,IF(L270&gt;=90,10,IF(L270&gt;=80,5,0))))</f>
        <v/>
      </c>
      <c r="O270" s="32" t="n">
        <v>63.38</v>
      </c>
      <c r="P270" s="32" t="n">
        <v>36.85</v>
      </c>
      <c r="Q270" s="32" t="n">
        <v>593.6799999999999</v>
      </c>
      <c r="R270" s="31" t="inlineStr">
        <is>
          <t>Near 52W High Breakout</t>
        </is>
      </c>
      <c r="S270" s="31" t="inlineStr">
        <is>
          <t>Nifty 50</t>
        </is>
      </c>
      <c r="T270" s="32" t="n">
        <v>-3.41</v>
      </c>
      <c r="U270" s="32" t="n">
        <v>4.01</v>
      </c>
      <c r="V270" s="32" t="n">
        <v>7.68</v>
      </c>
      <c r="W270" s="32" t="n">
        <v>3.72</v>
      </c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Yes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20 to 40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Blue sky scenario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More than 20%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Yes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More than 1.2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IF(B271=0,"",RANK(B271,$B$2:$B$363,0))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BEML</t>
        </is>
      </c>
      <c r="D271" s="31" t="inlineStr">
        <is>
          <t>Beml Limited</t>
        </is>
      </c>
      <c r="E271" s="31" t="inlineStr">
        <is>
          <t>aerospace &amp; defence</t>
        </is>
      </c>
      <c r="F271" s="31" t="inlineStr">
        <is>
          <t>engineering</t>
        </is>
      </c>
      <c r="G271" s="31" t="inlineStr">
        <is>
          <t>midcap</t>
        </is>
      </c>
      <c r="H271" s="32" t="n">
        <v>17319.11</v>
      </c>
      <c r="I271" s="32" t="n">
        <v>2057.8</v>
      </c>
      <c r="J271" s="32" t="n">
        <v>-1.04</v>
      </c>
      <c r="K271" s="32" t="n">
        <v>687676</v>
      </c>
      <c r="L271" s="31" t="n">
        <v>17</v>
      </c>
      <c r="M271" s="31" t="inlineStr">
        <is>
          <t>Outperforming</t>
        </is>
      </c>
      <c r="N271" s="32">
        <f>IF(M271="Underperforming",-5,IF(L271&gt;=95,15,IF(L271&gt;=90,10,IF(L271&gt;=80,5,0))))</f>
        <v/>
      </c>
      <c r="O271" s="32" t="n">
        <v>64.56</v>
      </c>
      <c r="P271" s="32" t="n">
        <v>14.54</v>
      </c>
      <c r="Q271" s="32" t="n">
        <v>1635.66</v>
      </c>
      <c r="R271" s="31" t="inlineStr">
        <is>
          <t>Volume Spike / Accumulation</t>
        </is>
      </c>
      <c r="S271" s="31" t="inlineStr">
        <is>
          <t>Nifty 50</t>
        </is>
      </c>
      <c r="T271" s="32" t="n">
        <v>-3.41</v>
      </c>
      <c r="U271" s="32" t="n">
        <v>1.1</v>
      </c>
      <c r="V271" s="32" t="n">
        <v>4.67</v>
      </c>
      <c r="W271" s="32" t="n">
        <v>4.46</v>
      </c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Yes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0 to 20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More than 20%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Yes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Above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Less than 0.7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IF(B272=0,"",RANK(B272,$B$2:$B$363,0))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1" t="inlineStr">
        <is>
          <t>PITTIENG</t>
        </is>
      </c>
      <c r="D272" s="31" t="inlineStr">
        <is>
          <t>Pitti Engineering Ltd</t>
        </is>
      </c>
      <c r="E272" s="31" t="inlineStr">
        <is>
          <t>industrials</t>
        </is>
      </c>
      <c r="F272" s="31" t="inlineStr">
        <is>
          <t>engineering</t>
        </is>
      </c>
      <c r="G272" s="31" t="inlineStr">
        <is>
          <t>smallcap</t>
        </is>
      </c>
      <c r="H272" s="32" t="n">
        <v>4161.1</v>
      </c>
      <c r="I272" s="32" t="n">
        <v>1084.9</v>
      </c>
      <c r="J272" s="32" t="n">
        <v>-1.83</v>
      </c>
      <c r="K272" s="32" t="n">
        <v>48625</v>
      </c>
      <c r="L272" s="31" t="n">
        <v>31</v>
      </c>
      <c r="M272" s="31" t="inlineStr">
        <is>
          <t>Outperforming</t>
        </is>
      </c>
      <c r="N272" s="32">
        <f>IF(M272="Underperforming",-5,IF(L272&gt;=95,15,IF(L272&gt;=90,10,IF(L272&gt;=80,5,0))))</f>
        <v/>
      </c>
      <c r="O272" s="32" t="n">
        <v>63.24</v>
      </c>
      <c r="P272" s="32" t="n">
        <v>14.45</v>
      </c>
      <c r="Q272" s="32" t="n">
        <v>878.97</v>
      </c>
      <c r="R272" s="31" t="inlineStr">
        <is>
          <t>Near 52W High Breakout</t>
        </is>
      </c>
      <c r="S272" s="31" t="inlineStr">
        <is>
          <t>Nifty Infra</t>
        </is>
      </c>
      <c r="T272" s="32" t="n">
        <v>1.45</v>
      </c>
      <c r="U272" s="32" t="n">
        <v>15.17</v>
      </c>
      <c r="V272" s="32" t="n">
        <v>13.52</v>
      </c>
      <c r="W272" s="32" t="n">
        <v>8.06</v>
      </c>
      <c r="X272" s="31" t="inlineStr">
        <is>
          <t>Cyclical in an Upturn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Yes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0 to 20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2</t>
        </is>
      </c>
      <c r="BC272" s="31">
        <f>IF(BB272="Stage 2",20,IF(BB272="Stage 1",0,IF(BB272="Stage 3",5,IF(BB272="Stage 4",-5,0))))</f>
        <v/>
      </c>
      <c r="BD272" s="31" t="inlineStr">
        <is>
          <t>Positive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More than 20%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No</t>
        </is>
      </c>
      <c r="BS272" s="31">
        <f>IF(BR272="NO",5,0)</f>
        <v/>
      </c>
      <c r="BT272" s="31" t="inlineStr">
        <is>
          <t>Less than 1.5</t>
        </is>
      </c>
      <c r="BU272" s="31">
        <f>IF(BT272="Above 2",0,IF(BT272="Between 1.5 to 2",5,IF(BT272="Less than 1.5",10,0)))</f>
        <v/>
      </c>
      <c r="BV272" s="31" t="inlineStr">
        <is>
          <t>Above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Between 0.7 to 1.2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IF(B273=0,"",RANK(B273,$B$2:$B$363,0))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3" t="inlineStr">
        <is>
          <t>BRIGADE</t>
        </is>
      </c>
      <c r="D273" s="33" t="inlineStr">
        <is>
          <t>Brigade Enterprises Limited</t>
        </is>
      </c>
      <c r="E273" s="31" t="inlineStr">
        <is>
          <t>realty</t>
        </is>
      </c>
      <c r="F273" s="31" t="inlineStr">
        <is>
          <t>construction</t>
        </is>
      </c>
      <c r="G273" s="31" t="inlineStr">
        <is>
          <t>largecap</t>
        </is>
      </c>
      <c r="H273" s="32" t="n">
        <v>23232.55</v>
      </c>
      <c r="I273" s="32" t="n">
        <v>696.1</v>
      </c>
      <c r="J273" s="32" t="n">
        <v>-2.27</v>
      </c>
      <c r="K273" s="32" t="n">
        <v>1980508</v>
      </c>
      <c r="L273" s="31" t="n">
        <v>11</v>
      </c>
      <c r="M273" s="31" t="inlineStr">
        <is>
          <t>Underperforming</t>
        </is>
      </c>
      <c r="N273" s="32">
        <f>IF(M273="Underperforming",-5,IF(L273&gt;=95,15,IF(L273&gt;=90,10,IF(L273&gt;=80,5,0))))</f>
        <v/>
      </c>
      <c r="O273" s="32" t="n">
        <v>67.55</v>
      </c>
      <c r="P273" s="32" t="n">
        <v>17.43</v>
      </c>
      <c r="Q273" s="32" t="n">
        <v>541.92</v>
      </c>
      <c r="R273" s="31" t="inlineStr">
        <is>
          <t>Volume Spike / Accumulation</t>
        </is>
      </c>
      <c r="S273" s="31" t="inlineStr">
        <is>
          <t>Nifty Realty</t>
        </is>
      </c>
      <c r="T273" s="32" t="n">
        <v>-4.49</v>
      </c>
      <c r="U273" s="32" t="n">
        <v>-11.71</v>
      </c>
      <c r="V273" s="32" t="n">
        <v>-7.56</v>
      </c>
      <c r="W273" s="32" t="n">
        <v>2.61</v>
      </c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Yes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0 to 20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More than 20%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No</t>
        </is>
      </c>
      <c r="BS273" s="31">
        <f>IF(BR273="NO",5,0)</f>
        <v/>
      </c>
      <c r="BT273" s="31" t="inlineStr">
        <is>
          <t>Less than 1.5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Between 0.7 to 1.2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IF(B274=0,"",RANK(B274,$B$2:$B$363,0))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MANAKSTEEL</t>
        </is>
      </c>
      <c r="D274" s="31" t="inlineStr">
        <is>
          <t>Manaksia Steels Limited</t>
        </is>
      </c>
      <c r="E274" s="31" t="inlineStr">
        <is>
          <t>metals &amp; mining</t>
        </is>
      </c>
      <c r="F274" s="31" t="inlineStr">
        <is>
          <t>steel - medium / small</t>
        </is>
      </c>
      <c r="G274" s="31" t="inlineStr">
        <is>
          <t>smallcap</t>
        </is>
      </c>
      <c r="H274" s="32" t="n">
        <v>733.39</v>
      </c>
      <c r="I274" s="32" t="n">
        <v>107.3</v>
      </c>
      <c r="J274" s="32" t="n">
        <v>-4.12</v>
      </c>
      <c r="K274" s="32" t="n">
        <v>171136</v>
      </c>
      <c r="L274" s="31" t="n">
        <v>72</v>
      </c>
      <c r="M274" s="31" t="inlineStr">
        <is>
          <t>Outperforming</t>
        </is>
      </c>
      <c r="N274" s="32">
        <f>IF(M274="Underperforming",-5,IF(L274&gt;=95,15,IF(L274&gt;=90,10,IF(L274&gt;=80,5,0))))</f>
        <v/>
      </c>
      <c r="O274" s="32" t="n">
        <v>76.93000000000001</v>
      </c>
      <c r="P274" s="32" t="n">
        <v>42.19</v>
      </c>
      <c r="Q274" s="32" t="n">
        <v>79.48999999999999</v>
      </c>
      <c r="R274" s="31" t="inlineStr">
        <is>
          <t>Volume Spike &amp; Near 52W High Breakout</t>
        </is>
      </c>
      <c r="S274" s="31" t="inlineStr">
        <is>
          <t>Nifty Metal</t>
        </is>
      </c>
      <c r="T274" s="32" t="n">
        <v>41.3</v>
      </c>
      <c r="U274" s="32" t="n">
        <v>73.91</v>
      </c>
      <c r="V274" s="32" t="n">
        <v>23.08</v>
      </c>
      <c r="W274" s="32" t="n">
        <v>21.54</v>
      </c>
      <c r="X274" s="31" t="inlineStr">
        <is>
          <t>Cyclical in an Upturn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Cyclical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Volatile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Yes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Above 40</t>
        </is>
      </c>
      <c r="AY274" s="31">
        <f>IF(AX274="Above 40",20,IF(AX274="20 to 40",10,IF(AX274="0 to 20",-5,0)))</f>
        <v/>
      </c>
      <c r="AZ274" s="31" t="inlineStr">
        <is>
          <t>Above 75</t>
        </is>
      </c>
      <c r="BA274" s="31">
        <f>IF(AZ274="Between 50 to 75",10,IF(AZ274="Above 75",0,0))</f>
        <v/>
      </c>
      <c r="BB274" s="31" t="inlineStr">
        <is>
          <t>Stage 2</t>
        </is>
      </c>
      <c r="BC274" s="31">
        <f>IF(BB274="Stage 2",20,IF(BB274="Stage 1",0,IF(BB274="Stage 3",5,IF(BB274="Stage 4",-5,0))))</f>
        <v/>
      </c>
      <c r="BD274" s="31" t="inlineStr">
        <is>
          <t>Positive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Blue sky scenario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More than 20%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No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Above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Less than 0.7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IF(B275=0,"",RANK(B275,$B$2:$B$363,0))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1" t="inlineStr">
        <is>
          <t>APLAPOLLO</t>
        </is>
      </c>
      <c r="D275" s="31" t="inlineStr">
        <is>
          <t>Apl Apollo Tubes Limited</t>
        </is>
      </c>
      <c r="E275" s="31" t="inlineStr">
        <is>
          <t>industrials</t>
        </is>
      </c>
      <c r="F275" s="31" t="inlineStr">
        <is>
          <t>steel - large</t>
        </is>
      </c>
      <c r="G275" s="31" t="inlineStr">
        <is>
          <t>largecap</t>
        </is>
      </c>
      <c r="H275" s="32" t="n">
        <v>59957.56</v>
      </c>
      <c r="I275" s="32" t="n">
        <v>2250</v>
      </c>
      <c r="J275" s="32" t="n">
        <v>4.2</v>
      </c>
      <c r="K275" s="32" t="n">
        <v>955928</v>
      </c>
      <c r="L275" s="31" t="n">
        <v>41</v>
      </c>
      <c r="M275" s="31" t="inlineStr">
        <is>
          <t>Outperforming</t>
        </is>
      </c>
      <c r="N275" s="32">
        <f>IF(M275="Underperforming",-5,IF(L275&gt;=95,15,IF(L275&gt;=90,10,IF(L275&gt;=80,5,0))))</f>
        <v/>
      </c>
      <c r="O275" s="32" t="n">
        <v>68.44</v>
      </c>
      <c r="P275" s="32" t="n">
        <v>19.4</v>
      </c>
      <c r="Q275" s="32" t="n">
        <v>1915.16</v>
      </c>
      <c r="R275" s="31" t="inlineStr">
        <is>
          <t>Near 52W High Breakout</t>
        </is>
      </c>
      <c r="S275" s="31" t="inlineStr">
        <is>
          <t>Nifty Metal</t>
        </is>
      </c>
      <c r="T275" s="32" t="n">
        <v>41.3</v>
      </c>
      <c r="U275" s="32" t="n">
        <v>46.32</v>
      </c>
      <c r="V275" s="32" t="n">
        <v>3.55</v>
      </c>
      <c r="W275" s="32" t="n">
        <v>10.56</v>
      </c>
      <c r="X275" s="31" t="inlineStr">
        <is>
          <t>Cyclical in an Upturn</t>
        </is>
      </c>
      <c r="Y275" s="31">
        <f>IF(X275="Growing Industry",10,IF(X275="Cyclical in an Upturn",5,0))</f>
        <v/>
      </c>
      <c r="Z275" s="31" t="inlineStr">
        <is>
          <t>Oligopoly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Cyclical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B2C</t>
        </is>
      </c>
      <c r="AO275" s="31">
        <f>IF(AN275="B2C",10,IF(AN275="B2B",5,0))</f>
        <v/>
      </c>
      <c r="AP275" s="31" t="inlineStr">
        <is>
          <t>Yes</t>
        </is>
      </c>
      <c r="AQ275" s="31">
        <f>IF(AP275="Yes",10,0)</f>
        <v/>
      </c>
      <c r="AR275" s="31" t="inlineStr">
        <is>
          <t>Fully One Time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Above 40</t>
        </is>
      </c>
      <c r="AY275" s="31">
        <f>IF(AX275="Above 40",20,IF(AX275="20 to 40",10,IF(AX275="0 to 20",-5,0)))</f>
        <v/>
      </c>
      <c r="AZ275" s="31" t="inlineStr">
        <is>
          <t>Above 75</t>
        </is>
      </c>
      <c r="BA275" s="31">
        <f>IF(AZ275="Between 50 to 75",10,IF(AZ275="Above 75",0,0))</f>
        <v/>
      </c>
      <c r="BB275" s="31" t="inlineStr">
        <is>
          <t>Stage 2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More than 20%</t>
        </is>
      </c>
      <c r="BO275" s="31">
        <f>IF(BN275="More than 20%",10,IF(BN275="Between 12 to 20%",5,IF(BN275="Less than 12%",0,0)))</f>
        <v/>
      </c>
      <c r="BP275" s="31" t="inlineStr">
        <is>
          <t>Yes</t>
        </is>
      </c>
      <c r="BQ275" s="31">
        <f>IF(BP275="No",10,0)</f>
        <v/>
      </c>
      <c r="BR275" s="31" t="inlineStr">
        <is>
          <t>Yes</t>
        </is>
      </c>
      <c r="BS275" s="31">
        <f>IF(BR275="NO",5,0)</f>
        <v/>
      </c>
      <c r="BT275" s="31" t="inlineStr">
        <is>
          <t>Between 1.5 to 2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IF(B276=0,"",RANK(B276,$B$2:$B$363,0))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3" t="inlineStr">
        <is>
          <t>RPGLIFE</t>
        </is>
      </c>
      <c r="D276" s="33" t="inlineStr">
        <is>
          <t>Rpg Life Sciences Limited</t>
        </is>
      </c>
      <c r="E276" s="31" t="inlineStr">
        <is>
          <t>healthcare</t>
        </is>
      </c>
      <c r="F276" s="31" t="inlineStr">
        <is>
          <t>pharmaceuticals - indian - bulk drugs &amp; formln</t>
        </is>
      </c>
      <c r="G276" s="31" t="inlineStr">
        <is>
          <t>smallcap</t>
        </is>
      </c>
      <c r="H276" s="32" t="n">
        <v>4386.81</v>
      </c>
      <c r="I276" s="32" t="n">
        <v>2721.6</v>
      </c>
      <c r="J276" s="32" t="n">
        <v>2.61</v>
      </c>
      <c r="K276" s="32" t="n">
        <v>20463</v>
      </c>
      <c r="L276" s="31" t="n">
        <v>37</v>
      </c>
      <c r="M276" s="31" t="inlineStr">
        <is>
          <t>Underperforming</t>
        </is>
      </c>
      <c r="N276" s="32">
        <f>IF(M276="Underperforming",-5,IF(L276&gt;=95,15,IF(L276&gt;=90,10,IF(L276&gt;=80,5,0))))</f>
        <v/>
      </c>
      <c r="O276" s="32" t="n">
        <v>59.95</v>
      </c>
      <c r="P276" s="32" t="n">
        <v>34.12</v>
      </c>
      <c r="Q276" s="32" t="n">
        <v>2310.52</v>
      </c>
      <c r="R276" s="31" t="inlineStr">
        <is>
          <t>Earnings / Momentum Support</t>
        </is>
      </c>
      <c r="S276" s="31" t="inlineStr">
        <is>
          <t>Nifty Pharma</t>
        </is>
      </c>
      <c r="T276" s="32" t="n">
        <v>20.77</v>
      </c>
      <c r="U276" s="32" t="n">
        <v>15.59</v>
      </c>
      <c r="V276" s="32" t="n">
        <v>-4.29</v>
      </c>
      <c r="W276" s="32" t="n">
        <v>9.48</v>
      </c>
      <c r="X276" s="31" t="inlineStr">
        <is>
          <t>Growing Industry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Yes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Annuity, Lower One Time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20 to 40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Positive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Between 12 to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No</t>
        </is>
      </c>
      <c r="BS276" s="31">
        <f>IF(BR276="NO",5,0)</f>
        <v/>
      </c>
      <c r="BT276" s="31" t="inlineStr">
        <is>
          <t>Above 2</t>
        </is>
      </c>
      <c r="BU276" s="31">
        <f>IF(BT276="Above 2",0,IF(BT276="Between 1.5 to 2",5,IF(BT276="Less than 1.5",10,0)))</f>
        <v/>
      </c>
      <c r="BV276" s="31" t="inlineStr">
        <is>
          <t>Above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IF(B277=0,"",RANK(B277,$B$2:$B$363,0))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3" t="inlineStr">
        <is>
          <t>WINDLAS</t>
        </is>
      </c>
      <c r="D277" s="33" t="inlineStr">
        <is>
          <t>Windlas Biotech Ltd</t>
        </is>
      </c>
      <c r="E277" s="31" t="inlineStr">
        <is>
          <t>healthcare</t>
        </is>
      </c>
      <c r="F277" s="31" t="inlineStr">
        <is>
          <t>pharmaceuticals - indian - formulations</t>
        </is>
      </c>
      <c r="G277" s="31" t="inlineStr">
        <is>
          <t>smallcap</t>
        </is>
      </c>
      <c r="H277" s="32" t="n">
        <v>2325.91</v>
      </c>
      <c r="I277" s="32" t="n">
        <v>1126.35</v>
      </c>
      <c r="J277" s="32" t="n">
        <v>-0.07000000000000001</v>
      </c>
      <c r="K277" s="32" t="n">
        <v>190854</v>
      </c>
      <c r="L277" s="31" t="n">
        <v>45</v>
      </c>
      <c r="M277" s="31" t="inlineStr">
        <is>
          <t>Underperforming</t>
        </is>
      </c>
      <c r="N277" s="32">
        <f>IF(M277="Underperforming",-5,IF(L277&gt;=95,15,IF(L277&gt;=90,10,IF(L277&gt;=80,5,0))))</f>
        <v/>
      </c>
      <c r="O277" s="32" t="n">
        <v>78.48999999999999</v>
      </c>
      <c r="P277" s="32" t="n">
        <v>26.1</v>
      </c>
      <c r="Q277" s="32" t="n">
        <v>898.92</v>
      </c>
      <c r="R277" s="31" t="inlineStr">
        <is>
          <t>Volume Spike &amp; Near 52W High Breakout</t>
        </is>
      </c>
      <c r="S277" s="31" t="inlineStr">
        <is>
          <t>Nifty Pharma</t>
        </is>
      </c>
      <c r="T277" s="32" t="n">
        <v>20.77</v>
      </c>
      <c r="U277" s="32" t="n">
        <v>14.22</v>
      </c>
      <c r="V277" s="32" t="n">
        <v>-5.42</v>
      </c>
      <c r="W277" s="32" t="n">
        <v>12.47</v>
      </c>
      <c r="X277" s="31" t="inlineStr">
        <is>
          <t>Growing Industry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Yes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Yes</t>
        </is>
      </c>
      <c r="AQ277" s="31">
        <f>IF(AP277="Yes",10,0)</f>
        <v/>
      </c>
      <c r="AR277" s="31" t="inlineStr">
        <is>
          <t>Higher Annuity, Lower One Time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20 to 40</t>
        </is>
      </c>
      <c r="AY277" s="31">
        <f>IF(AX277="Above 40",20,IF(AX277="20 to 40",10,IF(AX277="0 to 20",-5,0)))</f>
        <v/>
      </c>
      <c r="AZ277" s="31" t="inlineStr">
        <is>
          <t>Above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Blue sky scenario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Less than 12%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No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Less than 0.7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IF(B278=0,"",RANK(B278,$B$2:$B$363,0))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1" t="inlineStr">
        <is>
          <t>NEULANDLAB</t>
        </is>
      </c>
      <c r="D278" s="31" t="inlineStr">
        <is>
          <t>Neuland Laboratories Limited</t>
        </is>
      </c>
      <c r="E278" s="31" t="inlineStr">
        <is>
          <t>healthcare</t>
        </is>
      </c>
      <c r="F278" s="31" t="inlineStr">
        <is>
          <t>pharmaceuticals - indian - bulk drugs</t>
        </is>
      </c>
      <c r="G278" s="31" t="inlineStr">
        <is>
          <t>largecap</t>
        </is>
      </c>
      <c r="H278" s="32" t="n">
        <v>29367.62</v>
      </c>
      <c r="I278" s="32" t="n">
        <v>22660</v>
      </c>
      <c r="J278" s="32" t="n">
        <v>-1</v>
      </c>
      <c r="K278" s="32" t="n">
        <v>21110</v>
      </c>
      <c r="L278" s="31" t="n">
        <v>64</v>
      </c>
      <c r="M278" s="31" t="inlineStr">
        <is>
          <t>Outperforming</t>
        </is>
      </c>
      <c r="N278" s="32">
        <f>IF(M278="Underperforming",-5,IF(L278&gt;=95,15,IF(L278&gt;=90,10,IF(L278&gt;=80,5,0))))</f>
        <v/>
      </c>
      <c r="O278" s="32" t="n">
        <v>72.44</v>
      </c>
      <c r="P278" s="32" t="n">
        <v>57.11</v>
      </c>
      <c r="Q278" s="32" t="n">
        <v>19061.19</v>
      </c>
      <c r="R278" s="31" t="inlineStr">
        <is>
          <t>Near 52W High Breakout</t>
        </is>
      </c>
      <c r="S278" s="31" t="inlineStr">
        <is>
          <t>Nifty Pharma</t>
        </is>
      </c>
      <c r="T278" s="32" t="n">
        <v>20.77</v>
      </c>
      <c r="U278" s="32" t="n">
        <v>57.01</v>
      </c>
      <c r="V278" s="32" t="n">
        <v>30.01</v>
      </c>
      <c r="W278" s="32" t="n">
        <v>18.61</v>
      </c>
      <c r="X278" s="31" t="inlineStr">
        <is>
          <t>Growing Industry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Yes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Yes</t>
        </is>
      </c>
      <c r="AQ278" s="31">
        <f>IF(AP278="Yes",10,0)</f>
        <v/>
      </c>
      <c r="AR278" s="31" t="inlineStr">
        <is>
          <t>Higher Annuity, Lower One Time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Above 40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Negative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Blue sky scenario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More than 20%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Yes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IF(B279=0,"",RANK(B279,$B$2:$B$363,0))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3" t="inlineStr">
        <is>
          <t>AARTIPHARM</t>
        </is>
      </c>
      <c r="D279" s="33" t="inlineStr">
        <is>
          <t>Aarti Pharmalabs Ltd</t>
        </is>
      </c>
      <c r="E279" s="31" t="inlineStr">
        <is>
          <t>healthcare</t>
        </is>
      </c>
      <c r="F279" s="31" t="inlineStr">
        <is>
          <t>pharmaceuticals - indian - bulk drugs &amp; formln</t>
        </is>
      </c>
      <c r="G279" s="31" t="inlineStr">
        <is>
          <t>midcap</t>
        </is>
      </c>
      <c r="H279" s="32" t="n">
        <v>7871.91</v>
      </c>
      <c r="I279" s="32" t="n">
        <v>858.8</v>
      </c>
      <c r="J279" s="32" t="n">
        <v>-1.07</v>
      </c>
      <c r="K279" s="32" t="n">
        <v>463265</v>
      </c>
      <c r="L279" s="31" t="n">
        <v>32</v>
      </c>
      <c r="M279" s="31" t="inlineStr">
        <is>
          <t>Underperforming</t>
        </is>
      </c>
      <c r="N279" s="32">
        <f>IF(M279="Underperforming",-5,IF(L279&gt;=95,15,IF(L279&gt;=90,10,IF(L279&gt;=80,5,0))))</f>
        <v/>
      </c>
      <c r="O279" s="32" t="n">
        <v>64.88</v>
      </c>
      <c r="P279" s="32" t="n">
        <v>18.12</v>
      </c>
      <c r="Q279" s="32" t="n">
        <v>655.55</v>
      </c>
      <c r="R279" s="31" t="inlineStr">
        <is>
          <t>Earnings / Momentum Support</t>
        </is>
      </c>
      <c r="S279" s="31" t="inlineStr">
        <is>
          <t>Nifty Pharma</t>
        </is>
      </c>
      <c r="T279" s="32" t="n">
        <v>20.77</v>
      </c>
      <c r="U279" s="32" t="n">
        <v>-2.23</v>
      </c>
      <c r="V279" s="32" t="n">
        <v>-19.04</v>
      </c>
      <c r="W279" s="32" t="n">
        <v>8.460000000000001</v>
      </c>
      <c r="X279" s="31" t="inlineStr">
        <is>
          <t>Growing Industry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Yes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No</t>
        </is>
      </c>
      <c r="AQ279" s="31">
        <f>IF(AP279="Yes",10,0)</f>
        <v/>
      </c>
      <c r="AR279" s="31" t="inlineStr">
        <is>
          <t>Higher Annuity, Lower One Time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0 to 20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Positive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More than 20%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No</t>
        </is>
      </c>
      <c r="BS279" s="31">
        <f>IF(BR279="NO",5,0)</f>
        <v/>
      </c>
      <c r="BT279" s="31" t="inlineStr">
        <is>
          <t>Less than 1.5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IF(B280=0,"",RANK(B280,$B$2:$B$363,0))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APOLLOPIPE</t>
        </is>
      </c>
      <c r="D280" s="31" t="inlineStr">
        <is>
          <t>Apollo Pipes Ltd</t>
        </is>
      </c>
      <c r="E280" s="31" t="inlineStr">
        <is>
          <t>plastic products</t>
        </is>
      </c>
      <c r="F280" s="31" t="inlineStr">
        <is>
          <t>plastics products</t>
        </is>
      </c>
      <c r="G280" s="31" t="inlineStr">
        <is>
          <t>smallcap</t>
        </is>
      </c>
      <c r="H280" s="32" t="n">
        <v>2706.98</v>
      </c>
      <c r="I280" s="32" t="n">
        <v>605.1</v>
      </c>
      <c r="J280" s="32" t="n">
        <v>-1.54</v>
      </c>
      <c r="K280" s="32" t="n">
        <v>76562</v>
      </c>
      <c r="L280" s="31" t="n">
        <v>66</v>
      </c>
      <c r="M280" s="31" t="inlineStr">
        <is>
          <t>Outperforming</t>
        </is>
      </c>
      <c r="N280" s="32">
        <f>IF(M280="Underperforming",-5,IF(L280&gt;=95,15,IF(L280&gt;=90,10,IF(L280&gt;=80,5,0))))</f>
        <v/>
      </c>
      <c r="O280" s="32" t="n">
        <v>71.15000000000001</v>
      </c>
      <c r="P280" s="32" t="n">
        <v>44.45</v>
      </c>
      <c r="Q280" s="32" t="n">
        <v>489.41</v>
      </c>
      <c r="R280" s="31" t="inlineStr">
        <is>
          <t>Near 52W High Breakout</t>
        </is>
      </c>
      <c r="S280" s="31" t="inlineStr">
        <is>
          <t>Nifty Infra</t>
        </is>
      </c>
      <c r="T280" s="32" t="n">
        <v>1.45</v>
      </c>
      <c r="U280" s="32" t="n">
        <v>43.84</v>
      </c>
      <c r="V280" s="32" t="n">
        <v>41.78</v>
      </c>
      <c r="W280" s="32" t="n">
        <v>19.55</v>
      </c>
      <c r="X280" s="31" t="inlineStr">
        <is>
          <t>Cyclical in an Upturn</t>
        </is>
      </c>
      <c r="Y280" s="31">
        <f>IF(X280="Growing Industry",10,IF(X280="Cyclical in an Upturn",5,0))</f>
        <v/>
      </c>
      <c r="Z280" s="31" t="inlineStr">
        <is>
          <t>Oligopoly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Cyclical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B2C</t>
        </is>
      </c>
      <c r="AO280" s="31">
        <f>IF(AN280="B2C",10,IF(AN280="B2B",5,0))</f>
        <v/>
      </c>
      <c r="AP280" s="31" t="inlineStr">
        <is>
          <t>Yes</t>
        </is>
      </c>
      <c r="AQ280" s="31">
        <f>IF(AP280="Yes",10,0)</f>
        <v/>
      </c>
      <c r="AR280" s="31" t="inlineStr">
        <is>
          <t>Fully One Time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Above 40</t>
        </is>
      </c>
      <c r="AY280" s="31">
        <f>IF(AX280="Above 40",20,IF(AX280="20 to 40",10,IF(AX280="0 to 20",-5,0)))</f>
        <v/>
      </c>
      <c r="AZ280" s="31" t="inlineStr">
        <is>
          <t>Above 75</t>
        </is>
      </c>
      <c r="BA280" s="31">
        <f>IF(AZ280="Between 50 to 75",10,IF(AZ280="Above 75",0,0))</f>
        <v/>
      </c>
      <c r="BB280" s="31" t="inlineStr">
        <is>
          <t>Stage 2</t>
        </is>
      </c>
      <c r="BC280" s="31">
        <f>IF(BB280="Stage 2",20,IF(BB280="Stage 1",0,IF(BB280="Stage 3",5,IF(BB280="Stage 4",-5,0))))</f>
        <v/>
      </c>
      <c r="BD280" s="31" t="inlineStr">
        <is>
          <t>Positive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More than 20%</t>
        </is>
      </c>
      <c r="BO280" s="31">
        <f>IF(BN280="More than 20%",10,IF(BN280="Between 12 to 20%",5,IF(BN280="Less than 12%",0,0)))</f>
        <v/>
      </c>
      <c r="BP280" s="31" t="inlineStr">
        <is>
          <t>Yes</t>
        </is>
      </c>
      <c r="BQ280" s="31">
        <f>IF(BP280="No",10,0)</f>
        <v/>
      </c>
      <c r="BR280" s="31" t="inlineStr">
        <is>
          <t>Yes</t>
        </is>
      </c>
      <c r="BS280" s="31">
        <f>IF(BR280="NO",5,0)</f>
        <v/>
      </c>
      <c r="BT280" s="31" t="inlineStr">
        <is>
          <t>Between 1.5 to 2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IF(B281=0,"",RANK(B281,$B$2:$B$363,0))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1" t="inlineStr">
        <is>
          <t>DOLPHIN</t>
        </is>
      </c>
      <c r="D281" s="31" t="inlineStr">
        <is>
          <t>Dolphin Offshore Enterprises (India) Ltd</t>
        </is>
      </c>
      <c r="E281" s="31" t="inlineStr">
        <is>
          <t>energy</t>
        </is>
      </c>
      <c r="F281" s="31" t="inlineStr">
        <is>
          <t>oil drilling / allied services</t>
        </is>
      </c>
      <c r="G281" s="31" t="inlineStr">
        <is>
          <t>smallcap</t>
        </is>
      </c>
      <c r="H281" s="32" t="n">
        <v>2478.68</v>
      </c>
      <c r="I281" s="32" t="n">
        <v>674</v>
      </c>
      <c r="J281" s="32" t="n">
        <v>8.779999999999999</v>
      </c>
      <c r="K281" s="32" t="n">
        <v>169333</v>
      </c>
      <c r="L281" s="31" t="n">
        <v>78</v>
      </c>
      <c r="M281" s="31" t="inlineStr">
        <is>
          <t>Outperforming</t>
        </is>
      </c>
      <c r="N281" s="32">
        <f>IF(M281="Underperforming",-5,IF(L281&gt;=95,15,IF(L281&gt;=90,10,IF(L281&gt;=80,5,0))))</f>
        <v/>
      </c>
      <c r="O281" s="32" t="n">
        <v>78.93000000000001</v>
      </c>
      <c r="P281" s="32" t="n">
        <v>34.47</v>
      </c>
      <c r="Q281" s="32" t="n">
        <v>497.1</v>
      </c>
      <c r="R281" s="31" t="inlineStr">
        <is>
          <t>Near 52W High Breakout</t>
        </is>
      </c>
      <c r="S281" s="31" t="inlineStr">
        <is>
          <t>Nifty Energy</t>
        </is>
      </c>
      <c r="T281" s="32" t="n">
        <v>7.99</v>
      </c>
      <c r="U281" s="32" t="n">
        <v>52.54</v>
      </c>
      <c r="V281" s="32" t="n">
        <v>41.25</v>
      </c>
      <c r="W281" s="32" t="n">
        <v>24.38</v>
      </c>
      <c r="X281" s="31" t="inlineStr">
        <is>
          <t>Cyclical in an Upturn</t>
        </is>
      </c>
      <c r="Y281" s="31">
        <f>IF(X281="Growing Industry",10,IF(X281="Cyclical in an Upturn",5,0))</f>
        <v/>
      </c>
      <c r="Z281" s="31" t="inlineStr">
        <is>
          <t>Oligopoly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Yes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Cyclical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Volatile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Yes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20 to 40</t>
        </is>
      </c>
      <c r="AY281" s="31">
        <f>IF(AX281="Above 40",20,IF(AX281="20 to 40",10,IF(AX281="0 to 20",-5,0)))</f>
        <v/>
      </c>
      <c r="AZ281" s="31" t="inlineStr">
        <is>
          <t>Above 75</t>
        </is>
      </c>
      <c r="BA281" s="31">
        <f>IF(AZ281="Between 50 to 75",10,IF(AZ281="Above 75",0,0))</f>
        <v/>
      </c>
      <c r="BB281" s="31" t="inlineStr">
        <is>
          <t>Stage 2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Blue sky scenario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More than 20%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No</t>
        </is>
      </c>
      <c r="BS281" s="31">
        <f>IF(BR281="NO",5,0)</f>
        <v/>
      </c>
      <c r="BT281" s="31" t="inlineStr">
        <is>
          <t>Less than 1.5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IF(B282=0,"",RANK(B282,$B$2:$B$363,0))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1" t="inlineStr">
        <is>
          <t>SHANTIGEAR</t>
        </is>
      </c>
      <c r="D282" s="31" t="inlineStr">
        <is>
          <t>Shanthi Gears Limited</t>
        </is>
      </c>
      <c r="E282" s="31" t="inlineStr">
        <is>
          <t>industrials</t>
        </is>
      </c>
      <c r="F282" s="31" t="inlineStr">
        <is>
          <t>engineering</t>
        </is>
      </c>
      <c r="G282" s="31" t="inlineStr">
        <is>
          <t>smallcap</t>
        </is>
      </c>
      <c r="H282" s="32" t="n">
        <v>4471</v>
      </c>
      <c r="I282" s="32" t="n">
        <v>621.75</v>
      </c>
      <c r="J282" s="32" t="n">
        <v>6.68</v>
      </c>
      <c r="K282" s="32" t="n">
        <v>1612281</v>
      </c>
      <c r="L282" s="31" t="n">
        <v>38</v>
      </c>
      <c r="M282" s="31" t="inlineStr">
        <is>
          <t>Outperforming</t>
        </is>
      </c>
      <c r="N282" s="32">
        <f>IF(M282="Underperforming",-5,IF(L282&gt;=95,15,IF(L282&gt;=90,10,IF(L282&gt;=80,5,0))))</f>
        <v/>
      </c>
      <c r="O282" s="32" t="n">
        <v>78.90000000000001</v>
      </c>
      <c r="P282" s="32" t="n">
        <v>22.09</v>
      </c>
      <c r="Q282" s="32" t="n">
        <v>500.07</v>
      </c>
      <c r="R282" s="31" t="inlineStr">
        <is>
          <t>Near 52W High Breakout</t>
        </is>
      </c>
      <c r="S282" s="31" t="inlineStr">
        <is>
          <t>Nifty Infra</t>
        </is>
      </c>
      <c r="T282" s="32" t="n">
        <v>1.45</v>
      </c>
      <c r="U282" s="32" t="n">
        <v>8.619999999999999</v>
      </c>
      <c r="V282" s="32" t="n">
        <v>7.07</v>
      </c>
      <c r="W282" s="32" t="n">
        <v>9.52</v>
      </c>
      <c r="X282" s="31" t="inlineStr">
        <is>
          <t>Cyclical in an Upturn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Tailwind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Yes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20 to 40</t>
        </is>
      </c>
      <c r="AY282" s="31">
        <f>IF(AX282="Above 40",20,IF(AX282="20 to 40",10,IF(AX282="0 to 20",-5,0)))</f>
        <v/>
      </c>
      <c r="AZ282" s="31" t="inlineStr">
        <is>
          <t>Above 75</t>
        </is>
      </c>
      <c r="BA282" s="31">
        <f>IF(AZ282="Between 50 to 75",10,IF(AZ282="Above 75",0,0))</f>
        <v/>
      </c>
      <c r="BB282" s="31" t="inlineStr">
        <is>
          <t>Stage 2</t>
        </is>
      </c>
      <c r="BC282" s="31">
        <f>IF(BB282="Stage 2",20,IF(BB282="Stage 1",0,IF(BB282="Stage 3",5,IF(BB282="Stage 4",-5,0))))</f>
        <v/>
      </c>
      <c r="BD282" s="31" t="inlineStr">
        <is>
          <t>Positive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Blue sky scenario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Less than 12%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Yes</t>
        </is>
      </c>
      <c r="BS282" s="31">
        <f>IF(BR282="NO",5,0)</f>
        <v/>
      </c>
      <c r="BT282" s="31" t="inlineStr">
        <is>
          <t>Above 2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IF(B283=0,"",RANK(B283,$B$2:$B$363,0))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MAXESTATES</t>
        </is>
      </c>
      <c r="D283" s="31" t="inlineStr">
        <is>
          <t>Max Estates Ltd</t>
        </is>
      </c>
      <c r="E283" s="31" t="inlineStr">
        <is>
          <t>realty</t>
        </is>
      </c>
      <c r="F283" s="31" t="inlineStr">
        <is>
          <t>construction</t>
        </is>
      </c>
      <c r="G283" s="31" t="inlineStr">
        <is>
          <t>midcap</t>
        </is>
      </c>
      <c r="H283" s="32" t="n">
        <v>8676.799999999999</v>
      </c>
      <c r="I283" s="32" t="n">
        <v>542.1</v>
      </c>
      <c r="J283" s="32" t="n">
        <v>2.15</v>
      </c>
      <c r="K283" s="32" t="n">
        <v>111898</v>
      </c>
      <c r="L283" s="31" t="n">
        <v>40</v>
      </c>
      <c r="M283" s="31" t="inlineStr">
        <is>
          <t>Outperforming</t>
        </is>
      </c>
      <c r="N283" s="32">
        <f>IF(M283="Underperforming",-5,IF(L283&gt;=95,15,IF(L283&gt;=90,10,IF(L283&gt;=80,5,0))))</f>
        <v/>
      </c>
      <c r="O283" s="32" t="n">
        <v>69.68000000000001</v>
      </c>
      <c r="P283" s="32" t="n">
        <v>23.26</v>
      </c>
      <c r="Q283" s="32" t="n">
        <v>409.31</v>
      </c>
      <c r="R283" s="31" t="inlineStr">
        <is>
          <t>Near 52W High Breakout</t>
        </is>
      </c>
      <c r="S283" s="31" t="inlineStr">
        <is>
          <t>Nifty Realty</t>
        </is>
      </c>
      <c r="T283" s="32" t="n">
        <v>-4.49</v>
      </c>
      <c r="U283" s="32" t="n">
        <v>6.05</v>
      </c>
      <c r="V283" s="32" t="n">
        <v>11.04</v>
      </c>
      <c r="W283" s="32" t="n">
        <v>10.41</v>
      </c>
      <c r="X283" s="31" t="inlineStr">
        <is>
          <t>Growing Industry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Yes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20 to 40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2</t>
        </is>
      </c>
      <c r="BC283" s="31">
        <f>IF(BB283="Stage 2",20,IF(BB283="Stage 1",0,IF(BB283="Stage 3",5,IF(BB283="Stage 4",-5,0))))</f>
        <v/>
      </c>
      <c r="BD283" s="31" t="inlineStr">
        <is>
          <t>Positive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Close to 52 week high or retracement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Less than 12%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Yes</t>
        </is>
      </c>
      <c r="BS283" s="31">
        <f>IF(BR283="NO",5,0)</f>
        <v/>
      </c>
      <c r="BT283" s="31" t="inlineStr">
        <is>
          <t>Above 2</t>
        </is>
      </c>
      <c r="BU283" s="31">
        <f>IF(BT283="Above 2",0,IF(BT283="Between 1.5 to 2",5,IF(BT283="Less than 1.5",10,0)))</f>
        <v/>
      </c>
      <c r="BV283" s="31" t="inlineStr">
        <is>
          <t>Above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Between 0.7 to 1.2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IF(B284=0,"",RANK(B284,$B$2:$B$363,0))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3" t="inlineStr">
        <is>
          <t>IMAGICAA</t>
        </is>
      </c>
      <c r="D284" s="33" t="inlineStr">
        <is>
          <t>Imagicaaworld Entertainment Ltd</t>
        </is>
      </c>
      <c r="E284" s="31" t="inlineStr">
        <is>
          <t>media</t>
        </is>
      </c>
      <c r="F284" s="31" t="inlineStr">
        <is>
          <t>recreation / amusement parks</t>
        </is>
      </c>
      <c r="G284" s="31" t="inlineStr">
        <is>
          <t>smallcap</t>
        </is>
      </c>
      <c r="H284" s="32" t="n">
        <v>3086.77</v>
      </c>
      <c r="I284" s="32" t="n">
        <v>55.38</v>
      </c>
      <c r="J284" s="32" t="n">
        <v>1.52</v>
      </c>
      <c r="K284" s="32" t="n">
        <v>2402726</v>
      </c>
      <c r="L284" s="31" t="n">
        <v>5</v>
      </c>
      <c r="M284" s="31" t="inlineStr">
        <is>
          <t>Underperforming</t>
        </is>
      </c>
      <c r="N284" s="32">
        <f>IF(M284="Underperforming",-5,IF(L284&gt;=95,15,IF(L284&gt;=90,10,IF(L284&gt;=80,5,0))))</f>
        <v/>
      </c>
      <c r="O284" s="32" t="n">
        <v>60.09</v>
      </c>
      <c r="P284" s="32" t="n">
        <v>16.13</v>
      </c>
      <c r="Q284" s="32" t="n">
        <v>42.55</v>
      </c>
      <c r="R284" s="31" t="inlineStr">
        <is>
          <t>Near 52W High Breakout</t>
        </is>
      </c>
      <c r="S284" s="31" t="inlineStr">
        <is>
          <t>Nifty Media</t>
        </is>
      </c>
      <c r="T284" s="32" t="n">
        <v>-6.24</v>
      </c>
      <c r="U284" s="32" t="n">
        <v>-15.05</v>
      </c>
      <c r="V284" s="32" t="n">
        <v>-9.4</v>
      </c>
      <c r="W284" s="32" t="n">
        <v>1.09</v>
      </c>
      <c r="X284" s="31" t="inlineStr">
        <is>
          <t>Growing Industry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Tailwind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Yes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0 to 20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2</t>
        </is>
      </c>
      <c r="BC284" s="31">
        <f>IF(BB284="Stage 2",20,IF(BB284="Stage 1",0,IF(BB284="Stage 3",5,IF(BB284="Stage 4",-5,0))))</f>
        <v/>
      </c>
      <c r="BD284" s="31" t="inlineStr">
        <is>
          <t>Positive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More than 20%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Yes</t>
        </is>
      </c>
      <c r="BS284" s="31">
        <f>IF(BR284="NO",5,0)</f>
        <v/>
      </c>
      <c r="BT284" s="31" t="inlineStr">
        <is>
          <t>Above 2</t>
        </is>
      </c>
      <c r="BU284" s="31">
        <f>IF(BT284="Above 2",0,IF(BT284="Between 1.5 to 2",5,IF(BT284="Less than 1.5",10,0)))</f>
        <v/>
      </c>
      <c r="BV284" s="31" t="inlineStr">
        <is>
          <t>Above 70%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IF(B285=0,"",RANK(B285,$B$2:$B$363,0))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3" t="inlineStr">
        <is>
          <t>MOLDTKPAC</t>
        </is>
      </c>
      <c r="D285" s="33" t="inlineStr">
        <is>
          <t>Mold-tek Packaging Limited</t>
        </is>
      </c>
      <c r="E285" s="31" t="inlineStr">
        <is>
          <t>industrials</t>
        </is>
      </c>
      <c r="F285" s="31" t="inlineStr">
        <is>
          <t>packaging</t>
        </is>
      </c>
      <c r="G285" s="31" t="inlineStr">
        <is>
          <t>smallcap</t>
        </is>
      </c>
      <c r="H285" s="32" t="n">
        <v>2324.69</v>
      </c>
      <c r="I285" s="32" t="n">
        <v>706.65</v>
      </c>
      <c r="J285" s="32" t="n">
        <v>1.01</v>
      </c>
      <c r="K285" s="32" t="n">
        <v>36489</v>
      </c>
      <c r="L285" s="31" t="n">
        <v>1</v>
      </c>
      <c r="M285" s="31" t="inlineStr">
        <is>
          <t>Underperforming</t>
        </is>
      </c>
      <c r="N285" s="32">
        <f>IF(M285="Underperforming",-5,IF(L285&gt;=95,15,IF(L285&gt;=90,10,IF(L285&gt;=80,5,0))))</f>
        <v/>
      </c>
      <c r="O285" s="32" t="n">
        <v>57.04</v>
      </c>
      <c r="P285" s="32" t="n">
        <v>26</v>
      </c>
      <c r="Q285" s="32" t="n">
        <v>577.5700000000001</v>
      </c>
      <c r="R285" s="31" t="inlineStr">
        <is>
          <t>Earnings / Momentum Support</t>
        </is>
      </c>
      <c r="S285" s="31" t="inlineStr">
        <is>
          <t>Nifty 50</t>
        </is>
      </c>
      <c r="T285" s="32" t="n">
        <v>-3.41</v>
      </c>
      <c r="U285" s="32" t="n">
        <v>-14.24</v>
      </c>
      <c r="V285" s="32" t="n">
        <v>-11.22</v>
      </c>
      <c r="W285" s="32" t="n">
        <v>-1.53</v>
      </c>
      <c r="X285" s="31" t="inlineStr">
        <is>
          <t>Cyclical in an Upturn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Tailwind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No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20 to 40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2</t>
        </is>
      </c>
      <c r="BC285" s="31">
        <f>IF(BB285="Stage 2",20,IF(BB285="Stage 1",0,IF(BB285="Stage 3",5,IF(BB285="Stage 4",-5,0))))</f>
        <v/>
      </c>
      <c r="BD285" s="31" t="inlineStr">
        <is>
          <t>Positive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Between 12 to 20%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No</t>
        </is>
      </c>
      <c r="BS285" s="31">
        <f>IF(BR285="NO",5,0)</f>
        <v/>
      </c>
      <c r="BT285" s="31" t="inlineStr">
        <is>
          <t>Above 2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Less than 0.7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IF(B286=0,"",RANK(B286,$B$2:$B$363,0))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3" t="inlineStr">
        <is>
          <t>BALUFORGE</t>
        </is>
      </c>
      <c r="D286" s="33" t="inlineStr">
        <is>
          <t>Balu Forge Industries Ltd</t>
        </is>
      </c>
      <c r="E286" s="31" t="inlineStr">
        <is>
          <t>industrials</t>
        </is>
      </c>
      <c r="F286" s="31" t="inlineStr">
        <is>
          <t>castings &amp; forgings</t>
        </is>
      </c>
      <c r="G286" s="31" t="inlineStr">
        <is>
          <t>midcap</t>
        </is>
      </c>
      <c r="H286" s="32" t="n">
        <v>6826.06</v>
      </c>
      <c r="I286" s="32" t="n">
        <v>574.1</v>
      </c>
      <c r="J286" s="32" t="n">
        <v>0.66</v>
      </c>
      <c r="K286" s="32" t="n">
        <v>1304593</v>
      </c>
      <c r="L286" s="31" t="n">
        <v>9</v>
      </c>
      <c r="M286" s="31" t="inlineStr">
        <is>
          <t>Underperforming</t>
        </is>
      </c>
      <c r="N286" s="32">
        <f>IF(M286="Underperforming",-5,IF(L286&gt;=95,15,IF(L286&gt;=90,10,IF(L286&gt;=80,5,0))))</f>
        <v/>
      </c>
      <c r="O286" s="32" t="n">
        <v>59.24</v>
      </c>
      <c r="P286" s="32" t="n">
        <v>19.25</v>
      </c>
      <c r="Q286" s="32" t="n">
        <v>478</v>
      </c>
      <c r="R286" s="31" t="inlineStr">
        <is>
          <t>Earnings / Momentum Support</t>
        </is>
      </c>
      <c r="S286" s="31" t="inlineStr">
        <is>
          <t>Nifty 50</t>
        </is>
      </c>
      <c r="T286" s="32" t="n">
        <v>-3.41</v>
      </c>
      <c r="U286" s="32" t="n">
        <v>-13.63</v>
      </c>
      <c r="V286" s="32" t="n">
        <v>-10.58</v>
      </c>
      <c r="W286" s="32" t="n">
        <v>2.26</v>
      </c>
      <c r="X286" s="31" t="inlineStr">
        <is>
          <t>Cyclical in an Upturn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No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0 to 20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2</t>
        </is>
      </c>
      <c r="BC286" s="31">
        <f>IF(BB286="Stage 2",20,IF(BB286="Stage 1",0,IF(BB286="Stage 3",5,IF(BB286="Stage 4",-5,0))))</f>
        <v/>
      </c>
      <c r="BD286" s="31" t="inlineStr">
        <is>
          <t>Positive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More than 20%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No</t>
        </is>
      </c>
      <c r="BS286" s="31">
        <f>IF(BR286="NO",5,0)</f>
        <v/>
      </c>
      <c r="BT286" s="31" t="inlineStr">
        <is>
          <t>Less than 1.5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Less than 0.7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IF(B287=0,"",RANK(B287,$B$2:$B$363,0))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1" t="inlineStr">
        <is>
          <t>BIL</t>
        </is>
      </c>
      <c r="D287" s="31" t="inlineStr">
        <is>
          <t>Bhartiya International Limited</t>
        </is>
      </c>
      <c r="E287" s="31" t="inlineStr">
        <is>
          <t>consumer discretionary</t>
        </is>
      </c>
      <c r="F287" s="31" t="inlineStr">
        <is>
          <t>leather / leather products</t>
        </is>
      </c>
      <c r="G287" s="31" t="inlineStr">
        <is>
          <t>smallcap</t>
        </is>
      </c>
      <c r="H287" s="32" t="n">
        <v>1228.19</v>
      </c>
      <c r="I287" s="32" t="n">
        <v>907.85</v>
      </c>
      <c r="J287" s="32" t="n">
        <v>-0.87</v>
      </c>
      <c r="K287" s="32" t="n">
        <v>8736</v>
      </c>
      <c r="L287" s="31" t="n">
        <v>32</v>
      </c>
      <c r="M287" s="31" t="inlineStr">
        <is>
          <t>Outperforming</t>
        </is>
      </c>
      <c r="N287" s="32">
        <f>IF(M287="Underperforming",-5,IF(L287&gt;=95,15,IF(L287&gt;=90,10,IF(L287&gt;=80,5,0))))</f>
        <v/>
      </c>
      <c r="O287" s="32" t="n">
        <v>65.19</v>
      </c>
      <c r="P287" s="32" t="n">
        <v>18.14</v>
      </c>
      <c r="Q287" s="32" t="n">
        <v>665.66</v>
      </c>
      <c r="R287" s="31" t="inlineStr">
        <is>
          <t>Volume Spike &amp; Near 52W High Breakout</t>
        </is>
      </c>
      <c r="S287" s="31" t="inlineStr">
        <is>
          <t>Nifty 50</t>
        </is>
      </c>
      <c r="T287" s="32" t="n">
        <v>-3.41</v>
      </c>
      <c r="U287" s="32" t="n">
        <v>6.34</v>
      </c>
      <c r="V287" s="32" t="n">
        <v>10.09</v>
      </c>
      <c r="W287" s="32" t="n">
        <v>8.210000000000001</v>
      </c>
      <c r="X287" s="31" t="inlineStr">
        <is>
          <t>Growing Industry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Tailwind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Yes</t>
        </is>
      </c>
      <c r="AQ287" s="31">
        <f>IF(AP287="Yes",10,0)</f>
        <v/>
      </c>
      <c r="AR287" s="31" t="inlineStr">
        <is>
          <t>Higher One Time, Lower Annuity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0 to 20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2</t>
        </is>
      </c>
      <c r="BC287" s="31">
        <f>IF(BB287="Stage 2",20,IF(BB287="Stage 1",0,IF(BB287="Stage 3",5,IF(BB287="Stage 4",-5,0))))</f>
        <v/>
      </c>
      <c r="BD287" s="31" t="inlineStr">
        <is>
          <t>Positive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Blue sky scenario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More than 20%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Yes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Above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Between 0.7 to 1.2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IF(B288=0,"",RANK(B288,$B$2:$B$363,0))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1" t="inlineStr">
        <is>
          <t>ASIANENE</t>
        </is>
      </c>
      <c r="D288" s="31" t="inlineStr">
        <is>
          <t>Asian Energy Services Ltd</t>
        </is>
      </c>
      <c r="E288" s="31" t="inlineStr">
        <is>
          <t>energy</t>
        </is>
      </c>
      <c r="F288" s="31" t="inlineStr">
        <is>
          <t>oil drilling / allied services</t>
        </is>
      </c>
      <c r="G288" s="31" t="inlineStr">
        <is>
          <t>smallcap</t>
        </is>
      </c>
      <c r="H288" s="32" t="n">
        <v>2543.33</v>
      </c>
      <c r="I288" s="32" t="n">
        <v>517.45</v>
      </c>
      <c r="J288" s="32" t="n">
        <v>-1.06</v>
      </c>
      <c r="K288" s="32" t="n">
        <v>476280</v>
      </c>
      <c r="L288" s="31" t="n">
        <v>86</v>
      </c>
      <c r="M288" s="31" t="inlineStr">
        <is>
          <t>Outperforming</t>
        </is>
      </c>
      <c r="N288" s="32">
        <f>IF(M288="Underperforming",-5,IF(L288&gt;=95,15,IF(L288&gt;=90,10,IF(L288&gt;=80,5,0))))</f>
        <v/>
      </c>
      <c r="O288" s="32" t="n">
        <v>74.16</v>
      </c>
      <c r="P288" s="32" t="n">
        <v>22.28</v>
      </c>
      <c r="Q288" s="32" t="n">
        <v>376.21</v>
      </c>
      <c r="R288" s="31" t="inlineStr">
        <is>
          <t>Near 52W High Breakout</t>
        </is>
      </c>
      <c r="S288" s="31" t="inlineStr">
        <is>
          <t>Nifty Energy</t>
        </is>
      </c>
      <c r="T288" s="32" t="n">
        <v>7.99</v>
      </c>
      <c r="U288" s="32" t="n">
        <v>81.98</v>
      </c>
      <c r="V288" s="32" t="n">
        <v>68.51000000000001</v>
      </c>
      <c r="W288" s="32" t="n">
        <v>31.05</v>
      </c>
      <c r="X288" s="31" t="inlineStr">
        <is>
          <t>Cyclical in an Upturn</t>
        </is>
      </c>
      <c r="Y288" s="31">
        <f>IF(X288="Growing Industry",10,IF(X288="Cyclical in an Upturn",5,0))</f>
        <v/>
      </c>
      <c r="Z288" s="31" t="inlineStr">
        <is>
          <t>Oligopoly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Yes</t>
        </is>
      </c>
      <c r="AC288" s="31">
        <f>IF(AB288="No",5,0)</f>
        <v/>
      </c>
      <c r="AD288" s="31" t="inlineStr">
        <is>
          <t>Tailwind</t>
        </is>
      </c>
      <c r="AE288" s="31">
        <f>IF(AD288="Tailwind",10,0)</f>
        <v/>
      </c>
      <c r="AF288" s="31" t="inlineStr">
        <is>
          <t>Cyclical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Volatile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Yes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20 to 40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2</t>
        </is>
      </c>
      <c r="BC288" s="31">
        <f>IF(BB288="Stage 2",20,IF(BB288="Stage 1",0,IF(BB288="Stage 3",5,IF(BB288="Stage 4",-5,0))))</f>
        <v/>
      </c>
      <c r="BD288" s="31" t="inlineStr">
        <is>
          <t>Positive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Blue sky scenario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More than 20%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Yes</t>
        </is>
      </c>
      <c r="BS288" s="31">
        <f>IF(BR288="NO",5,0)</f>
        <v/>
      </c>
      <c r="BT288" s="31" t="inlineStr">
        <is>
          <t>Above 2</t>
        </is>
      </c>
      <c r="BU288" s="31">
        <f>IF(BT288="Above 2",0,IF(BT288="Between 1.5 to 2",5,IF(BT288="Less than 1.5",10,0)))</f>
        <v/>
      </c>
      <c r="BV288" s="31" t="inlineStr">
        <is>
          <t>Above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IF(B289=0,"",RANK(B289,$B$2:$B$363,0))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1" t="inlineStr">
        <is>
          <t>UFLEX</t>
        </is>
      </c>
      <c r="D289" s="31" t="inlineStr">
        <is>
          <t>Uflex Limited</t>
        </is>
      </c>
      <c r="E289" s="31" t="inlineStr">
        <is>
          <t>industrials</t>
        </is>
      </c>
      <c r="F289" s="31" t="inlineStr">
        <is>
          <t>packaging</t>
        </is>
      </c>
      <c r="G289" s="31" t="inlineStr">
        <is>
          <t>smallcap</t>
        </is>
      </c>
      <c r="H289" s="32" t="n">
        <v>4958.76</v>
      </c>
      <c r="I289" s="32" t="n">
        <v>675.6</v>
      </c>
      <c r="J289" s="32" t="n">
        <v>-1.62</v>
      </c>
      <c r="K289" s="32" t="n">
        <v>168967</v>
      </c>
      <c r="L289" s="31" t="n">
        <v>65</v>
      </c>
      <c r="M289" s="31" t="inlineStr">
        <is>
          <t>Outperforming</t>
        </is>
      </c>
      <c r="N289" s="32">
        <f>IF(M289="Underperforming",-5,IF(L289&gt;=95,15,IF(L289&gt;=90,10,IF(L289&gt;=80,5,0))))</f>
        <v/>
      </c>
      <c r="O289" s="32" t="n">
        <v>79.65000000000001</v>
      </c>
      <c r="P289" s="32" t="n">
        <v>26.19</v>
      </c>
      <c r="Q289" s="32" t="n">
        <v>532.6</v>
      </c>
      <c r="R289" s="31" t="inlineStr">
        <is>
          <t>Near 52W High Breakout</t>
        </is>
      </c>
      <c r="S289" s="31" t="inlineStr">
        <is>
          <t>Nifty 50</t>
        </is>
      </c>
      <c r="T289" s="32" t="n">
        <v>-3.41</v>
      </c>
      <c r="U289" s="32" t="n">
        <v>23.48</v>
      </c>
      <c r="V289" s="32" t="n">
        <v>27.84</v>
      </c>
      <c r="W289" s="32" t="n">
        <v>18.95</v>
      </c>
      <c r="X289" s="31" t="inlineStr">
        <is>
          <t>Cyclical in an Upturn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Tailwind</t>
        </is>
      </c>
      <c r="AE289" s="31">
        <f>IF(AD289="Tailwind",10,0)</f>
        <v/>
      </c>
      <c r="AF289" s="31" t="inlineStr">
        <is>
          <t>Structural (10 Years Consistency)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Stable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Yes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20 to 40</t>
        </is>
      </c>
      <c r="AY289" s="31">
        <f>IF(AX289="Above 40",20,IF(AX289="20 to 40",10,IF(AX289="0 to 20",-5,0)))</f>
        <v/>
      </c>
      <c r="AZ289" s="31" t="inlineStr">
        <is>
          <t>Above 75</t>
        </is>
      </c>
      <c r="BA289" s="31">
        <f>IF(AZ289="Between 50 to 75",10,IF(AZ289="Above 75",0,0))</f>
        <v/>
      </c>
      <c r="BB289" s="31" t="inlineStr">
        <is>
          <t>Stage 2</t>
        </is>
      </c>
      <c r="BC289" s="31">
        <f>IF(BB289="Stage 2",20,IF(BB289="Stage 1",0,IF(BB289="Stage 3",5,IF(BB289="Stage 4",-5,0))))</f>
        <v/>
      </c>
      <c r="BD289" s="31" t="inlineStr">
        <is>
          <t>Positive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More than 20%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No</t>
        </is>
      </c>
      <c r="BS289" s="31">
        <f>IF(BR289="NO",5,0)</f>
        <v/>
      </c>
      <c r="BT289" s="31" t="inlineStr">
        <is>
          <t>Less than 1.5</t>
        </is>
      </c>
      <c r="BU289" s="31">
        <f>IF(BT289="Above 2",0,IF(BT289="Between 1.5 to 2",5,IF(BT289="Less than 1.5",10,0)))</f>
        <v/>
      </c>
      <c r="BV289" s="31" t="inlineStr">
        <is>
          <t>Above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More than 1.2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IF(B290=0,"",RANK(B290,$B$2:$B$363,0))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1" t="inlineStr">
        <is>
          <t>LUMAXTECH</t>
        </is>
      </c>
      <c r="D290" s="31" t="inlineStr">
        <is>
          <t>Lumax Auto Technologies Limited</t>
        </is>
      </c>
      <c r="E290" s="31" t="inlineStr">
        <is>
          <t>auto</t>
        </is>
      </c>
      <c r="F290" s="31" t="inlineStr">
        <is>
          <t>auto ancillaries</t>
        </is>
      </c>
      <c r="G290" s="31" t="inlineStr">
        <is>
          <t>midcap</t>
        </is>
      </c>
      <c r="H290" s="32" t="n">
        <v>13532.03</v>
      </c>
      <c r="I290" s="32" t="n">
        <v>1951.9</v>
      </c>
      <c r="J290" s="32" t="n">
        <v>-1.69</v>
      </c>
      <c r="K290" s="32" t="n">
        <v>81128</v>
      </c>
      <c r="L290" s="31" t="n">
        <v>57</v>
      </c>
      <c r="M290" s="31" t="inlineStr">
        <is>
          <t>Outperforming</t>
        </is>
      </c>
      <c r="N290" s="32">
        <f>IF(M290="Underperforming",-5,IF(L290&gt;=95,15,IF(L290&gt;=90,10,IF(L290&gt;=80,5,0))))</f>
        <v/>
      </c>
      <c r="O290" s="32" t="n">
        <v>63.55</v>
      </c>
      <c r="P290" s="32" t="n">
        <v>19.51</v>
      </c>
      <c r="Q290" s="32" t="n">
        <v>1532.89</v>
      </c>
      <c r="R290" s="31" t="inlineStr">
        <is>
          <t>Near 52W High Breakout</t>
        </is>
      </c>
      <c r="S290" s="31" t="inlineStr">
        <is>
          <t>Nifty Auto</t>
        </is>
      </c>
      <c r="T290" s="32" t="n">
        <v>16.52</v>
      </c>
      <c r="U290" s="32" t="n">
        <v>89.67</v>
      </c>
      <c r="V290" s="32" t="n">
        <v>62.77</v>
      </c>
      <c r="W290" s="32" t="n">
        <v>16.67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Tailwind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Yes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0 to 20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2</t>
        </is>
      </c>
      <c r="BC290" s="31">
        <f>IF(BB290="Stage 2",20,IF(BB290="Stage 1",0,IF(BB290="Stage 3",5,IF(BB290="Stage 4",-5,0))))</f>
        <v/>
      </c>
      <c r="BD290" s="31" t="inlineStr">
        <is>
          <t>Positive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Blue sky scenario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More than 20%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Yes</t>
        </is>
      </c>
      <c r="BS290" s="31">
        <f>IF(BR290="NO",5,0)</f>
        <v/>
      </c>
      <c r="BT290" s="31" t="inlineStr">
        <is>
          <t>Above 2</t>
        </is>
      </c>
      <c r="BU290" s="31">
        <f>IF(BT290="Above 2",0,IF(BT290="Between 1.5 to 2",5,IF(BT290="Less than 1.5",10,0)))</f>
        <v/>
      </c>
      <c r="BV290" s="31" t="inlineStr">
        <is>
          <t>Above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Between 0.7 to 1.2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IF(B291=0,"",RANK(B291,$B$2:$B$363,0))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1" t="inlineStr">
        <is>
          <t>VALIANTLAB</t>
        </is>
      </c>
      <c r="D291" s="31" t="inlineStr">
        <is>
          <t>Valiant Laboratories Ltd</t>
        </is>
      </c>
      <c r="E291" s="31" t="inlineStr">
        <is>
          <t>healthcare</t>
        </is>
      </c>
      <c r="F291" s="31" t="inlineStr">
        <is>
          <t>pharmaceuticals - indian - bulk drugs &amp; formln</t>
        </is>
      </c>
      <c r="G291" s="31" t="inlineStr">
        <is>
          <t>smallcap</t>
        </is>
      </c>
      <c r="H291" s="32" t="n">
        <v>548.1799999999999</v>
      </c>
      <c r="I291" s="32" t="n">
        <v>105.97</v>
      </c>
      <c r="J291" s="32" t="n">
        <v>4.99</v>
      </c>
      <c r="K291" s="32" t="n">
        <v>71202</v>
      </c>
      <c r="L291" s="31" t="n">
        <v>61</v>
      </c>
      <c r="M291" s="31" t="inlineStr">
        <is>
          <t>Outperforming</t>
        </is>
      </c>
      <c r="N291" s="32">
        <f>IF(M291="Underperforming",-5,IF(L291&gt;=95,15,IF(L291&gt;=90,10,IF(L291&gt;=80,5,0))))</f>
        <v/>
      </c>
      <c r="O291" s="32" t="n">
        <v>75.66</v>
      </c>
      <c r="P291" s="32" t="n">
        <v>19.57</v>
      </c>
      <c r="Q291" s="32" t="n">
        <v>78.95</v>
      </c>
      <c r="R291" s="31" t="inlineStr">
        <is>
          <t>Volume Spike &amp; Near 52W High Breakout</t>
        </is>
      </c>
      <c r="S291" s="31" t="inlineStr">
        <is>
          <t>Nifty Pharma</t>
        </is>
      </c>
      <c r="T291" s="32" t="n">
        <v>20.77</v>
      </c>
      <c r="U291" s="32" t="n">
        <v>26.67</v>
      </c>
      <c r="V291" s="32" t="n">
        <v>4.89</v>
      </c>
      <c r="W291" s="32" t="n">
        <v>17.38</v>
      </c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Yes</t>
        </is>
      </c>
      <c r="AC291" s="31">
        <f>IF(AB291="No",5,0)</f>
        <v/>
      </c>
      <c r="AD291" s="31" t="inlineStr">
        <is>
          <t>Tailwind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Yes</t>
        </is>
      </c>
      <c r="AQ291" s="31">
        <f>IF(AP291="Yes",10,0)</f>
        <v/>
      </c>
      <c r="AR291" s="31" t="inlineStr">
        <is>
          <t>Higher Annuity, Lower One Time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0 to 20</t>
        </is>
      </c>
      <c r="AY291" s="31">
        <f>IF(AX291="Above 40",20,IF(AX291="20 to 40",10,IF(AX291="0 to 20",-5,0)))</f>
        <v/>
      </c>
      <c r="AZ291" s="31" t="inlineStr">
        <is>
          <t>Above 75</t>
        </is>
      </c>
      <c r="BA291" s="31">
        <f>IF(AZ291="Between 50 to 75",10,IF(AZ291="Above 75",0,0))</f>
        <v/>
      </c>
      <c r="BB291" s="31" t="inlineStr">
        <is>
          <t>Stage 2</t>
        </is>
      </c>
      <c r="BC291" s="31">
        <f>IF(BB291="Stage 2",20,IF(BB291="Stage 1",0,IF(BB291="Stage 3",5,IF(BB291="Stage 4",-5,0))))</f>
        <v/>
      </c>
      <c r="BD291" s="31" t="inlineStr">
        <is>
          <t>Positive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More than 20%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No</t>
        </is>
      </c>
      <c r="BS291" s="31">
        <f>IF(BR291="NO",5,0)</f>
        <v/>
      </c>
      <c r="BT291" s="31" t="inlineStr">
        <is>
          <t>Above 2</t>
        </is>
      </c>
      <c r="BU291" s="31">
        <f>IF(BT291="Above 2",0,IF(BT291="Between 1.5 to 2",5,IF(BT291="Less than 1.5",10,0)))</f>
        <v/>
      </c>
      <c r="BV291" s="31" t="inlineStr">
        <is>
          <t>Above 70%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Less than 0.7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IF(B292=0,"",RANK(B292,$B$2:$B$363,0))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3" t="inlineStr">
        <is>
          <t>GPTHEALTH</t>
        </is>
      </c>
      <c r="D292" s="33" t="inlineStr">
        <is>
          <t>GPT Healthcare Ltd</t>
        </is>
      </c>
      <c r="E292" s="31" t="inlineStr">
        <is>
          <t>healthcare</t>
        </is>
      </c>
      <c r="F292" s="31" t="inlineStr">
        <is>
          <t>healthcare</t>
        </is>
      </c>
      <c r="G292" s="31" t="inlineStr">
        <is>
          <t>smallcap</t>
        </is>
      </c>
      <c r="H292" s="32" t="n">
        <v>1261.02</v>
      </c>
      <c r="I292" s="32" t="n">
        <v>158.17</v>
      </c>
      <c r="J292" s="32" t="n">
        <v>2.92</v>
      </c>
      <c r="K292" s="32" t="n">
        <v>259291</v>
      </c>
      <c r="L292" s="31" t="n">
        <v>12</v>
      </c>
      <c r="M292" s="31" t="inlineStr">
        <is>
          <t>Underperforming</t>
        </is>
      </c>
      <c r="N292" s="32">
        <f>IF(M292="Underperforming",-5,IF(L292&gt;=95,15,IF(L292&gt;=90,10,IF(L292&gt;=80,5,0))))</f>
        <v/>
      </c>
      <c r="O292" s="32" t="n">
        <v>58.3</v>
      </c>
      <c r="P292" s="32" t="n">
        <v>49.31</v>
      </c>
      <c r="Q292" s="32" t="n">
        <v>139.77</v>
      </c>
      <c r="R292" s="31" t="inlineStr">
        <is>
          <t>Earnings / Momentum Support</t>
        </is>
      </c>
      <c r="S292" s="31" t="inlineStr">
        <is>
          <t>Nifty Pharma</t>
        </is>
      </c>
      <c r="T292" s="32" t="n">
        <v>20.77</v>
      </c>
      <c r="U292" s="32" t="n">
        <v>4.52</v>
      </c>
      <c r="V292" s="32" t="n">
        <v>-13.45</v>
      </c>
      <c r="W292" s="32" t="n">
        <v>2.78</v>
      </c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Yes</t>
        </is>
      </c>
      <c r="AC292" s="31">
        <f>IF(AB292="No",5,0)</f>
        <v/>
      </c>
      <c r="AD292" s="31" t="inlineStr">
        <is>
          <t>Tailwind</t>
        </is>
      </c>
      <c r="AE292" s="31">
        <f>IF(AD292="Tailwind",10,0)</f>
        <v/>
      </c>
      <c r="AF292" s="31" t="inlineStr">
        <is>
          <t>Structural (10 Years Consistency)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No</t>
        </is>
      </c>
      <c r="AQ292" s="31">
        <f>IF(AP292="Yes",10,0)</f>
        <v/>
      </c>
      <c r="AR292" s="31" t="inlineStr">
        <is>
          <t>Higher Annuity, Lower One Time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Above 40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2</t>
        </is>
      </c>
      <c r="BC292" s="31">
        <f>IF(BB292="Stage 2",20,IF(BB292="Stage 1",0,IF(BB292="Stage 3",5,IF(BB292="Stage 4",-5,0))))</f>
        <v/>
      </c>
      <c r="BD292" s="31" t="inlineStr">
        <is>
          <t>Negative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More than 20%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No</t>
        </is>
      </c>
      <c r="BS292" s="31">
        <f>IF(BR292="NO",5,0)</f>
        <v/>
      </c>
      <c r="BT292" s="31" t="inlineStr">
        <is>
          <t>Less than 1.5</t>
        </is>
      </c>
      <c r="BU292" s="31">
        <f>IF(BT292="Above 2",0,IF(BT292="Between 1.5 to 2",5,IF(BT292="Less than 1.5",10,0)))</f>
        <v/>
      </c>
      <c r="BV292" s="31" t="inlineStr">
        <is>
          <t>Above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Less than 0.7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IF(B293=0,"",RANK(B293,$B$2:$B$363,0))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3" t="inlineStr">
        <is>
          <t>AARTIDRUGS</t>
        </is>
      </c>
      <c r="D293" s="33" t="inlineStr">
        <is>
          <t>Aarti Drugs Limited</t>
        </is>
      </c>
      <c r="E293" s="31" t="inlineStr">
        <is>
          <t>healthcare</t>
        </is>
      </c>
      <c r="F293" s="31" t="inlineStr">
        <is>
          <t>pharmaceuticals - indian - bulk drugs</t>
        </is>
      </c>
      <c r="G293" s="31" t="inlineStr">
        <is>
          <t>smallcap</t>
        </is>
      </c>
      <c r="H293" s="32" t="n">
        <v>3886.73</v>
      </c>
      <c r="I293" s="32" t="n">
        <v>431.65</v>
      </c>
      <c r="J293" s="32" t="n">
        <v>1.36</v>
      </c>
      <c r="K293" s="32" t="n">
        <v>250307</v>
      </c>
      <c r="L293" s="31" t="n">
        <v>8</v>
      </c>
      <c r="M293" s="31" t="inlineStr">
        <is>
          <t>Underperforming</t>
        </is>
      </c>
      <c r="N293" s="32">
        <f>IF(M293="Underperforming",-5,IF(L293&gt;=95,15,IF(L293&gt;=90,10,IF(L293&gt;=80,5,0))))</f>
        <v/>
      </c>
      <c r="O293" s="32" t="n">
        <v>62.14</v>
      </c>
      <c r="P293" s="32" t="n">
        <v>23.5</v>
      </c>
      <c r="Q293" s="32" t="n">
        <v>352.67</v>
      </c>
      <c r="R293" s="31" t="inlineStr">
        <is>
          <t>Earnings / Momentum Support</t>
        </is>
      </c>
      <c r="S293" s="31" t="inlineStr">
        <is>
          <t>Nifty Pharma</t>
        </is>
      </c>
      <c r="T293" s="32" t="n">
        <v>20.77</v>
      </c>
      <c r="U293" s="32" t="n">
        <v>-7.89</v>
      </c>
      <c r="V293" s="32" t="n">
        <v>-23.73</v>
      </c>
      <c r="W293" s="32" t="n">
        <v>1.84</v>
      </c>
      <c r="X293" s="31" t="inlineStr">
        <is>
          <t>Growing Industry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Yes</t>
        </is>
      </c>
      <c r="AC293" s="31">
        <f>IF(AB293="No",5,0)</f>
        <v/>
      </c>
      <c r="AD293" s="31" t="inlineStr">
        <is>
          <t>Tailwind</t>
        </is>
      </c>
      <c r="AE293" s="31">
        <f>IF(AD293="Tailwind",10,0)</f>
        <v/>
      </c>
      <c r="AF293" s="31" t="inlineStr">
        <is>
          <t>Structural (10 Years Consistency)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Stable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No</t>
        </is>
      </c>
      <c r="AQ293" s="31">
        <f>IF(AP293="Yes",10,0)</f>
        <v/>
      </c>
      <c r="AR293" s="31" t="inlineStr">
        <is>
          <t>Higher Annuity, Lower One Time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20 to 40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2</t>
        </is>
      </c>
      <c r="BC293" s="31">
        <f>IF(BB293="Stage 2",20,IF(BB293="Stage 1",0,IF(BB293="Stage 3",5,IF(BB293="Stage 4",-5,0))))</f>
        <v/>
      </c>
      <c r="BD293" s="31" t="inlineStr">
        <is>
          <t>Positive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Less than 12%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No</t>
        </is>
      </c>
      <c r="BS293" s="31">
        <f>IF(BR293="NO",5,0)</f>
        <v/>
      </c>
      <c r="BT293" s="31" t="inlineStr">
        <is>
          <t>Above 2</t>
        </is>
      </c>
      <c r="BU293" s="31">
        <f>IF(BT293="Above 2",0,IF(BT293="Between 1.5 to 2",5,IF(BT293="Less than 1.5",10,0)))</f>
        <v/>
      </c>
      <c r="BV293" s="31" t="inlineStr">
        <is>
          <t>Above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Less than 0.7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IF(B294=0,"",RANK(B294,$B$2:$B$363,0))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1" t="inlineStr">
        <is>
          <t>BAJAJHIND</t>
        </is>
      </c>
      <c r="D294" s="31" t="inlineStr">
        <is>
          <t>Bajaj Hindusthan Sugar Limited</t>
        </is>
      </c>
      <c r="E294" s="31" t="inlineStr">
        <is>
          <t>fmcg</t>
        </is>
      </c>
      <c r="F294" s="31" t="inlineStr">
        <is>
          <t>sugar</t>
        </is>
      </c>
      <c r="G294" s="31" t="inlineStr">
        <is>
          <t>midcap</t>
        </is>
      </c>
      <c r="H294" s="32" t="n">
        <v>5278.59</v>
      </c>
      <c r="I294" s="32" t="n">
        <v>21.86</v>
      </c>
      <c r="J294" s="32" t="n">
        <v>-1</v>
      </c>
      <c r="K294" s="32" t="n">
        <v>21280859</v>
      </c>
      <c r="L294" s="31" t="n">
        <v>9</v>
      </c>
      <c r="M294" s="31" t="inlineStr">
        <is>
          <t>Outperforming</t>
        </is>
      </c>
      <c r="N294" s="32">
        <f>IF(M294="Underperforming",-5,IF(L294&gt;=95,15,IF(L294&gt;=90,10,IF(L294&gt;=80,5,0))))</f>
        <v/>
      </c>
      <c r="O294" s="32" t="n">
        <v>62.13</v>
      </c>
      <c r="P294" s="32" t="n">
        <v>17.6</v>
      </c>
      <c r="Q294" s="32" t="n">
        <v>16.9</v>
      </c>
      <c r="R294" s="31" t="inlineStr">
        <is>
          <t>Earnings / Momentum Support</t>
        </is>
      </c>
      <c r="S294" s="31" t="inlineStr">
        <is>
          <t>Nifty FMCG</t>
        </is>
      </c>
      <c r="T294" s="32" t="n">
        <v>-15.92</v>
      </c>
      <c r="U294" s="32" t="n">
        <v>-12.8</v>
      </c>
      <c r="V294" s="32" t="n">
        <v>3.7</v>
      </c>
      <c r="W294" s="32" t="n">
        <v>2.09</v>
      </c>
      <c r="X294" s="31" t="inlineStr">
        <is>
          <t>Growing Industry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Tailwind</t>
        </is>
      </c>
      <c r="AE294" s="31">
        <f>IF(AD294="Tailwind",10,0)</f>
        <v/>
      </c>
      <c r="AF294" s="31" t="inlineStr">
        <is>
          <t>Structural (10 Years Consistency)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B2C</t>
        </is>
      </c>
      <c r="AO294" s="31">
        <f>IF(AN294="B2C",10,IF(AN294="B2B",5,0))</f>
        <v/>
      </c>
      <c r="AP294" s="31" t="inlineStr">
        <is>
          <t>No</t>
        </is>
      </c>
      <c r="AQ294" s="31">
        <f>IF(AP294="Yes",10,0)</f>
        <v/>
      </c>
      <c r="AR294" s="31" t="inlineStr">
        <is>
          <t>Higher Annuity, Lower One Time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0 to 20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2</t>
        </is>
      </c>
      <c r="BC294" s="31">
        <f>IF(BB294="Stage 2",20,IF(BB294="Stage 1",0,IF(BB294="Stage 3",5,IF(BB294="Stage 4",-5,0))))</f>
        <v/>
      </c>
      <c r="BD294" s="31" t="inlineStr">
        <is>
          <t>Positive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More than 20%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No</t>
        </is>
      </c>
      <c r="BS294" s="31">
        <f>IF(BR294="NO",5,0)</f>
        <v/>
      </c>
      <c r="BT294" s="31" t="inlineStr">
        <is>
          <t>Above 2</t>
        </is>
      </c>
      <c r="BU294" s="31">
        <f>IF(BT294="Above 2",0,IF(BT294="Between 1.5 to 2",5,IF(BT294="Less than 1.5",10,0)))</f>
        <v/>
      </c>
      <c r="BV294" s="31" t="inlineStr">
        <is>
          <t>Above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Between 0.7 to 1.2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IF(B295=0,"",RANK(B295,$B$2:$B$363,0))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1" t="inlineStr">
        <is>
          <t>GMMPFAUDLR</t>
        </is>
      </c>
      <c r="D295" s="31" t="inlineStr">
        <is>
          <t>GMM Pfaudler Ltd</t>
        </is>
      </c>
      <c r="E295" s="31" t="inlineStr">
        <is>
          <t>industrials</t>
        </is>
      </c>
      <c r="F295" s="31" t="inlineStr">
        <is>
          <t>engineering</t>
        </is>
      </c>
      <c r="G295" s="31" t="inlineStr">
        <is>
          <t>smallcap</t>
        </is>
      </c>
      <c r="H295" s="32" t="n">
        <v>4826.16</v>
      </c>
      <c r="I295" s="32" t="n">
        <v>1147.9</v>
      </c>
      <c r="J295" s="32" t="n">
        <v>6.93</v>
      </c>
      <c r="K295" s="32" t="n">
        <v>1049404</v>
      </c>
      <c r="L295" s="31" t="n">
        <v>43</v>
      </c>
      <c r="M295" s="31" t="inlineStr">
        <is>
          <t>Outperforming</t>
        </is>
      </c>
      <c r="N295" s="32">
        <f>IF(M295="Underperforming",-5,IF(L295&gt;=95,15,IF(L295&gt;=90,10,IF(L295&gt;=80,5,0))))</f>
        <v/>
      </c>
      <c r="O295" s="32" t="n">
        <v>70.20999999999999</v>
      </c>
      <c r="P295" s="32" t="n">
        <v>29.92</v>
      </c>
      <c r="Q295" s="32" t="n">
        <v>919.67</v>
      </c>
      <c r="R295" s="31" t="inlineStr">
        <is>
          <t>Earnings / Momentum Support</t>
        </is>
      </c>
      <c r="S295" s="31" t="inlineStr">
        <is>
          <t>Nifty 50</t>
        </is>
      </c>
      <c r="T295" s="32" t="n">
        <v>-3.41</v>
      </c>
      <c r="U295" s="32" t="n">
        <v>-0.75</v>
      </c>
      <c r="V295" s="32" t="n">
        <v>2.75</v>
      </c>
      <c r="W295" s="32" t="n">
        <v>11.23</v>
      </c>
      <c r="X295" s="31" t="inlineStr">
        <is>
          <t>Cyclical in an Upturn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Tailwind</t>
        </is>
      </c>
      <c r="AE295" s="31">
        <f>IF(AD295="Tailwind",10,0)</f>
        <v/>
      </c>
      <c r="AF295" s="31" t="inlineStr">
        <is>
          <t>Structural (10 Years Consistency)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No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20 to 40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2</t>
        </is>
      </c>
      <c r="BC295" s="31">
        <f>IF(BB295="Stage 2",20,IF(BB295="Stage 1",0,IF(BB295="Stage 3",5,IF(BB295="Stage 4",-5,0))))</f>
        <v/>
      </c>
      <c r="BD295" s="31" t="inlineStr">
        <is>
          <t>Positive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Close to 52 week high or retracement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More than 20%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Yes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Above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Between 0.7 to 1.2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IF(B296=0,"",RANK(B296,$B$2:$B$363,0))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3" t="inlineStr">
        <is>
          <t>MVGJL</t>
        </is>
      </c>
      <c r="D296" s="33" t="inlineStr">
        <is>
          <t>Manoj Vaibhav Gems N Jewellers Ltd</t>
        </is>
      </c>
      <c r="E296" s="31" t="inlineStr">
        <is>
          <t>consumer discretionary</t>
        </is>
      </c>
      <c r="F296" s="31" t="inlineStr">
        <is>
          <t>diamond cutting / jewellery</t>
        </is>
      </c>
      <c r="G296" s="31" t="inlineStr">
        <is>
          <t>smallcap</t>
        </is>
      </c>
      <c r="H296" s="32" t="n">
        <v>840.03</v>
      </c>
      <c r="I296" s="32" t="n">
        <v>179.9</v>
      </c>
      <c r="J296" s="32" t="n">
        <v>4.61</v>
      </c>
      <c r="K296" s="32" t="n">
        <v>1146917</v>
      </c>
      <c r="L296" s="31" t="n">
        <v>10</v>
      </c>
      <c r="M296" s="31" t="inlineStr">
        <is>
          <t>Underperforming</t>
        </is>
      </c>
      <c r="N296" s="32">
        <f>IF(M296="Underperforming",-5,IF(L296&gt;=95,15,IF(L296&gt;=90,10,IF(L296&gt;=80,5,0))))</f>
        <v/>
      </c>
      <c r="O296" s="32" t="n">
        <v>58.72</v>
      </c>
      <c r="P296" s="32" t="n">
        <v>13.52</v>
      </c>
      <c r="Q296" s="32" t="n">
        <v>130.71</v>
      </c>
      <c r="R296" s="31" t="inlineStr">
        <is>
          <t>Volume Spike / Accumulation</t>
        </is>
      </c>
      <c r="S296" s="31" t="inlineStr">
        <is>
          <t>Nifty 50</t>
        </is>
      </c>
      <c r="T296" s="32" t="n">
        <v>-3.41</v>
      </c>
      <c r="U296" s="32" t="n">
        <v>-8.800000000000001</v>
      </c>
      <c r="V296" s="32" t="n">
        <v>-5.58</v>
      </c>
      <c r="W296" s="32" t="n">
        <v>2.54</v>
      </c>
      <c r="X296" s="31" t="inlineStr">
        <is>
          <t>Growing Industry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Tailwind</t>
        </is>
      </c>
      <c r="AE296" s="31">
        <f>IF(AD296="Tailwind",10,0)</f>
        <v/>
      </c>
      <c r="AF296" s="31" t="inlineStr">
        <is>
          <t>Structural (10 Years Consistency)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Yes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0 to 20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1</t>
        </is>
      </c>
      <c r="BC296" s="31">
        <f>IF(BB296="Stage 2",20,IF(BB296="Stage 1",0,IF(BB296="Stage 3",5,IF(BB296="Stage 4",-5,0))))</f>
        <v/>
      </c>
      <c r="BD296" s="31" t="inlineStr">
        <is>
          <t>Positive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More than 20%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No</t>
        </is>
      </c>
      <c r="BS296" s="31">
        <f>IF(BR296="NO",5,0)</f>
        <v/>
      </c>
      <c r="BT296" s="31" t="inlineStr">
        <is>
          <t>Less than 1.5</t>
        </is>
      </c>
      <c r="BU296" s="31">
        <f>IF(BT296="Above 2",0,IF(BT296="Between 1.5 to 2",5,IF(BT296="Less than 1.5",10,0)))</f>
        <v/>
      </c>
      <c r="BV296" s="31" t="inlineStr">
        <is>
          <t>Above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Less than 0.7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IF(B297=0,"",RANK(B297,$B$2:$B$363,0))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1" t="inlineStr">
        <is>
          <t>VISAKAIND</t>
        </is>
      </c>
      <c r="D297" s="31" t="inlineStr">
        <is>
          <t>Visaka Industries Limited</t>
        </is>
      </c>
      <c r="E297" s="31" t="inlineStr">
        <is>
          <t>building materials</t>
        </is>
      </c>
      <c r="F297" s="31" t="inlineStr">
        <is>
          <t>cement products</t>
        </is>
      </c>
      <c r="G297" s="31" t="inlineStr">
        <is>
          <t>smallcap</t>
        </is>
      </c>
      <c r="H297" s="32" t="n">
        <v>781.96</v>
      </c>
      <c r="I297" s="32" t="n">
        <v>93.37</v>
      </c>
      <c r="J297" s="32" t="n">
        <v>3.17</v>
      </c>
      <c r="K297" s="32" t="n">
        <v>440201</v>
      </c>
      <c r="L297" s="31" t="n">
        <v>53</v>
      </c>
      <c r="M297" s="31" t="inlineStr">
        <is>
          <t>Outperforming</t>
        </is>
      </c>
      <c r="N297" s="32">
        <f>IF(M297="Underperforming",-5,IF(L297&gt;=95,15,IF(L297&gt;=90,10,IF(L297&gt;=80,5,0))))</f>
        <v/>
      </c>
      <c r="O297" s="32" t="n">
        <v>67.98999999999999</v>
      </c>
      <c r="P297" s="32" t="n">
        <v>46.55</v>
      </c>
      <c r="Q297" s="32" t="n">
        <v>75.64</v>
      </c>
      <c r="R297" s="31" t="inlineStr">
        <is>
          <t>Near 52W High Breakout</t>
        </is>
      </c>
      <c r="S297" s="31" t="inlineStr">
        <is>
          <t>Nifty Infra</t>
        </is>
      </c>
      <c r="T297" s="32" t="n">
        <v>1.45</v>
      </c>
      <c r="U297" s="32" t="n">
        <v>15.31</v>
      </c>
      <c r="V297" s="32" t="n">
        <v>13.66</v>
      </c>
      <c r="W297" s="32" t="n">
        <v>14.96</v>
      </c>
      <c r="X297" s="31" t="inlineStr">
        <is>
          <t>Growing Industry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Tailwind</t>
        </is>
      </c>
      <c r="AE297" s="31">
        <f>IF(AD297="Tailwind",10,0)</f>
        <v/>
      </c>
      <c r="AF297" s="31" t="inlineStr">
        <is>
          <t>Structural (10 Years Consistency)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Yes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Above 40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2</t>
        </is>
      </c>
      <c r="BC297" s="31">
        <f>IF(BB297="Stage 2",20,IF(BB297="Stage 1",0,IF(BB297="Stage 3",5,IF(BB297="Stage 4",-5,0))))</f>
        <v/>
      </c>
      <c r="BD297" s="31" t="inlineStr">
        <is>
          <t>Negative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Less than 12%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No</t>
        </is>
      </c>
      <c r="BS297" s="31">
        <f>IF(BR297="NO",5,0)</f>
        <v/>
      </c>
      <c r="BT297" s="31" t="inlineStr">
        <is>
          <t>Above 2</t>
        </is>
      </c>
      <c r="BU297" s="31">
        <f>IF(BT297="Above 2",0,IF(BT297="Between 1.5 to 2",5,IF(BT297="Less than 1.5",10,0)))</f>
        <v/>
      </c>
      <c r="BV297" s="31" t="inlineStr">
        <is>
          <t>Above 70%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Less than 0.7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IF(B298=0,"",RANK(B298,$B$2:$B$363,0))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1" t="inlineStr">
        <is>
          <t>PANAMAPET</t>
        </is>
      </c>
      <c r="D298" s="31" t="inlineStr">
        <is>
          <t>Panama Petrochem Limited</t>
        </is>
      </c>
      <c r="E298" s="31" t="inlineStr">
        <is>
          <t>energy</t>
        </is>
      </c>
      <c r="F298" s="31" t="inlineStr">
        <is>
          <t>petrochemicals</t>
        </is>
      </c>
      <c r="G298" s="31" t="inlineStr">
        <is>
          <t>smallcap</t>
        </is>
      </c>
      <c r="H298" s="32" t="n">
        <v>2931.22</v>
      </c>
      <c r="I298" s="32" t="n">
        <v>495.45</v>
      </c>
      <c r="J298" s="32" t="n">
        <v>2.25</v>
      </c>
      <c r="K298" s="32" t="n">
        <v>242825</v>
      </c>
      <c r="L298" s="31" t="n">
        <v>84</v>
      </c>
      <c r="M298" s="31" t="inlineStr">
        <is>
          <t>Outperforming</t>
        </is>
      </c>
      <c r="N298" s="32">
        <f>IF(M298="Underperforming",-5,IF(L298&gt;=95,15,IF(L298&gt;=90,10,IF(L298&gt;=80,5,0))))</f>
        <v/>
      </c>
      <c r="O298" s="32" t="n">
        <v>64.16</v>
      </c>
      <c r="P298" s="32" t="n">
        <v>61.98</v>
      </c>
      <c r="Q298" s="32" t="n">
        <v>346.54</v>
      </c>
      <c r="R298" s="31" t="inlineStr">
        <is>
          <t>Near 52W High Breakout</t>
        </is>
      </c>
      <c r="S298" s="31" t="inlineStr">
        <is>
          <t>Nifty Energy</t>
        </is>
      </c>
      <c r="T298" s="32" t="n">
        <v>7.99</v>
      </c>
      <c r="U298" s="32" t="n">
        <v>46.09</v>
      </c>
      <c r="V298" s="32" t="n">
        <v>35.28</v>
      </c>
      <c r="W298" s="32" t="n">
        <v>29.33</v>
      </c>
      <c r="X298" s="31" t="inlineStr">
        <is>
          <t>Cyclical in an Upturn</t>
        </is>
      </c>
      <c r="Y298" s="31">
        <f>IF(X298="Growing Industry",10,IF(X298="Cyclical in an Upturn",5,0))</f>
        <v/>
      </c>
      <c r="Z298" s="31" t="inlineStr">
        <is>
          <t>Oligopoly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Yes</t>
        </is>
      </c>
      <c r="AC298" s="31">
        <f>IF(AB298="No",5,0)</f>
        <v/>
      </c>
      <c r="AD298" s="31" t="inlineStr">
        <is>
          <t>Tailwind</t>
        </is>
      </c>
      <c r="AE298" s="31">
        <f>IF(AD298="Tailwind",10,0)</f>
        <v/>
      </c>
      <c r="AF298" s="31" t="inlineStr">
        <is>
          <t>Cyclical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Volatile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Yes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Above 40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2</t>
        </is>
      </c>
      <c r="BC298" s="31">
        <f>IF(BB298="Stage 2",20,IF(BB298="Stage 1",0,IF(BB298="Stage 3",5,IF(BB298="Stage 4",-5,0))))</f>
        <v/>
      </c>
      <c r="BD298" s="31" t="inlineStr">
        <is>
          <t>Negative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Blue sky scenario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More than 20%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No</t>
        </is>
      </c>
      <c r="BS298" s="31">
        <f>IF(BR298="NO",5,0)</f>
        <v/>
      </c>
      <c r="BT298" s="31" t="inlineStr">
        <is>
          <t>Less than 1.5</t>
        </is>
      </c>
      <c r="BU298" s="31">
        <f>IF(BT298="Above 2",0,IF(BT298="Between 1.5 to 2",5,IF(BT298="Less than 1.5",10,0)))</f>
        <v/>
      </c>
      <c r="BV298" s="31" t="inlineStr">
        <is>
          <t>Above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Less than 0.7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IF(B299=0,"",RANK(B299,$B$2:$B$363,0))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1" t="inlineStr">
        <is>
          <t>THEJO</t>
        </is>
      </c>
      <c r="D299" s="31" t="inlineStr">
        <is>
          <t>Thejo Engineering Ltd</t>
        </is>
      </c>
      <c r="E299" s="31" t="inlineStr">
        <is>
          <t>industrials</t>
        </is>
      </c>
      <c r="F299" s="31" t="inlineStr">
        <is>
          <t>engineering</t>
        </is>
      </c>
      <c r="G299" s="31" t="inlineStr">
        <is>
          <t>smallcap</t>
        </is>
      </c>
      <c r="H299" s="32" t="n">
        <v>2268.21</v>
      </c>
      <c r="I299" s="32" t="n">
        <v>2125.3</v>
      </c>
      <c r="J299" s="32" t="n">
        <v>1.64</v>
      </c>
      <c r="K299" s="32" t="n">
        <v>5621</v>
      </c>
      <c r="L299" s="31" t="n">
        <v>42</v>
      </c>
      <c r="M299" s="31" t="inlineStr">
        <is>
          <t>Outperforming</t>
        </is>
      </c>
      <c r="N299" s="32">
        <f>IF(M299="Underperforming",-5,IF(L299&gt;=95,15,IF(L299&gt;=90,10,IF(L299&gt;=80,5,0))))</f>
        <v/>
      </c>
      <c r="O299" s="32" t="n">
        <v>63.7</v>
      </c>
      <c r="P299" s="32" t="n">
        <v>33.32</v>
      </c>
      <c r="Q299" s="32" t="n">
        <v>1744.11</v>
      </c>
      <c r="R299" s="31" t="inlineStr">
        <is>
          <t>Near 52W High Breakout</t>
        </is>
      </c>
      <c r="S299" s="31" t="inlineStr">
        <is>
          <t>Nifty 50</t>
        </is>
      </c>
      <c r="T299" s="32" t="n">
        <v>-3.41</v>
      </c>
      <c r="U299" s="32" t="n">
        <v>10.89</v>
      </c>
      <c r="V299" s="32" t="n">
        <v>14.8</v>
      </c>
      <c r="W299" s="32" t="n">
        <v>11</v>
      </c>
      <c r="X299" s="31" t="inlineStr">
        <is>
          <t>Cyclical in an Upturn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Tailwind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Yes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20 to 40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2</t>
        </is>
      </c>
      <c r="BC299" s="31">
        <f>IF(BB299="Stage 2",20,IF(BB299="Stage 1",0,IF(BB299="Stage 3",5,IF(BB299="Stage 4",-5,0))))</f>
        <v/>
      </c>
      <c r="BD299" s="31" t="inlineStr">
        <is>
          <t>Negative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More than 20%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Yes</t>
        </is>
      </c>
      <c r="BS299" s="31">
        <f>IF(BR299="NO",5,0)</f>
        <v/>
      </c>
      <c r="BT299" s="31" t="inlineStr">
        <is>
          <t>Less than 1.5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Less than 0.7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IF(B300=0,"",RANK(B300,$B$2:$B$363,0))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1" t="inlineStr">
        <is>
          <t>GOCLCORP</t>
        </is>
      </c>
      <c r="D300" s="31" t="inlineStr">
        <is>
          <t>Gocl Corporation Limited</t>
        </is>
      </c>
      <c r="E300" s="31" t="inlineStr">
        <is>
          <t>miscellaneous</t>
        </is>
      </c>
      <c r="F300" s="31" t="inlineStr">
        <is>
          <t>diversified - medium / small</t>
        </is>
      </c>
      <c r="G300" s="31" t="inlineStr">
        <is>
          <t>smallcap</t>
        </is>
      </c>
      <c r="H300" s="32" t="n">
        <v>2096.67</v>
      </c>
      <c r="I300" s="32" t="n">
        <v>427.45</v>
      </c>
      <c r="J300" s="32" t="n">
        <v>1.06</v>
      </c>
      <c r="K300" s="32" t="n">
        <v>304041</v>
      </c>
      <c r="L300" s="31" t="n">
        <v>30</v>
      </c>
      <c r="M300" s="31" t="inlineStr">
        <is>
          <t>Outperforming</t>
        </is>
      </c>
      <c r="N300" s="32">
        <f>IF(M300="Underperforming",-5,IF(L300&gt;=95,15,IF(L300&gt;=90,10,IF(L300&gt;=80,5,0))))</f>
        <v/>
      </c>
      <c r="O300" s="32" t="n">
        <v>61.85</v>
      </c>
      <c r="P300" s="32" t="n">
        <v>47.2</v>
      </c>
      <c r="Q300" s="32" t="n">
        <v>330.13</v>
      </c>
      <c r="R300" s="31" t="inlineStr">
        <is>
          <t>Volume Spike &amp; Near 52W High Breakout</t>
        </is>
      </c>
      <c r="S300" s="31" t="inlineStr">
        <is>
          <t>Nifty IT</t>
        </is>
      </c>
      <c r="T300" s="32" t="n">
        <v>-11.38</v>
      </c>
      <c r="U300" s="32" t="n">
        <v>18.88</v>
      </c>
      <c r="V300" s="32" t="n">
        <v>34.15</v>
      </c>
      <c r="W300" s="32" t="n">
        <v>7.94</v>
      </c>
      <c r="X300" s="31" t="inlineStr">
        <is>
          <t>Growing Industry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No</t>
        </is>
      </c>
      <c r="AC300" s="31">
        <f>IF(AB300="No",5,0)</f>
        <v/>
      </c>
      <c r="AD300" s="31" t="inlineStr">
        <is>
          <t>Tailwind</t>
        </is>
      </c>
      <c r="AE300" s="31">
        <f>IF(AD300="Tailwind",10,0)</f>
        <v/>
      </c>
      <c r="AF300" s="31" t="inlineStr">
        <is>
          <t>Structural (10 Years Consistency)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Yes</t>
        </is>
      </c>
      <c r="AQ300" s="31">
        <f>IF(AP300="Yes",10,0)</f>
        <v/>
      </c>
      <c r="AR300" s="31" t="inlineStr">
        <is>
          <t>Higher One Time, Lower Annuity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Above 40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2</t>
        </is>
      </c>
      <c r="BC300" s="31">
        <f>IF(BB300="Stage 2",20,IF(BB300="Stage 1",0,IF(BB300="Stage 3",5,IF(BB300="Stage 4",-5,0))))</f>
        <v/>
      </c>
      <c r="BD300" s="31" t="inlineStr">
        <is>
          <t>Negative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Close to 52 week high or retracement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Less than 12%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No</t>
        </is>
      </c>
      <c r="BS300" s="31">
        <f>IF(BR300="NO",5,0)</f>
        <v/>
      </c>
      <c r="BT300" s="31" t="inlineStr">
        <is>
          <t>Above 2</t>
        </is>
      </c>
      <c r="BU300" s="31">
        <f>IF(BT300="Above 2",0,IF(BT300="Between 1.5 to 2",5,IF(BT300="Less than 1.5",10,0)))</f>
        <v/>
      </c>
      <c r="BV300" s="31" t="inlineStr">
        <is>
          <t>Above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IF(B301=0,"",RANK(B301,$B$2:$B$363,0))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3" t="inlineStr">
        <is>
          <t>CHALET</t>
        </is>
      </c>
      <c r="D301" s="33" t="inlineStr">
        <is>
          <t>Chalet Hotels Ltd</t>
        </is>
      </c>
      <c r="E301" s="31" t="inlineStr">
        <is>
          <t>services</t>
        </is>
      </c>
      <c r="F301" s="31" t="inlineStr">
        <is>
          <t>hotels</t>
        </is>
      </c>
      <c r="G301" s="31" t="inlineStr">
        <is>
          <t>midcap</t>
        </is>
      </c>
      <c r="H301" s="32" t="n">
        <v>19506.9</v>
      </c>
      <c r="I301" s="32" t="n">
        <v>896.75</v>
      </c>
      <c r="J301" s="32" t="n">
        <v>0.67</v>
      </c>
      <c r="K301" s="32" t="n">
        <v>87842</v>
      </c>
      <c r="L301" s="31" t="n">
        <v>6</v>
      </c>
      <c r="M301" s="31" t="inlineStr">
        <is>
          <t>Underperforming</t>
        </is>
      </c>
      <c r="N301" s="32">
        <f>IF(M301="Underperforming",-5,IF(L301&gt;=95,15,IF(L301&gt;=90,10,IF(L301&gt;=80,5,0))))</f>
        <v/>
      </c>
      <c r="O301" s="32" t="n">
        <v>59.8</v>
      </c>
      <c r="P301" s="32" t="n">
        <v>11.85</v>
      </c>
      <c r="Q301" s="32" t="n">
        <v>732.9400000000001</v>
      </c>
      <c r="R301" s="31" t="inlineStr">
        <is>
          <t>Volume Spike / Accumulation</t>
        </is>
      </c>
      <c r="S301" s="31" t="inlineStr">
        <is>
          <t>Nifty 50</t>
        </is>
      </c>
      <c r="T301" s="32" t="n">
        <v>-3.41</v>
      </c>
      <c r="U301" s="32" t="n">
        <v>-12.06</v>
      </c>
      <c r="V301" s="32" t="n">
        <v>-8.960000000000001</v>
      </c>
      <c r="W301" s="32" t="n">
        <v>1.12</v>
      </c>
      <c r="X301" s="31" t="inlineStr">
        <is>
          <t>Growing Industry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Tailwind</t>
        </is>
      </c>
      <c r="AE301" s="31">
        <f>IF(AD301="Tailwind",10,0)</f>
        <v/>
      </c>
      <c r="AF301" s="31" t="inlineStr">
        <is>
          <t>Structural (10 Years Consistency)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Stable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Yes</t>
        </is>
      </c>
      <c r="AQ301" s="31">
        <f>IF(AP301="Yes",10,0)</f>
        <v/>
      </c>
      <c r="AR301" s="31" t="inlineStr">
        <is>
          <t>Higher One Time, Lower Annuity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0 to 20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2</t>
        </is>
      </c>
      <c r="BC301" s="31">
        <f>IF(BB301="Stage 2",20,IF(BB301="Stage 1",0,IF(BB301="Stage 3",5,IF(BB301="Stage 4",-5,0))))</f>
        <v/>
      </c>
      <c r="BD301" s="31" t="inlineStr">
        <is>
          <t>Positive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Close to 52 week high or retracement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Less than 12%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No</t>
        </is>
      </c>
      <c r="BS301" s="31">
        <f>IF(BR301="NO",5,0)</f>
        <v/>
      </c>
      <c r="BT301" s="31" t="inlineStr">
        <is>
          <t>Above 2</t>
        </is>
      </c>
      <c r="BU301" s="31">
        <f>IF(BT301="Above 2",0,IF(BT301="Between 1.5 to 2",5,IF(BT301="Less than 1.5",10,0)))</f>
        <v/>
      </c>
      <c r="BV301" s="31" t="inlineStr">
        <is>
          <t>Above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IF(B302=0,"",RANK(B302,$B$2:$B$363,0))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1" t="inlineStr">
        <is>
          <t>RBA</t>
        </is>
      </c>
      <c r="D302" s="31" t="inlineStr">
        <is>
          <t>Restaurant Brands Asia Ltd</t>
        </is>
      </c>
      <c r="E302" s="31" t="inlineStr">
        <is>
          <t>consumer discretionary</t>
        </is>
      </c>
      <c r="F302" s="31" t="inlineStr">
        <is>
          <t>hotels</t>
        </is>
      </c>
      <c r="G302" s="31" t="inlineStr">
        <is>
          <t>midcap</t>
        </is>
      </c>
      <c r="H302" s="32" t="n">
        <v>6967.02</v>
      </c>
      <c r="I302" s="32" t="n">
        <v>97.15000000000001</v>
      </c>
      <c r="J302" s="32" t="n">
        <v>-0.76</v>
      </c>
      <c r="K302" s="32" t="n">
        <v>2606009</v>
      </c>
      <c r="L302" s="31" t="n">
        <v>51</v>
      </c>
      <c r="M302" s="31" t="inlineStr">
        <is>
          <t>Outperforming</t>
        </is>
      </c>
      <c r="N302" s="32">
        <f>IF(M302="Underperforming",-5,IF(L302&gt;=95,15,IF(L302&gt;=90,10,IF(L302&gt;=80,5,0))))</f>
        <v/>
      </c>
      <c r="O302" s="32" t="n">
        <v>68.18000000000001</v>
      </c>
      <c r="P302" s="32" t="n">
        <v>37.56</v>
      </c>
      <c r="Q302" s="32" t="n">
        <v>82.34999999999999</v>
      </c>
      <c r="R302" s="31" t="inlineStr">
        <is>
          <t>Earnings / Momentum Support</t>
        </is>
      </c>
      <c r="S302" s="31" t="inlineStr">
        <is>
          <t>Nifty 50</t>
        </is>
      </c>
      <c r="T302" s="32" t="n">
        <v>-3.41</v>
      </c>
      <c r="U302" s="32" t="n">
        <v>22.16</v>
      </c>
      <c r="V302" s="32" t="n">
        <v>26.47</v>
      </c>
      <c r="W302" s="32" t="n">
        <v>14.21</v>
      </c>
      <c r="X302" s="31" t="inlineStr">
        <is>
          <t>Growing Industry</t>
        </is>
      </c>
      <c r="Y302" s="31">
        <f>IF(X302="Growing Industry",10,IF(X302="Cyclical in an Upturn",5,0))</f>
        <v/>
      </c>
      <c r="Z302" s="31" t="inlineStr">
        <is>
          <t>Too Many Players with High ROCE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No</t>
        </is>
      </c>
      <c r="AC302" s="31">
        <f>IF(AB302="No",5,0)</f>
        <v/>
      </c>
      <c r="AD302" s="31" t="inlineStr">
        <is>
          <t>Tailwind</t>
        </is>
      </c>
      <c r="AE302" s="31">
        <f>IF(AD302="Tailwind",10,0)</f>
        <v/>
      </c>
      <c r="AF302" s="31" t="inlineStr">
        <is>
          <t>Structural (10 Years Consistency)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Stable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No</t>
        </is>
      </c>
      <c r="AQ302" s="31">
        <f>IF(AP302="Yes",10,0)</f>
        <v/>
      </c>
      <c r="AR302" s="31" t="inlineStr">
        <is>
          <t>Higher One Time, Lower Annuity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20 to 40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2</t>
        </is>
      </c>
      <c r="BC302" s="31">
        <f>IF(BB302="Stage 2",20,IF(BB302="Stage 1",0,IF(BB302="Stage 3",5,IF(BB302="Stage 4",-5,0))))</f>
        <v/>
      </c>
      <c r="BD302" s="31" t="inlineStr">
        <is>
          <t>Positive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More than 20%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No</t>
        </is>
      </c>
      <c r="BS302" s="31">
        <f>IF(BR302="NO",5,0)</f>
        <v/>
      </c>
      <c r="BT302" s="31" t="inlineStr">
        <is>
          <t>Above 2</t>
        </is>
      </c>
      <c r="BU302" s="31">
        <f>IF(BT302="Above 2",0,IF(BT302="Between 1.5 to 2",5,IF(BT302="Less than 1.5",10,0)))</f>
        <v/>
      </c>
      <c r="BV302" s="31" t="inlineStr">
        <is>
          <t>Above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More than 1.2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IF(B303=0,"",RANK(B303,$B$2:$B$363,0))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1" t="inlineStr">
        <is>
          <t>SALSTEEL</t>
        </is>
      </c>
      <c r="D303" s="31" t="inlineStr">
        <is>
          <t>SAL Steel</t>
        </is>
      </c>
      <c r="E303" s="31" t="inlineStr">
        <is>
          <t>metals &amp; mining</t>
        </is>
      </c>
      <c r="F303" s="31" t="inlineStr">
        <is>
          <t>steel - sponge iron</t>
        </is>
      </c>
      <c r="G303" s="31" t="inlineStr">
        <is>
          <t>smallcap</t>
        </is>
      </c>
      <c r="H303" s="32" t="n">
        <v>1187.67</v>
      </c>
      <c r="I303" s="32" t="n">
        <v>81.37</v>
      </c>
      <c r="J303" s="32" t="n">
        <v>-0.82</v>
      </c>
      <c r="K303" s="32" t="n">
        <v>233867</v>
      </c>
      <c r="L303" s="31" t="n">
        <v>96</v>
      </c>
      <c r="M303" s="31" t="inlineStr">
        <is>
          <t>Outperforming</t>
        </is>
      </c>
      <c r="N303" s="32">
        <f>IF(M303="Underperforming",-5,IF(L303&gt;=95,15,IF(L303&gt;=90,10,IF(L303&gt;=80,5,0))))</f>
        <v/>
      </c>
      <c r="O303" s="32" t="n">
        <v>74.95</v>
      </c>
      <c r="P303" s="32" t="n">
        <v>28.75</v>
      </c>
      <c r="Q303" s="32" t="n">
        <v>56.64</v>
      </c>
      <c r="R303" s="31" t="inlineStr">
        <is>
          <t>Volume Spike &amp; Near 52W High Breakout</t>
        </is>
      </c>
      <c r="S303" s="31" t="inlineStr">
        <is>
          <t>Nifty Metal</t>
        </is>
      </c>
      <c r="T303" s="32" t="n">
        <v>41.3</v>
      </c>
      <c r="U303" s="32" t="n">
        <v>410.8</v>
      </c>
      <c r="V303" s="32" t="n">
        <v>261.5</v>
      </c>
      <c r="W303" s="32" t="n">
        <v>53.21</v>
      </c>
      <c r="X303" s="31" t="inlineStr">
        <is>
          <t>Cyclical in an Upturn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No</t>
        </is>
      </c>
      <c r="AC303" s="31">
        <f>IF(AB303="No",5,0)</f>
        <v/>
      </c>
      <c r="AD303" s="31" t="inlineStr">
        <is>
          <t>Tailwind</t>
        </is>
      </c>
      <c r="AE303" s="31">
        <f>IF(AD303="Tailwind",10,0)</f>
        <v/>
      </c>
      <c r="AF303" s="31" t="inlineStr">
        <is>
          <t>Cyclical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Volatile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Yes</t>
        </is>
      </c>
      <c r="AQ303" s="31">
        <f>IF(AP303="Yes",10,0)</f>
        <v/>
      </c>
      <c r="AR303" s="31" t="inlineStr">
        <is>
          <t>Higher One Time, Lower Annuity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20 to 40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2</t>
        </is>
      </c>
      <c r="BC303" s="31">
        <f>IF(BB303="Stage 2",20,IF(BB303="Stage 1",0,IF(BB303="Stage 3",5,IF(BB303="Stage 4",-5,0))))</f>
        <v/>
      </c>
      <c r="BD303" s="31" t="inlineStr">
        <is>
          <t>Positive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Blue sky scenario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More than 20%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Yes</t>
        </is>
      </c>
      <c r="BS303" s="31">
        <f>IF(BR303="NO",5,0)</f>
        <v/>
      </c>
      <c r="BT303" s="31" t="inlineStr">
        <is>
          <t>Above 2</t>
        </is>
      </c>
      <c r="BU303" s="31">
        <f>IF(BT303="Above 2",0,IF(BT303="Between 1.5 to 2",5,IF(BT303="Less than 1.5",10,0)))</f>
        <v/>
      </c>
      <c r="BV303" s="31" t="inlineStr">
        <is>
          <t>Above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More than 1.2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IF(B304=0,"",RANK(B304,$B$2:$B$363,0))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1" t="inlineStr">
        <is>
          <t>AEGISVOPAK</t>
        </is>
      </c>
      <c r="D304" s="31" t="inlineStr">
        <is>
          <t>Aegis Vopak Terminals Ltd</t>
        </is>
      </c>
      <c r="E304" s="31" t="inlineStr">
        <is>
          <t>transportation</t>
        </is>
      </c>
      <c r="F304" s="31" t="inlineStr">
        <is>
          <t>miscellaneous</t>
        </is>
      </c>
      <c r="G304" s="31" t="inlineStr">
        <is>
          <t>largecap</t>
        </is>
      </c>
      <c r="H304" s="32" t="n">
        <v>31782.74</v>
      </c>
      <c r="I304" s="32" t="n">
        <v>284.5</v>
      </c>
      <c r="J304" s="32" t="n">
        <v>-0.82</v>
      </c>
      <c r="K304" s="32" t="n">
        <v>788218</v>
      </c>
      <c r="L304" s="31" t="n">
        <v>56</v>
      </c>
      <c r="M304" s="31" t="inlineStr">
        <is>
          <t>Outperforming</t>
        </is>
      </c>
      <c r="N304" s="32">
        <f>IF(M304="Underperforming",-5,IF(L304&gt;=95,15,IF(L304&gt;=90,10,IF(L304&gt;=80,5,0))))</f>
        <v/>
      </c>
      <c r="O304" s="32" t="n">
        <v>60.47</v>
      </c>
      <c r="P304" s="32" t="n">
        <v>40.53</v>
      </c>
      <c r="Q304" s="32" t="n">
        <v>212.38</v>
      </c>
      <c r="R304" s="31" t="inlineStr">
        <is>
          <t>Near 52W High Breakout</t>
        </is>
      </c>
      <c r="S304" s="31" t="inlineStr">
        <is>
          <t>Nifty 50</t>
        </is>
      </c>
      <c r="T304" s="32" t="n">
        <v>-3.41</v>
      </c>
      <c r="U304" s="32" t="n">
        <v>20.1</v>
      </c>
      <c r="V304" s="32" t="n">
        <v>24.34</v>
      </c>
      <c r="W304" s="32" t="n">
        <v>16.22</v>
      </c>
      <c r="X304" s="31" t="inlineStr">
        <is>
          <t>Growing Industry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No</t>
        </is>
      </c>
      <c r="AC304" s="31">
        <f>IF(AB304="No",5,0)</f>
        <v/>
      </c>
      <c r="AD304" s="31" t="inlineStr">
        <is>
          <t>Tailwind</t>
        </is>
      </c>
      <c r="AE304" s="31">
        <f>IF(AD304="Tailwind",10,0)</f>
        <v/>
      </c>
      <c r="AF304" s="31" t="inlineStr">
        <is>
          <t>Structural (10 Years Consistency)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Stable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Yes</t>
        </is>
      </c>
      <c r="AQ304" s="31">
        <f>IF(AP304="Yes",10,0)</f>
        <v/>
      </c>
      <c r="AR304" s="31" t="inlineStr">
        <is>
          <t>Higher One Time, Lower Annuity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Above 40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2</t>
        </is>
      </c>
      <c r="BC304" s="31">
        <f>IF(BB304="Stage 2",20,IF(BB304="Stage 1",0,IF(BB304="Stage 3",5,IF(BB304="Stage 4",-5,0))))</f>
        <v/>
      </c>
      <c r="BD304" s="31" t="inlineStr">
        <is>
          <t>Negative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Blue sky scenario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More than 20%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Yes</t>
        </is>
      </c>
      <c r="BS304" s="31">
        <f>IF(BR304="NO",5,0)</f>
        <v/>
      </c>
      <c r="BT304" s="31" t="inlineStr">
        <is>
          <t>Above 2</t>
        </is>
      </c>
      <c r="BU304" s="31">
        <f>IF(BT304="Above 2",0,IF(BT304="Between 1.5 to 2",5,IF(BT304="Less than 1.5",10,0)))</f>
        <v/>
      </c>
      <c r="BV304" s="31" t="inlineStr">
        <is>
          <t>Above 70%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Between 0.7 to 1.2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IF(B305=0,"",RANK(B305,$B$2:$B$363,0))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1" t="inlineStr">
        <is>
          <t>NAVINFLUOR</t>
        </is>
      </c>
      <c r="D305" s="31" t="inlineStr">
        <is>
          <t>Navin Fluorine International Limited</t>
        </is>
      </c>
      <c r="E305" s="31" t="inlineStr">
        <is>
          <t>chemicals</t>
        </is>
      </c>
      <c r="F305" s="31" t="inlineStr">
        <is>
          <t>chemicals</t>
        </is>
      </c>
      <c r="G305" s="31" t="inlineStr">
        <is>
          <t>largecap</t>
        </is>
      </c>
      <c r="H305" s="32" t="n">
        <v>44607.92</v>
      </c>
      <c r="I305" s="32" t="n">
        <v>8557.5</v>
      </c>
      <c r="J305" s="32" t="n">
        <v>-1.6</v>
      </c>
      <c r="K305" s="32" t="n">
        <v>131131</v>
      </c>
      <c r="L305" s="31" t="n">
        <v>62</v>
      </c>
      <c r="M305" s="31" t="inlineStr">
        <is>
          <t>Outperforming</t>
        </is>
      </c>
      <c r="N305" s="32">
        <f>IF(M305="Underperforming",-5,IF(L305&gt;=95,15,IF(L305&gt;=90,10,IF(L305&gt;=80,5,0))))</f>
        <v/>
      </c>
      <c r="O305" s="32" t="n">
        <v>78.05</v>
      </c>
      <c r="P305" s="32" t="n">
        <v>59.24</v>
      </c>
      <c r="Q305" s="32" t="n">
        <v>7141.34</v>
      </c>
      <c r="R305" s="31" t="inlineStr">
        <is>
          <t>Near 52W High Breakout</t>
        </is>
      </c>
      <c r="S305" s="31" t="inlineStr">
        <is>
          <t>Nifty 50</t>
        </is>
      </c>
      <c r="T305" s="32" t="n">
        <v>-3.41</v>
      </c>
      <c r="U305" s="32" t="n">
        <v>83.92</v>
      </c>
      <c r="V305" s="32" t="n">
        <v>90.41</v>
      </c>
      <c r="W305" s="32" t="n">
        <v>17.69</v>
      </c>
      <c r="X305" s="31" t="inlineStr">
        <is>
          <t>Growing Industry</t>
        </is>
      </c>
      <c r="Y305" s="31">
        <f>IF(X305="Growing Industry",10,IF(X305="Cyclical in an Upturn",5,0))</f>
        <v/>
      </c>
      <c r="Z305" s="31" t="inlineStr">
        <is>
          <t>Oligopoly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No</t>
        </is>
      </c>
      <c r="AC305" s="31">
        <f>IF(AB305="No",5,0)</f>
        <v/>
      </c>
      <c r="AD305" s="31" t="inlineStr">
        <is>
          <t>Tailwind</t>
        </is>
      </c>
      <c r="AE305" s="31">
        <f>IF(AD305="Tailwind",10,0)</f>
        <v/>
      </c>
      <c r="AF305" s="31" t="inlineStr">
        <is>
          <t>Shallow Cyclical (2 to 3 Years Growth)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Stable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Yes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20 to 40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3</t>
        </is>
      </c>
      <c r="BC305" s="31">
        <f>IF(BB305="Stage 2",20,IF(BB305="Stage 1",0,IF(BB305="Stage 3",5,IF(BB305="Stage 4",-5,0))))</f>
        <v/>
      </c>
      <c r="BD305" s="31" t="inlineStr">
        <is>
          <t>Positive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More than 20%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Yes</t>
        </is>
      </c>
      <c r="BS305" s="31">
        <f>IF(BR305="NO",5,0)</f>
        <v/>
      </c>
      <c r="BT305" s="31" t="inlineStr">
        <is>
          <t>Above 2</t>
        </is>
      </c>
      <c r="BU305" s="31">
        <f>IF(BT305="Above 2",0,IF(BT305="Between 1.5 to 2",5,IF(BT305="Less than 1.5",10,0)))</f>
        <v/>
      </c>
      <c r="BV305" s="31" t="inlineStr">
        <is>
          <t>Between 50% to 70%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Less than 0.7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IF(B306=0,"",RANK(B306,$B$2:$B$363,0))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3" t="inlineStr">
        <is>
          <t>ANUHPHR</t>
        </is>
      </c>
      <c r="D306" s="33" t="inlineStr">
        <is>
          <t>Anuh Pharma Ltd</t>
        </is>
      </c>
      <c r="E306" s="31" t="inlineStr">
        <is>
          <t>healthcare</t>
        </is>
      </c>
      <c r="F306" s="31" t="inlineStr">
        <is>
          <t>pharmaceuticals - indian - bulk drugs</t>
        </is>
      </c>
      <c r="G306" s="31" t="inlineStr">
        <is>
          <t>smallcap</t>
        </is>
      </c>
      <c r="H306" s="32" t="n">
        <v>798.58</v>
      </c>
      <c r="I306" s="32" t="n">
        <v>81.09999999999999</v>
      </c>
      <c r="J306" s="32" t="n">
        <v>1.78</v>
      </c>
      <c r="K306" s="32" t="n">
        <v>80373</v>
      </c>
      <c r="L306" s="31" t="n">
        <v>6</v>
      </c>
      <c r="M306" s="31" t="inlineStr">
        <is>
          <t>Underperforming</t>
        </is>
      </c>
      <c r="N306" s="32">
        <f>IF(M306="Underperforming",-5,IF(L306&gt;=95,15,IF(L306&gt;=90,10,IF(L306&gt;=80,5,0))))</f>
        <v/>
      </c>
      <c r="O306" s="32" t="n">
        <v>54.91</v>
      </c>
      <c r="P306" s="32" t="n">
        <v>9.66</v>
      </c>
      <c r="Q306" s="32" t="n">
        <v>67.28</v>
      </c>
      <c r="R306" s="31" t="inlineStr">
        <is>
          <t>Volume Spike / Accumulation</t>
        </is>
      </c>
      <c r="S306" s="31" t="inlineStr">
        <is>
          <t>Nifty Pharma</t>
        </is>
      </c>
      <c r="T306" s="32" t="n">
        <v>20.77</v>
      </c>
      <c r="U306" s="32" t="n">
        <v>-2.28</v>
      </c>
      <c r="V306" s="32" t="n">
        <v>-19.08</v>
      </c>
      <c r="W306" s="32" t="n">
        <v>1.5</v>
      </c>
      <c r="X306" s="31" t="inlineStr">
        <is>
          <t>Growing Industry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Yes</t>
        </is>
      </c>
      <c r="AC306" s="31">
        <f>IF(AB306="No",5,0)</f>
        <v/>
      </c>
      <c r="AD306" s="31" t="inlineStr">
        <is>
          <t>Tailwind</t>
        </is>
      </c>
      <c r="AE306" s="31">
        <f>IF(AD306="Tailwind",10,0)</f>
        <v/>
      </c>
      <c r="AF306" s="31" t="inlineStr">
        <is>
          <t>Structural (10 Years Consistency)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Stable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Yes</t>
        </is>
      </c>
      <c r="AQ306" s="31">
        <f>IF(AP306="Yes",10,0)</f>
        <v/>
      </c>
      <c r="AR306" s="31" t="inlineStr">
        <is>
          <t>Higher Annuity, Lower One Time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0 to 20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1</t>
        </is>
      </c>
      <c r="BC306" s="31">
        <f>IF(BB306="Stage 2",20,IF(BB306="Stage 1",0,IF(BB306="Stage 3",5,IF(BB306="Stage 4",-5,0))))</f>
        <v/>
      </c>
      <c r="BD306" s="31" t="inlineStr">
        <is>
          <t>Positive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More than 20%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No</t>
        </is>
      </c>
      <c r="BS306" s="31">
        <f>IF(BR306="NO",5,0)</f>
        <v/>
      </c>
      <c r="BT306" s="31" t="inlineStr">
        <is>
          <t>Less than 1.5</t>
        </is>
      </c>
      <c r="BU306" s="31">
        <f>IF(BT306="Above 2",0,IF(BT306="Between 1.5 to 2",5,IF(BT306="Less than 1.5",10,0)))</f>
        <v/>
      </c>
      <c r="BV306" s="31" t="inlineStr">
        <is>
          <t>Above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Less than 0.7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IF(B307=0,"",RANK(B307,$B$2:$B$363,0))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1" t="inlineStr">
        <is>
          <t>HATSUN</t>
        </is>
      </c>
      <c r="D307" s="31" t="inlineStr">
        <is>
          <t>Hatsun Agro Product Limited</t>
        </is>
      </c>
      <c r="E307" s="31" t="inlineStr">
        <is>
          <t>fmcg</t>
        </is>
      </c>
      <c r="F307" s="31" t="inlineStr">
        <is>
          <t>food - processing - indian</t>
        </is>
      </c>
      <c r="G307" s="31" t="inlineStr">
        <is>
          <t>largecap</t>
        </is>
      </c>
      <c r="H307" s="32" t="n">
        <v>25856.62</v>
      </c>
      <c r="I307" s="32" t="n">
        <v>1168.8</v>
      </c>
      <c r="J307" s="32" t="n">
        <v>0.6899999999999999</v>
      </c>
      <c r="K307" s="32" t="n">
        <v>65825</v>
      </c>
      <c r="L307" s="31" t="n">
        <v>36</v>
      </c>
      <c r="M307" s="31" t="inlineStr">
        <is>
          <t>Outperforming</t>
        </is>
      </c>
      <c r="N307" s="32">
        <f>IF(M307="Underperforming",-5,IF(L307&gt;=95,15,IF(L307&gt;=90,10,IF(L307&gt;=80,5,0))))</f>
        <v/>
      </c>
      <c r="O307" s="32" t="n">
        <v>74.67</v>
      </c>
      <c r="P307" s="32" t="n">
        <v>18.66</v>
      </c>
      <c r="Q307" s="32" t="n">
        <v>967.61</v>
      </c>
      <c r="R307" s="31" t="inlineStr">
        <is>
          <t>Volume Spike &amp; Near 52W High Breakout</t>
        </is>
      </c>
      <c r="S307" s="31" t="inlineStr">
        <is>
          <t>Nifty FMCG</t>
        </is>
      </c>
      <c r="T307" s="32" t="n">
        <v>-15.92</v>
      </c>
      <c r="U307" s="32" t="n">
        <v>28.05</v>
      </c>
      <c r="V307" s="32" t="n">
        <v>52.28</v>
      </c>
      <c r="W307" s="32" t="n">
        <v>9.27</v>
      </c>
      <c r="X307" s="31" t="inlineStr">
        <is>
          <t>Growing Industry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Tailwind</t>
        </is>
      </c>
      <c r="AE307" s="31">
        <f>IF(AD307="Tailwind",10,0)</f>
        <v/>
      </c>
      <c r="AF307" s="31" t="inlineStr">
        <is>
          <t>Structural (10 Years Consistency)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Stable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B2C</t>
        </is>
      </c>
      <c r="AO307" s="31">
        <f>IF(AN307="B2C",10,IF(AN307="B2B",5,0))</f>
        <v/>
      </c>
      <c r="AP307" s="31" t="inlineStr">
        <is>
          <t>Yes</t>
        </is>
      </c>
      <c r="AQ307" s="31">
        <f>IF(AP307="Yes",10,0)</f>
        <v/>
      </c>
      <c r="AR307" s="31" t="inlineStr">
        <is>
          <t>Higher Annuity, Lower One Time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0 to 20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2</t>
        </is>
      </c>
      <c r="BC307" s="31">
        <f>IF(BB307="Stage 2",20,IF(BB307="Stage 1",0,IF(BB307="Stage 3",5,IF(BB307="Stage 4",-5,0))))</f>
        <v/>
      </c>
      <c r="BD307" s="31" t="inlineStr">
        <is>
          <t>Positive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Less than 12%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Yes</t>
        </is>
      </c>
      <c r="BS307" s="31">
        <f>IF(BR307="NO",5,0)</f>
        <v/>
      </c>
      <c r="BT307" s="31" t="inlineStr">
        <is>
          <t>Above 2</t>
        </is>
      </c>
      <c r="BU307" s="31">
        <f>IF(BT307="Above 2",0,IF(BT307="Between 1.5 to 2",5,IF(BT307="Less than 1.5",10,0)))</f>
        <v/>
      </c>
      <c r="BV307" s="31" t="inlineStr">
        <is>
          <t>Above 70%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Between 0.7 to 1.2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IF(B308=0,"",RANK(B308,$B$2:$B$363,0))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1" t="inlineStr">
        <is>
          <t>CYIENT</t>
        </is>
      </c>
      <c r="D308" s="31" t="inlineStr">
        <is>
          <t>Cyient Limited</t>
        </is>
      </c>
      <c r="E308" s="31" t="inlineStr">
        <is>
          <t>i.t</t>
        </is>
      </c>
      <c r="F308" s="31" t="inlineStr">
        <is>
          <t>computers - software - medium / small</t>
        </is>
      </c>
      <c r="G308" s="31" t="inlineStr">
        <is>
          <t>midcap</t>
        </is>
      </c>
      <c r="H308" s="32" t="n">
        <v>11639.96</v>
      </c>
      <c r="I308" s="32" t="n">
        <v>1101.8</v>
      </c>
      <c r="J308" s="32" t="n">
        <v>-0.85</v>
      </c>
      <c r="K308" s="32" t="n">
        <v>327209</v>
      </c>
      <c r="L308" s="31" t="n">
        <v>20</v>
      </c>
      <c r="M308" s="31" t="inlineStr">
        <is>
          <t>Outperforming</t>
        </is>
      </c>
      <c r="N308" s="32">
        <f>IF(M308="Underperforming",-5,IF(L308&gt;=95,15,IF(L308&gt;=90,10,IF(L308&gt;=80,5,0))))</f>
        <v/>
      </c>
      <c r="O308" s="32" t="n">
        <v>67.08</v>
      </c>
      <c r="P308" s="32" t="n">
        <v>12.98</v>
      </c>
      <c r="Q308" s="32" t="n">
        <v>874.77</v>
      </c>
      <c r="R308" s="31" t="inlineStr">
        <is>
          <t>Earnings / Momentum Support</t>
        </is>
      </c>
      <c r="S308" s="31" t="inlineStr">
        <is>
          <t>Nifty IT</t>
        </is>
      </c>
      <c r="T308" s="32" t="n">
        <v>-11.38</v>
      </c>
      <c r="U308" s="32" t="n">
        <v>-4.2</v>
      </c>
      <c r="V308" s="32" t="n">
        <v>8.1</v>
      </c>
      <c r="W308" s="32" t="n">
        <v>5.54</v>
      </c>
      <c r="X308" s="31" t="inlineStr">
        <is>
          <t>Growing Industry</t>
        </is>
      </c>
      <c r="Y308" s="31">
        <f>IF(X308="Growing Industry",10,IF(X308="Cyclical in an Upturn",5,0))</f>
        <v/>
      </c>
      <c r="Z308" s="31" t="inlineStr">
        <is>
          <t>Too Many Players with High ROCE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No</t>
        </is>
      </c>
      <c r="AC308" s="31">
        <f>IF(AB308="No",5,0)</f>
        <v/>
      </c>
      <c r="AD308" s="31" t="inlineStr">
        <is>
          <t>Tailwind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No</t>
        </is>
      </c>
      <c r="AQ308" s="31">
        <f>IF(AP308="Yes",10,0)</f>
        <v/>
      </c>
      <c r="AR308" s="31" t="inlineStr">
        <is>
          <t>Higher Annuity, Lower One Time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0 to 20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2</t>
        </is>
      </c>
      <c r="BC308" s="31">
        <f>IF(BB308="Stage 2",20,IF(BB308="Stage 1",0,IF(BB308="Stage 3",5,IF(BB308="Stage 4",-5,0))))</f>
        <v/>
      </c>
      <c r="BD308" s="31" t="inlineStr">
        <is>
          <t>Positive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Less than 12%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No</t>
        </is>
      </c>
      <c r="BS308" s="31">
        <f>IF(BR308="NO",5,0)</f>
        <v/>
      </c>
      <c r="BT308" s="31" t="inlineStr">
        <is>
          <t>Above 2</t>
        </is>
      </c>
      <c r="BU308" s="31">
        <f>IF(BT308="Above 2",0,IF(BT308="Between 1.5 to 2",5,IF(BT308="Less than 1.5",10,0)))</f>
        <v/>
      </c>
      <c r="BV308" s="31" t="inlineStr">
        <is>
          <t>Above 70%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Less than 0.7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IF(B309=0,"",RANK(B309,$B$2:$B$363,0))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3" t="inlineStr">
        <is>
          <t>GODREJAGRO</t>
        </is>
      </c>
      <c r="D309" s="33" t="inlineStr">
        <is>
          <t>Godrej Agrovet Ltd</t>
        </is>
      </c>
      <c r="E309" s="31" t="inlineStr">
        <is>
          <t>fmcg</t>
        </is>
      </c>
      <c r="F309" s="31" t="inlineStr">
        <is>
          <t>food - processing - indian</t>
        </is>
      </c>
      <c r="G309" s="31" t="inlineStr">
        <is>
          <t>midcap</t>
        </is>
      </c>
      <c r="H309" s="32" t="n">
        <v>12675.56</v>
      </c>
      <c r="I309" s="32" t="n">
        <v>644.85</v>
      </c>
      <c r="J309" s="32" t="n">
        <v>-2.14</v>
      </c>
      <c r="K309" s="32" t="n">
        <v>306292</v>
      </c>
      <c r="L309" s="31" t="n">
        <v>2</v>
      </c>
      <c r="M309" s="31" t="inlineStr">
        <is>
          <t>Underperforming</t>
        </is>
      </c>
      <c r="N309" s="32">
        <f>IF(M309="Underperforming",-5,IF(L309&gt;=95,15,IF(L309&gt;=90,10,IF(L309&gt;=80,5,0))))</f>
        <v/>
      </c>
      <c r="O309" s="32" t="n">
        <v>64.91</v>
      </c>
      <c r="P309" s="32" t="n">
        <v>17.96</v>
      </c>
      <c r="Q309" s="32" t="n">
        <v>527.0599999999999</v>
      </c>
      <c r="R309" s="31" t="inlineStr">
        <is>
          <t>Volume Spike / Accumulation</t>
        </is>
      </c>
      <c r="S309" s="31" t="inlineStr">
        <is>
          <t>Nifty FMCG</t>
        </is>
      </c>
      <c r="T309" s="32" t="n">
        <v>-15.92</v>
      </c>
      <c r="U309" s="32" t="n">
        <v>-20.62</v>
      </c>
      <c r="V309" s="32" t="n">
        <v>-5.59</v>
      </c>
      <c r="W309" s="32" t="n">
        <v>-1.21</v>
      </c>
      <c r="X309" s="31" t="inlineStr">
        <is>
          <t>Growing Industry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No</t>
        </is>
      </c>
      <c r="AC309" s="31">
        <f>IF(AB309="No",5,0)</f>
        <v/>
      </c>
      <c r="AD309" s="31" t="inlineStr">
        <is>
          <t>Tailwind</t>
        </is>
      </c>
      <c r="AE309" s="31">
        <f>IF(AD309="Tailwind",10,0)</f>
        <v/>
      </c>
      <c r="AF309" s="31" t="inlineStr">
        <is>
          <t>Structural (10 Years Consistency)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Stable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B2C</t>
        </is>
      </c>
      <c r="AO309" s="31">
        <f>IF(AN309="B2C",10,IF(AN309="B2B",5,0))</f>
        <v/>
      </c>
      <c r="AP309" s="31" t="inlineStr">
        <is>
          <t>Yes</t>
        </is>
      </c>
      <c r="AQ309" s="31">
        <f>IF(AP309="Yes",10,0)</f>
        <v/>
      </c>
      <c r="AR309" s="31" t="inlineStr">
        <is>
          <t>Higher Annuity, Lower One Time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0 to 20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2</t>
        </is>
      </c>
      <c r="BC309" s="31">
        <f>IF(BB309="Stage 2",20,IF(BB309="Stage 1",0,IF(BB309="Stage 3",5,IF(BB309="Stage 4",-5,0))))</f>
        <v/>
      </c>
      <c r="BD309" s="31" t="inlineStr">
        <is>
          <t>Positive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Close to 52 week high or retracement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Less than 12%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No</t>
        </is>
      </c>
      <c r="BS309" s="31">
        <f>IF(BR309="NO",5,0)</f>
        <v/>
      </c>
      <c r="BT309" s="31" t="inlineStr">
        <is>
          <t>Above 2</t>
        </is>
      </c>
      <c r="BU309" s="31">
        <f>IF(BT309="Above 2",0,IF(BT309="Between 1.5 to 2",5,IF(BT309="Less than 1.5",10,0)))</f>
        <v/>
      </c>
      <c r="BV309" s="31" t="inlineStr">
        <is>
          <t>Above 70%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Between 0.7 to 1.2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IF(B310=0,"",RANK(B310,$B$2:$B$363,0))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1" t="inlineStr">
        <is>
          <t>APCOTEXIND</t>
        </is>
      </c>
      <c r="D310" s="31" t="inlineStr">
        <is>
          <t>Apcotex Industries Limited</t>
        </is>
      </c>
      <c r="E310" s="31" t="inlineStr">
        <is>
          <t>chemicals</t>
        </is>
      </c>
      <c r="F310" s="31" t="inlineStr">
        <is>
          <t>miscellaneous</t>
        </is>
      </c>
      <c r="G310" s="31" t="inlineStr">
        <is>
          <t>smallcap</t>
        </is>
      </c>
      <c r="H310" s="32" t="n">
        <v>3372</v>
      </c>
      <c r="I310" s="32" t="n">
        <v>635.5</v>
      </c>
      <c r="J310" s="32" t="n">
        <v>-2.29</v>
      </c>
      <c r="K310" s="32" t="n">
        <v>172649</v>
      </c>
      <c r="L310" s="31" t="n">
        <v>54</v>
      </c>
      <c r="M310" s="31" t="inlineStr">
        <is>
          <t>Outperforming</t>
        </is>
      </c>
      <c r="N310" s="32">
        <f>IF(M310="Underperforming",-5,IF(L310&gt;=95,15,IF(L310&gt;=90,10,IF(L310&gt;=80,5,0))))</f>
        <v/>
      </c>
      <c r="O310" s="32" t="n">
        <v>73.67</v>
      </c>
      <c r="P310" s="32" t="n">
        <v>65.48</v>
      </c>
      <c r="Q310" s="32" t="n">
        <v>490.23</v>
      </c>
      <c r="R310" s="31" t="inlineStr">
        <is>
          <t>Near 52W High Breakout</t>
        </is>
      </c>
      <c r="S310" s="31" t="inlineStr">
        <is>
          <t>Nifty 50</t>
        </is>
      </c>
      <c r="T310" s="32" t="n">
        <v>-3.41</v>
      </c>
      <c r="U310" s="32" t="n">
        <v>61.71</v>
      </c>
      <c r="V310" s="32" t="n">
        <v>67.42</v>
      </c>
      <c r="W310" s="32" t="n">
        <v>15.43</v>
      </c>
      <c r="X310" s="31" t="inlineStr">
        <is>
          <t>Growing Industry</t>
        </is>
      </c>
      <c r="Y310" s="31">
        <f>IF(X310="Growing Industry",10,IF(X310="Cyclical in an Upturn",5,0))</f>
        <v/>
      </c>
      <c r="Z310" s="31" t="inlineStr">
        <is>
          <t>Oligopoly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No</t>
        </is>
      </c>
      <c r="AC310" s="31">
        <f>IF(AB310="No",5,0)</f>
        <v/>
      </c>
      <c r="AD310" s="31" t="inlineStr">
        <is>
          <t>Tailwind</t>
        </is>
      </c>
      <c r="AE310" s="31">
        <f>IF(AD310="Tailwind",10,0)</f>
        <v/>
      </c>
      <c r="AF310" s="31" t="inlineStr">
        <is>
          <t>Cyclical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Yes</t>
        </is>
      </c>
      <c r="AQ310" s="31">
        <f>IF(AP310="Yes",10,0)</f>
        <v/>
      </c>
      <c r="AR310" s="31" t="inlineStr">
        <is>
          <t>Fully One Time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Above 40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1</t>
        </is>
      </c>
      <c r="BC310" s="31">
        <f>IF(BB310="Stage 2",20,IF(BB310="Stage 1",0,IF(BB310="Stage 3",5,IF(BB310="Stage 4",-5,0))))</f>
        <v/>
      </c>
      <c r="BD310" s="31" t="inlineStr">
        <is>
          <t>Positive Trend</t>
        </is>
      </c>
      <c r="BE310" s="31">
        <f>IF(BD310="Positive Trend",20,IF(BD310="Negative Trend",-10,0))</f>
        <v/>
      </c>
      <c r="BF310" s="31" t="inlineStr">
        <is>
          <t>Sideways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Overhead supply in last 2 years in last 2 years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More than 20%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No</t>
        </is>
      </c>
      <c r="BS310" s="31">
        <f>IF(BR310="NO",5,0)</f>
        <v/>
      </c>
      <c r="BT310" s="31" t="inlineStr">
        <is>
          <t>Less than 1.5</t>
        </is>
      </c>
      <c r="BU310" s="31">
        <f>IF(BT310="Above 2",0,IF(BT310="Between 1.5 to 2",5,IF(BT310="Less than 1.5",10,0)))</f>
        <v/>
      </c>
      <c r="BV310" s="31" t="inlineStr">
        <is>
          <t>Between 50% to 70%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Less than 0.7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IF(B311=0,"",RANK(B311,$B$2:$B$363,0))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1" t="inlineStr">
        <is>
          <t>DICIND</t>
        </is>
      </c>
      <c r="D311" s="31" t="inlineStr">
        <is>
          <t>Dic India Limited</t>
        </is>
      </c>
      <c r="E311" s="31" t="inlineStr">
        <is>
          <t>chemicals</t>
        </is>
      </c>
      <c r="F311" s="31" t="inlineStr">
        <is>
          <t>chemicals</t>
        </is>
      </c>
      <c r="G311" s="31" t="inlineStr">
        <is>
          <t>smallcap</t>
        </is>
      </c>
      <c r="H311" s="32" t="n">
        <v>536.05</v>
      </c>
      <c r="I311" s="32" t="n">
        <v>618.6</v>
      </c>
      <c r="J311" s="32" t="n">
        <v>5.92</v>
      </c>
      <c r="K311" s="32" t="n">
        <v>45846</v>
      </c>
      <c r="L311" s="31" t="n">
        <v>29</v>
      </c>
      <c r="M311" s="31" t="inlineStr">
        <is>
          <t>Outperforming</t>
        </is>
      </c>
      <c r="N311" s="32">
        <f>IF(M311="Underperforming",-5,IF(L311&gt;=95,15,IF(L311&gt;=90,10,IF(L311&gt;=80,5,0))))</f>
        <v/>
      </c>
      <c r="O311" s="32" t="n">
        <v>71.13</v>
      </c>
      <c r="P311" s="32" t="n">
        <v>15.72</v>
      </c>
      <c r="Q311" s="32" t="n">
        <v>469.53</v>
      </c>
      <c r="R311" s="31" t="inlineStr">
        <is>
          <t>Near 52W High Breakout</t>
        </is>
      </c>
      <c r="S311" s="31" t="inlineStr">
        <is>
          <t>Nifty 50</t>
        </is>
      </c>
      <c r="T311" s="32" t="n">
        <v>-3.41</v>
      </c>
      <c r="U311" s="32" t="n">
        <v>8.16</v>
      </c>
      <c r="V311" s="32" t="n">
        <v>11.98</v>
      </c>
      <c r="W311" s="32" t="n">
        <v>7.66</v>
      </c>
      <c r="X311" s="31" t="inlineStr">
        <is>
          <t>Growing Industry</t>
        </is>
      </c>
      <c r="Y311" s="31">
        <f>IF(X311="Growing Industry",10,IF(X311="Cyclical in an Upturn",5,0))</f>
        <v/>
      </c>
      <c r="Z311" s="31" t="inlineStr">
        <is>
          <t>Too Many Players with High ROCE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No</t>
        </is>
      </c>
      <c r="AC311" s="31">
        <f>IF(AB311="No",5,0)</f>
        <v/>
      </c>
      <c r="AD311" s="31" t="inlineStr">
        <is>
          <t>Tailwind</t>
        </is>
      </c>
      <c r="AE311" s="31">
        <f>IF(AD311="Tailwind",10,0)</f>
        <v/>
      </c>
      <c r="AF311" s="31" t="inlineStr">
        <is>
          <t>Structural (10 Years Consistency)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Stable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Yes</t>
        </is>
      </c>
      <c r="AQ311" s="31">
        <f>IF(AP311="Yes",10,0)</f>
        <v/>
      </c>
      <c r="AR311" s="31" t="inlineStr">
        <is>
          <t>Higher One Time, Lower Annuity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0 to 20</t>
        </is>
      </c>
      <c r="AY311" s="31">
        <f>IF(AX311="Above 40",20,IF(AX311="20 to 40",10,IF(AX311="0 to 20",-5,0)))</f>
        <v/>
      </c>
      <c r="AZ311" s="31" t="inlineStr">
        <is>
          <t>Between 50 to 75</t>
        </is>
      </c>
      <c r="BA311" s="31">
        <f>IF(AZ311="Between 50 to 75",10,IF(AZ311="Above 75",0,0))</f>
        <v/>
      </c>
      <c r="BB311" s="31" t="inlineStr">
        <is>
          <t>Stage 2</t>
        </is>
      </c>
      <c r="BC311" s="31">
        <f>IF(BB311="Stage 2",20,IF(BB311="Stage 1",0,IF(BB311="Stage 3",5,IF(BB311="Stage 4",-5,0))))</f>
        <v/>
      </c>
      <c r="BD311" s="31" t="inlineStr">
        <is>
          <t>Positive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Close to 52 week high or retracement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More than 20%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No</t>
        </is>
      </c>
      <c r="BS311" s="31">
        <f>IF(BR311="NO",5,0)</f>
        <v/>
      </c>
      <c r="BT311" s="31" t="inlineStr">
        <is>
          <t>Above 2</t>
        </is>
      </c>
      <c r="BU311" s="31">
        <f>IF(BT311="Above 2",0,IF(BT311="Between 1.5 to 2",5,IF(BT311="Less than 1.5",10,0)))</f>
        <v/>
      </c>
      <c r="BV311" s="31" t="inlineStr">
        <is>
          <t>Negative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Less than 0.7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IF(B312=0,"",RANK(B312,$B$2:$B$363,0))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1" t="inlineStr">
        <is>
          <t>SPECTRUM</t>
        </is>
      </c>
      <c r="D312" s="31" t="inlineStr">
        <is>
          <t>Spectrum Electrical Industries Ltd</t>
        </is>
      </c>
      <c r="E312" s="31" t="inlineStr">
        <is>
          <t>industrials</t>
        </is>
      </c>
      <c r="F312" s="31" t="inlineStr">
        <is>
          <t>electric equipment</t>
        </is>
      </c>
      <c r="G312" s="31" t="inlineStr">
        <is>
          <t>smallcap</t>
        </is>
      </c>
      <c r="H312" s="32" t="n">
        <v>3544.57</v>
      </c>
      <c r="I312" s="32" t="n">
        <v>2368.4</v>
      </c>
      <c r="J312" s="32" t="n">
        <v>5</v>
      </c>
      <c r="K312" s="32" t="n">
        <v>14242</v>
      </c>
      <c r="L312" s="31" t="n">
        <v>66</v>
      </c>
      <c r="M312" s="31" t="inlineStr">
        <is>
          <t>Outperforming</t>
        </is>
      </c>
      <c r="N312" s="32">
        <f>IF(M312="Underperforming",-5,IF(L312&gt;=95,15,IF(L312&gt;=90,10,IF(L312&gt;=80,5,0))))</f>
        <v/>
      </c>
      <c r="O312" s="32" t="n">
        <v>68.03</v>
      </c>
      <c r="P312" s="32" t="n">
        <v>59.18</v>
      </c>
      <c r="Q312" s="32" t="n">
        <v>1690.21</v>
      </c>
      <c r="R312" s="31" t="inlineStr">
        <is>
          <t>Near 52W High Breakout</t>
        </is>
      </c>
      <c r="S312" s="31" t="inlineStr">
        <is>
          <t>Nifty 50</t>
        </is>
      </c>
      <c r="T312" s="32" t="n">
        <v>-3.41</v>
      </c>
      <c r="U312" s="32" t="n">
        <v>65.88</v>
      </c>
      <c r="V312" s="32" t="n">
        <v>71.73</v>
      </c>
      <c r="W312" s="32" t="n">
        <v>19.39</v>
      </c>
      <c r="X312" s="31" t="inlineStr">
        <is>
          <t>Cyclical in an Upturn</t>
        </is>
      </c>
      <c r="Y312" s="31">
        <f>IF(X312="Growing Industry",10,IF(X312="Cyclical in an Upturn",5,0))</f>
        <v/>
      </c>
      <c r="Z312" s="31" t="inlineStr">
        <is>
          <t>Too Many Players with High ROCE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No</t>
        </is>
      </c>
      <c r="AC312" s="31">
        <f>IF(AB312="No",5,0)</f>
        <v/>
      </c>
      <c r="AD312" s="31" t="inlineStr">
        <is>
          <t>Tailwind</t>
        </is>
      </c>
      <c r="AE312" s="31">
        <f>IF(AD312="Tailwind",10,0)</f>
        <v/>
      </c>
      <c r="AF312" s="31" t="inlineStr">
        <is>
          <t>Structural (10 Years Consistency)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Stable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Yes</t>
        </is>
      </c>
      <c r="AQ312" s="31">
        <f>IF(AP312="Yes",10,0)</f>
        <v/>
      </c>
      <c r="AR312" s="31" t="inlineStr">
        <is>
          <t>Higher One Time, Lower Annuity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Good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Above 40</t>
        </is>
      </c>
      <c r="AY312" s="31">
        <f>IF(AX312="Above 40",20,IF(AX312="20 to 40",10,IF(AX312="0 to 20",-5,0)))</f>
        <v/>
      </c>
      <c r="AZ312" s="31" t="inlineStr">
        <is>
          <t>Between 50 to 75</t>
        </is>
      </c>
      <c r="BA312" s="31">
        <f>IF(AZ312="Between 50 to 75",10,IF(AZ312="Above 75",0,0))</f>
        <v/>
      </c>
      <c r="BB312" s="31" t="inlineStr">
        <is>
          <t>Stage 2</t>
        </is>
      </c>
      <c r="BC312" s="31">
        <f>IF(BB312="Stage 2",20,IF(BB312="Stage 1",0,IF(BB312="Stage 3",5,IF(BB312="Stage 4",-5,0))))</f>
        <v/>
      </c>
      <c r="BD312" s="31" t="inlineStr">
        <is>
          <t>Negative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Blue sky scenario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More than 20%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Yes</t>
        </is>
      </c>
      <c r="BS312" s="31">
        <f>IF(BR312="NO",5,0)</f>
        <v/>
      </c>
      <c r="BT312" s="31" t="inlineStr">
        <is>
          <t>Above 2</t>
        </is>
      </c>
      <c r="BU312" s="31">
        <f>IF(BT312="Above 2",0,IF(BT312="Between 1.5 to 2",5,IF(BT312="Less than 1.5",10,0)))</f>
        <v/>
      </c>
      <c r="BV312" s="31" t="inlineStr">
        <is>
          <t>Above 70%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Between 0.7 to 1.2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IF(B313=0,"",RANK(B313,$B$2:$B$363,0))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3" t="inlineStr">
        <is>
          <t>BLKASHYAP</t>
        </is>
      </c>
      <c r="D313" s="33" t="inlineStr">
        <is>
          <t>B. L. Kashyap And Sons Limited</t>
        </is>
      </c>
      <c r="E313" s="31" t="inlineStr">
        <is>
          <t>realty</t>
        </is>
      </c>
      <c r="F313" s="31" t="inlineStr">
        <is>
          <t>construction</t>
        </is>
      </c>
      <c r="G313" s="31" t="inlineStr">
        <is>
          <t>smallcap</t>
        </is>
      </c>
      <c r="H313" s="32" t="n">
        <v>1298.53</v>
      </c>
      <c r="I313" s="32" t="n">
        <v>59.34</v>
      </c>
      <c r="J313" s="32" t="n">
        <v>3.02</v>
      </c>
      <c r="K313" s="32" t="n">
        <v>2983058</v>
      </c>
      <c r="L313" s="31" t="n">
        <v>4</v>
      </c>
      <c r="M313" s="31" t="inlineStr">
        <is>
          <t>Underperforming</t>
        </is>
      </c>
      <c r="N313" s="32">
        <f>IF(M313="Underperforming",-5,IF(L313&gt;=95,15,IF(L313&gt;=90,10,IF(L313&gt;=80,5,0))))</f>
        <v/>
      </c>
      <c r="O313" s="32" t="n">
        <v>57.63</v>
      </c>
      <c r="P313" s="32" t="n">
        <v>15.72</v>
      </c>
      <c r="Q313" s="32" t="n">
        <v>42.94</v>
      </c>
      <c r="R313" s="31" t="inlineStr">
        <is>
          <t>Volume Spike / Accumulation</t>
        </is>
      </c>
      <c r="S313" s="31" t="inlineStr">
        <is>
          <t>Nifty Realty</t>
        </is>
      </c>
      <c r="T313" s="32" t="n">
        <v>-4.49</v>
      </c>
      <c r="U313" s="32" t="n">
        <v>-16.93</v>
      </c>
      <c r="V313" s="32" t="n">
        <v>-13.02</v>
      </c>
      <c r="W313" s="32" t="n">
        <v>0.48</v>
      </c>
      <c r="X313" s="31" t="inlineStr">
        <is>
          <t>Growing Industry</t>
        </is>
      </c>
      <c r="Y313" s="31">
        <f>IF(X313="Growing Industry",10,IF(X313="Cyclical in an Upturn",5,0))</f>
        <v/>
      </c>
      <c r="Z313" s="31" t="inlineStr">
        <is>
          <t>Too Many Players with High ROCE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No</t>
        </is>
      </c>
      <c r="AC313" s="31">
        <f>IF(AB313="No",5,0)</f>
        <v/>
      </c>
      <c r="AD313" s="31" t="inlineStr">
        <is>
          <t>Tailwind</t>
        </is>
      </c>
      <c r="AE313" s="31">
        <f>IF(AD313="Tailwind",10,0)</f>
        <v/>
      </c>
      <c r="AF313" s="31" t="inlineStr">
        <is>
          <t>Structural (10 Years Consistency)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Stable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Yes</t>
        </is>
      </c>
      <c r="AQ313" s="31">
        <f>IF(AP313="Yes",10,0)</f>
        <v/>
      </c>
      <c r="AR313" s="31" t="inlineStr">
        <is>
          <t>Higher One Time, Lower Annuity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0 to 20</t>
        </is>
      </c>
      <c r="AY313" s="31">
        <f>IF(AX313="Above 40",20,IF(AX313="20 to 40",10,IF(AX313="0 to 20",-5,0)))</f>
        <v/>
      </c>
      <c r="AZ313" s="31" t="inlineStr">
        <is>
          <t>Between 50 to 75</t>
        </is>
      </c>
      <c r="BA313" s="31">
        <f>IF(AZ313="Between 50 to 75",10,IF(AZ313="Above 75",0,0))</f>
        <v/>
      </c>
      <c r="BB313" s="31" t="inlineStr">
        <is>
          <t>Stage 2</t>
        </is>
      </c>
      <c r="BC313" s="31">
        <f>IF(BB313="Stage 2",20,IF(BB313="Stage 1",0,IF(BB313="Stage 3",5,IF(BB313="Stage 4",-5,0))))</f>
        <v/>
      </c>
      <c r="BD313" s="31" t="inlineStr">
        <is>
          <t>Positive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Close to 52 week high or retracement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Less than 12%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Yes</t>
        </is>
      </c>
      <c r="BS313" s="31">
        <f>IF(BR313="NO",5,0)</f>
        <v/>
      </c>
      <c r="BT313" s="31" t="inlineStr">
        <is>
          <t>Above 2</t>
        </is>
      </c>
      <c r="BU313" s="31">
        <f>IF(BT313="Above 2",0,IF(BT313="Between 1.5 to 2",5,IF(BT313="Less than 1.5",10,0)))</f>
        <v/>
      </c>
      <c r="BV313" s="31" t="inlineStr">
        <is>
          <t>Above 70%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Less than 0.7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IF(B314=0,"",RANK(B314,$B$2:$B$363,0))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3" t="inlineStr">
        <is>
          <t>JINDRILL</t>
        </is>
      </c>
      <c r="D314" s="33" t="inlineStr">
        <is>
          <t>Jindal Drilling And Industries Limited</t>
        </is>
      </c>
      <c r="E314" s="31" t="inlineStr">
        <is>
          <t>energy</t>
        </is>
      </c>
      <c r="F314" s="31" t="inlineStr">
        <is>
          <t>oil drilling / allied services</t>
        </is>
      </c>
      <c r="G314" s="31" t="inlineStr">
        <is>
          <t>smallcap</t>
        </is>
      </c>
      <c r="H314" s="32" t="n">
        <v>1883.48</v>
      </c>
      <c r="I314" s="32" t="n">
        <v>663.05</v>
      </c>
      <c r="J314" s="32" t="n">
        <v>2.02</v>
      </c>
      <c r="K314" s="32" t="n">
        <v>708720</v>
      </c>
      <c r="L314" s="31" t="n">
        <v>26</v>
      </c>
      <c r="M314" s="31" t="inlineStr">
        <is>
          <t>Underperforming</t>
        </is>
      </c>
      <c r="N314" s="32">
        <f>IF(M314="Underperforming",-5,IF(L314&gt;=95,15,IF(L314&gt;=90,10,IF(L314&gt;=80,5,0))))</f>
        <v/>
      </c>
      <c r="O314" s="32" t="n">
        <v>59.97</v>
      </c>
      <c r="P314" s="32" t="n">
        <v>45.56</v>
      </c>
      <c r="Q314" s="32" t="n">
        <v>481.89</v>
      </c>
      <c r="R314" s="31" t="inlineStr">
        <is>
          <t>Near 52W High Breakout</t>
        </is>
      </c>
      <c r="S314" s="31" t="inlineStr">
        <is>
          <t>Nifty Energy</t>
        </is>
      </c>
      <c r="T314" s="32" t="n">
        <v>7.99</v>
      </c>
      <c r="U314" s="32" t="n">
        <v>6.45</v>
      </c>
      <c r="V314" s="32" t="n">
        <v>-1.43</v>
      </c>
      <c r="W314" s="32" t="n">
        <v>6.69</v>
      </c>
      <c r="X314" s="31" t="inlineStr">
        <is>
          <t>Cyclical in an Upturn</t>
        </is>
      </c>
      <c r="Y314" s="31">
        <f>IF(X314="Growing Industry",10,IF(X314="Cyclical in an Upturn",5,0))</f>
        <v/>
      </c>
      <c r="Z314" s="31" t="inlineStr">
        <is>
          <t>Oligopoly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Yes</t>
        </is>
      </c>
      <c r="AC314" s="31">
        <f>IF(AB314="No",5,0)</f>
        <v/>
      </c>
      <c r="AD314" s="31" t="inlineStr">
        <is>
          <t>Tailwind</t>
        </is>
      </c>
      <c r="AE314" s="31">
        <f>IF(AD314="Tailwind",10,0)</f>
        <v/>
      </c>
      <c r="AF314" s="31" t="inlineStr">
        <is>
          <t>Cyclical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Volatile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Yes</t>
        </is>
      </c>
      <c r="AQ314" s="31">
        <f>IF(AP314="Yes",10,0)</f>
        <v/>
      </c>
      <c r="AR314" s="31" t="inlineStr">
        <is>
          <t>Higher One Time, Lower Annuity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Above 40</t>
        </is>
      </c>
      <c r="AY314" s="31">
        <f>IF(AX314="Above 40",20,IF(AX314="20 to 40",10,IF(AX314="0 to 20",-5,0)))</f>
        <v/>
      </c>
      <c r="AZ314" s="31" t="inlineStr">
        <is>
          <t>Between 50 to 75</t>
        </is>
      </c>
      <c r="BA314" s="31">
        <f>IF(AZ314="Between 50 to 75",10,IF(AZ314="Above 75",0,0))</f>
        <v/>
      </c>
      <c r="BB314" s="31" t="inlineStr">
        <is>
          <t>Stage 2</t>
        </is>
      </c>
      <c r="BC314" s="31">
        <f>IF(BB314="Stage 2",20,IF(BB314="Stage 1",0,IF(BB314="Stage 3",5,IF(BB314="Stage 4",-5,0))))</f>
        <v/>
      </c>
      <c r="BD314" s="31" t="inlineStr">
        <is>
          <t>Positive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Close to 52 week high or retracement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Less than 12%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No</t>
        </is>
      </c>
      <c r="BS314" s="31">
        <f>IF(BR314="NO",5,0)</f>
        <v/>
      </c>
      <c r="BT314" s="31" t="inlineStr">
        <is>
          <t>Above 2</t>
        </is>
      </c>
      <c r="BU314" s="31">
        <f>IF(BT314="Above 2",0,IF(BT314="Between 1.5 to 2",5,IF(BT314="Less than 1.5",10,0)))</f>
        <v/>
      </c>
      <c r="BV314" s="31" t="inlineStr">
        <is>
          <t>Above 70%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Less than 0.7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IF(B315=0,"",RANK(B315,$B$2:$B$363,0))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1" t="inlineStr">
        <is>
          <t>SMARTWORKS</t>
        </is>
      </c>
      <c r="D315" s="31" t="inlineStr">
        <is>
          <t>Smartworks Coworking Spaces Ltd</t>
        </is>
      </c>
      <c r="E315" s="31" t="inlineStr">
        <is>
          <t>co-working</t>
        </is>
      </c>
      <c r="F315" s="31" t="inlineStr">
        <is>
          <t>miscellaneous</t>
        </is>
      </c>
      <c r="G315" s="31" t="inlineStr">
        <is>
          <t>midcap</t>
        </is>
      </c>
      <c r="H315" s="32" t="n">
        <v>6071.89</v>
      </c>
      <c r="I315" s="32" t="n">
        <v>541.5</v>
      </c>
      <c r="J315" s="32" t="n">
        <v>1.9</v>
      </c>
      <c r="K315" s="32" t="n">
        <v>44075</v>
      </c>
      <c r="L315" s="31" t="n">
        <v>19</v>
      </c>
      <c r="M315" s="31" t="inlineStr">
        <is>
          <t>Outperforming</t>
        </is>
      </c>
      <c r="N315" s="32">
        <f>IF(M315="Underperforming",-5,IF(L315&gt;=95,15,IF(L315&gt;=90,10,IF(L315&gt;=80,5,0))))</f>
        <v/>
      </c>
      <c r="O315" s="32" t="n">
        <v>64.2</v>
      </c>
      <c r="P315" s="32" t="n">
        <v>34.3</v>
      </c>
      <c r="Q315" s="32" t="n">
        <v>427.25</v>
      </c>
      <c r="R315" s="31" t="inlineStr">
        <is>
          <t>Earnings / Momentum Support</t>
        </is>
      </c>
      <c r="S315" s="31" t="inlineStr">
        <is>
          <t>Nifty 50</t>
        </is>
      </c>
      <c r="T315" s="32" t="n">
        <v>-3.41</v>
      </c>
      <c r="U315" s="32" t="n">
        <v>3.08</v>
      </c>
      <c r="V315" s="32" t="n">
        <v>6.72</v>
      </c>
      <c r="W315" s="32" t="n">
        <v>5.33</v>
      </c>
      <c r="X315" s="31" t="inlineStr">
        <is>
          <t>Growing Industry</t>
        </is>
      </c>
      <c r="Y315" s="31">
        <f>IF(X315="Growing Industry",10,IF(X315="Cyclical in an Upturn",5,0))</f>
        <v/>
      </c>
      <c r="Z315" s="31" t="inlineStr">
        <is>
          <t>Too Many Players with High ROCE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No</t>
        </is>
      </c>
      <c r="AC315" s="31">
        <f>IF(AB315="No",5,0)</f>
        <v/>
      </c>
      <c r="AD315" s="31" t="inlineStr">
        <is>
          <t>Tailwind</t>
        </is>
      </c>
      <c r="AE315" s="31">
        <f>IF(AD315="Tailwind",10,0)</f>
        <v/>
      </c>
      <c r="AF315" s="31" t="inlineStr">
        <is>
          <t>Structural (10 Years Consistency)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Stable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No</t>
        </is>
      </c>
      <c r="AQ315" s="31">
        <f>IF(AP315="Yes",10,0)</f>
        <v/>
      </c>
      <c r="AR315" s="31" t="inlineStr">
        <is>
          <t>Higher One Time, Lower Annuity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20 to 40</t>
        </is>
      </c>
      <c r="AY315" s="31">
        <f>IF(AX315="Above 40",20,IF(AX315="20 to 40",10,IF(AX315="0 to 20",-5,0)))</f>
        <v/>
      </c>
      <c r="AZ315" s="31" t="inlineStr">
        <is>
          <t>Between 50 to 75</t>
        </is>
      </c>
      <c r="BA315" s="31">
        <f>IF(AZ315="Between 50 to 75",10,IF(AZ315="Above 75",0,0))</f>
        <v/>
      </c>
      <c r="BB315" s="31" t="inlineStr">
        <is>
          <t>Stage 2</t>
        </is>
      </c>
      <c r="BC315" s="31">
        <f>IF(BB315="Stage 2",20,IF(BB315="Stage 1",0,IF(BB315="Stage 3",5,IF(BB315="Stage 4",-5,0))))</f>
        <v/>
      </c>
      <c r="BD315" s="31" t="inlineStr">
        <is>
          <t>Positive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Close to 52 week high or retracement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More than 20%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Yes</t>
        </is>
      </c>
      <c r="BS315" s="31">
        <f>IF(BR315="NO",5,0)</f>
        <v/>
      </c>
      <c r="BT315" s="31" t="inlineStr">
        <is>
          <t>Above 2</t>
        </is>
      </c>
      <c r="BU315" s="31">
        <f>IF(BT315="Above 2",0,IF(BT315="Between 1.5 to 2",5,IF(BT315="Less than 1.5",10,0)))</f>
        <v/>
      </c>
      <c r="BV315" s="31" t="inlineStr">
        <is>
          <t>Above 70%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More than 1.2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IF(B316=0,"",RANK(B316,$B$2:$B$363,0))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3" t="inlineStr">
        <is>
          <t>JSWSTEEL</t>
        </is>
      </c>
      <c r="D316" s="33" t="inlineStr">
        <is>
          <t>Jsw Steel Limited</t>
        </is>
      </c>
      <c r="E316" s="31" t="inlineStr">
        <is>
          <t>metals &amp; mining</t>
        </is>
      </c>
      <c r="F316" s="31" t="inlineStr">
        <is>
          <t>steel - large</t>
        </is>
      </c>
      <c r="G316" s="31" t="inlineStr">
        <is>
          <t>largecap</t>
        </is>
      </c>
      <c r="H316" s="32" t="n">
        <v>319865.38</v>
      </c>
      <c r="I316" s="32" t="n">
        <v>1325</v>
      </c>
      <c r="J316" s="32" t="n">
        <v>1.3</v>
      </c>
      <c r="K316" s="32" t="n">
        <v>1094356</v>
      </c>
      <c r="L316" s="31" t="n">
        <v>25</v>
      </c>
      <c r="M316" s="31" t="inlineStr">
        <is>
          <t>Underperforming</t>
        </is>
      </c>
      <c r="N316" s="32">
        <f>IF(M316="Underperforming",-5,IF(L316&gt;=95,15,IF(L316&gt;=90,10,IF(L316&gt;=80,5,0))))</f>
        <v/>
      </c>
      <c r="O316" s="32" t="n">
        <v>62.85</v>
      </c>
      <c r="P316" s="32" t="n">
        <v>28.87</v>
      </c>
      <c r="Q316" s="32" t="n">
        <v>1166.97</v>
      </c>
      <c r="R316" s="31" t="inlineStr">
        <is>
          <t>Near 52W High Breakout</t>
        </is>
      </c>
      <c r="S316" s="31" t="inlineStr">
        <is>
          <t>Nifty Metal</t>
        </is>
      </c>
      <c r="T316" s="32" t="n">
        <v>41.3</v>
      </c>
      <c r="U316" s="32" t="n">
        <v>29.77</v>
      </c>
      <c r="V316" s="32" t="n">
        <v>-8.16</v>
      </c>
      <c r="W316" s="32" t="n">
        <v>6.65</v>
      </c>
      <c r="X316" s="31" t="inlineStr">
        <is>
          <t>Cyclical in an Upturn</t>
        </is>
      </c>
      <c r="Y316" s="31">
        <f>IF(X316="Growing Industry",10,IF(X316="Cyclical in an Upturn",5,0))</f>
        <v/>
      </c>
      <c r="Z316" s="31" t="inlineStr">
        <is>
          <t>Too Many Players with High ROCE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No</t>
        </is>
      </c>
      <c r="AC316" s="31">
        <f>IF(AB316="No",5,0)</f>
        <v/>
      </c>
      <c r="AD316" s="31" t="inlineStr">
        <is>
          <t>Tailwind</t>
        </is>
      </c>
      <c r="AE316" s="31">
        <f>IF(AD316="Tailwind",10,0)</f>
        <v/>
      </c>
      <c r="AF316" s="31" t="inlineStr">
        <is>
          <t>Cyclical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Volatile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Yes</t>
        </is>
      </c>
      <c r="AQ316" s="31">
        <f>IF(AP316="Yes",10,0)</f>
        <v/>
      </c>
      <c r="AR316" s="31" t="inlineStr">
        <is>
          <t>Higher One Time, Lower Annuity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20 to 40</t>
        </is>
      </c>
      <c r="AY316" s="31">
        <f>IF(AX316="Above 40",20,IF(AX316="20 to 40",10,IF(AX316="0 to 20",-5,0)))</f>
        <v/>
      </c>
      <c r="AZ316" s="31" t="inlineStr">
        <is>
          <t>Between 50 to 75</t>
        </is>
      </c>
      <c r="BA316" s="31">
        <f>IF(AZ316="Between 50 to 75",10,IF(AZ316="Above 75",0,0))</f>
        <v/>
      </c>
      <c r="BB316" s="31" t="inlineStr">
        <is>
          <t>Stage 2</t>
        </is>
      </c>
      <c r="BC316" s="31">
        <f>IF(BB316="Stage 2",20,IF(BB316="Stage 1",0,IF(BB316="Stage 3",5,IF(BB316="Stage 4",-5,0))))</f>
        <v/>
      </c>
      <c r="BD316" s="31" t="inlineStr">
        <is>
          <t>Positive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Blue sky scenario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More than 20%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No</t>
        </is>
      </c>
      <c r="BS316" s="31">
        <f>IF(BR316="NO",5,0)</f>
        <v/>
      </c>
      <c r="BT316" s="31" t="inlineStr">
        <is>
          <t>Above 2</t>
        </is>
      </c>
      <c r="BU316" s="31">
        <f>IF(BT316="Above 2",0,IF(BT316="Between 1.5 to 2",5,IF(BT316="Less than 1.5",10,0)))</f>
        <v/>
      </c>
      <c r="BV316" s="31" t="inlineStr">
        <is>
          <t>Above 70%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Between 0.7 to 1.2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IF(B317=0,"",RANK(B317,$B$2:$B$363,0))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1" t="inlineStr">
        <is>
          <t>SOTL</t>
        </is>
      </c>
      <c r="D317" s="31" t="inlineStr">
        <is>
          <t>Savita Oil Technologies Limited</t>
        </is>
      </c>
      <c r="E317" s="31" t="inlineStr">
        <is>
          <t>energy</t>
        </is>
      </c>
      <c r="F317" s="31" t="inlineStr">
        <is>
          <t>petrochemicals</t>
        </is>
      </c>
      <c r="G317" s="31" t="inlineStr">
        <is>
          <t>midcap</t>
        </is>
      </c>
      <c r="H317" s="32" t="n">
        <v>5055.3</v>
      </c>
      <c r="I317" s="32" t="n">
        <v>740.75</v>
      </c>
      <c r="J317" s="32" t="n">
        <v>0.46</v>
      </c>
      <c r="K317" s="32" t="n">
        <v>273612</v>
      </c>
      <c r="L317" s="31" t="n">
        <v>92</v>
      </c>
      <c r="M317" s="31" t="inlineStr">
        <is>
          <t>Outperforming</t>
        </is>
      </c>
      <c r="N317" s="32">
        <f>IF(M317="Underperforming",-5,IF(L317&gt;=95,15,IF(L317&gt;=90,10,IF(L317&gt;=80,5,0))))</f>
        <v/>
      </c>
      <c r="O317" s="32" t="n">
        <v>68.37</v>
      </c>
      <c r="P317" s="32" t="n">
        <v>57.07</v>
      </c>
      <c r="Q317" s="32" t="n">
        <v>539.03</v>
      </c>
      <c r="R317" s="31" t="inlineStr">
        <is>
          <t>Volume Spike &amp; Near 52W High Breakout</t>
        </is>
      </c>
      <c r="S317" s="31" t="inlineStr">
        <is>
          <t>Nifty Energy</t>
        </is>
      </c>
      <c r="T317" s="32" t="n">
        <v>7.99</v>
      </c>
      <c r="U317" s="32" t="n">
        <v>86.53</v>
      </c>
      <c r="V317" s="32" t="n">
        <v>72.72</v>
      </c>
      <c r="W317" s="32" t="n">
        <v>40.09</v>
      </c>
      <c r="X317" s="31" t="inlineStr">
        <is>
          <t>Cyclical in an Upturn</t>
        </is>
      </c>
      <c r="Y317" s="31">
        <f>IF(X317="Growing Industry",10,IF(X317="Cyclical in an Upturn",5,0))</f>
        <v/>
      </c>
      <c r="Z317" s="31" t="inlineStr">
        <is>
          <t>Oligopoly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Yes</t>
        </is>
      </c>
      <c r="AC317" s="31">
        <f>IF(AB317="No",5,0)</f>
        <v/>
      </c>
      <c r="AD317" s="31" t="inlineStr">
        <is>
          <t>Tailwind</t>
        </is>
      </c>
      <c r="AE317" s="31">
        <f>IF(AD317="Tailwind",10,0)</f>
        <v/>
      </c>
      <c r="AF317" s="31" t="inlineStr">
        <is>
          <t>Cyclical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Volatile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Yes</t>
        </is>
      </c>
      <c r="AQ317" s="31">
        <f>IF(AP317="Yes",10,0)</f>
        <v/>
      </c>
      <c r="AR317" s="31" t="inlineStr">
        <is>
          <t>Higher One Time, Lower Annuity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Good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Above 40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2</t>
        </is>
      </c>
      <c r="BC317" s="31">
        <f>IF(BB317="Stage 2",20,IF(BB317="Stage 1",0,IF(BB317="Stage 3",5,IF(BB317="Stage 4",-5,0))))</f>
        <v/>
      </c>
      <c r="BD317" s="31" t="inlineStr">
        <is>
          <t>Negative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Blue sky scenario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More than 20%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No</t>
        </is>
      </c>
      <c r="BS317" s="31">
        <f>IF(BR317="NO",5,0)</f>
        <v/>
      </c>
      <c r="BT317" s="31" t="inlineStr">
        <is>
          <t>Above 2</t>
        </is>
      </c>
      <c r="BU317" s="31">
        <f>IF(BT317="Above 2",0,IF(BT317="Between 1.5 to 2",5,IF(BT317="Less than 1.5",10,0)))</f>
        <v/>
      </c>
      <c r="BV317" s="31" t="inlineStr">
        <is>
          <t>Above 70%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Less than 0.7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IF(B318=0,"",RANK(B318,$B$2:$B$363,0))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1" t="inlineStr">
        <is>
          <t>GRASIM</t>
        </is>
      </c>
      <c r="D318" s="31" t="inlineStr">
        <is>
          <t>Grasim Industries Limited</t>
        </is>
      </c>
      <c r="E318" s="31" t="inlineStr">
        <is>
          <t>textiles</t>
        </is>
      </c>
      <c r="F318" s="31" t="inlineStr">
        <is>
          <t>textiles - manmade</t>
        </is>
      </c>
      <c r="G318" s="31" t="inlineStr">
        <is>
          <t>largecap</t>
        </is>
      </c>
      <c r="H318" s="32" t="n">
        <v>225272.17</v>
      </c>
      <c r="I318" s="32" t="n">
        <v>3322</v>
      </c>
      <c r="J318" s="32" t="n">
        <v>0.36</v>
      </c>
      <c r="K318" s="32" t="n">
        <v>892704</v>
      </c>
      <c r="L318" s="31" t="n">
        <v>19</v>
      </c>
      <c r="M318" s="31" t="inlineStr">
        <is>
          <t>Outperforming</t>
        </is>
      </c>
      <c r="N318" s="32">
        <f>IF(M318="Underperforming",-5,IF(L318&gt;=95,15,IF(L318&gt;=90,10,IF(L318&gt;=80,5,0))))</f>
        <v/>
      </c>
      <c r="O318" s="32" t="n">
        <v>65.94</v>
      </c>
      <c r="P318" s="32" t="n">
        <v>39.52</v>
      </c>
      <c r="Q318" s="32" t="n">
        <v>2910.81</v>
      </c>
      <c r="R318" s="31" t="inlineStr">
        <is>
          <t>Near 52W High Breakout</t>
        </is>
      </c>
      <c r="S318" s="31" t="inlineStr">
        <is>
          <t>Nifty 50</t>
        </is>
      </c>
      <c r="T318" s="32" t="n">
        <v>-3.41</v>
      </c>
      <c r="U318" s="32" t="n">
        <v>18.84</v>
      </c>
      <c r="V318" s="32" t="n">
        <v>23.04</v>
      </c>
      <c r="W318" s="32" t="n">
        <v>5.27</v>
      </c>
      <c r="X318" s="31" t="inlineStr">
        <is>
          <t>Growing Industry</t>
        </is>
      </c>
      <c r="Y318" s="31">
        <f>IF(X318="Growing Industry",10,IF(X318="Cyclical in an Upturn",5,0))</f>
        <v/>
      </c>
      <c r="Z318" s="31" t="inlineStr">
        <is>
          <t>Too Many Players with High ROCE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No</t>
        </is>
      </c>
      <c r="AC318" s="31">
        <f>IF(AB318="No",5,0)</f>
        <v/>
      </c>
      <c r="AD318" s="31" t="inlineStr">
        <is>
          <t>Tailwind</t>
        </is>
      </c>
      <c r="AE318" s="31">
        <f>IF(AD318="Tailwind",10,0)</f>
        <v/>
      </c>
      <c r="AF318" s="31" t="inlineStr">
        <is>
          <t>Structural (10 Years Consistency)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Stable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B2B</t>
        </is>
      </c>
      <c r="AO318" s="31">
        <f>IF(AN318="B2C",10,IF(AN318="B2B",5,0))</f>
        <v/>
      </c>
      <c r="AP318" s="31" t="inlineStr">
        <is>
          <t>Yes</t>
        </is>
      </c>
      <c r="AQ318" s="31">
        <f>IF(AP318="Yes",10,0)</f>
        <v/>
      </c>
      <c r="AR318" s="31" t="inlineStr">
        <is>
          <t>Higher One Time, Lower Annuity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20 to 40</t>
        </is>
      </c>
      <c r="AY318" s="31">
        <f>IF(AX318="Above 40",20,IF(AX318="20 to 40",10,IF(AX318="0 to 20",-5,0)))</f>
        <v/>
      </c>
      <c r="AZ318" s="31" t="inlineStr">
        <is>
          <t>Between 50 to 75</t>
        </is>
      </c>
      <c r="BA318" s="31">
        <f>IF(AZ318="Between 50 to 75",10,IF(AZ318="Above 75",0,0))</f>
        <v/>
      </c>
      <c r="BB318" s="31" t="inlineStr">
        <is>
          <t>Stage 2</t>
        </is>
      </c>
      <c r="BC318" s="31">
        <f>IF(BB318="Stage 2",20,IF(BB318="Stage 1",0,IF(BB318="Stage 3",5,IF(BB318="Stage 4",-5,0))))</f>
        <v/>
      </c>
      <c r="BD318" s="31" t="inlineStr">
        <is>
          <t>Negative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Blue sky scenario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More than 20%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No</t>
        </is>
      </c>
      <c r="BS318" s="31">
        <f>IF(BR318="NO",5,0)</f>
        <v/>
      </c>
      <c r="BT318" s="31" t="inlineStr">
        <is>
          <t>Less than 1.5</t>
        </is>
      </c>
      <c r="BU318" s="31">
        <f>IF(BT318="Above 2",0,IF(BT318="Between 1.5 to 2",5,IF(BT318="Less than 1.5",10,0)))</f>
        <v/>
      </c>
      <c r="BV318" s="31" t="inlineStr">
        <is>
          <t>Above 70%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More than 1.2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IF(B319=0,"",RANK(B319,$B$2:$B$363,0))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1" t="inlineStr">
        <is>
          <t>RAMRAT</t>
        </is>
      </c>
      <c r="D319" s="31" t="inlineStr">
        <is>
          <t>Ram Ratna Wires Ltd</t>
        </is>
      </c>
      <c r="E319" s="31" t="inlineStr">
        <is>
          <t>metals &amp; mining</t>
        </is>
      </c>
      <c r="F319" s="31" t="inlineStr">
        <is>
          <t>mining / minerals / metals</t>
        </is>
      </c>
      <c r="G319" s="31" t="inlineStr">
        <is>
          <t>midcap</t>
        </is>
      </c>
      <c r="H319" s="32" t="n">
        <v>5235.02</v>
      </c>
      <c r="I319" s="32" t="n">
        <v>560.65</v>
      </c>
      <c r="J319" s="32" t="n">
        <v>-0.03</v>
      </c>
      <c r="K319" s="32" t="n">
        <v>342804</v>
      </c>
      <c r="L319" s="31" t="n">
        <v>72</v>
      </c>
      <c r="M319" s="31" t="inlineStr">
        <is>
          <t>Outperforming</t>
        </is>
      </c>
      <c r="N319" s="32">
        <f>IF(M319="Underperforming",-5,IF(L319&gt;=95,15,IF(L319&gt;=90,10,IF(L319&gt;=80,5,0))))</f>
        <v/>
      </c>
      <c r="O319" s="32" t="n">
        <v>73.09</v>
      </c>
      <c r="P319" s="32" t="n">
        <v>44</v>
      </c>
      <c r="Q319" s="32" t="n">
        <v>448.55</v>
      </c>
      <c r="R319" s="31" t="inlineStr">
        <is>
          <t>Earnings / Momentum Support</t>
        </is>
      </c>
      <c r="S319" s="31" t="inlineStr">
        <is>
          <t>Nifty Metal</t>
        </is>
      </c>
      <c r="T319" s="32" t="n">
        <v>41.3</v>
      </c>
      <c r="U319" s="32" t="n">
        <v>61.13</v>
      </c>
      <c r="V319" s="32" t="n">
        <v>14.03</v>
      </c>
      <c r="W319" s="32" t="n">
        <v>21.62</v>
      </c>
      <c r="X319" s="31" t="inlineStr">
        <is>
          <t>Cyclical in an Upturn</t>
        </is>
      </c>
      <c r="Y319" s="31">
        <f>IF(X319="Growing Industry",10,IF(X319="Cyclical in an Upturn",5,0))</f>
        <v/>
      </c>
      <c r="Z319" s="31" t="inlineStr">
        <is>
          <t>Too Many Players with High ROCE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No</t>
        </is>
      </c>
      <c r="AC319" s="31">
        <f>IF(AB319="No",5,0)</f>
        <v/>
      </c>
      <c r="AD319" s="31" t="inlineStr">
        <is>
          <t>Tailwind</t>
        </is>
      </c>
      <c r="AE319" s="31">
        <f>IF(AD319="Tailwind",10,0)</f>
        <v/>
      </c>
      <c r="AF319" s="31" t="inlineStr">
        <is>
          <t>Cyclical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Volatile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No</t>
        </is>
      </c>
      <c r="AQ319" s="31">
        <f>IF(AP319="Yes",10,0)</f>
        <v/>
      </c>
      <c r="AR319" s="31" t="inlineStr">
        <is>
          <t>Higher One Time, Lower Annuity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Above 40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2</t>
        </is>
      </c>
      <c r="BC319" s="31">
        <f>IF(BB319="Stage 2",20,IF(BB319="Stage 1",0,IF(BB319="Stage 3",5,IF(BB319="Stage 4",-5,0))))</f>
        <v/>
      </c>
      <c r="BD319" s="31" t="inlineStr">
        <is>
          <t>Positive Trend</t>
        </is>
      </c>
      <c r="BE319" s="31">
        <f>IF(BD319="Positive Trend",20,IF(BD319="Negative Trend",-10,0))</f>
        <v/>
      </c>
      <c r="BF319" s="31" t="inlineStr">
        <is>
          <t>Uptrend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Close to 52 week high or retracement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More than 20%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No</t>
        </is>
      </c>
      <c r="BS319" s="31">
        <f>IF(BR319="NO",5,0)</f>
        <v/>
      </c>
      <c r="BT319" s="31" t="inlineStr">
        <is>
          <t>Above 2</t>
        </is>
      </c>
      <c r="BU319" s="31">
        <f>IF(BT319="Above 2",0,IF(BT319="Between 1.5 to 2",5,IF(BT319="Less than 1.5",10,0)))</f>
        <v/>
      </c>
      <c r="BV319" s="31" t="inlineStr">
        <is>
          <t>Above 70%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Between 0.7 to 1.2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IF(B320=0,"",RANK(B320,$B$2:$B$363,0))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1" t="inlineStr">
        <is>
          <t>LGBBROSLTD</t>
        </is>
      </c>
      <c r="D320" s="31" t="inlineStr">
        <is>
          <t>Lg Balakrishnan &amp; Bros Limited</t>
        </is>
      </c>
      <c r="E320" s="31" t="inlineStr">
        <is>
          <t>auto</t>
        </is>
      </c>
      <c r="F320" s="31" t="inlineStr">
        <is>
          <t>bearings</t>
        </is>
      </c>
      <c r="G320" s="31" t="inlineStr">
        <is>
          <t>midcap</t>
        </is>
      </c>
      <c r="H320" s="32" t="n">
        <v>5473.38</v>
      </c>
      <c r="I320" s="32" t="n">
        <v>1702.8</v>
      </c>
      <c r="J320" s="32" t="n">
        <v>-0.78</v>
      </c>
      <c r="K320" s="32" t="n">
        <v>50384</v>
      </c>
      <c r="L320" s="31" t="n">
        <v>24</v>
      </c>
      <c r="M320" s="31" t="inlineStr">
        <is>
          <t>Outperforming</t>
        </is>
      </c>
      <c r="N320" s="32">
        <f>IF(M320="Underperforming",-5,IF(L320&gt;=95,15,IF(L320&gt;=90,10,IF(L320&gt;=80,5,0))))</f>
        <v/>
      </c>
      <c r="O320" s="32" t="n">
        <v>57.55</v>
      </c>
      <c r="P320" s="32" t="n">
        <v>9.49</v>
      </c>
      <c r="Q320" s="32" t="n">
        <v>1414.6</v>
      </c>
      <c r="R320" s="31" t="inlineStr">
        <is>
          <t>Earnings / Momentum Support</t>
        </is>
      </c>
      <c r="S320" s="31" t="inlineStr">
        <is>
          <t>Nifty Auto</t>
        </is>
      </c>
      <c r="T320" s="32" t="n">
        <v>16.52</v>
      </c>
      <c r="U320" s="32" t="n">
        <v>35.77</v>
      </c>
      <c r="V320" s="32" t="n">
        <v>16.52</v>
      </c>
      <c r="W320" s="32" t="n">
        <v>6.55</v>
      </c>
      <c r="X320" s="31" t="inlineStr">
        <is>
          <t>Growing Industry</t>
        </is>
      </c>
      <c r="Y320" s="31">
        <f>IF(X320="Growing Industry",10,IF(X320="Cyclical in an Upturn",5,0))</f>
        <v/>
      </c>
      <c r="Z320" s="31" t="inlineStr">
        <is>
          <t>Too Many Players with High ROCE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No</t>
        </is>
      </c>
      <c r="AC320" s="31">
        <f>IF(AB320="No",5,0)</f>
        <v/>
      </c>
      <c r="AD320" s="31" t="inlineStr">
        <is>
          <t>Headwind</t>
        </is>
      </c>
      <c r="AE320" s="31">
        <f>IF(AD320="Tailwind",10,0)</f>
        <v/>
      </c>
      <c r="AF320" s="31" t="inlineStr">
        <is>
          <t>Structural (10 Years Consistency)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Stable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No</t>
        </is>
      </c>
      <c r="AQ320" s="31">
        <f>IF(AP320="Yes",10,0)</f>
        <v/>
      </c>
      <c r="AR320" s="31" t="inlineStr">
        <is>
          <t>Higher One Time, Lower Annuity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0 to 20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2</t>
        </is>
      </c>
      <c r="BC320" s="31">
        <f>IF(BB320="Stage 2",20,IF(BB320="Stage 1",0,IF(BB320="Stage 3",5,IF(BB320="Stage 4",-5,0))))</f>
        <v/>
      </c>
      <c r="BD320" s="31" t="inlineStr">
        <is>
          <t>Positive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Close to 52 week high or retracement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Less than 12%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No</t>
        </is>
      </c>
      <c r="BS320" s="31">
        <f>IF(BR320="NO",5,0)</f>
        <v/>
      </c>
      <c r="BT320" s="31" t="inlineStr">
        <is>
          <t>Less than 1.5</t>
        </is>
      </c>
      <c r="BU320" s="31">
        <f>IF(BT320="Above 2",0,IF(BT320="Between 1.5 to 2",5,IF(BT320="Less than 1.5",10,0)))</f>
        <v/>
      </c>
      <c r="BV320" s="31" t="inlineStr">
        <is>
          <t>Above 70%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Less than 0.7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IF(B321=0,"",RANK(B321,$B$2:$B$363,0))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1" t="inlineStr">
        <is>
          <t>JYOTICNC</t>
        </is>
      </c>
      <c r="D321" s="31" t="inlineStr">
        <is>
          <t>Jyoti CNC Automation Ltd</t>
        </is>
      </c>
      <c r="E321" s="31" t="inlineStr">
        <is>
          <t>industrials</t>
        </is>
      </c>
      <c r="F321" s="31" t="inlineStr">
        <is>
          <t>engineering</t>
        </is>
      </c>
      <c r="G321" s="31" t="inlineStr">
        <is>
          <t>largecap</t>
        </is>
      </c>
      <c r="H321" s="32" t="n">
        <v>23352.94</v>
      </c>
      <c r="I321" s="32" t="n">
        <v>1003.9</v>
      </c>
      <c r="J321" s="32" t="n">
        <v>-2.24</v>
      </c>
      <c r="K321" s="32" t="n">
        <v>1051995</v>
      </c>
      <c r="L321" s="31" t="n">
        <v>59</v>
      </c>
      <c r="M321" s="31" t="inlineStr">
        <is>
          <t>Outperforming</t>
        </is>
      </c>
      <c r="N321" s="32">
        <f>IF(M321="Underperforming",-5,IF(L321&gt;=95,15,IF(L321&gt;=90,10,IF(L321&gt;=80,5,0))))</f>
        <v/>
      </c>
      <c r="O321" s="32" t="n">
        <v>66.14</v>
      </c>
      <c r="P321" s="32" t="n">
        <v>16.58</v>
      </c>
      <c r="Q321" s="32" t="n">
        <v>801.85</v>
      </c>
      <c r="R321" s="31" t="inlineStr">
        <is>
          <t>Near 52W High Breakout</t>
        </is>
      </c>
      <c r="S321" s="31" t="inlineStr">
        <is>
          <t>Nifty 50</t>
        </is>
      </c>
      <c r="T321" s="32" t="n">
        <v>-3.41</v>
      </c>
      <c r="U321" s="32" t="n">
        <v>11.95</v>
      </c>
      <c r="V321" s="32" t="n">
        <v>15.9</v>
      </c>
      <c r="W321" s="32" t="n">
        <v>17.2</v>
      </c>
      <c r="X321" s="31" t="inlineStr">
        <is>
          <t>Cyclical in an Upturn</t>
        </is>
      </c>
      <c r="Y321" s="31">
        <f>IF(X321="Growing Industry",10,IF(X321="Cyclical in an Upturn",5,0))</f>
        <v/>
      </c>
      <c r="Z321" s="31" t="inlineStr">
        <is>
          <t>Too Many Players with High ROCE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No</t>
        </is>
      </c>
      <c r="AC321" s="31">
        <f>IF(AB321="No",5,0)</f>
        <v/>
      </c>
      <c r="AD321" s="31" t="inlineStr">
        <is>
          <t>Tailwind</t>
        </is>
      </c>
      <c r="AE321" s="31">
        <f>IF(AD321="Tailwind",10,0)</f>
        <v/>
      </c>
      <c r="AF321" s="31" t="inlineStr">
        <is>
          <t>Structural (10 Years Consistency)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Stable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Yes</t>
        </is>
      </c>
      <c r="AQ321" s="31">
        <f>IF(AP321="Yes",10,0)</f>
        <v/>
      </c>
      <c r="AR321" s="31" t="inlineStr">
        <is>
          <t>Higher One Time, Lower Annuity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0 to 20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2</t>
        </is>
      </c>
      <c r="BC321" s="31">
        <f>IF(BB321="Stage 2",20,IF(BB321="Stage 1",0,IF(BB321="Stage 3",5,IF(BB321="Stage 4",-5,0))))</f>
        <v/>
      </c>
      <c r="BD321" s="31" t="inlineStr">
        <is>
          <t>Positive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Close to 52 week high or retracement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Less than 12%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Yes</t>
        </is>
      </c>
      <c r="BS321" s="31">
        <f>IF(BR321="NO",5,0)</f>
        <v/>
      </c>
      <c r="BT321" s="31" t="inlineStr">
        <is>
          <t>Above 2</t>
        </is>
      </c>
      <c r="BU321" s="31">
        <f>IF(BT321="Above 2",0,IF(BT321="Between 1.5 to 2",5,IF(BT321="Less than 1.5",10,0)))</f>
        <v/>
      </c>
      <c r="BV321" s="31" t="inlineStr">
        <is>
          <t>Above 70%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Less than 0.7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IF(B322=0,"",RANK(B322,$B$2:$B$363,0))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1" t="inlineStr">
        <is>
          <t>MANALIPETC</t>
        </is>
      </c>
      <c r="D322" s="31" t="inlineStr">
        <is>
          <t>Manali Petrochemicals Limited</t>
        </is>
      </c>
      <c r="E322" s="31" t="inlineStr">
        <is>
          <t>energy</t>
        </is>
      </c>
      <c r="F322" s="31" t="inlineStr">
        <is>
          <t>petrochemicals</t>
        </is>
      </c>
      <c r="G322" s="31" t="inlineStr">
        <is>
          <t>smallcap</t>
        </is>
      </c>
      <c r="H322" s="32" t="n">
        <v>1543.35</v>
      </c>
      <c r="I322" s="32" t="n">
        <v>86.76000000000001</v>
      </c>
      <c r="J322" s="32" t="n">
        <v>-3.31</v>
      </c>
      <c r="K322" s="32" t="n">
        <v>6435710</v>
      </c>
      <c r="L322" s="31" t="n">
        <v>68</v>
      </c>
      <c r="M322" s="31" t="inlineStr">
        <is>
          <t>Outperforming</t>
        </is>
      </c>
      <c r="N322" s="32">
        <f>IF(M322="Underperforming",-5,IF(L322&gt;=95,15,IF(L322&gt;=90,10,IF(L322&gt;=80,5,0))))</f>
        <v/>
      </c>
      <c r="O322" s="32" t="n">
        <v>76.06999999999999</v>
      </c>
      <c r="P322" s="32" t="n">
        <v>38.78</v>
      </c>
      <c r="Q322" s="32" t="n">
        <v>64.94</v>
      </c>
      <c r="R322" s="31" t="inlineStr">
        <is>
          <t>Volume Spike &amp; Near 52W High Breakout</t>
        </is>
      </c>
      <c r="S322" s="31" t="inlineStr">
        <is>
          <t>Nifty Energy</t>
        </is>
      </c>
      <c r="T322" s="32" t="n">
        <v>7.99</v>
      </c>
      <c r="U322" s="32" t="n">
        <v>19.84</v>
      </c>
      <c r="V322" s="32" t="n">
        <v>10.97</v>
      </c>
      <c r="W322" s="32" t="n">
        <v>20</v>
      </c>
      <c r="X322" s="31" t="inlineStr">
        <is>
          <t>Cyclical in an Upturn</t>
        </is>
      </c>
      <c r="Y322" s="31">
        <f>IF(X322="Growing Industry",10,IF(X322="Cyclical in an Upturn",5,0))</f>
        <v/>
      </c>
      <c r="Z322" s="31" t="inlineStr">
        <is>
          <t>Oligopoly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Yes</t>
        </is>
      </c>
      <c r="AC322" s="31">
        <f>IF(AB322="No",5,0)</f>
        <v/>
      </c>
      <c r="AD322" s="31" t="inlineStr">
        <is>
          <t>Tailwind</t>
        </is>
      </c>
      <c r="AE322" s="31">
        <f>IF(AD322="Tailwind",10,0)</f>
        <v/>
      </c>
      <c r="AF322" s="31" t="inlineStr">
        <is>
          <t>Cyclical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Volatile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Yes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Good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20 to 40</t>
        </is>
      </c>
      <c r="AY322" s="31">
        <f>IF(AX322="Above 40",20,IF(AX322="20 to 40",10,IF(AX322="0 to 20",-5,0)))</f>
        <v/>
      </c>
      <c r="AZ322" s="31" t="inlineStr">
        <is>
          <t>Above 75</t>
        </is>
      </c>
      <c r="BA322" s="31">
        <f>IF(AZ322="Between 50 to 75",10,IF(AZ322="Above 75",0,0))</f>
        <v/>
      </c>
      <c r="BB322" s="31" t="inlineStr">
        <is>
          <t>Stage 2</t>
        </is>
      </c>
      <c r="BC322" s="31">
        <f>IF(BB322="Stage 2",20,IF(BB322="Stage 1",0,IF(BB322="Stage 3",5,IF(BB322="Stage 4",-5,0))))</f>
        <v/>
      </c>
      <c r="BD322" s="31" t="inlineStr">
        <is>
          <t>Positive Trend</t>
        </is>
      </c>
      <c r="BE322" s="31">
        <f>IF(BD322="Positive Trend",20,IF(BD322="Negative Trend",-10,0))</f>
        <v/>
      </c>
      <c r="BF322" s="31" t="inlineStr">
        <is>
          <t>Uptrend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Blue sky scenario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More than 20%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No</t>
        </is>
      </c>
      <c r="BS322" s="31">
        <f>IF(BR322="NO",5,0)</f>
        <v/>
      </c>
      <c r="BT322" s="31" t="inlineStr">
        <is>
          <t>Above 2</t>
        </is>
      </c>
      <c r="BU322" s="31">
        <f>IF(BT322="Above 2",0,IF(BT322="Between 1.5 to 2",5,IF(BT322="Less than 1.5",10,0)))</f>
        <v/>
      </c>
      <c r="BV322" s="31" t="inlineStr">
        <is>
          <t>Above 70%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Less than 0.7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IF(B323=0,"",RANK(B323,$B$2:$B$363,0))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1" t="inlineStr">
        <is>
          <t>TNPETRO</t>
        </is>
      </c>
      <c r="D323" s="31" t="inlineStr">
        <is>
          <t>Tamilnadu Petroproducts Limited</t>
        </is>
      </c>
      <c r="E323" s="31" t="inlineStr">
        <is>
          <t>energy</t>
        </is>
      </c>
      <c r="F323" s="31" t="inlineStr">
        <is>
          <t>petrochemicals</t>
        </is>
      </c>
      <c r="G323" s="31" t="inlineStr">
        <is>
          <t>smallcap</t>
        </is>
      </c>
      <c r="H323" s="32" t="n">
        <v>1239.9</v>
      </c>
      <c r="I323" s="32" t="n">
        <v>132.7</v>
      </c>
      <c r="J323" s="32" t="n">
        <v>-3.71</v>
      </c>
      <c r="K323" s="32" t="n">
        <v>1119931</v>
      </c>
      <c r="L323" s="31" t="n">
        <v>63</v>
      </c>
      <c r="M323" s="31" t="inlineStr">
        <is>
          <t>Outperforming</t>
        </is>
      </c>
      <c r="N323" s="32">
        <f>IF(M323="Underperforming",-5,IF(L323&gt;=95,15,IF(L323&gt;=90,10,IF(L323&gt;=80,5,0))))</f>
        <v/>
      </c>
      <c r="O323" s="32" t="n">
        <v>78.13</v>
      </c>
      <c r="P323" s="32" t="n">
        <v>32.39</v>
      </c>
      <c r="Q323" s="32" t="n">
        <v>102.83</v>
      </c>
      <c r="R323" s="31" t="inlineStr">
        <is>
          <t>Volume Spike &amp; Near 52W High Breakout</t>
        </is>
      </c>
      <c r="S323" s="31" t="inlineStr">
        <is>
          <t>Nifty Energy</t>
        </is>
      </c>
      <c r="T323" s="32" t="n">
        <v>7.99</v>
      </c>
      <c r="U323" s="32" t="n">
        <v>31.01</v>
      </c>
      <c r="V323" s="32" t="n">
        <v>21.32</v>
      </c>
      <c r="W323" s="32" t="n">
        <v>18.16</v>
      </c>
      <c r="X323" s="31" t="inlineStr">
        <is>
          <t>Cyclical in an Upturn</t>
        </is>
      </c>
      <c r="Y323" s="31">
        <f>IF(X323="Growing Industry",10,IF(X323="Cyclical in an Upturn",5,0))</f>
        <v/>
      </c>
      <c r="Z323" s="31" t="inlineStr">
        <is>
          <t>Oligopoly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Yes</t>
        </is>
      </c>
      <c r="AC323" s="31">
        <f>IF(AB323="No",5,0)</f>
        <v/>
      </c>
      <c r="AD323" s="31" t="inlineStr">
        <is>
          <t>Tailwind</t>
        </is>
      </c>
      <c r="AE323" s="31">
        <f>IF(AD323="Tailwind",10,0)</f>
        <v/>
      </c>
      <c r="AF323" s="31" t="inlineStr">
        <is>
          <t>Cyclical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Volatile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Yes</t>
        </is>
      </c>
      <c r="AQ323" s="31">
        <f>IF(AP323="Yes",10,0)</f>
        <v/>
      </c>
      <c r="AR323" s="31" t="inlineStr">
        <is>
          <t>Higher One Time, Lower Annuity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20 to 40</t>
        </is>
      </c>
      <c r="AY323" s="31">
        <f>IF(AX323="Above 40",20,IF(AX323="20 to 40",10,IF(AX323="0 to 20",-5,0)))</f>
        <v/>
      </c>
      <c r="AZ323" s="31" t="inlineStr">
        <is>
          <t>Above 75</t>
        </is>
      </c>
      <c r="BA323" s="31">
        <f>IF(AZ323="Between 50 to 75",10,IF(AZ323="Above 75",0,0))</f>
        <v/>
      </c>
      <c r="BB323" s="31" t="inlineStr">
        <is>
          <t>Stage 2</t>
        </is>
      </c>
      <c r="BC323" s="31">
        <f>IF(BB323="Stage 2",20,IF(BB323="Stage 1",0,IF(BB323="Stage 3",5,IF(BB323="Stage 4",-5,0))))</f>
        <v/>
      </c>
      <c r="BD323" s="31" t="inlineStr">
        <is>
          <t>Positive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Blue sky scenario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More than 20%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No</t>
        </is>
      </c>
      <c r="BS323" s="31">
        <f>IF(BR323="NO",5,0)</f>
        <v/>
      </c>
      <c r="BT323" s="31" t="inlineStr">
        <is>
          <t>Above 2</t>
        </is>
      </c>
      <c r="BU323" s="31">
        <f>IF(BT323="Above 2",0,IF(BT323="Between 1.5 to 2",5,IF(BT323="Less than 1.5",10,0)))</f>
        <v/>
      </c>
      <c r="BV323" s="31" t="inlineStr">
        <is>
          <t>Above 70%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Less than 0.7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  <row r="324">
      <c r="A324" s="31">
        <f>IF(B324=0,"",RANK(B324,$B$2:$B$363,0))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3" t="inlineStr">
        <is>
          <t>MAHSEAMLES</t>
        </is>
      </c>
      <c r="D324" s="33" t="inlineStr">
        <is>
          <t>Maharashtra Seamless Limited</t>
        </is>
      </c>
      <c r="E324" s="31" t="inlineStr">
        <is>
          <t>metals &amp; mining</t>
        </is>
      </c>
      <c r="F324" s="31" t="inlineStr">
        <is>
          <t>steel - medium / small</t>
        </is>
      </c>
      <c r="G324" s="31" t="inlineStr">
        <is>
          <t>midcap</t>
        </is>
      </c>
      <c r="H324" s="32" t="n">
        <v>8756.85</v>
      </c>
      <c r="I324" s="32" t="n">
        <v>688.1</v>
      </c>
      <c r="J324" s="32" t="n">
        <v>5.29</v>
      </c>
      <c r="K324" s="32" t="n">
        <v>1179393</v>
      </c>
      <c r="L324" s="31" t="n">
        <v>12</v>
      </c>
      <c r="M324" s="31" t="inlineStr">
        <is>
          <t>Underperforming</t>
        </is>
      </c>
      <c r="N324" s="32">
        <f>IF(M324="Underperforming",-5,IF(L324&gt;=95,15,IF(L324&gt;=90,10,IF(L324&gt;=80,5,0))))</f>
        <v/>
      </c>
      <c r="O324" s="32" t="n">
        <v>70.44</v>
      </c>
      <c r="P324" s="32" t="n">
        <v>18.59</v>
      </c>
      <c r="Q324" s="32" t="n">
        <v>578.99</v>
      </c>
      <c r="R324" s="31" t="inlineStr">
        <is>
          <t>Volume Spike &amp; Near 52W High Breakout</t>
        </is>
      </c>
      <c r="S324" s="31" t="inlineStr">
        <is>
          <t>Nifty Metal</t>
        </is>
      </c>
      <c r="T324" s="32" t="n">
        <v>41.3</v>
      </c>
      <c r="U324" s="32" t="n">
        <v>0.42</v>
      </c>
      <c r="V324" s="32" t="n">
        <v>-28.93</v>
      </c>
      <c r="W324" s="32" t="n">
        <v>2.99</v>
      </c>
      <c r="X324" s="31" t="inlineStr">
        <is>
          <t>Cyclical in an Upturn</t>
        </is>
      </c>
      <c r="Y324" s="31">
        <f>IF(X324="Growing Industry",10,IF(X324="Cyclical in an Upturn",5,0))</f>
        <v/>
      </c>
      <c r="Z324" s="31" t="inlineStr">
        <is>
          <t>Too Many Players with High ROCE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No</t>
        </is>
      </c>
      <c r="AC324" s="31">
        <f>IF(AB324="No",5,0)</f>
        <v/>
      </c>
      <c r="AD324" s="31" t="inlineStr">
        <is>
          <t>Tailwind</t>
        </is>
      </c>
      <c r="AE324" s="31">
        <f>IF(AD324="Tailwind",10,0)</f>
        <v/>
      </c>
      <c r="AF324" s="31" t="inlineStr">
        <is>
          <t>Cyclical</t>
        </is>
      </c>
      <c r="AG324" s="31">
        <f>IF(AF324="Structural (10 Years Consistency)",10,IF(AF324="Shallow Cyclical (2 to 3 years growth)",5,0))</f>
        <v/>
      </c>
      <c r="AH324" s="31" t="inlineStr">
        <is>
          <t>No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Volatile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B2B</t>
        </is>
      </c>
      <c r="AO324" s="31">
        <f>IF(AN324="B2C",10,IF(AN324="B2B",5,0))</f>
        <v/>
      </c>
      <c r="AP324" s="31" t="inlineStr">
        <is>
          <t>Yes</t>
        </is>
      </c>
      <c r="AQ324" s="31">
        <f>IF(AP324="Yes",10,0)</f>
        <v/>
      </c>
      <c r="AR324" s="31" t="inlineStr">
        <is>
          <t>Higher One Time, Lower Annuity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Good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0 to 20</t>
        </is>
      </c>
      <c r="AY324" s="31">
        <f>IF(AX324="Above 40",20,IF(AX324="20 to 40",10,IF(AX324="0 to 20",-5,0)))</f>
        <v/>
      </c>
      <c r="AZ324" s="31" t="inlineStr">
        <is>
          <t>Between 50 to 75</t>
        </is>
      </c>
      <c r="BA324" s="31">
        <f>IF(AZ324="Between 50 to 75",10,IF(AZ324="Above 75",0,0))</f>
        <v/>
      </c>
      <c r="BB324" s="31" t="inlineStr">
        <is>
          <t>Stage 2</t>
        </is>
      </c>
      <c r="BC324" s="31">
        <f>IF(BB324="Stage 2",20,IF(BB324="Stage 1",0,IF(BB324="Stage 3",5,IF(BB324="Stage 4",-5,0))))</f>
        <v/>
      </c>
      <c r="BD324" s="31" t="inlineStr">
        <is>
          <t>Positive Trend</t>
        </is>
      </c>
      <c r="BE324" s="31">
        <f>IF(BD324="Positive Trend",20,IF(BD324="Negative Trend",-10,0))</f>
        <v/>
      </c>
      <c r="BF324" s="31" t="inlineStr">
        <is>
          <t>Uptrend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Close to 52 week high or retracement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Between 12 to 20%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No</t>
        </is>
      </c>
      <c r="BS324" s="31">
        <f>IF(BR324="NO",5,0)</f>
        <v/>
      </c>
      <c r="BT324" s="31" t="inlineStr">
        <is>
          <t>Less than 1.5</t>
        </is>
      </c>
      <c r="BU324" s="31">
        <f>IF(BT324="Above 2",0,IF(BT324="Between 1.5 to 2",5,IF(BT324="Less than 1.5",10,0)))</f>
        <v/>
      </c>
      <c r="BV324" s="31" t="inlineStr">
        <is>
          <t>Above 70%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Less than 0.7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Less than 15%</t>
        </is>
      </c>
      <c r="CC324" s="31">
        <f>IF(CB324="More than 15%",-10,IF(CB324="Less than 15%",10,0))</f>
        <v/>
      </c>
      <c r="CD324" s="31" t="inlineStr">
        <is>
          <t>No</t>
        </is>
      </c>
      <c r="CE324" s="31">
        <f>IF(CD324="Yes, more than 10%",-10,IF(CD324="No",10,0))</f>
        <v/>
      </c>
    </row>
    <row r="325">
      <c r="A325" s="31">
        <f>IF(B325=0,"",RANK(B325,$B$2:$B$363,0))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3" t="inlineStr">
        <is>
          <t>PRABHA</t>
        </is>
      </c>
      <c r="D325" s="33" t="inlineStr">
        <is>
          <t>Prabha Energy Ltd</t>
        </is>
      </c>
      <c r="E325" s="31" t="inlineStr">
        <is>
          <t>energy</t>
        </is>
      </c>
      <c r="F325" s="31" t="inlineStr">
        <is>
          <t>oil drilling / allied services</t>
        </is>
      </c>
      <c r="G325" s="31" t="inlineStr">
        <is>
          <t>smallcap</t>
        </is>
      </c>
      <c r="H325" s="32" t="n">
        <v>3238.82</v>
      </c>
      <c r="I325" s="32" t="n">
        <v>230.6</v>
      </c>
      <c r="J325" s="32" t="n">
        <v>4.36</v>
      </c>
      <c r="K325" s="32" t="n">
        <v>11908766</v>
      </c>
      <c r="L325" s="31" t="n">
        <v>34</v>
      </c>
      <c r="M325" s="31" t="inlineStr">
        <is>
          <t>Underperforming</t>
        </is>
      </c>
      <c r="N325" s="32">
        <f>IF(M325="Underperforming",-5,IF(L325&gt;=95,15,IF(L325&gt;=90,10,IF(L325&gt;=80,5,0))))</f>
        <v/>
      </c>
      <c r="O325" s="32" t="n">
        <v>70.81</v>
      </c>
      <c r="P325" s="32" t="n">
        <v>21.12</v>
      </c>
      <c r="Q325" s="32" t="n">
        <v>166.24</v>
      </c>
      <c r="R325" s="31" t="inlineStr">
        <is>
          <t>Volume Spike &amp; Near 52W High Breakout</t>
        </is>
      </c>
      <c r="S325" s="31" t="inlineStr">
        <is>
          <t>Nifty Energy</t>
        </is>
      </c>
      <c r="T325" s="32" t="n">
        <v>7.99</v>
      </c>
      <c r="U325" s="32" t="n">
        <v>-12.09</v>
      </c>
      <c r="V325" s="32" t="n">
        <v>-18.59</v>
      </c>
      <c r="W325" s="32" t="n">
        <v>8.85</v>
      </c>
      <c r="X325" s="31" t="inlineStr">
        <is>
          <t>Cyclical in an Upturn</t>
        </is>
      </c>
      <c r="Y325" s="31">
        <f>IF(X325="Growing Industry",10,IF(X325="Cyclical in an Upturn",5,0))</f>
        <v/>
      </c>
      <c r="Z325" s="31" t="inlineStr">
        <is>
          <t>Oligopoly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Yes</t>
        </is>
      </c>
      <c r="AC325" s="31">
        <f>IF(AB325="No",5,0)</f>
        <v/>
      </c>
      <c r="AD325" s="31" t="inlineStr">
        <is>
          <t>Tailwind</t>
        </is>
      </c>
      <c r="AE325" s="31">
        <f>IF(AD325="Tailwind",10,0)</f>
        <v/>
      </c>
      <c r="AF325" s="31" t="inlineStr">
        <is>
          <t>Cyclical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Volatile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B2B</t>
        </is>
      </c>
      <c r="AO325" s="31">
        <f>IF(AN325="B2C",10,IF(AN325="B2B",5,0))</f>
        <v/>
      </c>
      <c r="AP325" s="31" t="inlineStr">
        <is>
          <t>Yes</t>
        </is>
      </c>
      <c r="AQ325" s="31">
        <f>IF(AP325="Yes",10,0)</f>
        <v/>
      </c>
      <c r="AR325" s="31" t="inlineStr">
        <is>
          <t>Higher One Time, Lower Annuity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Good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20 to 40</t>
        </is>
      </c>
      <c r="AY325" s="31">
        <f>IF(AX325="Above 40",20,IF(AX325="20 to 40",10,IF(AX325="0 to 20",-5,0)))</f>
        <v/>
      </c>
      <c r="AZ325" s="31" t="inlineStr">
        <is>
          <t>Between 50 to 75</t>
        </is>
      </c>
      <c r="BA325" s="31">
        <f>IF(AZ325="Between 50 to 75",10,IF(AZ325="Above 75",0,0))</f>
        <v/>
      </c>
      <c r="BB325" s="31" t="inlineStr">
        <is>
          <t>Stage 2</t>
        </is>
      </c>
      <c r="BC325" s="31">
        <f>IF(BB325="Stage 2",20,IF(BB325="Stage 1",0,IF(BB325="Stage 3",5,IF(BB325="Stage 4",-5,0))))</f>
        <v/>
      </c>
      <c r="BD325" s="31" t="inlineStr">
        <is>
          <t>Positive Trend</t>
        </is>
      </c>
      <c r="BE325" s="31">
        <f>IF(BD325="Positive Trend",20,IF(BD325="Negative Trend",-10,0))</f>
        <v/>
      </c>
      <c r="BF325" s="31" t="inlineStr">
        <is>
          <t>Uptrend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Close to 52 week high or retracement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More than 20%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Yes</t>
        </is>
      </c>
      <c r="BS325" s="31">
        <f>IF(BR325="NO",5,0)</f>
        <v/>
      </c>
      <c r="BT325" s="31" t="inlineStr">
        <is>
          <t>Above 2</t>
        </is>
      </c>
      <c r="BU325" s="31">
        <f>IF(BT325="Above 2",0,IF(BT325="Between 1.5 to 2",5,IF(BT325="Less than 1.5",10,0)))</f>
        <v/>
      </c>
      <c r="BV325" s="31" t="inlineStr">
        <is>
          <t>Above 70%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Less than 0.7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IF(B326=0,"",RANK(B326,$B$2:$B$363,0))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3" t="inlineStr">
        <is>
          <t>SRHHYPOLTD</t>
        </is>
      </c>
      <c r="D326" s="33" t="inlineStr">
        <is>
          <t>Sree Rayalaseema Hi-strength Hypo Limited</t>
        </is>
      </c>
      <c r="E326" s="31" t="inlineStr">
        <is>
          <t>chemicals</t>
        </is>
      </c>
      <c r="F326" s="31" t="inlineStr">
        <is>
          <t>chemicals</t>
        </is>
      </c>
      <c r="G326" s="31" t="inlineStr">
        <is>
          <t>smallcap</t>
        </is>
      </c>
      <c r="H326" s="32" t="n">
        <v>873.52</v>
      </c>
      <c r="I326" s="32" t="n">
        <v>531.05</v>
      </c>
      <c r="J326" s="32" t="n">
        <v>4.35</v>
      </c>
      <c r="K326" s="32" t="n">
        <v>49199</v>
      </c>
      <c r="L326" s="31" t="n">
        <v>1</v>
      </c>
      <c r="M326" s="31" t="inlineStr">
        <is>
          <t>Underperforming</t>
        </is>
      </c>
      <c r="N326" s="32">
        <f>IF(M326="Underperforming",-5,IF(L326&gt;=95,15,IF(L326&gt;=90,10,IF(L326&gt;=80,5,0))))</f>
        <v/>
      </c>
      <c r="O326" s="32" t="n">
        <v>56.87</v>
      </c>
      <c r="P326" s="32" t="n">
        <v>7.09</v>
      </c>
      <c r="Q326" s="32" t="n">
        <v>420.57</v>
      </c>
      <c r="R326" s="31" t="inlineStr">
        <is>
          <t>Volume Spike / Accumulation</t>
        </is>
      </c>
      <c r="S326" s="31" t="inlineStr">
        <is>
          <t>Nifty 50</t>
        </is>
      </c>
      <c r="T326" s="32" t="n">
        <v>-3.41</v>
      </c>
      <c r="U326" s="32" t="n">
        <v>-14.23</v>
      </c>
      <c r="V326" s="32" t="n">
        <v>-11.2</v>
      </c>
      <c r="W326" s="32" t="n">
        <v>-1.26</v>
      </c>
      <c r="X326" s="31" t="inlineStr">
        <is>
          <t>Growing Industry</t>
        </is>
      </c>
      <c r="Y326" s="31">
        <f>IF(X326="Growing Industry",10,IF(X326="Cyclical in an Upturn",5,0))</f>
        <v/>
      </c>
      <c r="Z326" s="31" t="inlineStr">
        <is>
          <t>Too Many Players with High ROCE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No</t>
        </is>
      </c>
      <c r="AC326" s="31">
        <f>IF(AB326="No",5,0)</f>
        <v/>
      </c>
      <c r="AD326" s="31" t="inlineStr">
        <is>
          <t>Tailwind</t>
        </is>
      </c>
      <c r="AE326" s="31">
        <f>IF(AD326="Tailwind",10,0)</f>
        <v/>
      </c>
      <c r="AF326" s="31" t="inlineStr">
        <is>
          <t>Structural (10 Years Consistency)</t>
        </is>
      </c>
      <c r="AG326" s="31">
        <f>IF(AF326="Structural (10 Years Consistency)",10,IF(AF326="Shallow Cyclical (2 to 3 years growth)",5,0))</f>
        <v/>
      </c>
      <c r="AH326" s="31" t="inlineStr">
        <is>
          <t>No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Stable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Yes</t>
        </is>
      </c>
      <c r="AQ326" s="31">
        <f>IF(AP326="Yes",10,0)</f>
        <v/>
      </c>
      <c r="AR326" s="31" t="inlineStr">
        <is>
          <t>Higher One Time, Lower Annuity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Good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0 to 20</t>
        </is>
      </c>
      <c r="AY326" s="31">
        <f>IF(AX326="Above 40",20,IF(AX326="20 to 40",10,IF(AX326="0 to 20",-5,0)))</f>
        <v/>
      </c>
      <c r="AZ326" s="31" t="inlineStr">
        <is>
          <t>Between 50 to 75</t>
        </is>
      </c>
      <c r="BA326" s="31">
        <f>IF(AZ326="Between 50 to 75",10,IF(AZ326="Above 75",0,0))</f>
        <v/>
      </c>
      <c r="BB326" s="31" t="inlineStr">
        <is>
          <t>Stage 1</t>
        </is>
      </c>
      <c r="BC326" s="31">
        <f>IF(BB326="Stage 2",20,IF(BB326="Stage 1",0,IF(BB326="Stage 3",5,IF(BB326="Stage 4",-5,0))))</f>
        <v/>
      </c>
      <c r="BD326" s="31" t="inlineStr">
        <is>
          <t>Positive Trend</t>
        </is>
      </c>
      <c r="BE326" s="31">
        <f>IF(BD326="Positive Trend",20,IF(BD326="Negative Trend",-10,0))</f>
        <v/>
      </c>
      <c r="BF326" s="31" t="inlineStr">
        <is>
          <t>Uptrend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Close to 52 week high or retracement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Less than 12%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No</t>
        </is>
      </c>
      <c r="BS326" s="31">
        <f>IF(BR326="NO",5,0)</f>
        <v/>
      </c>
      <c r="BT326" s="31" t="inlineStr">
        <is>
          <t>Less than 1.5</t>
        </is>
      </c>
      <c r="BU326" s="31">
        <f>IF(BT326="Above 2",0,IF(BT326="Between 1.5 to 2",5,IF(BT326="Less than 1.5",10,0)))</f>
        <v/>
      </c>
      <c r="BV326" s="31" t="inlineStr">
        <is>
          <t>Above 70%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Less than 0.7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Less than 15%</t>
        </is>
      </c>
      <c r="CC326" s="31">
        <f>IF(CB326="More than 15%",-10,IF(CB326="Less than 15%",10,0))</f>
        <v/>
      </c>
      <c r="CD326" s="31" t="inlineStr">
        <is>
          <t>No</t>
        </is>
      </c>
      <c r="CE326" s="31">
        <f>IF(CD326="Yes, more than 10%",-10,IF(CD326="No",10,0))</f>
        <v/>
      </c>
    </row>
    <row r="327">
      <c r="A327" s="31">
        <f>IF(B327=0,"",RANK(B327,$B$2:$B$363,0))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1" t="inlineStr">
        <is>
          <t>RAIN</t>
        </is>
      </c>
      <c r="D327" s="31" t="inlineStr">
        <is>
          <t>Rain Industries Limited</t>
        </is>
      </c>
      <c r="E327" s="31" t="inlineStr">
        <is>
          <t>miscellaneous</t>
        </is>
      </c>
      <c r="F327" s="31" t="inlineStr">
        <is>
          <t>miscellaneous</t>
        </is>
      </c>
      <c r="G327" s="31" t="inlineStr">
        <is>
          <t>midcap</t>
        </is>
      </c>
      <c r="H327" s="32" t="n">
        <v>7120.77</v>
      </c>
      <c r="I327" s="32" t="n">
        <v>215.72</v>
      </c>
      <c r="J327" s="32" t="n">
        <v>1.89</v>
      </c>
      <c r="K327" s="32" t="n">
        <v>4009182</v>
      </c>
      <c r="L327" s="31" t="n">
        <v>50</v>
      </c>
      <c r="M327" s="31" t="inlineStr">
        <is>
          <t>Outperforming</t>
        </is>
      </c>
      <c r="N327" s="32">
        <f>IF(M327="Underperforming",-5,IF(L327&gt;=95,15,IF(L327&gt;=90,10,IF(L327&gt;=80,5,0))))</f>
        <v/>
      </c>
      <c r="O327" s="32" t="n">
        <v>65.54000000000001</v>
      </c>
      <c r="P327" s="32" t="n">
        <v>49.9</v>
      </c>
      <c r="Q327" s="32" t="n">
        <v>167.78</v>
      </c>
      <c r="R327" s="31" t="inlineStr">
        <is>
          <t>Near 52W High Breakout</t>
        </is>
      </c>
      <c r="S327" s="31" t="inlineStr">
        <is>
          <t>Nifty 50</t>
        </is>
      </c>
      <c r="T327" s="32" t="n">
        <v>-3.41</v>
      </c>
      <c r="U327" s="32" t="n">
        <v>56.44</v>
      </c>
      <c r="V327" s="32" t="n">
        <v>61.96</v>
      </c>
      <c r="W327" s="32" t="n">
        <v>14.15</v>
      </c>
      <c r="X327" s="31" t="inlineStr">
        <is>
          <t>Growing Industry</t>
        </is>
      </c>
      <c r="Y327" s="31">
        <f>IF(X327="Growing Industry",10,IF(X327="Cyclical in an Upturn",5,0))</f>
        <v/>
      </c>
      <c r="Z327" s="31" t="inlineStr">
        <is>
          <t>Too Many Players with High ROCE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No</t>
        </is>
      </c>
      <c r="AC327" s="31">
        <f>IF(AB327="No",5,0)</f>
        <v/>
      </c>
      <c r="AD327" s="31" t="inlineStr">
        <is>
          <t>Tailwind</t>
        </is>
      </c>
      <c r="AE327" s="31">
        <f>IF(AD327="Tailwind",10,0)</f>
        <v/>
      </c>
      <c r="AF327" s="31" t="inlineStr">
        <is>
          <t>Structural (10 Years Consistency)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Stable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B2B</t>
        </is>
      </c>
      <c r="AO327" s="31">
        <f>IF(AN327="B2C",10,IF(AN327="B2B",5,0))</f>
        <v/>
      </c>
      <c r="AP327" s="31" t="inlineStr">
        <is>
          <t>Yes</t>
        </is>
      </c>
      <c r="AQ327" s="31">
        <f>IF(AP327="Yes",10,0)</f>
        <v/>
      </c>
      <c r="AR327" s="31" t="inlineStr">
        <is>
          <t>Higher One Time, Lower Annuity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Good</t>
        </is>
      </c>
      <c r="AU327" s="31">
        <f>IF(AT327="Good",10,0)</f>
        <v/>
      </c>
      <c r="AV327" s="31" t="inlineStr">
        <is>
          <t>Yes for more than 2 years</t>
        </is>
      </c>
      <c r="AW327" s="31">
        <f>IF(AV327="Yes for more than 2 years",10,IF(AV327="Yes only for next 1 to 2 years",5,0))</f>
        <v/>
      </c>
      <c r="AX327" s="31" t="inlineStr">
        <is>
          <t>Above 40</t>
        </is>
      </c>
      <c r="AY327" s="31">
        <f>IF(AX327="Above 40",20,IF(AX327="20 to 40",10,IF(AX327="0 to 20",-5,0)))</f>
        <v/>
      </c>
      <c r="AZ327" s="31" t="inlineStr">
        <is>
          <t>Between 50 to 75</t>
        </is>
      </c>
      <c r="BA327" s="31">
        <f>IF(AZ327="Between 50 to 75",10,IF(AZ327="Above 75",0,0))</f>
        <v/>
      </c>
      <c r="BB327" s="31" t="inlineStr">
        <is>
          <t>Stage 2</t>
        </is>
      </c>
      <c r="BC327" s="31">
        <f>IF(BB327="Stage 2",20,IF(BB327="Stage 1",0,IF(BB327="Stage 3",5,IF(BB327="Stage 4",-5,0))))</f>
        <v/>
      </c>
      <c r="BD327" s="31" t="inlineStr">
        <is>
          <t>Negative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Blue sky scenario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More than 20%</t>
        </is>
      </c>
      <c r="BO327" s="31">
        <f>IF(BN327="More than 20%",10,IF(BN327="Between 12 to 20%",5,IF(BN327="Less than 12%",0,0)))</f>
        <v/>
      </c>
      <c r="BP327" s="31" t="inlineStr">
        <is>
          <t>No</t>
        </is>
      </c>
      <c r="BQ327" s="31">
        <f>IF(BP327="No",10,0)</f>
        <v/>
      </c>
      <c r="BR327" s="31" t="inlineStr">
        <is>
          <t>No</t>
        </is>
      </c>
      <c r="BS327" s="31">
        <f>IF(BR327="NO",5,0)</f>
        <v/>
      </c>
      <c r="BT327" s="31" t="inlineStr">
        <is>
          <t>Above 2</t>
        </is>
      </c>
      <c r="BU327" s="31">
        <f>IF(BT327="Above 2",0,IF(BT327="Between 1.5 to 2",5,IF(BT327="Less than 1.5",10,0)))</f>
        <v/>
      </c>
      <c r="BV327" s="31" t="inlineStr">
        <is>
          <t>Between 50% to 70%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More than 1.2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IF(B328=0,"",RANK(B328,$B$2:$B$363,0))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1" t="inlineStr">
        <is>
          <t>NOCIL</t>
        </is>
      </c>
      <c r="D328" s="31" t="inlineStr">
        <is>
          <t>Nocil Limited</t>
        </is>
      </c>
      <c r="E328" s="31" t="inlineStr">
        <is>
          <t>chemicals</t>
        </is>
      </c>
      <c r="F328" s="31" t="inlineStr">
        <is>
          <t>chemicals</t>
        </is>
      </c>
      <c r="G328" s="31" t="inlineStr">
        <is>
          <t>smallcap</t>
        </is>
      </c>
      <c r="H328" s="32" t="n">
        <v>2869.49</v>
      </c>
      <c r="I328" s="32" t="n">
        <v>172.44</v>
      </c>
      <c r="J328" s="32" t="n">
        <v>0.37</v>
      </c>
      <c r="K328" s="32" t="n">
        <v>403591</v>
      </c>
      <c r="L328" s="31" t="n">
        <v>7</v>
      </c>
      <c r="M328" s="31" t="inlineStr">
        <is>
          <t>Outperforming</t>
        </is>
      </c>
      <c r="N328" s="32">
        <f>IF(M328="Underperforming",-5,IF(L328&gt;=95,15,IF(L328&gt;=90,10,IF(L328&gt;=80,5,0))))</f>
        <v/>
      </c>
      <c r="O328" s="32" t="n">
        <v>54.37</v>
      </c>
      <c r="P328" s="32" t="n">
        <v>18.73</v>
      </c>
      <c r="Q328" s="32" t="n">
        <v>142.25</v>
      </c>
      <c r="R328" s="31" t="inlineStr">
        <is>
          <t>Earnings / Momentum Support</t>
        </is>
      </c>
      <c r="S328" s="31" t="inlineStr">
        <is>
          <t>Nifty IT</t>
        </is>
      </c>
      <c r="T328" s="32" t="n">
        <v>-11.38</v>
      </c>
      <c r="U328" s="32" t="n">
        <v>-3.86</v>
      </c>
      <c r="V328" s="32" t="n">
        <v>8.48</v>
      </c>
      <c r="W328" s="32" t="n">
        <v>1.7</v>
      </c>
      <c r="X328" s="31" t="inlineStr">
        <is>
          <t>Growing Industry</t>
        </is>
      </c>
      <c r="Y328" s="31">
        <f>IF(X328="Growing Industry",10,IF(X328="Cyclical in an Upturn",5,0))</f>
        <v/>
      </c>
      <c r="Z328" s="31" t="inlineStr">
        <is>
          <t>Too Many Players with High ROCE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No</t>
        </is>
      </c>
      <c r="AC328" s="31">
        <f>IF(AB328="No",5,0)</f>
        <v/>
      </c>
      <c r="AD328" s="31" t="inlineStr">
        <is>
          <t>Tailwind</t>
        </is>
      </c>
      <c r="AE328" s="31">
        <f>IF(AD328="Tailwind",10,0)</f>
        <v/>
      </c>
      <c r="AF328" s="31" t="inlineStr">
        <is>
          <t>Structural (10 Years Consistency)</t>
        </is>
      </c>
      <c r="AG328" s="31">
        <f>IF(AF328="Structural (10 Years Consistency)",10,IF(AF328="Shallow Cyclical (2 to 3 years growth)",5,0))</f>
        <v/>
      </c>
      <c r="AH328" s="31" t="inlineStr">
        <is>
          <t>No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Stable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B2B</t>
        </is>
      </c>
      <c r="AO328" s="31">
        <f>IF(AN328="B2C",10,IF(AN328="B2B",5,0))</f>
        <v/>
      </c>
      <c r="AP328" s="31" t="inlineStr">
        <is>
          <t>No</t>
        </is>
      </c>
      <c r="AQ328" s="31">
        <f>IF(AP328="Yes",10,0)</f>
        <v/>
      </c>
      <c r="AR328" s="31" t="inlineStr">
        <is>
          <t>Higher One Time, Lower Annuity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Good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0 to 20</t>
        </is>
      </c>
      <c r="AY328" s="31">
        <f>IF(AX328="Above 40",20,IF(AX328="20 to 40",10,IF(AX328="0 to 20",-5,0)))</f>
        <v/>
      </c>
      <c r="AZ328" s="31" t="inlineStr">
        <is>
          <t>Between 50 to 75</t>
        </is>
      </c>
      <c r="BA328" s="31">
        <f>IF(AZ328="Between 50 to 75",10,IF(AZ328="Above 75",0,0))</f>
        <v/>
      </c>
      <c r="BB328" s="31" t="inlineStr">
        <is>
          <t>Stage 1</t>
        </is>
      </c>
      <c r="BC328" s="31">
        <f>IF(BB328="Stage 2",20,IF(BB328="Stage 1",0,IF(BB328="Stage 3",5,IF(BB328="Stage 4",-5,0))))</f>
        <v/>
      </c>
      <c r="BD328" s="31" t="inlineStr">
        <is>
          <t>Positive Trend</t>
        </is>
      </c>
      <c r="BE328" s="31">
        <f>IF(BD328="Positive Trend",20,IF(BD328="Negative Trend",-10,0))</f>
        <v/>
      </c>
      <c r="BF328" s="31" t="inlineStr">
        <is>
          <t>Uptrend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Close to 52 week high or retracement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More than 20%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Yes</t>
        </is>
      </c>
      <c r="BS328" s="31">
        <f>IF(BR328="NO",5,0)</f>
        <v/>
      </c>
      <c r="BT328" s="31" t="inlineStr">
        <is>
          <t>Less than 1.5</t>
        </is>
      </c>
      <c r="BU328" s="31">
        <f>IF(BT328="Above 2",0,IF(BT328="Between 1.5 to 2",5,IF(BT328="Less than 1.5",10,0)))</f>
        <v/>
      </c>
      <c r="BV328" s="31" t="inlineStr">
        <is>
          <t>Above 70%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Less than 0.7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Less than 15%</t>
        </is>
      </c>
      <c r="CC328" s="31">
        <f>IF(CB328="More than 15%",-10,IF(CB328="Less than 15%",10,0))</f>
        <v/>
      </c>
      <c r="CD328" s="31" t="inlineStr">
        <is>
          <t>No</t>
        </is>
      </c>
      <c r="CE328" s="31">
        <f>IF(CD328="Yes, more than 10%",-10,IF(CD328="No",10,0))</f>
        <v/>
      </c>
    </row>
    <row r="329">
      <c r="A329" s="31">
        <f>IF(B329=0,"",RANK(B329,$B$2:$B$363,0))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3" t="inlineStr">
        <is>
          <t>STEELXIND</t>
        </is>
      </c>
      <c r="D329" s="33" t="inlineStr">
        <is>
          <t>Steel Exchange India Ltd</t>
        </is>
      </c>
      <c r="E329" s="31" t="inlineStr">
        <is>
          <t>metals &amp; mining</t>
        </is>
      </c>
      <c r="F329" s="31" t="inlineStr">
        <is>
          <t>steel - medium / small</t>
        </is>
      </c>
      <c r="G329" s="31" t="inlineStr">
        <is>
          <t>smallcap</t>
        </is>
      </c>
      <c r="H329" s="32" t="n">
        <v>1442.61</v>
      </c>
      <c r="I329" s="32" t="n">
        <v>11.34</v>
      </c>
      <c r="J329" s="32" t="n">
        <v>0.27</v>
      </c>
      <c r="K329" s="32" t="n">
        <v>3888782</v>
      </c>
      <c r="L329" s="31" t="n">
        <v>19</v>
      </c>
      <c r="M329" s="31" t="inlineStr">
        <is>
          <t>Underperforming</t>
        </is>
      </c>
      <c r="N329" s="32">
        <f>IF(M329="Underperforming",-5,IF(L329&gt;=95,15,IF(L329&gt;=90,10,IF(L329&gt;=80,5,0))))</f>
        <v/>
      </c>
      <c r="O329" s="32" t="n">
        <v>54.58</v>
      </c>
      <c r="P329" s="32" t="n">
        <v>15.34</v>
      </c>
      <c r="Q329" s="32" t="n">
        <v>9.9</v>
      </c>
      <c r="R329" s="31" t="inlineStr">
        <is>
          <t>Volume Spike / Accumulation</t>
        </is>
      </c>
      <c r="S329" s="31" t="inlineStr">
        <is>
          <t>Nifty Metal</t>
        </is>
      </c>
      <c r="T329" s="32" t="n">
        <v>41.3</v>
      </c>
      <c r="U329" s="32" t="n">
        <v>6.78</v>
      </c>
      <c r="V329" s="32" t="n">
        <v>-24.43</v>
      </c>
      <c r="W329" s="32" t="n">
        <v>5.28</v>
      </c>
      <c r="X329" s="31" t="inlineStr">
        <is>
          <t>Cyclical in an Upturn</t>
        </is>
      </c>
      <c r="Y329" s="31">
        <f>IF(X329="Growing Industry",10,IF(X329="Cyclical in an Upturn",5,0))</f>
        <v/>
      </c>
      <c r="Z329" s="31" t="inlineStr">
        <is>
          <t>Too Many Players with High ROCE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No</t>
        </is>
      </c>
      <c r="AC329" s="31">
        <f>IF(AB329="No",5,0)</f>
        <v/>
      </c>
      <c r="AD329" s="31" t="inlineStr">
        <is>
          <t>Tailwind</t>
        </is>
      </c>
      <c r="AE329" s="31">
        <f>IF(AD329="Tailwind",10,0)</f>
        <v/>
      </c>
      <c r="AF329" s="31" t="inlineStr">
        <is>
          <t>Cyclical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Volatile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B2B</t>
        </is>
      </c>
      <c r="AO329" s="31">
        <f>IF(AN329="B2C",10,IF(AN329="B2B",5,0))</f>
        <v/>
      </c>
      <c r="AP329" s="31" t="inlineStr">
        <is>
          <t>Yes</t>
        </is>
      </c>
      <c r="AQ329" s="31">
        <f>IF(AP329="Yes",10,0)</f>
        <v/>
      </c>
      <c r="AR329" s="31" t="inlineStr">
        <is>
          <t>Higher One Time, Lower Annuity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Good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0 to 20</t>
        </is>
      </c>
      <c r="AY329" s="31">
        <f>IF(AX329="Above 40",20,IF(AX329="20 to 40",10,IF(AX329="0 to 20",-5,0)))</f>
        <v/>
      </c>
      <c r="AZ329" s="31" t="inlineStr">
        <is>
          <t>Between 50 to 75</t>
        </is>
      </c>
      <c r="BA329" s="31">
        <f>IF(AZ329="Between 50 to 75",10,IF(AZ329="Above 75",0,0))</f>
        <v/>
      </c>
      <c r="BB329" s="31" t="inlineStr">
        <is>
          <t>Stage 2</t>
        </is>
      </c>
      <c r="BC329" s="31">
        <f>IF(BB329="Stage 2",20,IF(BB329="Stage 1",0,IF(BB329="Stage 3",5,IF(BB329="Stage 4",-5,0))))</f>
        <v/>
      </c>
      <c r="BD329" s="31" t="inlineStr">
        <is>
          <t>Positive Trend</t>
        </is>
      </c>
      <c r="BE329" s="31">
        <f>IF(BD329="Positive Trend",20,IF(BD329="Negative Trend",-10,0))</f>
        <v/>
      </c>
      <c r="BF329" s="31" t="inlineStr">
        <is>
          <t>Uptrend</t>
        </is>
      </c>
      <c r="BG329" s="31">
        <f>IF(BF329="Uptrend",10,IF(BF329="Sideways",5,0))</f>
        <v/>
      </c>
      <c r="BH329" s="31" t="inlineStr">
        <is>
          <t>Uptrend</t>
        </is>
      </c>
      <c r="BI329" s="31">
        <f>IF(BH329="Uptrend",10,IF(BH329="Sideways",5,0))</f>
        <v/>
      </c>
      <c r="BJ329" s="31" t="inlineStr">
        <is>
          <t>Close to 52 week high or retracement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More than 20%</t>
        </is>
      </c>
      <c r="BO329" s="31">
        <f>IF(BN329="More than 20%",10,IF(BN329="Between 12 to 20%",5,IF(BN329="Less than 12%",0,0)))</f>
        <v/>
      </c>
      <c r="BP329" s="31" t="inlineStr">
        <is>
          <t>No</t>
        </is>
      </c>
      <c r="BQ329" s="31">
        <f>IF(BP329="No",10,0)</f>
        <v/>
      </c>
      <c r="BR329" s="31" t="inlineStr">
        <is>
          <t>Yes</t>
        </is>
      </c>
      <c r="BS329" s="31">
        <f>IF(BR329="NO",5,0)</f>
        <v/>
      </c>
      <c r="BT329" s="31" t="inlineStr">
        <is>
          <t>Less than 1.5</t>
        </is>
      </c>
      <c r="BU329" s="31">
        <f>IF(BT329="Above 2",0,IF(BT329="Between 1.5 to 2",5,IF(BT329="Less than 1.5",10,0)))</f>
        <v/>
      </c>
      <c r="BV329" s="31" t="inlineStr">
        <is>
          <t>Above 70%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Less than 0.7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IF(B330=0,"",RANK(B330,$B$2:$B$363,0))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3" t="inlineStr">
        <is>
          <t>DLF</t>
        </is>
      </c>
      <c r="D330" s="33" t="inlineStr">
        <is>
          <t>Dlf Limited</t>
        </is>
      </c>
      <c r="E330" s="31" t="inlineStr">
        <is>
          <t>realty</t>
        </is>
      </c>
      <c r="F330" s="31" t="inlineStr">
        <is>
          <t>construction</t>
        </is>
      </c>
      <c r="G330" s="31" t="inlineStr">
        <is>
          <t>largecap</t>
        </is>
      </c>
      <c r="H330" s="32" t="n">
        <v>168729.62</v>
      </c>
      <c r="I330" s="32" t="n">
        <v>681.9</v>
      </c>
      <c r="J330" s="32" t="n">
        <v>0.04</v>
      </c>
      <c r="K330" s="32" t="n">
        <v>1911967</v>
      </c>
      <c r="L330" s="31" t="n">
        <v>5</v>
      </c>
      <c r="M330" s="31" t="inlineStr">
        <is>
          <t>Underperforming</t>
        </is>
      </c>
      <c r="N330" s="32">
        <f>IF(M330="Underperforming",-5,IF(L330&gt;=95,15,IF(L330&gt;=90,10,IF(L330&gt;=80,5,0))))</f>
        <v/>
      </c>
      <c r="O330" s="32" t="n">
        <v>59.6</v>
      </c>
      <c r="P330" s="32" t="n">
        <v>12.31</v>
      </c>
      <c r="Q330" s="32" t="n">
        <v>567.21</v>
      </c>
      <c r="R330" s="31" t="inlineStr">
        <is>
          <t>Earnings / Momentum Support</t>
        </is>
      </c>
      <c r="S330" s="31" t="inlineStr">
        <is>
          <t>Nifty Realty</t>
        </is>
      </c>
      <c r="T330" s="32" t="n">
        <v>-4.49</v>
      </c>
      <c r="U330" s="32" t="n">
        <v>-15.83</v>
      </c>
      <c r="V330" s="32" t="n">
        <v>-11.87</v>
      </c>
      <c r="W330" s="32" t="n">
        <v>1.07</v>
      </c>
      <c r="X330" s="31" t="inlineStr">
        <is>
          <t>Growing Industry</t>
        </is>
      </c>
      <c r="Y330" s="31">
        <f>IF(X330="Growing Industry",10,IF(X330="Cyclical in an Upturn",5,0))</f>
        <v/>
      </c>
      <c r="Z330" s="31" t="inlineStr">
        <is>
          <t>Too Many Players with High ROCE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No</t>
        </is>
      </c>
      <c r="AC330" s="31">
        <f>IF(AB330="No",5,0)</f>
        <v/>
      </c>
      <c r="AD330" s="31" t="inlineStr">
        <is>
          <t>Tailwind</t>
        </is>
      </c>
      <c r="AE330" s="31">
        <f>IF(AD330="Tailwind",10,0)</f>
        <v/>
      </c>
      <c r="AF330" s="31" t="inlineStr">
        <is>
          <t>Structural (10 Years Consistency)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Stable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B2B</t>
        </is>
      </c>
      <c r="AO330" s="31">
        <f>IF(AN330="B2C",10,IF(AN330="B2B",5,0))</f>
        <v/>
      </c>
      <c r="AP330" s="31" t="inlineStr">
        <is>
          <t>No</t>
        </is>
      </c>
      <c r="AQ330" s="31">
        <f>IF(AP330="Yes",10,0)</f>
        <v/>
      </c>
      <c r="AR330" s="31" t="inlineStr">
        <is>
          <t>Higher One Time, Lower Annuity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0 to 20</t>
        </is>
      </c>
      <c r="AY330" s="31">
        <f>IF(AX330="Above 40",20,IF(AX330="20 to 40",10,IF(AX330="0 to 20",-5,0)))</f>
        <v/>
      </c>
      <c r="AZ330" s="31" t="inlineStr">
        <is>
          <t>Between 50 to 75</t>
        </is>
      </c>
      <c r="BA330" s="31">
        <f>IF(AZ330="Between 50 to 75",10,IF(AZ330="Above 75",0,0))</f>
        <v/>
      </c>
      <c r="BB330" s="31" t="inlineStr">
        <is>
          <t>Stage 2</t>
        </is>
      </c>
      <c r="BC330" s="31">
        <f>IF(BB330="Stage 2",20,IF(BB330="Stage 1",0,IF(BB330="Stage 3",5,IF(BB330="Stage 4",-5,0))))</f>
        <v/>
      </c>
      <c r="BD330" s="31" t="inlineStr">
        <is>
          <t>Positive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Close to 52 week high or retracement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Less than 12%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No</t>
        </is>
      </c>
      <c r="BS330" s="31">
        <f>IF(BR330="NO",5,0)</f>
        <v/>
      </c>
      <c r="BT330" s="31" t="inlineStr">
        <is>
          <t>Above 2</t>
        </is>
      </c>
      <c r="BU330" s="31">
        <f>IF(BT330="Above 2",0,IF(BT330="Between 1.5 to 2",5,IF(BT330="Less than 1.5",10,0)))</f>
        <v/>
      </c>
      <c r="BV330" s="31" t="inlineStr">
        <is>
          <t>Above 70%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Less than 0.7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IF(B331=0,"",RANK(B331,$B$2:$B$363,0))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3" t="inlineStr">
        <is>
          <t>KSL</t>
        </is>
      </c>
      <c r="D331" s="33" t="inlineStr">
        <is>
          <t>Kalyani Steels Limited</t>
        </is>
      </c>
      <c r="E331" s="31" t="inlineStr">
        <is>
          <t>metals &amp; mining</t>
        </is>
      </c>
      <c r="F331" s="31" t="inlineStr">
        <is>
          <t>steel - medium / small</t>
        </is>
      </c>
      <c r="G331" s="31" t="inlineStr">
        <is>
          <t>smallcap</t>
        </is>
      </c>
      <c r="H331" s="32" t="n">
        <v>4147.91</v>
      </c>
      <c r="I331" s="32" t="n">
        <v>940.5</v>
      </c>
      <c r="J331" s="32" t="n">
        <v>-1.02</v>
      </c>
      <c r="K331" s="32" t="n">
        <v>67652</v>
      </c>
      <c r="L331" s="31" t="n">
        <v>24</v>
      </c>
      <c r="M331" s="31" t="inlineStr">
        <is>
          <t>Underperforming</t>
        </is>
      </c>
      <c r="N331" s="32">
        <f>IF(M331="Underperforming",-5,IF(L331&gt;=95,15,IF(L331&gt;=90,10,IF(L331&gt;=80,5,0))))</f>
        <v/>
      </c>
      <c r="O331" s="32" t="n">
        <v>64.40000000000001</v>
      </c>
      <c r="P331" s="32" t="n">
        <v>24.19</v>
      </c>
      <c r="Q331" s="32" t="n">
        <v>747.3200000000001</v>
      </c>
      <c r="R331" s="31" t="inlineStr">
        <is>
          <t>Volume Spike &amp; Near 52W High Breakout</t>
        </is>
      </c>
      <c r="S331" s="31" t="inlineStr">
        <is>
          <t>Nifty Metal</t>
        </is>
      </c>
      <c r="T331" s="32" t="n">
        <v>41.3</v>
      </c>
      <c r="U331" s="32" t="n">
        <v>7.68</v>
      </c>
      <c r="V331" s="32" t="n">
        <v>-23.79</v>
      </c>
      <c r="W331" s="32" t="n">
        <v>6.51</v>
      </c>
      <c r="X331" s="31" t="inlineStr">
        <is>
          <t>Cyclical in an Upturn</t>
        </is>
      </c>
      <c r="Y331" s="31">
        <f>IF(X331="Growing Industry",10,IF(X331="Cyclical in an Upturn",5,0))</f>
        <v/>
      </c>
      <c r="Z331" s="31" t="inlineStr">
        <is>
          <t>Too Many Players with High ROCE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No</t>
        </is>
      </c>
      <c r="AC331" s="31">
        <f>IF(AB331="No",5,0)</f>
        <v/>
      </c>
      <c r="AD331" s="31" t="inlineStr">
        <is>
          <t>Tailwind</t>
        </is>
      </c>
      <c r="AE331" s="31">
        <f>IF(AD331="Tailwind",10,0)</f>
        <v/>
      </c>
      <c r="AF331" s="31" t="inlineStr">
        <is>
          <t>Cyclical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Volatile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B2B</t>
        </is>
      </c>
      <c r="AO331" s="31">
        <f>IF(AN331="B2C",10,IF(AN331="B2B",5,0))</f>
        <v/>
      </c>
      <c r="AP331" s="31" t="inlineStr">
        <is>
          <t>Yes</t>
        </is>
      </c>
      <c r="AQ331" s="31">
        <f>IF(AP331="Yes",10,0)</f>
        <v/>
      </c>
      <c r="AR331" s="31" t="inlineStr">
        <is>
          <t>Higher One Time, Lower Annuity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20 to 40</t>
        </is>
      </c>
      <c r="AY331" s="31">
        <f>IF(AX331="Above 40",20,IF(AX331="20 to 40",10,IF(AX331="0 to 20",-5,0)))</f>
        <v/>
      </c>
      <c r="AZ331" s="31" t="inlineStr">
        <is>
          <t>Between 50 to 75</t>
        </is>
      </c>
      <c r="BA331" s="31">
        <f>IF(AZ331="Between 50 to 75",10,IF(AZ331="Above 75",0,0))</f>
        <v/>
      </c>
      <c r="BB331" s="31" t="inlineStr">
        <is>
          <t>Stage 2</t>
        </is>
      </c>
      <c r="BC331" s="31">
        <f>IF(BB331="Stage 2",20,IF(BB331="Stage 1",0,IF(BB331="Stage 3",5,IF(BB331="Stage 4",-5,0))))</f>
        <v/>
      </c>
      <c r="BD331" s="31" t="inlineStr">
        <is>
          <t>Positive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Close to 52 week high or retracement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Less than 12%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No</t>
        </is>
      </c>
      <c r="BS331" s="31">
        <f>IF(BR331="NO",5,0)</f>
        <v/>
      </c>
      <c r="BT331" s="31" t="inlineStr">
        <is>
          <t>Above 2</t>
        </is>
      </c>
      <c r="BU331" s="31">
        <f>IF(BT331="Above 2",0,IF(BT331="Between 1.5 to 2",5,IF(BT331="Less than 1.5",10,0)))</f>
        <v/>
      </c>
      <c r="BV331" s="31" t="inlineStr">
        <is>
          <t>Above 70%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Less than 0.7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  <row r="332">
      <c r="A332" s="31">
        <f>IF(B332=0,"",RANK(B332,$B$2:$B$363,0))</f>
        <v/>
      </c>
      <c r="B332" s="32">
        <f>SUM(N332,Y332,AA332,AC332,AE332,AG332,AI332,AK332,AM332,AO332,AQ332,AS332,AU332,AW332,AY332,BA332,BC332,BE332,BG332,BI332,BK332,BM332,BO332,BQ332,BS332,BU332,BW332,BY332,CA332,CC332,CE332)</f>
        <v/>
      </c>
      <c r="C332" s="31" t="inlineStr">
        <is>
          <t>SMSPHARMA</t>
        </is>
      </c>
      <c r="D332" s="31" t="inlineStr">
        <is>
          <t>Sms Pharmaceuticals Limited</t>
        </is>
      </c>
      <c r="E332" s="31" t="inlineStr">
        <is>
          <t>healthcare</t>
        </is>
      </c>
      <c r="F332" s="31" t="inlineStr">
        <is>
          <t>pharmaceuticals - indian - bulk drugs</t>
        </is>
      </c>
      <c r="G332" s="31" t="inlineStr">
        <is>
          <t>smallcap</t>
        </is>
      </c>
      <c r="H332" s="32" t="n">
        <v>3503.99</v>
      </c>
      <c r="I332" s="32" t="n">
        <v>392.5</v>
      </c>
      <c r="J332" s="32" t="n">
        <v>4.9</v>
      </c>
      <c r="K332" s="32" t="n">
        <v>473075</v>
      </c>
      <c r="L332" s="31" t="n">
        <v>47</v>
      </c>
      <c r="M332" s="31" t="inlineStr">
        <is>
          <t>Outperforming</t>
        </is>
      </c>
      <c r="N332" s="32">
        <f>IF(M332="Underperforming",-5,IF(L332&gt;=95,15,IF(L332&gt;=90,10,IF(L332&gt;=80,5,0))))</f>
        <v/>
      </c>
      <c r="O332" s="32" t="n">
        <v>55.8</v>
      </c>
      <c r="P332" s="32" t="n">
        <v>29.57</v>
      </c>
      <c r="Q332" s="32" t="n">
        <v>325.74</v>
      </c>
      <c r="R332" s="31" t="inlineStr">
        <is>
          <t>Earnings / Momentum Support</t>
        </is>
      </c>
      <c r="S332" s="31" t="inlineStr">
        <is>
          <t>Nifty Pharma</t>
        </is>
      </c>
      <c r="T332" s="32" t="n">
        <v>20.77</v>
      </c>
      <c r="U332" s="32" t="n">
        <v>66.37</v>
      </c>
      <c r="V332" s="32" t="n">
        <v>37.76</v>
      </c>
      <c r="W332" s="32" t="n">
        <v>12.76</v>
      </c>
      <c r="X332" s="31" t="inlineStr">
        <is>
          <t>Growing Industry</t>
        </is>
      </c>
      <c r="Y332" s="31">
        <f>IF(X332="Growing Industry",10,IF(X332="Cyclical in an Upturn",5,0))</f>
        <v/>
      </c>
      <c r="Z332" s="31" t="inlineStr">
        <is>
          <t>Too Many Players with High ROCE</t>
        </is>
      </c>
      <c r="AA332" s="31">
        <f>IF(Z332="Monopoly",10,IF(Z332="Oligopoly",5,IF(Z332="Duopoly that cooperate",10,IF(Z332="Duopoly that compete",5,IF(Z332="Too many players with High ROCE",5,0)))))</f>
        <v/>
      </c>
      <c r="AB332" s="31" t="inlineStr">
        <is>
          <t>Yes</t>
        </is>
      </c>
      <c r="AC332" s="31">
        <f>IF(AB332="No",5,0)</f>
        <v/>
      </c>
      <c r="AD332" s="31" t="inlineStr">
        <is>
          <t>Tailwind</t>
        </is>
      </c>
      <c r="AE332" s="31">
        <f>IF(AD332="Tailwind",10,0)</f>
        <v/>
      </c>
      <c r="AF332" s="31" t="inlineStr">
        <is>
          <t>Structural (10 Years Consistency)</t>
        </is>
      </c>
      <c r="AG332" s="31">
        <f>IF(AF332="Structural (10 Years Consistency)",10,IF(AF332="Shallow Cyclical (2 to 3 years growth)",5,0))</f>
        <v/>
      </c>
      <c r="AH332" s="31" t="inlineStr">
        <is>
          <t>No</t>
        </is>
      </c>
      <c r="AI332" s="31">
        <f>IF(AH332="Yes due to Product Mix change or Operating Leverage",10,IF(AH332="Yes, these are peak margins",-5,IF(AH332="No",5,0)))</f>
        <v/>
      </c>
      <c r="AJ332" s="31" t="inlineStr">
        <is>
          <t>Stable</t>
        </is>
      </c>
      <c r="AK332" s="31">
        <f>IF(AJ332="Stable",10,0)</f>
        <v/>
      </c>
      <c r="AL332" s="31" t="inlineStr">
        <is>
          <t>Yes</t>
        </is>
      </c>
      <c r="AM332" s="31">
        <f>IF(AL332="Yes",10,0)</f>
        <v/>
      </c>
      <c r="AN332" s="31" t="inlineStr">
        <is>
          <t>B2B</t>
        </is>
      </c>
      <c r="AO332" s="31">
        <f>IF(AN332="B2C",10,IF(AN332="B2B",5,0))</f>
        <v/>
      </c>
      <c r="AP332" s="31" t="inlineStr">
        <is>
          <t>No</t>
        </is>
      </c>
      <c r="AQ332" s="31">
        <f>IF(AP332="Yes",10,0)</f>
        <v/>
      </c>
      <c r="AR332" s="31" t="inlineStr">
        <is>
          <t>Higher Annuity, Lower One Time</t>
        </is>
      </c>
      <c r="AS332" s="31">
        <f>IF(AR332="Fully Annuity",10,IF(AR332="Higher Annuity, Lower One Time",5,IF(AR332="Higher One Time, Lower Annuity",3,0)))</f>
        <v/>
      </c>
      <c r="AT332" s="31" t="inlineStr">
        <is>
          <t>Good</t>
        </is>
      </c>
      <c r="AU332" s="31">
        <f>IF(AT332="Good",10,0)</f>
        <v/>
      </c>
      <c r="AV332" s="31" t="inlineStr">
        <is>
          <t>Yes for more than 2 years</t>
        </is>
      </c>
      <c r="AW332" s="31">
        <f>IF(AV332="Yes for more than 2 years",10,IF(AV332="Yes only for next 1 to 2 years",5,0))</f>
        <v/>
      </c>
      <c r="AX332" s="31" t="inlineStr">
        <is>
          <t>20 to 40</t>
        </is>
      </c>
      <c r="AY332" s="31">
        <f>IF(AX332="Above 40",20,IF(AX332="20 to 40",10,IF(AX332="0 to 20",-5,0)))</f>
        <v/>
      </c>
      <c r="AZ332" s="31" t="inlineStr">
        <is>
          <t>Between 50 to 75</t>
        </is>
      </c>
      <c r="BA332" s="31">
        <f>IF(AZ332="Between 50 to 75",10,IF(AZ332="Above 75",0,0))</f>
        <v/>
      </c>
      <c r="BB332" s="31" t="inlineStr">
        <is>
          <t>Stage 1</t>
        </is>
      </c>
      <c r="BC332" s="31">
        <f>IF(BB332="Stage 2",20,IF(BB332="Stage 1",0,IF(BB332="Stage 3",5,IF(BB332="Stage 4",-5,0))))</f>
        <v/>
      </c>
      <c r="BD332" s="31" t="inlineStr">
        <is>
          <t>Positive Trend</t>
        </is>
      </c>
      <c r="BE332" s="31">
        <f>IF(BD332="Positive Trend",20,IF(BD332="Negative Trend",-10,0))</f>
        <v/>
      </c>
      <c r="BF332" s="31" t="inlineStr">
        <is>
          <t>Uptrend</t>
        </is>
      </c>
      <c r="BG332" s="31">
        <f>IF(BF332="Uptrend",10,IF(BF332="Sideways",5,0))</f>
        <v/>
      </c>
      <c r="BH332" s="31" t="inlineStr">
        <is>
          <t>Uptrend</t>
        </is>
      </c>
      <c r="BI332" s="31">
        <f>IF(BH332="Uptrend",10,IF(BH332="Sideways",5,0))</f>
        <v/>
      </c>
      <c r="BJ332" s="31" t="inlineStr">
        <is>
          <t>Close to 52 week high or retracement</t>
        </is>
      </c>
      <c r="BK332" s="31">
        <f>IF(BJ332="Overhead supply in last 2 years in last 2 years",-5,IF(BJ332="Close to 52 week high or retracement",5,IF(BJ332="Blue sky scenario",10,IF(BJ332="Long term Downtrend",-10,0))))</f>
        <v/>
      </c>
      <c r="BL332" s="31" t="inlineStr">
        <is>
          <t>Yes</t>
        </is>
      </c>
      <c r="BM332" s="31">
        <f>IF(BL332="Yes",10,0)</f>
        <v/>
      </c>
      <c r="BN332" s="31" t="inlineStr">
        <is>
          <t>Less than 12%</t>
        </is>
      </c>
      <c r="BO332" s="31">
        <f>IF(BN332="More than 20%",10,IF(BN332="Between 12 to 20%",5,IF(BN332="Less than 12%",0,0)))</f>
        <v/>
      </c>
      <c r="BP332" s="31" t="inlineStr">
        <is>
          <t>No</t>
        </is>
      </c>
      <c r="BQ332" s="31">
        <f>IF(BP332="No",10,0)</f>
        <v/>
      </c>
      <c r="BR332" s="31" t="inlineStr">
        <is>
          <t>No</t>
        </is>
      </c>
      <c r="BS332" s="31">
        <f>IF(BR332="NO",5,0)</f>
        <v/>
      </c>
      <c r="BT332" s="31" t="inlineStr">
        <is>
          <t>Above 2</t>
        </is>
      </c>
      <c r="BU332" s="31">
        <f>IF(BT332="Above 2",0,IF(BT332="Between 1.5 to 2",5,IF(BT332="Less than 1.5",10,0)))</f>
        <v/>
      </c>
      <c r="BV332" s="31" t="inlineStr">
        <is>
          <t>Above 70%</t>
        </is>
      </c>
      <c r="BW332" s="31">
        <f>IF(BV332="Above 70%",10,IF(BV332="Between 50% to 70%",5,IF(BV332="Less than 50%",0,IF(BV332="Negative",-10,IF(BV332="Less than 50% and Borrowings are increasing",-5,0)))))</f>
        <v/>
      </c>
      <c r="BX332" s="31" t="inlineStr">
        <is>
          <t>Less than 0.7</t>
        </is>
      </c>
      <c r="BY332" s="31">
        <f>IF(BX332="More than 1.2",-10,IF(BX332="Between 0.7 to 1.2",0,IF(BX332="Less than 0.7",10,0)))</f>
        <v/>
      </c>
      <c r="BZ332" s="31" t="inlineStr">
        <is>
          <t>No</t>
        </is>
      </c>
      <c r="CA332" s="31">
        <f>IF(BZ332="Yes",-10,0)</f>
        <v/>
      </c>
      <c r="CB332" s="31" t="inlineStr">
        <is>
          <t>Less than 15%</t>
        </is>
      </c>
      <c r="CC332" s="31">
        <f>IF(CB332="More than 15%",-10,IF(CB332="Less than 15%",10,0))</f>
        <v/>
      </c>
      <c r="CD332" s="31" t="inlineStr">
        <is>
          <t>No</t>
        </is>
      </c>
      <c r="CE332" s="31">
        <f>IF(CD332="Yes, more than 10%",-10,IF(CD332="No",10,0))</f>
        <v/>
      </c>
    </row>
    <row r="333">
      <c r="A333" s="31">
        <f>IF(B333=0,"",RANK(B333,$B$2:$B$363,0))</f>
        <v/>
      </c>
      <c r="B333" s="32">
        <f>SUM(N333,Y333,AA333,AC333,AE333,AG333,AI333,AK333,AM333,AO333,AQ333,AS333,AU333,AW333,AY333,BA333,BC333,BE333,BG333,BI333,BK333,BM333,BO333,BQ333,BS333,BU333,BW333,BY333,CA333,CC333,CE333)</f>
        <v/>
      </c>
      <c r="C333" s="31" t="inlineStr">
        <is>
          <t>ONEPOINT</t>
        </is>
      </c>
      <c r="D333" s="31" t="inlineStr">
        <is>
          <t>One Point One Solutions Ltd</t>
        </is>
      </c>
      <c r="E333" s="31" t="inlineStr">
        <is>
          <t>i.t</t>
        </is>
      </c>
      <c r="F333" s="31" t="inlineStr">
        <is>
          <t>computers - software - medium / small</t>
        </is>
      </c>
      <c r="G333" s="31" t="inlineStr">
        <is>
          <t>smallcap</t>
        </is>
      </c>
      <c r="H333" s="32" t="n">
        <v>1436.16</v>
      </c>
      <c r="I333" s="32" t="n">
        <v>57.01</v>
      </c>
      <c r="J333" s="32" t="n">
        <v>4.38</v>
      </c>
      <c r="K333" s="32" t="n">
        <v>2688123</v>
      </c>
      <c r="L333" s="31" t="n">
        <v>20</v>
      </c>
      <c r="M333" s="31" t="inlineStr">
        <is>
          <t>Outperforming</t>
        </is>
      </c>
      <c r="N333" s="32">
        <f>IF(M333="Underperforming",-5,IF(L333&gt;=95,15,IF(L333&gt;=90,10,IF(L333&gt;=80,5,0))))</f>
        <v/>
      </c>
      <c r="O333" s="32" t="n">
        <v>52.73</v>
      </c>
      <c r="P333" s="32" t="n">
        <v>12.08</v>
      </c>
      <c r="Q333" s="32" t="n">
        <v>46.26</v>
      </c>
      <c r="R333" s="31" t="inlineStr">
        <is>
          <t>Earnings / Momentum Support</t>
        </is>
      </c>
      <c r="S333" s="31" t="inlineStr">
        <is>
          <t>Nifty IT</t>
        </is>
      </c>
      <c r="T333" s="32" t="n">
        <v>-11.38</v>
      </c>
      <c r="U333" s="32" t="n">
        <v>28.49</v>
      </c>
      <c r="V333" s="32" t="n">
        <v>44.98</v>
      </c>
      <c r="W333" s="32" t="n">
        <v>5.6</v>
      </c>
      <c r="X333" s="31" t="inlineStr">
        <is>
          <t>Growing Industry</t>
        </is>
      </c>
      <c r="Y333" s="31">
        <f>IF(X333="Growing Industry",10,IF(X333="Cyclical in an Upturn",5,0))</f>
        <v/>
      </c>
      <c r="Z333" s="31" t="inlineStr">
        <is>
          <t>Too Many Players with High ROCE</t>
        </is>
      </c>
      <c r="AA333" s="31">
        <f>IF(Z333="Monopoly",10,IF(Z333="Oligopoly",5,IF(Z333="Duopoly that cooperate",10,IF(Z333="Duopoly that compete",5,IF(Z333="Too many players with High ROCE",5,0)))))</f>
        <v/>
      </c>
      <c r="AB333" s="31" t="inlineStr">
        <is>
          <t>No</t>
        </is>
      </c>
      <c r="AC333" s="31">
        <f>IF(AB333="No",5,0)</f>
        <v/>
      </c>
      <c r="AD333" s="31" t="inlineStr">
        <is>
          <t>Tailwind</t>
        </is>
      </c>
      <c r="AE333" s="31">
        <f>IF(AD333="Tailwind",10,0)</f>
        <v/>
      </c>
      <c r="AF333" s="31" t="inlineStr">
        <is>
          <t>Structural (10 Years Consistency)</t>
        </is>
      </c>
      <c r="AG333" s="31">
        <f>IF(AF333="Structural (10 Years Consistency)",10,IF(AF333="Shallow Cyclical (2 to 3 years growth)",5,0))</f>
        <v/>
      </c>
      <c r="AH333" s="31" t="inlineStr">
        <is>
          <t>No</t>
        </is>
      </c>
      <c r="AI333" s="31">
        <f>IF(AH333="Yes due to Product Mix change or Operating Leverage",10,IF(AH333="Yes, these are peak margins",-5,IF(AH333="No",5,0)))</f>
        <v/>
      </c>
      <c r="AJ333" s="31" t="inlineStr">
        <is>
          <t>Stable</t>
        </is>
      </c>
      <c r="AK333" s="31">
        <f>IF(AJ333="Stable",10,0)</f>
        <v/>
      </c>
      <c r="AL333" s="31" t="inlineStr">
        <is>
          <t>Yes</t>
        </is>
      </c>
      <c r="AM333" s="31">
        <f>IF(AL333="Yes",10,0)</f>
        <v/>
      </c>
      <c r="AN333" s="31" t="inlineStr">
        <is>
          <t>B2B</t>
        </is>
      </c>
      <c r="AO333" s="31">
        <f>IF(AN333="B2C",10,IF(AN333="B2B",5,0))</f>
        <v/>
      </c>
      <c r="AP333" s="31" t="inlineStr">
        <is>
          <t>No</t>
        </is>
      </c>
      <c r="AQ333" s="31">
        <f>IF(AP333="Yes",10,0)</f>
        <v/>
      </c>
      <c r="AR333" s="31" t="inlineStr">
        <is>
          <t>Higher Annuity, Lower One Time</t>
        </is>
      </c>
      <c r="AS333" s="31">
        <f>IF(AR333="Fully Annuity",10,IF(AR333="Higher Annuity, Lower One Time",5,IF(AR333="Higher One Time, Lower Annuity",3,0)))</f>
        <v/>
      </c>
      <c r="AT333" s="31" t="inlineStr">
        <is>
          <t>Good</t>
        </is>
      </c>
      <c r="AU333" s="31">
        <f>IF(AT333="Good",10,0)</f>
        <v/>
      </c>
      <c r="AV333" s="31" t="inlineStr">
        <is>
          <t>Yes for more than 2 years</t>
        </is>
      </c>
      <c r="AW333" s="31">
        <f>IF(AV333="Yes for more than 2 years",10,IF(AV333="Yes only for next 1 to 2 years",5,0))</f>
        <v/>
      </c>
      <c r="AX333" s="31" t="inlineStr">
        <is>
          <t>0 to 20</t>
        </is>
      </c>
      <c r="AY333" s="31">
        <f>IF(AX333="Above 40",20,IF(AX333="20 to 40",10,IF(AX333="0 to 20",-5,0)))</f>
        <v/>
      </c>
      <c r="AZ333" s="31" t="inlineStr">
        <is>
          <t>Between 50 to 75</t>
        </is>
      </c>
      <c r="BA333" s="31">
        <f>IF(AZ333="Between 50 to 75",10,IF(AZ333="Above 75",0,0))</f>
        <v/>
      </c>
      <c r="BB333" s="31" t="inlineStr">
        <is>
          <t>Stage 2</t>
        </is>
      </c>
      <c r="BC333" s="31">
        <f>IF(BB333="Stage 2",20,IF(BB333="Stage 1",0,IF(BB333="Stage 3",5,IF(BB333="Stage 4",-5,0))))</f>
        <v/>
      </c>
      <c r="BD333" s="31" t="inlineStr">
        <is>
          <t>Negative Trend</t>
        </is>
      </c>
      <c r="BE333" s="31">
        <f>IF(BD333="Positive Trend",20,IF(BD333="Negative Trend",-10,0))</f>
        <v/>
      </c>
      <c r="BF333" s="31" t="inlineStr">
        <is>
          <t>Uptrend</t>
        </is>
      </c>
      <c r="BG333" s="31">
        <f>IF(BF333="Uptrend",10,IF(BF333="Sideways",5,0))</f>
        <v/>
      </c>
      <c r="BH333" s="31" t="inlineStr">
        <is>
          <t>Uptrend</t>
        </is>
      </c>
      <c r="BI333" s="31">
        <f>IF(BH333="Uptrend",10,IF(BH333="Sideways",5,0))</f>
        <v/>
      </c>
      <c r="BJ333" s="31" t="inlineStr">
        <is>
          <t>Close to 52 week high or retracement</t>
        </is>
      </c>
      <c r="BK333" s="31">
        <f>IF(BJ333="Overhead supply in last 2 years in last 2 years",-5,IF(BJ333="Close to 52 week high or retracement",5,IF(BJ333="Blue sky scenario",10,IF(BJ333="Long term Downtrend",-10,0))))</f>
        <v/>
      </c>
      <c r="BL333" s="31" t="inlineStr">
        <is>
          <t>Yes</t>
        </is>
      </c>
      <c r="BM333" s="31">
        <f>IF(BL333="Yes",10,0)</f>
        <v/>
      </c>
      <c r="BN333" s="31" t="inlineStr">
        <is>
          <t>More than 20%</t>
        </is>
      </c>
      <c r="BO333" s="31">
        <f>IF(BN333="More than 20%",10,IF(BN333="Between 12 to 20%",5,IF(BN333="Less than 12%",0,0)))</f>
        <v/>
      </c>
      <c r="BP333" s="31" t="inlineStr">
        <is>
          <t>No</t>
        </is>
      </c>
      <c r="BQ333" s="31">
        <f>IF(BP333="No",10,0)</f>
        <v/>
      </c>
      <c r="BR333" s="31" t="inlineStr">
        <is>
          <t>No</t>
        </is>
      </c>
      <c r="BS333" s="31">
        <f>IF(BR333="NO",5,0)</f>
        <v/>
      </c>
      <c r="BT333" s="31" t="inlineStr">
        <is>
          <t>Less than 1.5</t>
        </is>
      </c>
      <c r="BU333" s="31">
        <f>IF(BT333="Above 2",0,IF(BT333="Between 1.5 to 2",5,IF(BT333="Less than 1.5",10,0)))</f>
        <v/>
      </c>
      <c r="BV333" s="31" t="inlineStr">
        <is>
          <t>Above 70%</t>
        </is>
      </c>
      <c r="BW333" s="31">
        <f>IF(BV333="Above 70%",10,IF(BV333="Between 50% to 70%",5,IF(BV333="Less than 50%",0,IF(BV333="Negative",-10,IF(BV333="Less than 50% and Borrowings are increasing",-5,0)))))</f>
        <v/>
      </c>
      <c r="BX333" s="31" t="inlineStr">
        <is>
          <t>Less than 0.7</t>
        </is>
      </c>
      <c r="BY333" s="31">
        <f>IF(BX333="More than 1.2",-10,IF(BX333="Between 0.7 to 1.2",0,IF(BX333="Less than 0.7",10,0)))</f>
        <v/>
      </c>
      <c r="BZ333" s="31" t="inlineStr">
        <is>
          <t>No</t>
        </is>
      </c>
      <c r="CA333" s="31">
        <f>IF(BZ333="Yes",-10,0)</f>
        <v/>
      </c>
      <c r="CB333" s="31" t="inlineStr">
        <is>
          <t>Less than 15%</t>
        </is>
      </c>
      <c r="CC333" s="31">
        <f>IF(CB333="More than 15%",-10,IF(CB333="Less than 15%",10,0))</f>
        <v/>
      </c>
      <c r="CD333" s="31" t="inlineStr">
        <is>
          <t>No</t>
        </is>
      </c>
      <c r="CE333" s="31">
        <f>IF(CD333="Yes, more than 10%",-10,IF(CD333="No",10,0))</f>
        <v/>
      </c>
    </row>
    <row r="334">
      <c r="A334" s="31">
        <f>IF(B334=0,"",RANK(B334,$B$2:$B$363,0))</f>
        <v/>
      </c>
      <c r="B334" s="32">
        <f>SUM(N334,Y334,AA334,AC334,AE334,AG334,AI334,AK334,AM334,AO334,AQ334,AS334,AU334,AW334,AY334,BA334,BC334,BE334,BG334,BI334,BK334,BM334,BO334,BQ334,BS334,BU334,BW334,BY334,CA334,CC334,CE334)</f>
        <v/>
      </c>
      <c r="C334" s="33" t="inlineStr">
        <is>
          <t>STAR</t>
        </is>
      </c>
      <c r="D334" s="33" t="inlineStr">
        <is>
          <t>Strides Shasun Limited</t>
        </is>
      </c>
      <c r="E334" s="31" t="inlineStr">
        <is>
          <t>healthcare</t>
        </is>
      </c>
      <c r="F334" s="31" t="inlineStr">
        <is>
          <t>pharmaceuticals - indian - bulk drugs &amp; formln</t>
        </is>
      </c>
      <c r="G334" s="31" t="inlineStr">
        <is>
          <t>midcap</t>
        </is>
      </c>
      <c r="H334" s="32" t="n">
        <v>9711.32</v>
      </c>
      <c r="I334" s="32" t="n">
        <v>1059.6</v>
      </c>
      <c r="J334" s="32" t="n">
        <v>0.57</v>
      </c>
      <c r="K334" s="32" t="n">
        <v>217190</v>
      </c>
      <c r="L334" s="31" t="n">
        <v>17</v>
      </c>
      <c r="M334" s="31" t="inlineStr">
        <is>
          <t>Underperforming</t>
        </is>
      </c>
      <c r="N334" s="32">
        <f>IF(M334="Underperforming",-5,IF(L334&gt;=95,15,IF(L334&gt;=90,10,IF(L334&gt;=80,5,0))))</f>
        <v/>
      </c>
      <c r="O334" s="32" t="n">
        <v>55.22</v>
      </c>
      <c r="P334" s="32" t="n">
        <v>8.69</v>
      </c>
      <c r="Q334" s="32" t="n">
        <v>868.52</v>
      </c>
      <c r="R334" s="31" t="inlineStr">
        <is>
          <t>Earnings / Momentum Support</t>
        </is>
      </c>
      <c r="S334" s="31" t="inlineStr">
        <is>
          <t>Nifty Pharma</t>
        </is>
      </c>
      <c r="T334" s="32" t="n">
        <v>20.77</v>
      </c>
      <c r="U334" s="32" t="n">
        <v>19.57</v>
      </c>
      <c r="V334" s="32" t="n">
        <v>-0.99</v>
      </c>
      <c r="W334" s="32" t="n">
        <v>4.34</v>
      </c>
      <c r="X334" s="31" t="inlineStr">
        <is>
          <t>Growing Industry</t>
        </is>
      </c>
      <c r="Y334" s="31">
        <f>IF(X334="Growing Industry",10,IF(X334="Cyclical in an Upturn",5,0))</f>
        <v/>
      </c>
      <c r="Z334" s="31" t="inlineStr">
        <is>
          <t>Too Many Players with High ROCE</t>
        </is>
      </c>
      <c r="AA334" s="31">
        <f>IF(Z334="Monopoly",10,IF(Z334="Oligopoly",5,IF(Z334="Duopoly that cooperate",10,IF(Z334="Duopoly that compete",5,IF(Z334="Too many players with High ROCE",5,0)))))</f>
        <v/>
      </c>
      <c r="AB334" s="31" t="inlineStr">
        <is>
          <t>Yes</t>
        </is>
      </c>
      <c r="AC334" s="31">
        <f>IF(AB334="No",5,0)</f>
        <v/>
      </c>
      <c r="AD334" s="31" t="inlineStr">
        <is>
          <t>Tailwind</t>
        </is>
      </c>
      <c r="AE334" s="31">
        <f>IF(AD334="Tailwind",10,0)</f>
        <v/>
      </c>
      <c r="AF334" s="31" t="inlineStr">
        <is>
          <t>Structural (10 Years Consistency)</t>
        </is>
      </c>
      <c r="AG334" s="31">
        <f>IF(AF334="Structural (10 Years Consistency)",10,IF(AF334="Shallow Cyclical (2 to 3 years growth)",5,0))</f>
        <v/>
      </c>
      <c r="AH334" s="31" t="inlineStr">
        <is>
          <t>No</t>
        </is>
      </c>
      <c r="AI334" s="31">
        <f>IF(AH334="Yes due to Product Mix change or Operating Leverage",10,IF(AH334="Yes, these are peak margins",-5,IF(AH334="No",5,0)))</f>
        <v/>
      </c>
      <c r="AJ334" s="31" t="inlineStr">
        <is>
          <t>Stable</t>
        </is>
      </c>
      <c r="AK334" s="31">
        <f>IF(AJ334="Stable",10,0)</f>
        <v/>
      </c>
      <c r="AL334" s="31" t="inlineStr">
        <is>
          <t>Yes</t>
        </is>
      </c>
      <c r="AM334" s="31">
        <f>IF(AL334="Yes",10,0)</f>
        <v/>
      </c>
      <c r="AN334" s="31" t="inlineStr">
        <is>
          <t>B2B</t>
        </is>
      </c>
      <c r="AO334" s="31">
        <f>IF(AN334="B2C",10,IF(AN334="B2B",5,0))</f>
        <v/>
      </c>
      <c r="AP334" s="31" t="inlineStr">
        <is>
          <t>No</t>
        </is>
      </c>
      <c r="AQ334" s="31">
        <f>IF(AP334="Yes",10,0)</f>
        <v/>
      </c>
      <c r="AR334" s="31" t="inlineStr">
        <is>
          <t>Higher Annuity, Lower One Time</t>
        </is>
      </c>
      <c r="AS334" s="31">
        <f>IF(AR334="Fully Annuity",10,IF(AR334="Higher Annuity, Lower One Time",5,IF(AR334="Higher One Time, Lower Annuity",3,0)))</f>
        <v/>
      </c>
      <c r="AT334" s="31" t="inlineStr">
        <is>
          <t>Good</t>
        </is>
      </c>
      <c r="AU334" s="31">
        <f>IF(AT334="Good",10,0)</f>
        <v/>
      </c>
      <c r="AV334" s="31" t="inlineStr">
        <is>
          <t>Yes for more than 2 years</t>
        </is>
      </c>
      <c r="AW334" s="31">
        <f>IF(AV334="Yes for more than 2 years",10,IF(AV334="Yes only for next 1 to 2 years",5,0))</f>
        <v/>
      </c>
      <c r="AX334" s="31" t="inlineStr">
        <is>
          <t>0 to 20</t>
        </is>
      </c>
      <c r="AY334" s="31">
        <f>IF(AX334="Above 40",20,IF(AX334="20 to 40",10,IF(AX334="0 to 20",-5,0)))</f>
        <v/>
      </c>
      <c r="AZ334" s="31" t="inlineStr">
        <is>
          <t>Between 50 to 75</t>
        </is>
      </c>
      <c r="BA334" s="31">
        <f>IF(AZ334="Between 50 to 75",10,IF(AZ334="Above 75",0,0))</f>
        <v/>
      </c>
      <c r="BB334" s="31" t="inlineStr">
        <is>
          <t>Stage 1</t>
        </is>
      </c>
      <c r="BC334" s="31">
        <f>IF(BB334="Stage 2",20,IF(BB334="Stage 1",0,IF(BB334="Stage 3",5,IF(BB334="Stage 4",-5,0))))</f>
        <v/>
      </c>
      <c r="BD334" s="31" t="inlineStr">
        <is>
          <t>Positive Trend</t>
        </is>
      </c>
      <c r="BE334" s="31">
        <f>IF(BD334="Positive Trend",20,IF(BD334="Negative Trend",-10,0))</f>
        <v/>
      </c>
      <c r="BF334" s="31" t="inlineStr">
        <is>
          <t>Uptrend</t>
        </is>
      </c>
      <c r="BG334" s="31">
        <f>IF(BF334="Uptrend",10,IF(BF334="Sideways",5,0))</f>
        <v/>
      </c>
      <c r="BH334" s="31" t="inlineStr">
        <is>
          <t>Uptrend</t>
        </is>
      </c>
      <c r="BI334" s="31">
        <f>IF(BH334="Uptrend",10,IF(BH334="Sideways",5,0))</f>
        <v/>
      </c>
      <c r="BJ334" s="31" t="inlineStr">
        <is>
          <t>Close to 52 week high or retracement</t>
        </is>
      </c>
      <c r="BK334" s="31">
        <f>IF(BJ334="Overhead supply in last 2 years in last 2 years",-5,IF(BJ334="Close to 52 week high or retracement",5,IF(BJ334="Blue sky scenario",10,IF(BJ334="Long term Downtrend",-10,0))))</f>
        <v/>
      </c>
      <c r="BL334" s="31" t="inlineStr">
        <is>
          <t>Yes</t>
        </is>
      </c>
      <c r="BM334" s="31">
        <f>IF(BL334="Yes",10,0)</f>
        <v/>
      </c>
      <c r="BN334" s="31" t="inlineStr">
        <is>
          <t>More than 20%</t>
        </is>
      </c>
      <c r="BO334" s="31">
        <f>IF(BN334="More than 20%",10,IF(BN334="Between 12 to 20%",5,IF(BN334="Less than 12%",0,0)))</f>
        <v/>
      </c>
      <c r="BP334" s="31" t="inlineStr">
        <is>
          <t>No</t>
        </is>
      </c>
      <c r="BQ334" s="31">
        <f>IF(BP334="No",10,0)</f>
        <v/>
      </c>
      <c r="BR334" s="31" t="inlineStr">
        <is>
          <t>No</t>
        </is>
      </c>
      <c r="BS334" s="31">
        <f>IF(BR334="NO",5,0)</f>
        <v/>
      </c>
      <c r="BT334" s="31" t="inlineStr">
        <is>
          <t>Less than 1.5</t>
        </is>
      </c>
      <c r="BU334" s="31">
        <f>IF(BT334="Above 2",0,IF(BT334="Between 1.5 to 2",5,IF(BT334="Less than 1.5",10,0)))</f>
        <v/>
      </c>
      <c r="BV334" s="31" t="inlineStr">
        <is>
          <t>Above 70%</t>
        </is>
      </c>
      <c r="BW334" s="31">
        <f>IF(BV334="Above 70%",10,IF(BV334="Between 50% to 70%",5,IF(BV334="Less than 50%",0,IF(BV334="Negative",-10,IF(BV334="Less than 50% and Borrowings are increasing",-5,0)))))</f>
        <v/>
      </c>
      <c r="BX334" s="31" t="inlineStr">
        <is>
          <t>Less than 0.7</t>
        </is>
      </c>
      <c r="BY334" s="31">
        <f>IF(BX334="More than 1.2",-10,IF(BX334="Between 0.7 to 1.2",0,IF(BX334="Less than 0.7",10,0)))</f>
        <v/>
      </c>
      <c r="BZ334" s="31" t="inlineStr">
        <is>
          <t>No</t>
        </is>
      </c>
      <c r="CA334" s="31">
        <f>IF(BZ334="Yes",-10,0)</f>
        <v/>
      </c>
      <c r="CB334" s="31" t="inlineStr">
        <is>
          <t>Less than 15%</t>
        </is>
      </c>
      <c r="CC334" s="31">
        <f>IF(CB334="More than 15%",-10,IF(CB334="Less than 15%",10,0))</f>
        <v/>
      </c>
      <c r="CD334" s="31" t="inlineStr">
        <is>
          <t>No</t>
        </is>
      </c>
      <c r="CE334" s="31">
        <f>IF(CD334="Yes, more than 10%",-10,IF(CD334="No",10,0))</f>
        <v/>
      </c>
    </row>
    <row r="335">
      <c r="A335" s="31">
        <f>IF(B335=0,"",RANK(B335,$B$2:$B$363,0))</f>
        <v/>
      </c>
      <c r="B335" s="32">
        <f>SUM(N335,Y335,AA335,AC335,AE335,AG335,AI335,AK335,AM335,AO335,AQ335,AS335,AU335,AW335,AY335,BA335,BC335,BE335,BG335,BI335,BK335,BM335,BO335,BQ335,BS335,BU335,BW335,BY335,CA335,CC335,CE335)</f>
        <v/>
      </c>
      <c r="C335" s="31" t="inlineStr">
        <is>
          <t>TATVA</t>
        </is>
      </c>
      <c r="D335" s="31" t="inlineStr">
        <is>
          <t>Tatva Chintan Pharma Chem Ltd</t>
        </is>
      </c>
      <c r="E335" s="31" t="inlineStr">
        <is>
          <t>chemicals</t>
        </is>
      </c>
      <c r="F335" s="31" t="inlineStr">
        <is>
          <t>chemicals</t>
        </is>
      </c>
      <c r="G335" s="31" t="inlineStr">
        <is>
          <t>smallcap</t>
        </is>
      </c>
      <c r="H335" s="32" t="n">
        <v>3733.84</v>
      </c>
      <c r="I335" s="32" t="n">
        <v>1678.5</v>
      </c>
      <c r="J335" s="32" t="n">
        <v>5.16</v>
      </c>
      <c r="K335" s="32" t="n">
        <v>85803</v>
      </c>
      <c r="L335" s="31" t="n">
        <v>72</v>
      </c>
      <c r="M335" s="31" t="inlineStr">
        <is>
          <t>Outperforming</t>
        </is>
      </c>
      <c r="N335" s="32">
        <f>IF(M335="Underperforming",-5,IF(L335&gt;=95,15,IF(L335&gt;=90,10,IF(L335&gt;=80,5,0))))</f>
        <v/>
      </c>
      <c r="O335" s="32" t="n">
        <v>65.53</v>
      </c>
      <c r="P335" s="32" t="n">
        <v>31.61</v>
      </c>
      <c r="Q335" s="32" t="n">
        <v>1361.87</v>
      </c>
      <c r="R335" s="31" t="inlineStr">
        <is>
          <t>Earnings / Momentum Support</t>
        </is>
      </c>
      <c r="S335" s="31" t="inlineStr">
        <is>
          <t>Nifty IT</t>
        </is>
      </c>
      <c r="T335" s="32" t="n">
        <v>-11.38</v>
      </c>
      <c r="U335" s="32" t="n">
        <v>68.42</v>
      </c>
      <c r="V335" s="32" t="n">
        <v>90.04000000000001</v>
      </c>
      <c r="W335" s="32" t="n">
        <v>21.78</v>
      </c>
      <c r="X335" s="31" t="inlineStr">
        <is>
          <t>Growing Industry</t>
        </is>
      </c>
      <c r="Y335" s="31">
        <f>IF(X335="Growing Industry",10,IF(X335="Cyclical in an Upturn",5,0))</f>
        <v/>
      </c>
      <c r="Z335" s="31" t="inlineStr">
        <is>
          <t>Too Many Players with High ROCE</t>
        </is>
      </c>
      <c r="AA335" s="31">
        <f>IF(Z335="Monopoly",10,IF(Z335="Oligopoly",5,IF(Z335="Duopoly that cooperate",10,IF(Z335="Duopoly that compete",5,IF(Z335="Too many players with High ROCE",5,0)))))</f>
        <v/>
      </c>
      <c r="AB335" s="31" t="inlineStr">
        <is>
          <t>No</t>
        </is>
      </c>
      <c r="AC335" s="31">
        <f>IF(AB335="No",5,0)</f>
        <v/>
      </c>
      <c r="AD335" s="31" t="inlineStr">
        <is>
          <t>Tailwind</t>
        </is>
      </c>
      <c r="AE335" s="31">
        <f>IF(AD335="Tailwind",10,0)</f>
        <v/>
      </c>
      <c r="AF335" s="31" t="inlineStr">
        <is>
          <t>Structural (10 Years Consistency)</t>
        </is>
      </c>
      <c r="AG335" s="31">
        <f>IF(AF335="Structural (10 Years Consistency)",10,IF(AF335="Shallow Cyclical (2 to 3 years growth)",5,0))</f>
        <v/>
      </c>
      <c r="AH335" s="31" t="inlineStr">
        <is>
          <t>No</t>
        </is>
      </c>
      <c r="AI335" s="31">
        <f>IF(AH335="Yes due to Product Mix change or Operating Leverage",10,IF(AH335="Yes, these are peak margins",-5,IF(AH335="No",5,0)))</f>
        <v/>
      </c>
      <c r="AJ335" s="31" t="inlineStr">
        <is>
          <t>Stable</t>
        </is>
      </c>
      <c r="AK335" s="31">
        <f>IF(AJ335="Stable",10,0)</f>
        <v/>
      </c>
      <c r="AL335" s="31" t="inlineStr">
        <is>
          <t>Yes</t>
        </is>
      </c>
      <c r="AM335" s="31">
        <f>IF(AL335="Yes",10,0)</f>
        <v/>
      </c>
      <c r="AN335" s="31" t="inlineStr">
        <is>
          <t>B2B</t>
        </is>
      </c>
      <c r="AO335" s="31">
        <f>IF(AN335="B2C",10,IF(AN335="B2B",5,0))</f>
        <v/>
      </c>
      <c r="AP335" s="31" t="inlineStr">
        <is>
          <t>No</t>
        </is>
      </c>
      <c r="AQ335" s="31">
        <f>IF(AP335="Yes",10,0)</f>
        <v/>
      </c>
      <c r="AR335" s="31" t="inlineStr">
        <is>
          <t>Higher One Time, Lower Annuity</t>
        </is>
      </c>
      <c r="AS335" s="31">
        <f>IF(AR335="Fully Annuity",10,IF(AR335="Higher Annuity, Lower One Time",5,IF(AR335="Higher One Time, Lower Annuity",3,0)))</f>
        <v/>
      </c>
      <c r="AT335" s="31" t="inlineStr">
        <is>
          <t>Good</t>
        </is>
      </c>
      <c r="AU335" s="31">
        <f>IF(AT335="Good",10,0)</f>
        <v/>
      </c>
      <c r="AV335" s="31" t="inlineStr">
        <is>
          <t>Yes for more than 2 years</t>
        </is>
      </c>
      <c r="AW335" s="31">
        <f>IF(AV335="Yes for more than 2 years",10,IF(AV335="Yes only for next 1 to 2 years",5,0))</f>
        <v/>
      </c>
      <c r="AX335" s="31" t="inlineStr">
        <is>
          <t>20 to 40</t>
        </is>
      </c>
      <c r="AY335" s="31">
        <f>IF(AX335="Above 40",20,IF(AX335="20 to 40",10,IF(AX335="0 to 20",-5,0)))</f>
        <v/>
      </c>
      <c r="AZ335" s="31" t="inlineStr">
        <is>
          <t>Between 50 to 75</t>
        </is>
      </c>
      <c r="BA335" s="31">
        <f>IF(AZ335="Between 50 to 75",10,IF(AZ335="Above 75",0,0))</f>
        <v/>
      </c>
      <c r="BB335" s="31" t="inlineStr">
        <is>
          <t>Stage 2</t>
        </is>
      </c>
      <c r="BC335" s="31">
        <f>IF(BB335="Stage 2",20,IF(BB335="Stage 1",0,IF(BB335="Stage 3",5,IF(BB335="Stage 4",-5,0))))</f>
        <v/>
      </c>
      <c r="BD335" s="31" t="inlineStr">
        <is>
          <t>Negative Trend</t>
        </is>
      </c>
      <c r="BE335" s="31">
        <f>IF(BD335="Positive Trend",20,IF(BD335="Negative Trend",-10,0))</f>
        <v/>
      </c>
      <c r="BF335" s="31" t="inlineStr">
        <is>
          <t>Uptrend</t>
        </is>
      </c>
      <c r="BG335" s="31">
        <f>IF(BF335="Uptrend",10,IF(BF335="Sideways",5,0))</f>
        <v/>
      </c>
      <c r="BH335" s="31" t="inlineStr">
        <is>
          <t>Uptrend</t>
        </is>
      </c>
      <c r="BI335" s="31">
        <f>IF(BH335="Uptrend",10,IF(BH335="Sideways",5,0))</f>
        <v/>
      </c>
      <c r="BJ335" s="31" t="inlineStr">
        <is>
          <t>Close to 52 week high or retracement</t>
        </is>
      </c>
      <c r="BK335" s="31">
        <f>IF(BJ335="Overhead supply in last 2 years in last 2 years",-5,IF(BJ335="Close to 52 week high or retracement",5,IF(BJ335="Blue sky scenario",10,IF(BJ335="Long term Downtrend",-10,0))))</f>
        <v/>
      </c>
      <c r="BL335" s="31" t="inlineStr">
        <is>
          <t>Yes</t>
        </is>
      </c>
      <c r="BM335" s="31">
        <f>IF(BL335="Yes",10,0)</f>
        <v/>
      </c>
      <c r="BN335" s="31" t="inlineStr">
        <is>
          <t>More than 20%</t>
        </is>
      </c>
      <c r="BO335" s="31">
        <f>IF(BN335="More than 20%",10,IF(BN335="Between 12 to 20%",5,IF(BN335="Less than 12%",0,0)))</f>
        <v/>
      </c>
      <c r="BP335" s="31" t="inlineStr">
        <is>
          <t>No</t>
        </is>
      </c>
      <c r="BQ335" s="31">
        <f>IF(BP335="No",10,0)</f>
        <v/>
      </c>
      <c r="BR335" s="31" t="inlineStr">
        <is>
          <t>Yes</t>
        </is>
      </c>
      <c r="BS335" s="31">
        <f>IF(BR335="NO",5,0)</f>
        <v/>
      </c>
      <c r="BT335" s="31" t="inlineStr">
        <is>
          <t>Above 2</t>
        </is>
      </c>
      <c r="BU335" s="31">
        <f>IF(BT335="Above 2",0,IF(BT335="Between 1.5 to 2",5,IF(BT335="Less than 1.5",10,0)))</f>
        <v/>
      </c>
      <c r="BV335" s="31" t="inlineStr">
        <is>
          <t>Above 70%</t>
        </is>
      </c>
      <c r="BW335" s="31">
        <f>IF(BV335="Above 70%",10,IF(BV335="Between 50% to 70%",5,IF(BV335="Less than 50%",0,IF(BV335="Negative",-10,IF(BV335="Less than 50% and Borrowings are increasing",-5,0)))))</f>
        <v/>
      </c>
      <c r="BX335" s="31" t="inlineStr">
        <is>
          <t>Less than 0.7</t>
        </is>
      </c>
      <c r="BY335" s="31">
        <f>IF(BX335="More than 1.2",-10,IF(BX335="Between 0.7 to 1.2",0,IF(BX335="Less than 0.7",10,0)))</f>
        <v/>
      </c>
      <c r="BZ335" s="31" t="inlineStr">
        <is>
          <t>No</t>
        </is>
      </c>
      <c r="CA335" s="31">
        <f>IF(BZ335="Yes",-10,0)</f>
        <v/>
      </c>
      <c r="CB335" s="31" t="inlineStr">
        <is>
          <t>Less than 15%</t>
        </is>
      </c>
      <c r="CC335" s="31">
        <f>IF(CB335="More than 15%",-10,IF(CB335="Less than 15%",10,0))</f>
        <v/>
      </c>
      <c r="CD335" s="31" t="inlineStr">
        <is>
          <t>No</t>
        </is>
      </c>
      <c r="CE335" s="31">
        <f>IF(CD335="Yes, more than 10%",-10,IF(CD335="No",10,0))</f>
        <v/>
      </c>
    </row>
    <row r="336">
      <c r="A336" s="31">
        <f>IF(B336=0,"",RANK(B336,$B$2:$B$363,0))</f>
        <v/>
      </c>
      <c r="B336" s="32">
        <f>SUM(N336,Y336,AA336,AC336,AE336,AG336,AI336,AK336,AM336,AO336,AQ336,AS336,AU336,AW336,AY336,BA336,BC336,BE336,BG336,BI336,BK336,BM336,BO336,BQ336,BS336,BU336,BW336,BY336,CA336,CC336,CE336)</f>
        <v/>
      </c>
      <c r="C336" s="33" t="inlineStr">
        <is>
          <t>JTLIND</t>
        </is>
      </c>
      <c r="D336" s="33" t="inlineStr">
        <is>
          <t>JTL Industries Ltd</t>
        </is>
      </c>
      <c r="E336" s="31" t="inlineStr">
        <is>
          <t>metals &amp; mining</t>
        </is>
      </c>
      <c r="F336" s="31" t="inlineStr">
        <is>
          <t>steel - medium / small</t>
        </is>
      </c>
      <c r="G336" s="31" t="inlineStr">
        <is>
          <t>smallcap</t>
        </is>
      </c>
      <c r="H336" s="32" t="n">
        <v>3524.76</v>
      </c>
      <c r="I336" s="32" t="n">
        <v>91.67</v>
      </c>
      <c r="J336" s="32" t="n">
        <v>2.23</v>
      </c>
      <c r="K336" s="32" t="n">
        <v>2884117</v>
      </c>
      <c r="L336" s="31" t="n">
        <v>24</v>
      </c>
      <c r="M336" s="31" t="inlineStr">
        <is>
          <t>Underperforming</t>
        </is>
      </c>
      <c r="N336" s="32">
        <f>IF(M336="Underperforming",-5,IF(L336&gt;=95,15,IF(L336&gt;=90,10,IF(L336&gt;=80,5,0))))</f>
        <v/>
      </c>
      <c r="O336" s="32" t="n">
        <v>65.56</v>
      </c>
      <c r="P336" s="32" t="n">
        <v>12.94</v>
      </c>
      <c r="Q336" s="32" t="n">
        <v>66.86</v>
      </c>
      <c r="R336" s="31" t="inlineStr">
        <is>
          <t>Volume Spike &amp; Near 52W High Breakout</t>
        </is>
      </c>
      <c r="S336" s="31" t="inlineStr">
        <is>
          <t>Nifty Metal</t>
        </is>
      </c>
      <c r="T336" s="32" t="n">
        <v>41.3</v>
      </c>
      <c r="U336" s="32" t="n">
        <v>19.29</v>
      </c>
      <c r="V336" s="32" t="n">
        <v>-15.58</v>
      </c>
      <c r="W336" s="32" t="n">
        <v>6.53</v>
      </c>
      <c r="X336" s="31" t="inlineStr">
        <is>
          <t>Cyclical in an Upturn</t>
        </is>
      </c>
      <c r="Y336" s="31">
        <f>IF(X336="Growing Industry",10,IF(X336="Cyclical in an Upturn",5,0))</f>
        <v/>
      </c>
      <c r="Z336" s="31" t="inlineStr">
        <is>
          <t>Too Many Players with High ROCE</t>
        </is>
      </c>
      <c r="AA336" s="31">
        <f>IF(Z336="Monopoly",10,IF(Z336="Oligopoly",5,IF(Z336="Duopoly that cooperate",10,IF(Z336="Duopoly that compete",5,IF(Z336="Too many players with High ROCE",5,0)))))</f>
        <v/>
      </c>
      <c r="AB336" s="31" t="inlineStr">
        <is>
          <t>No</t>
        </is>
      </c>
      <c r="AC336" s="31">
        <f>IF(AB336="No",5,0)</f>
        <v/>
      </c>
      <c r="AD336" s="31" t="inlineStr">
        <is>
          <t>Tailwind</t>
        </is>
      </c>
      <c r="AE336" s="31">
        <f>IF(AD336="Tailwind",10,0)</f>
        <v/>
      </c>
      <c r="AF336" s="31" t="inlineStr">
        <is>
          <t>Cyclical</t>
        </is>
      </c>
      <c r="AG336" s="31">
        <f>IF(AF336="Structural (10 Years Consistency)",10,IF(AF336="Shallow Cyclical (2 to 3 years growth)",5,0))</f>
        <v/>
      </c>
      <c r="AH336" s="31" t="inlineStr">
        <is>
          <t>No</t>
        </is>
      </c>
      <c r="AI336" s="31">
        <f>IF(AH336="Yes due to Product Mix change or Operating Leverage",10,IF(AH336="Yes, these are peak margins",-5,IF(AH336="No",5,0)))</f>
        <v/>
      </c>
      <c r="AJ336" s="31" t="inlineStr">
        <is>
          <t>Volatile</t>
        </is>
      </c>
      <c r="AK336" s="31">
        <f>IF(AJ336="Stable",10,0)</f>
        <v/>
      </c>
      <c r="AL336" s="31" t="inlineStr">
        <is>
          <t>Yes</t>
        </is>
      </c>
      <c r="AM336" s="31">
        <f>IF(AL336="Yes",10,0)</f>
        <v/>
      </c>
      <c r="AN336" s="31" t="inlineStr">
        <is>
          <t>B2B</t>
        </is>
      </c>
      <c r="AO336" s="31">
        <f>IF(AN336="B2C",10,IF(AN336="B2B",5,0))</f>
        <v/>
      </c>
      <c r="AP336" s="31" t="inlineStr">
        <is>
          <t>Yes</t>
        </is>
      </c>
      <c r="AQ336" s="31">
        <f>IF(AP336="Yes",10,0)</f>
        <v/>
      </c>
      <c r="AR336" s="31" t="inlineStr">
        <is>
          <t>Higher One Time, Lower Annuity</t>
        </is>
      </c>
      <c r="AS336" s="31">
        <f>IF(AR336="Fully Annuity",10,IF(AR336="Higher Annuity, Lower One Time",5,IF(AR336="Higher One Time, Lower Annuity",3,0)))</f>
        <v/>
      </c>
      <c r="AT336" s="31" t="inlineStr">
        <is>
          <t>Good</t>
        </is>
      </c>
      <c r="AU336" s="31">
        <f>IF(AT336="Good",10,0)</f>
        <v/>
      </c>
      <c r="AV336" s="31" t="inlineStr">
        <is>
          <t>Yes for more than 2 years</t>
        </is>
      </c>
      <c r="AW336" s="31">
        <f>IF(AV336="Yes for more than 2 years",10,IF(AV336="Yes only for next 1 to 2 years",5,0))</f>
        <v/>
      </c>
      <c r="AX336" s="31" t="inlineStr">
        <is>
          <t>0 to 20</t>
        </is>
      </c>
      <c r="AY336" s="31">
        <f>IF(AX336="Above 40",20,IF(AX336="20 to 40",10,IF(AX336="0 to 20",-5,0)))</f>
        <v/>
      </c>
      <c r="AZ336" s="31" t="inlineStr">
        <is>
          <t>Between 50 to 75</t>
        </is>
      </c>
      <c r="BA336" s="31">
        <f>IF(AZ336="Between 50 to 75",10,IF(AZ336="Above 75",0,0))</f>
        <v/>
      </c>
      <c r="BB336" s="31" t="inlineStr">
        <is>
          <t>Stage 2</t>
        </is>
      </c>
      <c r="BC336" s="31">
        <f>IF(BB336="Stage 2",20,IF(BB336="Stage 1",0,IF(BB336="Stage 3",5,IF(BB336="Stage 4",-5,0))))</f>
        <v/>
      </c>
      <c r="BD336" s="31" t="inlineStr">
        <is>
          <t>Positive Trend</t>
        </is>
      </c>
      <c r="BE336" s="31">
        <f>IF(BD336="Positive Trend",20,IF(BD336="Negative Trend",-10,0))</f>
        <v/>
      </c>
      <c r="BF336" s="31" t="inlineStr">
        <is>
          <t>Uptrend</t>
        </is>
      </c>
      <c r="BG336" s="31">
        <f>IF(BF336="Uptrend",10,IF(BF336="Sideways",5,0))</f>
        <v/>
      </c>
      <c r="BH336" s="31" t="inlineStr">
        <is>
          <t>Uptrend</t>
        </is>
      </c>
      <c r="BI336" s="31">
        <f>IF(BH336="Uptrend",10,IF(BH336="Sideways",5,0))</f>
        <v/>
      </c>
      <c r="BJ336" s="31" t="inlineStr">
        <is>
          <t>Close to 52 week high or retracement</t>
        </is>
      </c>
      <c r="BK336" s="31">
        <f>IF(BJ336="Overhead supply in last 2 years in last 2 years",-5,IF(BJ336="Close to 52 week high or retracement",5,IF(BJ336="Blue sky scenario",10,IF(BJ336="Long term Downtrend",-10,0))))</f>
        <v/>
      </c>
      <c r="BL336" s="31" t="inlineStr">
        <is>
          <t>Yes</t>
        </is>
      </c>
      <c r="BM336" s="31">
        <f>IF(BL336="Yes",10,0)</f>
        <v/>
      </c>
      <c r="BN336" s="31" t="inlineStr">
        <is>
          <t>More than 20%</t>
        </is>
      </c>
      <c r="BO336" s="31">
        <f>IF(BN336="More than 20%",10,IF(BN336="Between 12 to 20%",5,IF(BN336="Less than 12%",0,0)))</f>
        <v/>
      </c>
      <c r="BP336" s="31" t="inlineStr">
        <is>
          <t>No</t>
        </is>
      </c>
      <c r="BQ336" s="31">
        <f>IF(BP336="No",10,0)</f>
        <v/>
      </c>
      <c r="BR336" s="31" t="inlineStr">
        <is>
          <t>No</t>
        </is>
      </c>
      <c r="BS336" s="31">
        <f>IF(BR336="NO",5,0)</f>
        <v/>
      </c>
      <c r="BT336" s="31" t="inlineStr">
        <is>
          <t>Above 2</t>
        </is>
      </c>
      <c r="BU336" s="31">
        <f>IF(BT336="Above 2",0,IF(BT336="Between 1.5 to 2",5,IF(BT336="Less than 1.5",10,0)))</f>
        <v/>
      </c>
      <c r="BV336" s="31" t="inlineStr">
        <is>
          <t>Above 70%</t>
        </is>
      </c>
      <c r="BW336" s="31">
        <f>IF(BV336="Above 70%",10,IF(BV336="Between 50% to 70%",5,IF(BV336="Less than 50%",0,IF(BV336="Negative",-10,IF(BV336="Less than 50% and Borrowings are increasing",-5,0)))))</f>
        <v/>
      </c>
      <c r="BX336" s="31" t="inlineStr">
        <is>
          <t>Less than 0.7</t>
        </is>
      </c>
      <c r="BY336" s="31">
        <f>IF(BX336="More than 1.2",-10,IF(BX336="Between 0.7 to 1.2",0,IF(BX336="Less than 0.7",10,0)))</f>
        <v/>
      </c>
      <c r="BZ336" s="31" t="inlineStr">
        <is>
          <t>No</t>
        </is>
      </c>
      <c r="CA336" s="31">
        <f>IF(BZ336="Yes",-10,0)</f>
        <v/>
      </c>
      <c r="CB336" s="31" t="inlineStr">
        <is>
          <t>Less than 15%</t>
        </is>
      </c>
      <c r="CC336" s="31">
        <f>IF(CB336="More than 15%",-10,IF(CB336="Less than 15%",10,0))</f>
        <v/>
      </c>
      <c r="CD336" s="31" t="inlineStr">
        <is>
          <t>No</t>
        </is>
      </c>
      <c r="CE336" s="31">
        <f>IF(CD336="Yes, more than 10%",-10,IF(CD336="No",10,0))</f>
        <v/>
      </c>
    </row>
    <row r="337">
      <c r="A337" s="31">
        <f>IF(B337=0,"",RANK(B337,$B$2:$B$363,0))</f>
        <v/>
      </c>
      <c r="B337" s="32">
        <f>SUM(N337,Y337,AA337,AC337,AE337,AG337,AI337,AK337,AM337,AO337,AQ337,AS337,AU337,AW337,AY337,BA337,BC337,BE337,BG337,BI337,BK337,BM337,BO337,BQ337,BS337,BU337,BW337,BY337,CA337,CC337,CE337)</f>
        <v/>
      </c>
      <c r="C337" s="33" t="inlineStr">
        <is>
          <t>RATNAMANI</t>
        </is>
      </c>
      <c r="D337" s="33" t="inlineStr">
        <is>
          <t>Ratnamani Metals &amp; Tubes Limited</t>
        </is>
      </c>
      <c r="E337" s="31" t="inlineStr">
        <is>
          <t>industrials</t>
        </is>
      </c>
      <c r="F337" s="31" t="inlineStr">
        <is>
          <t>steel - medium / small</t>
        </is>
      </c>
      <c r="G337" s="31" t="inlineStr">
        <is>
          <t>midcap</t>
        </is>
      </c>
      <c r="H337" s="32" t="n">
        <v>18712.46</v>
      </c>
      <c r="I337" s="32" t="n">
        <v>2727</v>
      </c>
      <c r="J337" s="32" t="n">
        <v>2.15</v>
      </c>
      <c r="K337" s="32" t="n">
        <v>72730</v>
      </c>
      <c r="L337" s="31" t="n">
        <v>10</v>
      </c>
      <c r="M337" s="31" t="inlineStr">
        <is>
          <t>Underperforming</t>
        </is>
      </c>
      <c r="N337" s="32">
        <f>IF(M337="Underperforming",-5,IF(L337&gt;=95,15,IF(L337&gt;=90,10,IF(L337&gt;=80,5,0))))</f>
        <v/>
      </c>
      <c r="O337" s="32" t="n">
        <v>57.85</v>
      </c>
      <c r="P337" s="32" t="n">
        <v>24.98</v>
      </c>
      <c r="Q337" s="32" t="n">
        <v>2076.21</v>
      </c>
      <c r="R337" s="31" t="inlineStr">
        <is>
          <t>Near 52W High Breakout</t>
        </is>
      </c>
      <c r="S337" s="31" t="inlineStr">
        <is>
          <t>Nifty Metal</t>
        </is>
      </c>
      <c r="T337" s="32" t="n">
        <v>41.3</v>
      </c>
      <c r="U337" s="32" t="n">
        <v>1.68</v>
      </c>
      <c r="V337" s="32" t="n">
        <v>-28.04</v>
      </c>
      <c r="W337" s="32" t="n">
        <v>2.58</v>
      </c>
      <c r="X337" s="31" t="inlineStr">
        <is>
          <t>Cyclical in an Upturn</t>
        </is>
      </c>
      <c r="Y337" s="31">
        <f>IF(X337="Growing Industry",10,IF(X337="Cyclical in an Upturn",5,0))</f>
        <v/>
      </c>
      <c r="Z337" s="31" t="inlineStr">
        <is>
          <t>Too Many Players with High ROCE</t>
        </is>
      </c>
      <c r="AA337" s="31">
        <f>IF(Z337="Monopoly",10,IF(Z337="Oligopoly",5,IF(Z337="Duopoly that cooperate",10,IF(Z337="Duopoly that compete",5,IF(Z337="Too many players with High ROCE",5,0)))))</f>
        <v/>
      </c>
      <c r="AB337" s="31" t="inlineStr">
        <is>
          <t>No</t>
        </is>
      </c>
      <c r="AC337" s="31">
        <f>IF(AB337="No",5,0)</f>
        <v/>
      </c>
      <c r="AD337" s="31" t="inlineStr">
        <is>
          <t>Tailwind</t>
        </is>
      </c>
      <c r="AE337" s="31">
        <f>IF(AD337="Tailwind",10,0)</f>
        <v/>
      </c>
      <c r="AF337" s="31" t="inlineStr">
        <is>
          <t>Structural (10 Years Consistency)</t>
        </is>
      </c>
      <c r="AG337" s="31">
        <f>IF(AF337="Structural (10 Years Consistency)",10,IF(AF337="Shallow Cyclical (2 to 3 years growth)",5,0))</f>
        <v/>
      </c>
      <c r="AH337" s="31" t="inlineStr">
        <is>
          <t>No</t>
        </is>
      </c>
      <c r="AI337" s="31">
        <f>IF(AH337="Yes due to Product Mix change or Operating Leverage",10,IF(AH337="Yes, these are peak margins",-5,IF(AH337="No",5,0)))</f>
        <v/>
      </c>
      <c r="AJ337" s="31" t="inlineStr">
        <is>
          <t>Stable</t>
        </is>
      </c>
      <c r="AK337" s="31">
        <f>IF(AJ337="Stable",10,0)</f>
        <v/>
      </c>
      <c r="AL337" s="31" t="inlineStr">
        <is>
          <t>Yes</t>
        </is>
      </c>
      <c r="AM337" s="31">
        <f>IF(AL337="Yes",10,0)</f>
        <v/>
      </c>
      <c r="AN337" s="31" t="inlineStr">
        <is>
          <t>B2B</t>
        </is>
      </c>
      <c r="AO337" s="31">
        <f>IF(AN337="B2C",10,IF(AN337="B2B",5,0))</f>
        <v/>
      </c>
      <c r="AP337" s="31" t="inlineStr">
        <is>
          <t>Yes</t>
        </is>
      </c>
      <c r="AQ337" s="31">
        <f>IF(AP337="Yes",10,0)</f>
        <v/>
      </c>
      <c r="AR337" s="31" t="inlineStr">
        <is>
          <t>Higher One Time, Lower Annuity</t>
        </is>
      </c>
      <c r="AS337" s="31">
        <f>IF(AR337="Fully Annuity",10,IF(AR337="Higher Annuity, Lower One Time",5,IF(AR337="Higher One Time, Lower Annuity",3,0)))</f>
        <v/>
      </c>
      <c r="AT337" s="31" t="inlineStr">
        <is>
          <t>Good</t>
        </is>
      </c>
      <c r="AU337" s="31">
        <f>IF(AT337="Good",10,0)</f>
        <v/>
      </c>
      <c r="AV337" s="31" t="inlineStr">
        <is>
          <t>Yes for more than 2 years</t>
        </is>
      </c>
      <c r="AW337" s="31">
        <f>IF(AV337="Yes for more than 2 years",10,IF(AV337="Yes only for next 1 to 2 years",5,0))</f>
        <v/>
      </c>
      <c r="AX337" s="31" t="inlineStr">
        <is>
          <t>20 to 40</t>
        </is>
      </c>
      <c r="AY337" s="31">
        <f>IF(AX337="Above 40",20,IF(AX337="20 to 40",10,IF(AX337="0 to 20",-5,0)))</f>
        <v/>
      </c>
      <c r="AZ337" s="31" t="inlineStr">
        <is>
          <t>Between 50 to 75</t>
        </is>
      </c>
      <c r="BA337" s="31">
        <f>IF(AZ337="Between 50 to 75",10,IF(AZ337="Above 75",0,0))</f>
        <v/>
      </c>
      <c r="BB337" s="31" t="inlineStr">
        <is>
          <t>Stage 1</t>
        </is>
      </c>
      <c r="BC337" s="31">
        <f>IF(BB337="Stage 2",20,IF(BB337="Stage 1",0,IF(BB337="Stage 3",5,IF(BB337="Stage 4",-5,0))))</f>
        <v/>
      </c>
      <c r="BD337" s="31" t="inlineStr">
        <is>
          <t>Positive Trend</t>
        </is>
      </c>
      <c r="BE337" s="31">
        <f>IF(BD337="Positive Trend",20,IF(BD337="Negative Trend",-10,0))</f>
        <v/>
      </c>
      <c r="BF337" s="31" t="inlineStr">
        <is>
          <t>Uptrend</t>
        </is>
      </c>
      <c r="BG337" s="31">
        <f>IF(BF337="Uptrend",10,IF(BF337="Sideways",5,0))</f>
        <v/>
      </c>
      <c r="BH337" s="31" t="inlineStr">
        <is>
          <t>Uptrend</t>
        </is>
      </c>
      <c r="BI337" s="31">
        <f>IF(BH337="Uptrend",10,IF(BH337="Sideways",5,0))</f>
        <v/>
      </c>
      <c r="BJ337" s="31" t="inlineStr">
        <is>
          <t>Close to 52 week high or retracement</t>
        </is>
      </c>
      <c r="BK337" s="31">
        <f>IF(BJ337="Overhead supply in last 2 years in last 2 years",-5,IF(BJ337="Close to 52 week high or retracement",5,IF(BJ337="Blue sky scenario",10,IF(BJ337="Long term Downtrend",-10,0))))</f>
        <v/>
      </c>
      <c r="BL337" s="31" t="inlineStr">
        <is>
          <t>Yes</t>
        </is>
      </c>
      <c r="BM337" s="31">
        <f>IF(BL337="Yes",10,0)</f>
        <v/>
      </c>
      <c r="BN337" s="31" t="inlineStr">
        <is>
          <t>Less than 12%</t>
        </is>
      </c>
      <c r="BO337" s="31">
        <f>IF(BN337="More than 20%",10,IF(BN337="Between 12 to 20%",5,IF(BN337="Less than 12%",0,0)))</f>
        <v/>
      </c>
      <c r="BP337" s="31" t="inlineStr">
        <is>
          <t>No</t>
        </is>
      </c>
      <c r="BQ337" s="31">
        <f>IF(BP337="No",10,0)</f>
        <v/>
      </c>
      <c r="BR337" s="31" t="inlineStr">
        <is>
          <t>Yes</t>
        </is>
      </c>
      <c r="BS337" s="31">
        <f>IF(BR337="NO",5,0)</f>
        <v/>
      </c>
      <c r="BT337" s="31" t="inlineStr">
        <is>
          <t>Above 2</t>
        </is>
      </c>
      <c r="BU337" s="31">
        <f>IF(BT337="Above 2",0,IF(BT337="Between 1.5 to 2",5,IF(BT337="Less than 1.5",10,0)))</f>
        <v/>
      </c>
      <c r="BV337" s="31" t="inlineStr">
        <is>
          <t>Above 70%</t>
        </is>
      </c>
      <c r="BW337" s="31">
        <f>IF(BV337="Above 70%",10,IF(BV337="Between 50% to 70%",5,IF(BV337="Less than 50%",0,IF(BV337="Negative",-10,IF(BV337="Less than 50% and Borrowings are increasing",-5,0)))))</f>
        <v/>
      </c>
      <c r="BX337" s="31" t="inlineStr">
        <is>
          <t>Less than 0.7</t>
        </is>
      </c>
      <c r="BY337" s="31">
        <f>IF(BX337="More than 1.2",-10,IF(BX337="Between 0.7 to 1.2",0,IF(BX337="Less than 0.7",10,0)))</f>
        <v/>
      </c>
      <c r="BZ337" s="31" t="inlineStr">
        <is>
          <t>No</t>
        </is>
      </c>
      <c r="CA337" s="31">
        <f>IF(BZ337="Yes",-10,0)</f>
        <v/>
      </c>
      <c r="CB337" s="31" t="inlineStr">
        <is>
          <t>Less than 15%</t>
        </is>
      </c>
      <c r="CC337" s="31">
        <f>IF(CB337="More than 15%",-10,IF(CB337="Less than 15%",10,0))</f>
        <v/>
      </c>
      <c r="CD337" s="31" t="inlineStr">
        <is>
          <t>No</t>
        </is>
      </c>
      <c r="CE337" s="31">
        <f>IF(CD337="Yes, more than 10%",-10,IF(CD337="No",10,0))</f>
        <v/>
      </c>
    </row>
    <row r="338">
      <c r="A338" s="31">
        <f>IF(B338=0,"",RANK(B338,$B$2:$B$363,0))</f>
        <v/>
      </c>
      <c r="B338" s="32">
        <f>SUM(N338,Y338,AA338,AC338,AE338,AG338,AI338,AK338,AM338,AO338,AQ338,AS338,AU338,AW338,AY338,BA338,BC338,BE338,BG338,BI338,BK338,BM338,BO338,BQ338,BS338,BU338,BW338,BY338,CA338,CC338,CE338)</f>
        <v/>
      </c>
      <c r="C338" s="33" t="inlineStr">
        <is>
          <t>NSLNISP</t>
        </is>
      </c>
      <c r="D338" s="33" t="inlineStr">
        <is>
          <t>NMDC Steel Ltd</t>
        </is>
      </c>
      <c r="E338" s="31" t="inlineStr">
        <is>
          <t>metals &amp; mining</t>
        </is>
      </c>
      <c r="F338" s="31" t="inlineStr">
        <is>
          <t>steel - large</t>
        </is>
      </c>
      <c r="G338" s="31" t="inlineStr">
        <is>
          <t>midcap</t>
        </is>
      </c>
      <c r="H338" s="32" t="n">
        <v>13304.95</v>
      </c>
      <c r="I338" s="32" t="n">
        <v>46.02</v>
      </c>
      <c r="J338" s="32" t="n">
        <v>1.37</v>
      </c>
      <c r="K338" s="32" t="n">
        <v>5132127</v>
      </c>
      <c r="L338" s="31" t="n">
        <v>25</v>
      </c>
      <c r="M338" s="31" t="inlineStr">
        <is>
          <t>Underperforming</t>
        </is>
      </c>
      <c r="N338" s="32">
        <f>IF(M338="Underperforming",-5,IF(L338&gt;=95,15,IF(L338&gt;=90,10,IF(L338&gt;=80,5,0))))</f>
        <v/>
      </c>
      <c r="O338" s="32" t="n">
        <v>54.38</v>
      </c>
      <c r="P338" s="32" t="n">
        <v>23.63</v>
      </c>
      <c r="Q338" s="32" t="n">
        <v>38.68</v>
      </c>
      <c r="R338" s="31" t="inlineStr">
        <is>
          <t>Earnings / Momentum Support</t>
        </is>
      </c>
      <c r="S338" s="31" t="inlineStr">
        <is>
          <t>Nifty Metal</t>
        </is>
      </c>
      <c r="T338" s="32" t="n">
        <v>41.3</v>
      </c>
      <c r="U338" s="32" t="n">
        <v>20.09</v>
      </c>
      <c r="V338" s="32" t="n">
        <v>-15.01</v>
      </c>
      <c r="W338" s="32" t="n">
        <v>6.65</v>
      </c>
      <c r="X338" s="31" t="inlineStr">
        <is>
          <t>Cyclical in an Upturn</t>
        </is>
      </c>
      <c r="Y338" s="31">
        <f>IF(X338="Growing Industry",10,IF(X338="Cyclical in an Upturn",5,0))</f>
        <v/>
      </c>
      <c r="Z338" s="31" t="inlineStr">
        <is>
          <t>Too Many Players with High ROCE</t>
        </is>
      </c>
      <c r="AA338" s="31">
        <f>IF(Z338="Monopoly",10,IF(Z338="Oligopoly",5,IF(Z338="Duopoly that cooperate",10,IF(Z338="Duopoly that compete",5,IF(Z338="Too many players with High ROCE",5,0)))))</f>
        <v/>
      </c>
      <c r="AB338" s="31" t="inlineStr">
        <is>
          <t>No</t>
        </is>
      </c>
      <c r="AC338" s="31">
        <f>IF(AB338="No",5,0)</f>
        <v/>
      </c>
      <c r="AD338" s="31" t="inlineStr">
        <is>
          <t>Tailwind</t>
        </is>
      </c>
      <c r="AE338" s="31">
        <f>IF(AD338="Tailwind",10,0)</f>
        <v/>
      </c>
      <c r="AF338" s="31" t="inlineStr">
        <is>
          <t>Cyclical</t>
        </is>
      </c>
      <c r="AG338" s="31">
        <f>IF(AF338="Structural (10 Years Consistency)",10,IF(AF338="Shallow Cyclical (2 to 3 years growth)",5,0))</f>
        <v/>
      </c>
      <c r="AH338" s="31" t="inlineStr">
        <is>
          <t>No</t>
        </is>
      </c>
      <c r="AI338" s="31">
        <f>IF(AH338="Yes due to Product Mix change or Operating Leverage",10,IF(AH338="Yes, these are peak margins",-5,IF(AH338="No",5,0)))</f>
        <v/>
      </c>
      <c r="AJ338" s="31" t="inlineStr">
        <is>
          <t>Volatile</t>
        </is>
      </c>
      <c r="AK338" s="31">
        <f>IF(AJ338="Stable",10,0)</f>
        <v/>
      </c>
      <c r="AL338" s="31" t="inlineStr">
        <is>
          <t>Yes</t>
        </is>
      </c>
      <c r="AM338" s="31">
        <f>IF(AL338="Yes",10,0)</f>
        <v/>
      </c>
      <c r="AN338" s="31" t="inlineStr">
        <is>
          <t>B2B</t>
        </is>
      </c>
      <c r="AO338" s="31">
        <f>IF(AN338="B2C",10,IF(AN338="B2B",5,0))</f>
        <v/>
      </c>
      <c r="AP338" s="31" t="inlineStr">
        <is>
          <t>No</t>
        </is>
      </c>
      <c r="AQ338" s="31">
        <f>IF(AP338="Yes",10,0)</f>
        <v/>
      </c>
      <c r="AR338" s="31" t="inlineStr">
        <is>
          <t>Higher One Time, Lower Annuity</t>
        </is>
      </c>
      <c r="AS338" s="31">
        <f>IF(AR338="Fully Annuity",10,IF(AR338="Higher Annuity, Lower One Time",5,IF(AR338="Higher One Time, Lower Annuity",3,0)))</f>
        <v/>
      </c>
      <c r="AT338" s="31" t="inlineStr">
        <is>
          <t>Good</t>
        </is>
      </c>
      <c r="AU338" s="31">
        <f>IF(AT338="Good",10,0)</f>
        <v/>
      </c>
      <c r="AV338" s="31" t="inlineStr">
        <is>
          <t>Yes for more than 2 years</t>
        </is>
      </c>
      <c r="AW338" s="31">
        <f>IF(AV338="Yes for more than 2 years",10,IF(AV338="Yes only for next 1 to 2 years",5,0))</f>
        <v/>
      </c>
      <c r="AX338" s="31" t="inlineStr">
        <is>
          <t>20 to 40</t>
        </is>
      </c>
      <c r="AY338" s="31">
        <f>IF(AX338="Above 40",20,IF(AX338="20 to 40",10,IF(AX338="0 to 20",-5,0)))</f>
        <v/>
      </c>
      <c r="AZ338" s="31" t="inlineStr">
        <is>
          <t>Between 50 to 75</t>
        </is>
      </c>
      <c r="BA338" s="31">
        <f>IF(AZ338="Between 50 to 75",10,IF(AZ338="Above 75",0,0))</f>
        <v/>
      </c>
      <c r="BB338" s="31" t="inlineStr">
        <is>
          <t>Stage 2</t>
        </is>
      </c>
      <c r="BC338" s="31">
        <f>IF(BB338="Stage 2",20,IF(BB338="Stage 1",0,IF(BB338="Stage 3",5,IF(BB338="Stage 4",-5,0))))</f>
        <v/>
      </c>
      <c r="BD338" s="31" t="inlineStr">
        <is>
          <t>Positive Trend</t>
        </is>
      </c>
      <c r="BE338" s="31">
        <f>IF(BD338="Positive Trend",20,IF(BD338="Negative Trend",-10,0))</f>
        <v/>
      </c>
      <c r="BF338" s="31" t="inlineStr">
        <is>
          <t>Uptrend</t>
        </is>
      </c>
      <c r="BG338" s="31">
        <f>IF(BF338="Uptrend",10,IF(BF338="Sideways",5,0))</f>
        <v/>
      </c>
      <c r="BH338" s="31" t="inlineStr">
        <is>
          <t>Uptrend</t>
        </is>
      </c>
      <c r="BI338" s="31">
        <f>IF(BH338="Uptrend",10,IF(BH338="Sideways",5,0))</f>
        <v/>
      </c>
      <c r="BJ338" s="31" t="inlineStr">
        <is>
          <t>Close to 52 week high or retracement</t>
        </is>
      </c>
      <c r="BK338" s="31">
        <f>IF(BJ338="Overhead supply in last 2 years in last 2 years",-5,IF(BJ338="Close to 52 week high or retracement",5,IF(BJ338="Blue sky scenario",10,IF(BJ338="Long term Downtrend",-10,0))))</f>
        <v/>
      </c>
      <c r="BL338" s="31" t="inlineStr">
        <is>
          <t>Yes</t>
        </is>
      </c>
      <c r="BM338" s="31">
        <f>IF(BL338="Yes",10,0)</f>
        <v/>
      </c>
      <c r="BN338" s="31" t="inlineStr">
        <is>
          <t>More than 20%</t>
        </is>
      </c>
      <c r="BO338" s="31">
        <f>IF(BN338="More than 20%",10,IF(BN338="Between 12 to 20%",5,IF(BN338="Less than 12%",0,0)))</f>
        <v/>
      </c>
      <c r="BP338" s="31" t="inlineStr">
        <is>
          <t>No</t>
        </is>
      </c>
      <c r="BQ338" s="31">
        <f>IF(BP338="No",10,0)</f>
        <v/>
      </c>
      <c r="BR338" s="31" t="inlineStr">
        <is>
          <t>Yes</t>
        </is>
      </c>
      <c r="BS338" s="31">
        <f>IF(BR338="NO",5,0)</f>
        <v/>
      </c>
      <c r="BT338" s="31" t="inlineStr">
        <is>
          <t>Above 2</t>
        </is>
      </c>
      <c r="BU338" s="31">
        <f>IF(BT338="Above 2",0,IF(BT338="Between 1.5 to 2",5,IF(BT338="Less than 1.5",10,0)))</f>
        <v/>
      </c>
      <c r="BV338" s="31" t="inlineStr">
        <is>
          <t>Above 70%</t>
        </is>
      </c>
      <c r="BW338" s="31">
        <f>IF(BV338="Above 70%",10,IF(BV338="Between 50% to 70%",5,IF(BV338="Less than 50%",0,IF(BV338="Negative",-10,IF(BV338="Less than 50% and Borrowings are increasing",-5,0)))))</f>
        <v/>
      </c>
      <c r="BX338" s="31" t="inlineStr">
        <is>
          <t>Less than 0.7</t>
        </is>
      </c>
      <c r="BY338" s="31">
        <f>IF(BX338="More than 1.2",-10,IF(BX338="Between 0.7 to 1.2",0,IF(BX338="Less than 0.7",10,0)))</f>
        <v/>
      </c>
      <c r="BZ338" s="31" t="inlineStr">
        <is>
          <t>No</t>
        </is>
      </c>
      <c r="CA338" s="31">
        <f>IF(BZ338="Yes",-10,0)</f>
        <v/>
      </c>
      <c r="CB338" s="31" t="inlineStr">
        <is>
          <t>Less than 15%</t>
        </is>
      </c>
      <c r="CC338" s="31">
        <f>IF(CB338="More than 15%",-10,IF(CB338="Less than 15%",10,0))</f>
        <v/>
      </c>
      <c r="CD338" s="31" t="inlineStr">
        <is>
          <t>No</t>
        </is>
      </c>
      <c r="CE338" s="31">
        <f>IF(CD338="Yes, more than 10%",-10,IF(CD338="No",10,0))</f>
        <v/>
      </c>
    </row>
    <row r="339">
      <c r="A339" s="31">
        <f>IF(B339=0,"",RANK(B339,$B$2:$B$363,0))</f>
        <v/>
      </c>
      <c r="B339" s="32">
        <f>SUM(N339,Y339,AA339,AC339,AE339,AG339,AI339,AK339,AM339,AO339,AQ339,AS339,AU339,AW339,AY339,BA339,BC339,BE339,BG339,BI339,BK339,BM339,BO339,BQ339,BS339,BU339,BW339,BY339,CA339,CC339,CE339)</f>
        <v/>
      </c>
      <c r="C339" s="31" t="inlineStr">
        <is>
          <t>STYLEBAAZA</t>
        </is>
      </c>
      <c r="D339" s="31" t="inlineStr">
        <is>
          <t>Baazar Style Retail Ltd</t>
        </is>
      </c>
      <c r="E339" s="31" t="inlineStr">
        <is>
          <t>consumer discretionary</t>
        </is>
      </c>
      <c r="F339" s="31" t="inlineStr">
        <is>
          <t>trading</t>
        </is>
      </c>
      <c r="G339" s="31" t="inlineStr">
        <is>
          <t>smallcap</t>
        </is>
      </c>
      <c r="H339" s="32" t="n">
        <v>3005.49</v>
      </c>
      <c r="I339" s="32" t="n">
        <v>400.25</v>
      </c>
      <c r="J339" s="32" t="n">
        <v>1.37</v>
      </c>
      <c r="K339" s="32" t="n">
        <v>557524</v>
      </c>
      <c r="L339" s="31" t="n">
        <v>30</v>
      </c>
      <c r="M339" s="31" t="inlineStr">
        <is>
          <t>Outperforming</t>
        </is>
      </c>
      <c r="N339" s="32">
        <f>IF(M339="Underperforming",-5,IF(L339&gt;=95,15,IF(L339&gt;=90,10,IF(L339&gt;=80,5,0))))</f>
        <v/>
      </c>
      <c r="O339" s="32" t="n">
        <v>60</v>
      </c>
      <c r="P339" s="32" t="n">
        <v>15.33</v>
      </c>
      <c r="Q339" s="32" t="n">
        <v>288.43</v>
      </c>
      <c r="R339" s="31" t="inlineStr">
        <is>
          <t>Near 52W High Breakout</t>
        </is>
      </c>
      <c r="S339" s="31" t="inlineStr">
        <is>
          <t>Nifty 50</t>
        </is>
      </c>
      <c r="T339" s="32" t="n">
        <v>-3.41</v>
      </c>
      <c r="U339" s="32" t="n">
        <v>15.51</v>
      </c>
      <c r="V339" s="32" t="n">
        <v>19.59</v>
      </c>
      <c r="W339" s="32" t="n">
        <v>7.73</v>
      </c>
      <c r="X339" s="31" t="inlineStr">
        <is>
          <t>Growing Industry</t>
        </is>
      </c>
      <c r="Y339" s="31">
        <f>IF(X339="Growing Industry",10,IF(X339="Cyclical in an Upturn",5,0))</f>
        <v/>
      </c>
      <c r="Z339" s="31" t="inlineStr">
        <is>
          <t>Too Many Players with High ROCE</t>
        </is>
      </c>
      <c r="AA339" s="31">
        <f>IF(Z339="Monopoly",10,IF(Z339="Oligopoly",5,IF(Z339="Duopoly that cooperate",10,IF(Z339="Duopoly that compete",5,IF(Z339="Too many players with High ROCE",5,0)))))</f>
        <v/>
      </c>
      <c r="AB339" s="31" t="inlineStr">
        <is>
          <t>No</t>
        </is>
      </c>
      <c r="AC339" s="31">
        <f>IF(AB339="No",5,0)</f>
        <v/>
      </c>
      <c r="AD339" s="31" t="inlineStr">
        <is>
          <t>Tailwind</t>
        </is>
      </c>
      <c r="AE339" s="31">
        <f>IF(AD339="Tailwind",10,0)</f>
        <v/>
      </c>
      <c r="AF339" s="31" t="inlineStr">
        <is>
          <t>Structural (10 Years Consistency)</t>
        </is>
      </c>
      <c r="AG339" s="31">
        <f>IF(AF339="Structural (10 Years Consistency)",10,IF(AF339="Shallow Cyclical (2 to 3 years growth)",5,0))</f>
        <v/>
      </c>
      <c r="AH339" s="31" t="inlineStr">
        <is>
          <t>No</t>
        </is>
      </c>
      <c r="AI339" s="31">
        <f>IF(AH339="Yes due to Product Mix change or Operating Leverage",10,IF(AH339="Yes, these are peak margins",-5,IF(AH339="No",5,0)))</f>
        <v/>
      </c>
      <c r="AJ339" s="31" t="inlineStr">
        <is>
          <t>Stable</t>
        </is>
      </c>
      <c r="AK339" s="31">
        <f>IF(AJ339="Stable",10,0)</f>
        <v/>
      </c>
      <c r="AL339" s="31" t="inlineStr">
        <is>
          <t>Yes</t>
        </is>
      </c>
      <c r="AM339" s="31">
        <f>IF(AL339="Yes",10,0)</f>
        <v/>
      </c>
      <c r="AN339" s="31" t="inlineStr">
        <is>
          <t>B2B</t>
        </is>
      </c>
      <c r="AO339" s="31">
        <f>IF(AN339="B2C",10,IF(AN339="B2B",5,0))</f>
        <v/>
      </c>
      <c r="AP339" s="31" t="inlineStr">
        <is>
          <t>Yes</t>
        </is>
      </c>
      <c r="AQ339" s="31">
        <f>IF(AP339="Yes",10,0)</f>
        <v/>
      </c>
      <c r="AR339" s="31" t="inlineStr">
        <is>
          <t>Higher One Time, Lower Annuity</t>
        </is>
      </c>
      <c r="AS339" s="31">
        <f>IF(AR339="Fully Annuity",10,IF(AR339="Higher Annuity, Lower One Time",5,IF(AR339="Higher One Time, Lower Annuity",3,0)))</f>
        <v/>
      </c>
      <c r="AT339" s="31" t="inlineStr">
        <is>
          <t>Good</t>
        </is>
      </c>
      <c r="AU339" s="31">
        <f>IF(AT339="Good",10,0)</f>
        <v/>
      </c>
      <c r="AV339" s="31" t="inlineStr">
        <is>
          <t>Yes for more than 2 years</t>
        </is>
      </c>
      <c r="AW339" s="31">
        <f>IF(AV339="Yes for more than 2 years",10,IF(AV339="Yes only for next 1 to 2 years",5,0))</f>
        <v/>
      </c>
      <c r="AX339" s="31" t="inlineStr">
        <is>
          <t>0 to 20</t>
        </is>
      </c>
      <c r="AY339" s="31">
        <f>IF(AX339="Above 40",20,IF(AX339="20 to 40",10,IF(AX339="0 to 20",-5,0)))</f>
        <v/>
      </c>
      <c r="AZ339" s="31" t="inlineStr">
        <is>
          <t>Between 50 to 75</t>
        </is>
      </c>
      <c r="BA339" s="31">
        <f>IF(AZ339="Between 50 to 75",10,IF(AZ339="Above 75",0,0))</f>
        <v/>
      </c>
      <c r="BB339" s="31" t="inlineStr">
        <is>
          <t>Stage 2</t>
        </is>
      </c>
      <c r="BC339" s="31">
        <f>IF(BB339="Stage 2",20,IF(BB339="Stage 1",0,IF(BB339="Stage 3",5,IF(BB339="Stage 4",-5,0))))</f>
        <v/>
      </c>
      <c r="BD339" s="31" t="inlineStr">
        <is>
          <t>Positive Trend</t>
        </is>
      </c>
      <c r="BE339" s="31">
        <f>IF(BD339="Positive Trend",20,IF(BD339="Negative Trend",-10,0))</f>
        <v/>
      </c>
      <c r="BF339" s="31" t="inlineStr">
        <is>
          <t>Uptrend</t>
        </is>
      </c>
      <c r="BG339" s="31">
        <f>IF(BF339="Uptrend",10,IF(BF339="Sideways",5,0))</f>
        <v/>
      </c>
      <c r="BH339" s="31" t="inlineStr">
        <is>
          <t>Uptrend</t>
        </is>
      </c>
      <c r="BI339" s="31">
        <f>IF(BH339="Uptrend",10,IF(BH339="Sideways",5,0))</f>
        <v/>
      </c>
      <c r="BJ339" s="31" t="inlineStr">
        <is>
          <t>Blue sky scenario</t>
        </is>
      </c>
      <c r="BK339" s="31">
        <f>IF(BJ339="Overhead supply in last 2 years in last 2 years",-5,IF(BJ339="Close to 52 week high or retracement",5,IF(BJ339="Blue sky scenario",10,IF(BJ339="Long term Downtrend",-10,0))))</f>
        <v/>
      </c>
      <c r="BL339" s="31" t="inlineStr">
        <is>
          <t>Yes</t>
        </is>
      </c>
      <c r="BM339" s="31">
        <f>IF(BL339="Yes",10,0)</f>
        <v/>
      </c>
      <c r="BN339" s="31" t="inlineStr">
        <is>
          <t>Less than 12%</t>
        </is>
      </c>
      <c r="BO339" s="31">
        <f>IF(BN339="More than 20%",10,IF(BN339="Between 12 to 20%",5,IF(BN339="Less than 12%",0,0)))</f>
        <v/>
      </c>
      <c r="BP339" s="31" t="inlineStr">
        <is>
          <t>No</t>
        </is>
      </c>
      <c r="BQ339" s="31">
        <f>IF(BP339="No",10,0)</f>
        <v/>
      </c>
      <c r="BR339" s="31" t="inlineStr">
        <is>
          <t>Yes</t>
        </is>
      </c>
      <c r="BS339" s="31">
        <f>IF(BR339="NO",5,0)</f>
        <v/>
      </c>
      <c r="BT339" s="31" t="inlineStr">
        <is>
          <t>Above 2</t>
        </is>
      </c>
      <c r="BU339" s="31">
        <f>IF(BT339="Above 2",0,IF(BT339="Between 1.5 to 2",5,IF(BT339="Less than 1.5",10,0)))</f>
        <v/>
      </c>
      <c r="BV339" s="31" t="inlineStr">
        <is>
          <t>Above 70%</t>
        </is>
      </c>
      <c r="BW339" s="31">
        <f>IF(BV339="Above 70%",10,IF(BV339="Between 50% to 70%",5,IF(BV339="Less than 50%",0,IF(BV339="Negative",-10,IF(BV339="Less than 50% and Borrowings are increasing",-5,0)))))</f>
        <v/>
      </c>
      <c r="BX339" s="31" t="inlineStr">
        <is>
          <t>More than 1.2</t>
        </is>
      </c>
      <c r="BY339" s="31">
        <f>IF(BX339="More than 1.2",-10,IF(BX339="Between 0.7 to 1.2",0,IF(BX339="Less than 0.7",10,0)))</f>
        <v/>
      </c>
      <c r="BZ339" s="31" t="inlineStr">
        <is>
          <t>No</t>
        </is>
      </c>
      <c r="CA339" s="31">
        <f>IF(BZ339="Yes",-10,0)</f>
        <v/>
      </c>
      <c r="CB339" s="31" t="inlineStr">
        <is>
          <t>Less than 15%</t>
        </is>
      </c>
      <c r="CC339" s="31">
        <f>IF(CB339="More than 15%",-10,IF(CB339="Less than 15%",10,0))</f>
        <v/>
      </c>
      <c r="CD339" s="31" t="inlineStr">
        <is>
          <t>No</t>
        </is>
      </c>
      <c r="CE339" s="31">
        <f>IF(CD339="Yes, more than 10%",-10,IF(CD339="No",10,0))</f>
        <v/>
      </c>
    </row>
    <row r="340">
      <c r="A340" s="31">
        <f>IF(B340=0,"",RANK(B340,$B$2:$B$363,0))</f>
        <v/>
      </c>
      <c r="B340" s="32">
        <f>SUM(N340,Y340,AA340,AC340,AE340,AG340,AI340,AK340,AM340,AO340,AQ340,AS340,AU340,AW340,AY340,BA340,BC340,BE340,BG340,BI340,BK340,BM340,BO340,BQ340,BS340,BU340,BW340,BY340,CA340,CC340,CE340)</f>
        <v/>
      </c>
      <c r="C340" s="33" t="inlineStr">
        <is>
          <t>SIMPLEXINF</t>
        </is>
      </c>
      <c r="D340" s="33" t="inlineStr">
        <is>
          <t>Simplex Infrastructures Limited</t>
        </is>
      </c>
      <c r="E340" s="31" t="inlineStr">
        <is>
          <t>realty</t>
        </is>
      </c>
      <c r="F340" s="31" t="inlineStr">
        <is>
          <t>construction</t>
        </is>
      </c>
      <c r="G340" s="31" t="inlineStr">
        <is>
          <t>smallcap</t>
        </is>
      </c>
      <c r="H340" s="32" t="n">
        <v>2111.45</v>
      </c>
      <c r="I340" s="32" t="n">
        <v>270.5</v>
      </c>
      <c r="J340" s="32" t="n">
        <v>1.33</v>
      </c>
      <c r="K340" s="32" t="n">
        <v>96034</v>
      </c>
      <c r="L340" s="31" t="n">
        <v>17</v>
      </c>
      <c r="M340" s="31" t="inlineStr">
        <is>
          <t>Underperforming</t>
        </is>
      </c>
      <c r="N340" s="32">
        <f>IF(M340="Underperforming",-5,IF(L340&gt;=95,15,IF(L340&gt;=90,10,IF(L340&gt;=80,5,0))))</f>
        <v/>
      </c>
      <c r="O340" s="32" t="n">
        <v>57.44</v>
      </c>
      <c r="P340" s="32" t="n">
        <v>19.74</v>
      </c>
      <c r="Q340" s="32" t="n">
        <v>194.04</v>
      </c>
      <c r="R340" s="31" t="inlineStr">
        <is>
          <t>Earnings / Momentum Support</t>
        </is>
      </c>
      <c r="S340" s="31" t="inlineStr">
        <is>
          <t>Nifty Realty</t>
        </is>
      </c>
      <c r="T340" s="32" t="n">
        <v>-4.49</v>
      </c>
      <c r="U340" s="32" t="n">
        <v>-11.77</v>
      </c>
      <c r="V340" s="32" t="n">
        <v>-7.62</v>
      </c>
      <c r="W340" s="32" t="n">
        <v>4.38</v>
      </c>
      <c r="X340" s="31" t="inlineStr">
        <is>
          <t>Growing Industry</t>
        </is>
      </c>
      <c r="Y340" s="31">
        <f>IF(X340="Growing Industry",10,IF(X340="Cyclical in an Upturn",5,0))</f>
        <v/>
      </c>
      <c r="Z340" s="31" t="inlineStr">
        <is>
          <t>Too Many Players with High ROCE</t>
        </is>
      </c>
      <c r="AA340" s="31">
        <f>IF(Z340="Monopoly",10,IF(Z340="Oligopoly",5,IF(Z340="Duopoly that cooperate",10,IF(Z340="Duopoly that compete",5,IF(Z340="Too many players with High ROCE",5,0)))))</f>
        <v/>
      </c>
      <c r="AB340" s="31" t="inlineStr">
        <is>
          <t>No</t>
        </is>
      </c>
      <c r="AC340" s="31">
        <f>IF(AB340="No",5,0)</f>
        <v/>
      </c>
      <c r="AD340" s="31" t="inlineStr">
        <is>
          <t>Tailwind</t>
        </is>
      </c>
      <c r="AE340" s="31">
        <f>IF(AD340="Tailwind",10,0)</f>
        <v/>
      </c>
      <c r="AF340" s="31" t="inlineStr">
        <is>
          <t>Structural (10 Years Consistency)</t>
        </is>
      </c>
      <c r="AG340" s="31">
        <f>IF(AF340="Structural (10 Years Consistency)",10,IF(AF340="Shallow Cyclical (2 to 3 years growth)",5,0))</f>
        <v/>
      </c>
      <c r="AH340" s="31" t="inlineStr">
        <is>
          <t>No</t>
        </is>
      </c>
      <c r="AI340" s="31">
        <f>IF(AH340="Yes due to Product Mix change or Operating Leverage",10,IF(AH340="Yes, these are peak margins",-5,IF(AH340="No",5,0)))</f>
        <v/>
      </c>
      <c r="AJ340" s="31" t="inlineStr">
        <is>
          <t>Stable</t>
        </is>
      </c>
      <c r="AK340" s="31">
        <f>IF(AJ340="Stable",10,0)</f>
        <v/>
      </c>
      <c r="AL340" s="31" t="inlineStr">
        <is>
          <t>Yes</t>
        </is>
      </c>
      <c r="AM340" s="31">
        <f>IF(AL340="Yes",10,0)</f>
        <v/>
      </c>
      <c r="AN340" s="31" t="inlineStr">
        <is>
          <t>B2B</t>
        </is>
      </c>
      <c r="AO340" s="31">
        <f>IF(AN340="B2C",10,IF(AN340="B2B",5,0))</f>
        <v/>
      </c>
      <c r="AP340" s="31" t="inlineStr">
        <is>
          <t>No</t>
        </is>
      </c>
      <c r="AQ340" s="31">
        <f>IF(AP340="Yes",10,0)</f>
        <v/>
      </c>
      <c r="AR340" s="31" t="inlineStr">
        <is>
          <t>Higher One Time, Lower Annuity</t>
        </is>
      </c>
      <c r="AS340" s="31">
        <f>IF(AR340="Fully Annuity",10,IF(AR340="Higher Annuity, Lower One Time",5,IF(AR340="Higher One Time, Lower Annuity",3,0)))</f>
        <v/>
      </c>
      <c r="AT340" s="31" t="inlineStr">
        <is>
          <t>Good</t>
        </is>
      </c>
      <c r="AU340" s="31">
        <f>IF(AT340="Good",10,0)</f>
        <v/>
      </c>
      <c r="AV340" s="31" t="inlineStr">
        <is>
          <t>Yes for more than 2 years</t>
        </is>
      </c>
      <c r="AW340" s="31">
        <f>IF(AV340="Yes for more than 2 years",10,IF(AV340="Yes only for next 1 to 2 years",5,0))</f>
        <v/>
      </c>
      <c r="AX340" s="31" t="inlineStr">
        <is>
          <t>0 to 20</t>
        </is>
      </c>
      <c r="AY340" s="31">
        <f>IF(AX340="Above 40",20,IF(AX340="20 to 40",10,IF(AX340="0 to 20",-5,0)))</f>
        <v/>
      </c>
      <c r="AZ340" s="31" t="inlineStr">
        <is>
          <t>Between 50 to 75</t>
        </is>
      </c>
      <c r="BA340" s="31">
        <f>IF(AZ340="Between 50 to 75",10,IF(AZ340="Above 75",0,0))</f>
        <v/>
      </c>
      <c r="BB340" s="31" t="inlineStr">
        <is>
          <t>Stage 2</t>
        </is>
      </c>
      <c r="BC340" s="31">
        <f>IF(BB340="Stage 2",20,IF(BB340="Stage 1",0,IF(BB340="Stage 3",5,IF(BB340="Stage 4",-5,0))))</f>
        <v/>
      </c>
      <c r="BD340" s="31" t="inlineStr">
        <is>
          <t>Positive Trend</t>
        </is>
      </c>
      <c r="BE340" s="31">
        <f>IF(BD340="Positive Trend",20,IF(BD340="Negative Trend",-10,0))</f>
        <v/>
      </c>
      <c r="BF340" s="31" t="inlineStr">
        <is>
          <t>Uptrend</t>
        </is>
      </c>
      <c r="BG340" s="31">
        <f>IF(BF340="Uptrend",10,IF(BF340="Sideways",5,0))</f>
        <v/>
      </c>
      <c r="BH340" s="31" t="inlineStr">
        <is>
          <t>Uptrend</t>
        </is>
      </c>
      <c r="BI340" s="31">
        <f>IF(BH340="Uptrend",10,IF(BH340="Sideways",5,0))</f>
        <v/>
      </c>
      <c r="BJ340" s="31" t="inlineStr">
        <is>
          <t>Close to 52 week high or retracement</t>
        </is>
      </c>
      <c r="BK340" s="31">
        <f>IF(BJ340="Overhead supply in last 2 years in last 2 years",-5,IF(BJ340="Close to 52 week high or retracement",5,IF(BJ340="Blue sky scenario",10,IF(BJ340="Long term Downtrend",-10,0))))</f>
        <v/>
      </c>
      <c r="BL340" s="31" t="inlineStr">
        <is>
          <t>Yes</t>
        </is>
      </c>
      <c r="BM340" s="31">
        <f>IF(BL340="Yes",10,0)</f>
        <v/>
      </c>
      <c r="BN340" s="31" t="inlineStr">
        <is>
          <t>More than 20%</t>
        </is>
      </c>
      <c r="BO340" s="31">
        <f>IF(BN340="More than 20%",10,IF(BN340="Between 12 to 20%",5,IF(BN340="Less than 12%",0,0)))</f>
        <v/>
      </c>
      <c r="BP340" s="31" t="inlineStr">
        <is>
          <t>No</t>
        </is>
      </c>
      <c r="BQ340" s="31">
        <f>IF(BP340="No",10,0)</f>
        <v/>
      </c>
      <c r="BR340" s="31" t="inlineStr">
        <is>
          <t>Yes</t>
        </is>
      </c>
      <c r="BS340" s="31">
        <f>IF(BR340="NO",5,0)</f>
        <v/>
      </c>
      <c r="BT340" s="31" t="inlineStr">
        <is>
          <t>Less than 1.5</t>
        </is>
      </c>
      <c r="BU340" s="31">
        <f>IF(BT340="Above 2",0,IF(BT340="Between 1.5 to 2",5,IF(BT340="Less than 1.5",10,0)))</f>
        <v/>
      </c>
      <c r="BV340" s="31" t="inlineStr">
        <is>
          <t>Above 70%</t>
        </is>
      </c>
      <c r="BW340" s="31">
        <f>IF(BV340="Above 70%",10,IF(BV340="Between 50% to 70%",5,IF(BV340="Less than 50%",0,IF(BV340="Negative",-10,IF(BV340="Less than 50% and Borrowings are increasing",-5,0)))))</f>
        <v/>
      </c>
      <c r="BX340" s="31" t="inlineStr">
        <is>
          <t>More than 1.2</t>
        </is>
      </c>
      <c r="BY340" s="31">
        <f>IF(BX340="More than 1.2",-10,IF(BX340="Between 0.7 to 1.2",0,IF(BX340="Less than 0.7",10,0)))</f>
        <v/>
      </c>
      <c r="BZ340" s="31" t="inlineStr">
        <is>
          <t>No</t>
        </is>
      </c>
      <c r="CA340" s="31">
        <f>IF(BZ340="Yes",-10,0)</f>
        <v/>
      </c>
      <c r="CB340" s="31" t="inlineStr">
        <is>
          <t>Less than 15%</t>
        </is>
      </c>
      <c r="CC340" s="31">
        <f>IF(CB340="More than 15%",-10,IF(CB340="Less than 15%",10,0))</f>
        <v/>
      </c>
      <c r="CD340" s="31" t="inlineStr">
        <is>
          <t>No</t>
        </is>
      </c>
      <c r="CE340" s="31">
        <f>IF(CD340="Yes, more than 10%",-10,IF(CD340="No",10,0))</f>
        <v/>
      </c>
    </row>
    <row r="341">
      <c r="A341" s="31">
        <f>IF(B341=0,"",RANK(B341,$B$2:$B$363,0))</f>
        <v/>
      </c>
      <c r="B341" s="32">
        <f>SUM(N341,Y341,AA341,AC341,AE341,AG341,AI341,AK341,AM341,AO341,AQ341,AS341,AU341,AW341,AY341,BA341,BC341,BE341,BG341,BI341,BK341,BM341,BO341,BQ341,BS341,BU341,BW341,BY341,CA341,CC341,CE341)</f>
        <v/>
      </c>
      <c r="C341" s="31" t="inlineStr">
        <is>
          <t>HINDOILEXP</t>
        </is>
      </c>
      <c r="D341" s="31" t="inlineStr">
        <is>
          <t>Hindustan Oil Exploration Company Limited</t>
        </is>
      </c>
      <c r="E341" s="31" t="inlineStr">
        <is>
          <t>energy</t>
        </is>
      </c>
      <c r="F341" s="31" t="inlineStr">
        <is>
          <t>oil drilling / allied services</t>
        </is>
      </c>
      <c r="G341" s="31" t="inlineStr">
        <is>
          <t>smallcap</t>
        </is>
      </c>
      <c r="H341" s="32" t="n">
        <v>2438.3</v>
      </c>
      <c r="I341" s="32" t="n">
        <v>185</v>
      </c>
      <c r="J341" s="32" t="n">
        <v>0.34</v>
      </c>
      <c r="K341" s="32" t="n">
        <v>1959249</v>
      </c>
      <c r="L341" s="31" t="n">
        <v>30</v>
      </c>
      <c r="M341" s="31" t="inlineStr">
        <is>
          <t>Outperforming</t>
        </is>
      </c>
      <c r="N341" s="32">
        <f>IF(M341="Underperforming",-5,IF(L341&gt;=95,15,IF(L341&gt;=90,10,IF(L341&gt;=80,5,0))))</f>
        <v/>
      </c>
      <c r="O341" s="32" t="n">
        <v>64.3</v>
      </c>
      <c r="P341" s="32" t="n">
        <v>39</v>
      </c>
      <c r="Q341" s="32" t="n">
        <v>141.07</v>
      </c>
      <c r="R341" s="31" t="inlineStr">
        <is>
          <t>Volume Spike &amp; Near 52W High Breakout</t>
        </is>
      </c>
      <c r="S341" s="31" t="inlineStr">
        <is>
          <t>Nifty Energy</t>
        </is>
      </c>
      <c r="T341" s="32" t="n">
        <v>7.99</v>
      </c>
      <c r="U341" s="32" t="n">
        <v>14.25</v>
      </c>
      <c r="V341" s="32" t="n">
        <v>5.8</v>
      </c>
      <c r="W341" s="32" t="n">
        <v>8.02</v>
      </c>
      <c r="X341" s="31" t="inlineStr">
        <is>
          <t>Cyclical in an Upturn</t>
        </is>
      </c>
      <c r="Y341" s="31">
        <f>IF(X341="Growing Industry",10,IF(X341="Cyclical in an Upturn",5,0))</f>
        <v/>
      </c>
      <c r="Z341" s="31" t="inlineStr">
        <is>
          <t>Oligopoly</t>
        </is>
      </c>
      <c r="AA341" s="31">
        <f>IF(Z341="Monopoly",10,IF(Z341="Oligopoly",5,IF(Z341="Duopoly that cooperate",10,IF(Z341="Duopoly that compete",5,IF(Z341="Too many players with High ROCE",5,0)))))</f>
        <v/>
      </c>
      <c r="AB341" s="31" t="inlineStr">
        <is>
          <t>Yes</t>
        </is>
      </c>
      <c r="AC341" s="31">
        <f>IF(AB341="No",5,0)</f>
        <v/>
      </c>
      <c r="AD341" s="31" t="inlineStr">
        <is>
          <t>Tailwind</t>
        </is>
      </c>
      <c r="AE341" s="31">
        <f>IF(AD341="Tailwind",10,0)</f>
        <v/>
      </c>
      <c r="AF341" s="31" t="inlineStr">
        <is>
          <t>Cyclical</t>
        </is>
      </c>
      <c r="AG341" s="31">
        <f>IF(AF341="Structural (10 Years Consistency)",10,IF(AF341="Shallow Cyclical (2 to 3 years growth)",5,0))</f>
        <v/>
      </c>
      <c r="AH341" s="31" t="inlineStr">
        <is>
          <t>No</t>
        </is>
      </c>
      <c r="AI341" s="31">
        <f>IF(AH341="Yes due to Product Mix change or Operating Leverage",10,IF(AH341="Yes, these are peak margins",-5,IF(AH341="No",5,0)))</f>
        <v/>
      </c>
      <c r="AJ341" s="31" t="inlineStr">
        <is>
          <t>Volatile</t>
        </is>
      </c>
      <c r="AK341" s="31">
        <f>IF(AJ341="Stable",10,0)</f>
        <v/>
      </c>
      <c r="AL341" s="31" t="inlineStr">
        <is>
          <t>Yes</t>
        </is>
      </c>
      <c r="AM341" s="31">
        <f>IF(AL341="Yes",10,0)</f>
        <v/>
      </c>
      <c r="AN341" s="31" t="inlineStr">
        <is>
          <t>B2B</t>
        </is>
      </c>
      <c r="AO341" s="31">
        <f>IF(AN341="B2C",10,IF(AN341="B2B",5,0))</f>
        <v/>
      </c>
      <c r="AP341" s="31" t="inlineStr">
        <is>
          <t>Yes</t>
        </is>
      </c>
      <c r="AQ341" s="31">
        <f>IF(AP341="Yes",10,0)</f>
        <v/>
      </c>
      <c r="AR341" s="31" t="inlineStr">
        <is>
          <t>Higher One Time, Lower Annuity</t>
        </is>
      </c>
      <c r="AS341" s="31">
        <f>IF(AR341="Fully Annuity",10,IF(AR341="Higher Annuity, Lower One Time",5,IF(AR341="Higher One Time, Lower Annuity",3,0)))</f>
        <v/>
      </c>
      <c r="AT341" s="31" t="inlineStr">
        <is>
          <t>Good</t>
        </is>
      </c>
      <c r="AU341" s="31">
        <f>IF(AT341="Good",10,0)</f>
        <v/>
      </c>
      <c r="AV341" s="31" t="inlineStr">
        <is>
          <t>Yes for more than 2 years</t>
        </is>
      </c>
      <c r="AW341" s="31">
        <f>IF(AV341="Yes for more than 2 years",10,IF(AV341="Yes only for next 1 to 2 years",5,0))</f>
        <v/>
      </c>
      <c r="AX341" s="31" t="inlineStr">
        <is>
          <t>20 to 40</t>
        </is>
      </c>
      <c r="AY341" s="31">
        <f>IF(AX341="Above 40",20,IF(AX341="20 to 40",10,IF(AX341="0 to 20",-5,0)))</f>
        <v/>
      </c>
      <c r="AZ341" s="31" t="inlineStr">
        <is>
          <t>Between 50 to 75</t>
        </is>
      </c>
      <c r="BA341" s="31">
        <f>IF(AZ341="Between 50 to 75",10,IF(AZ341="Above 75",0,0))</f>
        <v/>
      </c>
      <c r="BB341" s="31" t="inlineStr">
        <is>
          <t>Stage 2</t>
        </is>
      </c>
      <c r="BC341" s="31">
        <f>IF(BB341="Stage 2",20,IF(BB341="Stage 1",0,IF(BB341="Stage 3",5,IF(BB341="Stage 4",-5,0))))</f>
        <v/>
      </c>
      <c r="BD341" s="31" t="inlineStr">
        <is>
          <t>Positive Trend</t>
        </is>
      </c>
      <c r="BE341" s="31">
        <f>IF(BD341="Positive Trend",20,IF(BD341="Negative Trend",-10,0))</f>
        <v/>
      </c>
      <c r="BF341" s="31" t="inlineStr">
        <is>
          <t>Uptrend</t>
        </is>
      </c>
      <c r="BG341" s="31">
        <f>IF(BF341="Uptrend",10,IF(BF341="Sideways",5,0))</f>
        <v/>
      </c>
      <c r="BH341" s="31" t="inlineStr">
        <is>
          <t>Uptrend</t>
        </is>
      </c>
      <c r="BI341" s="31">
        <f>IF(BH341="Uptrend",10,IF(BH341="Sideways",5,0))</f>
        <v/>
      </c>
      <c r="BJ341" s="31" t="inlineStr">
        <is>
          <t>Close to 52 week high or retracement</t>
        </is>
      </c>
      <c r="BK341" s="31">
        <f>IF(BJ341="Overhead supply in last 2 years in last 2 years",-5,IF(BJ341="Close to 52 week high or retracement",5,IF(BJ341="Blue sky scenario",10,IF(BJ341="Long term Downtrend",-10,0))))</f>
        <v/>
      </c>
      <c r="BL341" s="31" t="inlineStr">
        <is>
          <t>Yes</t>
        </is>
      </c>
      <c r="BM341" s="31">
        <f>IF(BL341="Yes",10,0)</f>
        <v/>
      </c>
      <c r="BN341" s="31" t="inlineStr">
        <is>
          <t>Less than 12%</t>
        </is>
      </c>
      <c r="BO341" s="31">
        <f>IF(BN341="More than 20%",10,IF(BN341="Between 12 to 20%",5,IF(BN341="Less than 12%",0,0)))</f>
        <v/>
      </c>
      <c r="BP341" s="31" t="inlineStr">
        <is>
          <t>No</t>
        </is>
      </c>
      <c r="BQ341" s="31">
        <f>IF(BP341="No",10,0)</f>
        <v/>
      </c>
      <c r="BR341" s="31" t="inlineStr">
        <is>
          <t>Yes</t>
        </is>
      </c>
      <c r="BS341" s="31">
        <f>IF(BR341="NO",5,0)</f>
        <v/>
      </c>
      <c r="BT341" s="31" t="inlineStr">
        <is>
          <t>Above 2</t>
        </is>
      </c>
      <c r="BU341" s="31">
        <f>IF(BT341="Above 2",0,IF(BT341="Between 1.5 to 2",5,IF(BT341="Less than 1.5",10,0)))</f>
        <v/>
      </c>
      <c r="BV341" s="31" t="inlineStr">
        <is>
          <t>Above 70%</t>
        </is>
      </c>
      <c r="BW341" s="31">
        <f>IF(BV341="Above 70%",10,IF(BV341="Between 50% to 70%",5,IF(BV341="Less than 50%",0,IF(BV341="Negative",-10,IF(BV341="Less than 50% and Borrowings are increasing",-5,0)))))</f>
        <v/>
      </c>
      <c r="BX341" s="31" t="inlineStr">
        <is>
          <t>Less than 0.7</t>
        </is>
      </c>
      <c r="BY341" s="31">
        <f>IF(BX341="More than 1.2",-10,IF(BX341="Between 0.7 to 1.2",0,IF(BX341="Less than 0.7",10,0)))</f>
        <v/>
      </c>
      <c r="BZ341" s="31" t="inlineStr">
        <is>
          <t>No</t>
        </is>
      </c>
      <c r="CA341" s="31">
        <f>IF(BZ341="Yes",-10,0)</f>
        <v/>
      </c>
      <c r="CB341" s="31" t="inlineStr">
        <is>
          <t>Less than 15%</t>
        </is>
      </c>
      <c r="CC341" s="31">
        <f>IF(CB341="More than 15%",-10,IF(CB341="Less than 15%",10,0))</f>
        <v/>
      </c>
      <c r="CD341" s="31" t="inlineStr">
        <is>
          <t>No</t>
        </is>
      </c>
      <c r="CE341" s="31">
        <f>IF(CD341="Yes, more than 10%",-10,IF(CD341="No",10,0))</f>
        <v/>
      </c>
    </row>
    <row r="342">
      <c r="A342" s="31">
        <f>IF(B342=0,"",RANK(B342,$B$2:$B$363,0))</f>
        <v/>
      </c>
      <c r="B342" s="32">
        <f>SUM(N342,Y342,AA342,AC342,AE342,AG342,AI342,AK342,AM342,AO342,AQ342,AS342,AU342,AW342,AY342,BA342,BC342,BE342,BG342,BI342,BK342,BM342,BO342,BQ342,BS342,BU342,BW342,BY342,CA342,CC342,CE342)</f>
        <v/>
      </c>
      <c r="C342" s="31" t="inlineStr">
        <is>
          <t>OIL</t>
        </is>
      </c>
      <c r="D342" s="31" t="inlineStr">
        <is>
          <t>Oil India Limited</t>
        </is>
      </c>
      <c r="E342" s="31" t="inlineStr">
        <is>
          <t>energy</t>
        </is>
      </c>
      <c r="F342" s="31" t="inlineStr">
        <is>
          <t>oil drilling / allied services</t>
        </is>
      </c>
      <c r="G342" s="31" t="inlineStr">
        <is>
          <t>largecap</t>
        </is>
      </c>
      <c r="H342" s="32" t="n">
        <v>79703.78</v>
      </c>
      <c r="I342" s="32" t="n">
        <v>488.3</v>
      </c>
      <c r="J342" s="32" t="n">
        <v>-0.35</v>
      </c>
      <c r="K342" s="32" t="n">
        <v>1259478</v>
      </c>
      <c r="L342" s="31" t="n">
        <v>15</v>
      </c>
      <c r="M342" s="31" t="inlineStr">
        <is>
          <t>Outperforming</t>
        </is>
      </c>
      <c r="N342" s="32">
        <f>IF(M342="Underperforming",-5,IF(L342&gt;=95,15,IF(L342&gt;=90,10,IF(L342&gt;=80,5,0))))</f>
        <v/>
      </c>
      <c r="O342" s="32" t="n">
        <v>58.4</v>
      </c>
      <c r="P342" s="32" t="n">
        <v>14.18</v>
      </c>
      <c r="Q342" s="32" t="n">
        <v>402.5</v>
      </c>
      <c r="R342" s="31" t="inlineStr">
        <is>
          <t>Earnings / Momentum Support</t>
        </is>
      </c>
      <c r="S342" s="31" t="inlineStr">
        <is>
          <t>Nifty Energy</t>
        </is>
      </c>
      <c r="T342" s="32" t="n">
        <v>7.99</v>
      </c>
      <c r="U342" s="32" t="n">
        <v>15.62</v>
      </c>
      <c r="V342" s="32" t="n">
        <v>7.07</v>
      </c>
      <c r="W342" s="32" t="n">
        <v>3.71</v>
      </c>
      <c r="X342" s="31" t="inlineStr">
        <is>
          <t>Cyclical in an Upturn</t>
        </is>
      </c>
      <c r="Y342" s="31">
        <f>IF(X342="Growing Industry",10,IF(X342="Cyclical in an Upturn",5,0))</f>
        <v/>
      </c>
      <c r="Z342" s="31" t="inlineStr">
        <is>
          <t>Oligopoly</t>
        </is>
      </c>
      <c r="AA342" s="31">
        <f>IF(Z342="Monopoly",10,IF(Z342="Oligopoly",5,IF(Z342="Duopoly that cooperate",10,IF(Z342="Duopoly that compete",5,IF(Z342="Too many players with High ROCE",5,0)))))</f>
        <v/>
      </c>
      <c r="AB342" s="31" t="inlineStr">
        <is>
          <t>Yes</t>
        </is>
      </c>
      <c r="AC342" s="31">
        <f>IF(AB342="No",5,0)</f>
        <v/>
      </c>
      <c r="AD342" s="31" t="inlineStr">
        <is>
          <t>Tailwind</t>
        </is>
      </c>
      <c r="AE342" s="31">
        <f>IF(AD342="Tailwind",10,0)</f>
        <v/>
      </c>
      <c r="AF342" s="31" t="inlineStr">
        <is>
          <t>Cyclical</t>
        </is>
      </c>
      <c r="AG342" s="31">
        <f>IF(AF342="Structural (10 Years Consistency)",10,IF(AF342="Shallow Cyclical (2 to 3 years growth)",5,0))</f>
        <v/>
      </c>
      <c r="AH342" s="31" t="inlineStr">
        <is>
          <t>No</t>
        </is>
      </c>
      <c r="AI342" s="31">
        <f>IF(AH342="Yes due to Product Mix change or Operating Leverage",10,IF(AH342="Yes, these are peak margins",-5,IF(AH342="No",5,0)))</f>
        <v/>
      </c>
      <c r="AJ342" s="31" t="inlineStr">
        <is>
          <t>Volatile</t>
        </is>
      </c>
      <c r="AK342" s="31">
        <f>IF(AJ342="Stable",10,0)</f>
        <v/>
      </c>
      <c r="AL342" s="31" t="inlineStr">
        <is>
          <t>Yes</t>
        </is>
      </c>
      <c r="AM342" s="31">
        <f>IF(AL342="Yes",10,0)</f>
        <v/>
      </c>
      <c r="AN342" s="31" t="inlineStr">
        <is>
          <t>B2B</t>
        </is>
      </c>
      <c r="AO342" s="31">
        <f>IF(AN342="B2C",10,IF(AN342="B2B",5,0))</f>
        <v/>
      </c>
      <c r="AP342" s="31" t="inlineStr">
        <is>
          <t>No</t>
        </is>
      </c>
      <c r="AQ342" s="31">
        <f>IF(AP342="Yes",10,0)</f>
        <v/>
      </c>
      <c r="AR342" s="31" t="inlineStr">
        <is>
          <t>Higher One Time, Lower Annuity</t>
        </is>
      </c>
      <c r="AS342" s="31">
        <f>IF(AR342="Fully Annuity",10,IF(AR342="Higher Annuity, Lower One Time",5,IF(AR342="Higher One Time, Lower Annuity",3,0)))</f>
        <v/>
      </c>
      <c r="AT342" s="31" t="inlineStr">
        <is>
          <t>Good</t>
        </is>
      </c>
      <c r="AU342" s="31">
        <f>IF(AT342="Good",10,0)</f>
        <v/>
      </c>
      <c r="AV342" s="31" t="inlineStr">
        <is>
          <t>Yes for more than 2 years</t>
        </is>
      </c>
      <c r="AW342" s="31">
        <f>IF(AV342="Yes for more than 2 years",10,IF(AV342="Yes only for next 1 to 2 years",5,0))</f>
        <v/>
      </c>
      <c r="AX342" s="31" t="inlineStr">
        <is>
          <t>0 to 20</t>
        </is>
      </c>
      <c r="AY342" s="31">
        <f>IF(AX342="Above 40",20,IF(AX342="20 to 40",10,IF(AX342="0 to 20",-5,0)))</f>
        <v/>
      </c>
      <c r="AZ342" s="31" t="inlineStr">
        <is>
          <t>Between 50 to 75</t>
        </is>
      </c>
      <c r="BA342" s="31">
        <f>IF(AZ342="Between 50 to 75",10,IF(AZ342="Above 75",0,0))</f>
        <v/>
      </c>
      <c r="BB342" s="31" t="inlineStr">
        <is>
          <t>Stage 2</t>
        </is>
      </c>
      <c r="BC342" s="31">
        <f>IF(BB342="Stage 2",20,IF(BB342="Stage 1",0,IF(BB342="Stage 3",5,IF(BB342="Stage 4",-5,0))))</f>
        <v/>
      </c>
      <c r="BD342" s="31" t="inlineStr">
        <is>
          <t>Positive Trend</t>
        </is>
      </c>
      <c r="BE342" s="31">
        <f>IF(BD342="Positive Trend",20,IF(BD342="Negative Trend",-10,0))</f>
        <v/>
      </c>
      <c r="BF342" s="31" t="inlineStr">
        <is>
          <t>Uptrend</t>
        </is>
      </c>
      <c r="BG342" s="31">
        <f>IF(BF342="Uptrend",10,IF(BF342="Sideways",5,0))</f>
        <v/>
      </c>
      <c r="BH342" s="31" t="inlineStr">
        <is>
          <t>Uptrend</t>
        </is>
      </c>
      <c r="BI342" s="31">
        <f>IF(BH342="Uptrend",10,IF(BH342="Sideways",5,0))</f>
        <v/>
      </c>
      <c r="BJ342" s="31" t="inlineStr">
        <is>
          <t>Close to 52 week high or retracement</t>
        </is>
      </c>
      <c r="BK342" s="31">
        <f>IF(BJ342="Overhead supply in last 2 years in last 2 years",-5,IF(BJ342="Close to 52 week high or retracement",5,IF(BJ342="Blue sky scenario",10,IF(BJ342="Long term Downtrend",-10,0))))</f>
        <v/>
      </c>
      <c r="BL342" s="31" t="inlineStr">
        <is>
          <t>Yes</t>
        </is>
      </c>
      <c r="BM342" s="31">
        <f>IF(BL342="Yes",10,0)</f>
        <v/>
      </c>
      <c r="BN342" s="31" t="inlineStr">
        <is>
          <t>More than 20%</t>
        </is>
      </c>
      <c r="BO342" s="31">
        <f>IF(BN342="More than 20%",10,IF(BN342="Between 12 to 20%",5,IF(BN342="Less than 12%",0,0)))</f>
        <v/>
      </c>
      <c r="BP342" s="31" t="inlineStr">
        <is>
          <t>No</t>
        </is>
      </c>
      <c r="BQ342" s="31">
        <f>IF(BP342="No",10,0)</f>
        <v/>
      </c>
      <c r="BR342" s="31" t="inlineStr">
        <is>
          <t>No</t>
        </is>
      </c>
      <c r="BS342" s="31">
        <f>IF(BR342="NO",5,0)</f>
        <v/>
      </c>
      <c r="BT342" s="31" t="inlineStr">
        <is>
          <t>Less than 1.5</t>
        </is>
      </c>
      <c r="BU342" s="31">
        <f>IF(BT342="Above 2",0,IF(BT342="Between 1.5 to 2",5,IF(BT342="Less than 1.5",10,0)))</f>
        <v/>
      </c>
      <c r="BV342" s="31" t="inlineStr">
        <is>
          <t>Above 70%</t>
        </is>
      </c>
      <c r="BW342" s="31">
        <f>IF(BV342="Above 70%",10,IF(BV342="Between 50% to 70%",5,IF(BV342="Less than 50%",0,IF(BV342="Negative",-10,IF(BV342="Less than 50% and Borrowings are increasing",-5,0)))))</f>
        <v/>
      </c>
      <c r="BX342" s="31" t="inlineStr">
        <is>
          <t>Less than 0.7</t>
        </is>
      </c>
      <c r="BY342" s="31">
        <f>IF(BX342="More than 1.2",-10,IF(BX342="Between 0.7 to 1.2",0,IF(BX342="Less than 0.7",10,0)))</f>
        <v/>
      </c>
      <c r="BZ342" s="31" t="inlineStr">
        <is>
          <t>No</t>
        </is>
      </c>
      <c r="CA342" s="31">
        <f>IF(BZ342="Yes",-10,0)</f>
        <v/>
      </c>
      <c r="CB342" s="31" t="inlineStr">
        <is>
          <t>Less than 15%</t>
        </is>
      </c>
      <c r="CC342" s="31">
        <f>IF(CB342="More than 15%",-10,IF(CB342="Less than 15%",10,0))</f>
        <v/>
      </c>
      <c r="CD342" s="31" t="inlineStr">
        <is>
          <t>No</t>
        </is>
      </c>
      <c r="CE342" s="31">
        <f>IF(CD342="Yes, more than 10%",-10,IF(CD342="No",10,0))</f>
        <v/>
      </c>
    </row>
    <row r="343">
      <c r="A343" s="31">
        <f>IF(B343=0,"",RANK(B343,$B$2:$B$363,0))</f>
        <v/>
      </c>
      <c r="B343" s="32">
        <f>SUM(N343,Y343,AA343,AC343,AE343,AG343,AI343,AK343,AM343,AO343,AQ343,AS343,AU343,AW343,AY343,BA343,BC343,BE343,BG343,BI343,BK343,BM343,BO343,BQ343,BS343,BU343,BW343,BY343,CA343,CC343,CE343)</f>
        <v/>
      </c>
      <c r="C343" s="31" t="inlineStr">
        <is>
          <t>AGARWALEYE</t>
        </is>
      </c>
      <c r="D343" s="31" t="inlineStr">
        <is>
          <t>Dr Agarwals Health Care Ltd</t>
        </is>
      </c>
      <c r="E343" s="31" t="inlineStr">
        <is>
          <t>healthcare</t>
        </is>
      </c>
      <c r="F343" s="31" t="inlineStr">
        <is>
          <t>healthcare</t>
        </is>
      </c>
      <c r="G343" s="31" t="inlineStr">
        <is>
          <t>midcap</t>
        </is>
      </c>
      <c r="H343" s="32" t="n">
        <v>16212.1</v>
      </c>
      <c r="I343" s="32" t="n">
        <v>514.1</v>
      </c>
      <c r="J343" s="32" t="n">
        <v>0.52</v>
      </c>
      <c r="K343" s="32" t="n">
        <v>81568</v>
      </c>
      <c r="L343" s="31" t="n">
        <v>27</v>
      </c>
      <c r="M343" s="31" t="inlineStr">
        <is>
          <t>Outperforming</t>
        </is>
      </c>
      <c r="N343" s="32">
        <f>IF(M343="Underperforming",-5,IF(L343&gt;=95,15,IF(L343&gt;=90,10,IF(L343&gt;=80,5,0))))</f>
        <v/>
      </c>
      <c r="O343" s="32" t="n">
        <v>58.86</v>
      </c>
      <c r="P343" s="32" t="n">
        <v>31.47</v>
      </c>
      <c r="Q343" s="32" t="n">
        <v>445.66</v>
      </c>
      <c r="R343" s="31" t="inlineStr">
        <is>
          <t>Earnings / Momentum Support</t>
        </is>
      </c>
      <c r="S343" s="31" t="inlineStr">
        <is>
          <t>Nifty Pharma</t>
        </is>
      </c>
      <c r="T343" s="32" t="n">
        <v>20.77</v>
      </c>
      <c r="U343" s="32" t="n">
        <v>20.82</v>
      </c>
      <c r="V343" s="32" t="n">
        <v>0.05</v>
      </c>
      <c r="W343" s="32" t="n">
        <v>6.77</v>
      </c>
      <c r="X343" s="31" t="inlineStr">
        <is>
          <t>Growing Industry</t>
        </is>
      </c>
      <c r="Y343" s="31">
        <f>IF(X343="Growing Industry",10,IF(X343="Cyclical in an Upturn",5,0))</f>
        <v/>
      </c>
      <c r="Z343" s="31" t="inlineStr">
        <is>
          <t>Too Many Players with High ROCE</t>
        </is>
      </c>
      <c r="AA343" s="31">
        <f>IF(Z343="Monopoly",10,IF(Z343="Oligopoly",5,IF(Z343="Duopoly that cooperate",10,IF(Z343="Duopoly that compete",5,IF(Z343="Too many players with High ROCE",5,0)))))</f>
        <v/>
      </c>
      <c r="AB343" s="31" t="inlineStr">
        <is>
          <t>Yes</t>
        </is>
      </c>
      <c r="AC343" s="31">
        <f>IF(AB343="No",5,0)</f>
        <v/>
      </c>
      <c r="AD343" s="31" t="inlineStr">
        <is>
          <t>Tailwind</t>
        </is>
      </c>
      <c r="AE343" s="31">
        <f>IF(AD343="Tailwind",10,0)</f>
        <v/>
      </c>
      <c r="AF343" s="31" t="inlineStr">
        <is>
          <t>Structural (10 Years Consistency)</t>
        </is>
      </c>
      <c r="AG343" s="31">
        <f>IF(AF343="Structural (10 Years Consistency)",10,IF(AF343="Shallow Cyclical (2 to 3 years growth)",5,0))</f>
        <v/>
      </c>
      <c r="AH343" s="31" t="inlineStr">
        <is>
          <t>No</t>
        </is>
      </c>
      <c r="AI343" s="31">
        <f>IF(AH343="Yes due to Product Mix change or Operating Leverage",10,IF(AH343="Yes, these are peak margins",-5,IF(AH343="No",5,0)))</f>
        <v/>
      </c>
      <c r="AJ343" s="31" t="inlineStr">
        <is>
          <t>Stable</t>
        </is>
      </c>
      <c r="AK343" s="31">
        <f>IF(AJ343="Stable",10,0)</f>
        <v/>
      </c>
      <c r="AL343" s="31" t="inlineStr">
        <is>
          <t>Yes</t>
        </is>
      </c>
      <c r="AM343" s="31">
        <f>IF(AL343="Yes",10,0)</f>
        <v/>
      </c>
      <c r="AN343" s="31" t="inlineStr">
        <is>
          <t>B2B</t>
        </is>
      </c>
      <c r="AO343" s="31">
        <f>IF(AN343="B2C",10,IF(AN343="B2B",5,0))</f>
        <v/>
      </c>
      <c r="AP343" s="31" t="inlineStr">
        <is>
          <t>No</t>
        </is>
      </c>
      <c r="AQ343" s="31">
        <f>IF(AP343="Yes",10,0)</f>
        <v/>
      </c>
      <c r="AR343" s="31" t="inlineStr">
        <is>
          <t>Higher Annuity, Lower One Time</t>
        </is>
      </c>
      <c r="AS343" s="31">
        <f>IF(AR343="Fully Annuity",10,IF(AR343="Higher Annuity, Lower One Time",5,IF(AR343="Higher One Time, Lower Annuity",3,0)))</f>
        <v/>
      </c>
      <c r="AT343" s="31" t="inlineStr">
        <is>
          <t>Good</t>
        </is>
      </c>
      <c r="AU343" s="31">
        <f>IF(AT343="Good",10,0)</f>
        <v/>
      </c>
      <c r="AV343" s="31" t="inlineStr">
        <is>
          <t>Yes for more than 2 years</t>
        </is>
      </c>
      <c r="AW343" s="31">
        <f>IF(AV343="Yes for more than 2 years",10,IF(AV343="Yes only for next 1 to 2 years",5,0))</f>
        <v/>
      </c>
      <c r="AX343" s="31" t="inlineStr">
        <is>
          <t>20 to 40</t>
        </is>
      </c>
      <c r="AY343" s="31">
        <f>IF(AX343="Above 40",20,IF(AX343="20 to 40",10,IF(AX343="0 to 20",-5,0)))</f>
        <v/>
      </c>
      <c r="AZ343" s="31" t="inlineStr">
        <is>
          <t>Between 50 to 75</t>
        </is>
      </c>
      <c r="BA343" s="31">
        <f>IF(AZ343="Between 50 to 75",10,IF(AZ343="Above 75",0,0))</f>
        <v/>
      </c>
      <c r="BB343" s="31" t="inlineStr">
        <is>
          <t>Stage 2</t>
        </is>
      </c>
      <c r="BC343" s="31">
        <f>IF(BB343="Stage 2",20,IF(BB343="Stage 1",0,IF(BB343="Stage 3",5,IF(BB343="Stage 4",-5,0))))</f>
        <v/>
      </c>
      <c r="BD343" s="31" t="inlineStr">
        <is>
          <t>Negative Trend</t>
        </is>
      </c>
      <c r="BE343" s="31">
        <f>IF(BD343="Positive Trend",20,IF(BD343="Negative Trend",-10,0))</f>
        <v/>
      </c>
      <c r="BF343" s="31" t="inlineStr">
        <is>
          <t>Uptrend</t>
        </is>
      </c>
      <c r="BG343" s="31">
        <f>IF(BF343="Uptrend",10,IF(BF343="Sideways",5,0))</f>
        <v/>
      </c>
      <c r="BH343" s="31" t="inlineStr">
        <is>
          <t>Uptrend</t>
        </is>
      </c>
      <c r="BI343" s="31">
        <f>IF(BH343="Uptrend",10,IF(BH343="Sideways",5,0))</f>
        <v/>
      </c>
      <c r="BJ343" s="31" t="inlineStr">
        <is>
          <t>Close to 52 week high or retracement</t>
        </is>
      </c>
      <c r="BK343" s="31">
        <f>IF(BJ343="Overhead supply in last 2 years in last 2 years",-5,IF(BJ343="Close to 52 week high or retracement",5,IF(BJ343="Blue sky scenario",10,IF(BJ343="Long term Downtrend",-10,0))))</f>
        <v/>
      </c>
      <c r="BL343" s="31" t="inlineStr">
        <is>
          <t>Yes</t>
        </is>
      </c>
      <c r="BM343" s="31">
        <f>IF(BL343="Yes",10,0)</f>
        <v/>
      </c>
      <c r="BN343" s="31" t="inlineStr">
        <is>
          <t>More than 20%</t>
        </is>
      </c>
      <c r="BO343" s="31">
        <f>IF(BN343="More than 20%",10,IF(BN343="Between 12 to 20%",5,IF(BN343="Less than 12%",0,0)))</f>
        <v/>
      </c>
      <c r="BP343" s="31" t="inlineStr">
        <is>
          <t>No</t>
        </is>
      </c>
      <c r="BQ343" s="31">
        <f>IF(BP343="No",10,0)</f>
        <v/>
      </c>
      <c r="BR343" s="31" t="inlineStr">
        <is>
          <t>Yes</t>
        </is>
      </c>
      <c r="BS343" s="31">
        <f>IF(BR343="NO",5,0)</f>
        <v/>
      </c>
      <c r="BT343" s="31" t="inlineStr">
        <is>
          <t>Above 2</t>
        </is>
      </c>
      <c r="BU343" s="31">
        <f>IF(BT343="Above 2",0,IF(BT343="Between 1.5 to 2",5,IF(BT343="Less than 1.5",10,0)))</f>
        <v/>
      </c>
      <c r="BV343" s="31" t="inlineStr">
        <is>
          <t>Above 70%</t>
        </is>
      </c>
      <c r="BW343" s="31">
        <f>IF(BV343="Above 70%",10,IF(BV343="Between 50% to 70%",5,IF(BV343="Less than 50%",0,IF(BV343="Negative",-10,IF(BV343="Less than 50% and Borrowings are increasing",-5,0)))))</f>
        <v/>
      </c>
      <c r="BX343" s="31" t="inlineStr">
        <is>
          <t>Less than 0.7</t>
        </is>
      </c>
      <c r="BY343" s="31">
        <f>IF(BX343="More than 1.2",-10,IF(BX343="Between 0.7 to 1.2",0,IF(BX343="Less than 0.7",10,0)))</f>
        <v/>
      </c>
      <c r="BZ343" s="31" t="inlineStr">
        <is>
          <t>No</t>
        </is>
      </c>
      <c r="CA343" s="31">
        <f>IF(BZ343="Yes",-10,0)</f>
        <v/>
      </c>
      <c r="CB343" s="31" t="inlineStr">
        <is>
          <t>Less than 15%</t>
        </is>
      </c>
      <c r="CC343" s="31">
        <f>IF(CB343="More than 15%",-10,IF(CB343="Less than 15%",10,0))</f>
        <v/>
      </c>
      <c r="CD343" s="31" t="inlineStr">
        <is>
          <t>No</t>
        </is>
      </c>
      <c r="CE343" s="31">
        <f>IF(CD343="Yes, more than 10%",-10,IF(CD343="No",10,0))</f>
        <v/>
      </c>
    </row>
    <row r="344">
      <c r="A344" s="31">
        <f>IF(B344=0,"",RANK(B344,$B$2:$B$363,0))</f>
        <v/>
      </c>
      <c r="B344" s="32">
        <f>SUM(N344,Y344,AA344,AC344,AE344,AG344,AI344,AK344,AM344,AO344,AQ344,AS344,AU344,AW344,AY344,BA344,BC344,BE344,BG344,BI344,BK344,BM344,BO344,BQ344,BS344,BU344,BW344,BY344,CA344,CC344,CE344)</f>
        <v/>
      </c>
      <c r="C344" s="31" t="inlineStr">
        <is>
          <t>PFOCUS</t>
        </is>
      </c>
      <c r="D344" s="31" t="inlineStr">
        <is>
          <t>Prime Focus Limited</t>
        </is>
      </c>
      <c r="E344" s="31" t="inlineStr">
        <is>
          <t>realty</t>
        </is>
      </c>
      <c r="F344" s="31" t="inlineStr">
        <is>
          <t>miscellaneous</t>
        </is>
      </c>
      <c r="G344" s="31" t="inlineStr">
        <is>
          <t>largecap</t>
        </is>
      </c>
      <c r="H344" s="32" t="n">
        <v>22646.35</v>
      </c>
      <c r="I344" s="32" t="n">
        <v>307</v>
      </c>
      <c r="J344" s="32" t="n">
        <v>5.26</v>
      </c>
      <c r="K344" s="32" t="n">
        <v>1960283</v>
      </c>
      <c r="L344" s="31" t="n">
        <v>58</v>
      </c>
      <c r="M344" s="31" t="inlineStr">
        <is>
          <t>Outperforming</t>
        </is>
      </c>
      <c r="N344" s="32">
        <f>IF(M344="Underperforming",-5,IF(L344&gt;=95,15,IF(L344&gt;=90,10,IF(L344&gt;=80,5,0))))</f>
        <v/>
      </c>
      <c r="O344" s="32" t="n">
        <v>61.02</v>
      </c>
      <c r="P344" s="32" t="n">
        <v>13.56</v>
      </c>
      <c r="Q344" s="32" t="n">
        <v>213.98</v>
      </c>
      <c r="R344" s="31" t="inlineStr">
        <is>
          <t>Earnings / Momentum Support</t>
        </is>
      </c>
      <c r="S344" s="31" t="inlineStr">
        <is>
          <t>Nifty Realty</t>
        </is>
      </c>
      <c r="T344" s="32" t="n">
        <v>-4.49</v>
      </c>
      <c r="U344" s="32" t="n">
        <v>107.88</v>
      </c>
      <c r="V344" s="32" t="n">
        <v>117.66</v>
      </c>
      <c r="W344" s="32" t="n">
        <v>16.78</v>
      </c>
      <c r="X344" s="31" t="inlineStr">
        <is>
          <t>Growing Industry</t>
        </is>
      </c>
      <c r="Y344" s="31">
        <f>IF(X344="Growing Industry",10,IF(X344="Cyclical in an Upturn",5,0))</f>
        <v/>
      </c>
      <c r="Z344" s="31" t="inlineStr">
        <is>
          <t>Too Many Players with High ROCE</t>
        </is>
      </c>
      <c r="AA344" s="31">
        <f>IF(Z344="Monopoly",10,IF(Z344="Oligopoly",5,IF(Z344="Duopoly that cooperate",10,IF(Z344="Duopoly that compete",5,IF(Z344="Too many players with High ROCE",5,0)))))</f>
        <v/>
      </c>
      <c r="AB344" s="31" t="inlineStr">
        <is>
          <t>No</t>
        </is>
      </c>
      <c r="AC344" s="31">
        <f>IF(AB344="No",5,0)</f>
        <v/>
      </c>
      <c r="AD344" s="31" t="inlineStr">
        <is>
          <t>Tailwind</t>
        </is>
      </c>
      <c r="AE344" s="31">
        <f>IF(AD344="Tailwind",10,0)</f>
        <v/>
      </c>
      <c r="AF344" s="31" t="inlineStr">
        <is>
          <t>Structural (10 Years Consistency)</t>
        </is>
      </c>
      <c r="AG344" s="31">
        <f>IF(AF344="Structural (10 Years Consistency)",10,IF(AF344="Shallow Cyclical (2 to 3 years growth)",5,0))</f>
        <v/>
      </c>
      <c r="AH344" s="31" t="inlineStr">
        <is>
          <t>No</t>
        </is>
      </c>
      <c r="AI344" s="31">
        <f>IF(AH344="Yes due to Product Mix change or Operating Leverage",10,IF(AH344="Yes, these are peak margins",-5,IF(AH344="No",5,0)))</f>
        <v/>
      </c>
      <c r="AJ344" s="31" t="inlineStr">
        <is>
          <t>Stable</t>
        </is>
      </c>
      <c r="AK344" s="31">
        <f>IF(AJ344="Stable",10,0)</f>
        <v/>
      </c>
      <c r="AL344" s="31" t="inlineStr">
        <is>
          <t>Yes</t>
        </is>
      </c>
      <c r="AM344" s="31">
        <f>IF(AL344="Yes",10,0)</f>
        <v/>
      </c>
      <c r="AN344" s="31" t="inlineStr">
        <is>
          <t>B2B</t>
        </is>
      </c>
      <c r="AO344" s="31">
        <f>IF(AN344="B2C",10,IF(AN344="B2B",5,0))</f>
        <v/>
      </c>
      <c r="AP344" s="31" t="inlineStr">
        <is>
          <t>No</t>
        </is>
      </c>
      <c r="AQ344" s="31">
        <f>IF(AP344="Yes",10,0)</f>
        <v/>
      </c>
      <c r="AR344" s="31" t="inlineStr">
        <is>
          <t>Higher One Time, Lower Annuity</t>
        </is>
      </c>
      <c r="AS344" s="31">
        <f>IF(AR344="Fully Annuity",10,IF(AR344="Higher Annuity, Lower One Time",5,IF(AR344="Higher One Time, Lower Annuity",3,0)))</f>
        <v/>
      </c>
      <c r="AT344" s="31" t="inlineStr">
        <is>
          <t>Good</t>
        </is>
      </c>
      <c r="AU344" s="31">
        <f>IF(AT344="Good",10,0)</f>
        <v/>
      </c>
      <c r="AV344" s="31" t="inlineStr">
        <is>
          <t>Yes for more than 2 years</t>
        </is>
      </c>
      <c r="AW344" s="31">
        <f>IF(AV344="Yes for more than 2 years",10,IF(AV344="Yes only for next 1 to 2 years",5,0))</f>
        <v/>
      </c>
      <c r="AX344" s="31" t="inlineStr">
        <is>
          <t>0 to 20</t>
        </is>
      </c>
      <c r="AY344" s="31">
        <f>IF(AX344="Above 40",20,IF(AX344="20 to 40",10,IF(AX344="0 to 20",-5,0)))</f>
        <v/>
      </c>
      <c r="AZ344" s="31" t="inlineStr">
        <is>
          <t>Between 50 to 75</t>
        </is>
      </c>
      <c r="BA344" s="31">
        <f>IF(AZ344="Between 50 to 75",10,IF(AZ344="Above 75",0,0))</f>
        <v/>
      </c>
      <c r="BB344" s="31" t="inlineStr">
        <is>
          <t>Stage 2</t>
        </is>
      </c>
      <c r="BC344" s="31">
        <f>IF(BB344="Stage 2",20,IF(BB344="Stage 1",0,IF(BB344="Stage 3",5,IF(BB344="Stage 4",-5,0))))</f>
        <v/>
      </c>
      <c r="BD344" s="31" t="inlineStr">
        <is>
          <t>Positive Trend</t>
        </is>
      </c>
      <c r="BE344" s="31">
        <f>IF(BD344="Positive Trend",20,IF(BD344="Negative Trend",-10,0))</f>
        <v/>
      </c>
      <c r="BF344" s="31" t="inlineStr">
        <is>
          <t>Uptrend</t>
        </is>
      </c>
      <c r="BG344" s="31">
        <f>IF(BF344="Uptrend",10,IF(BF344="Sideways",5,0))</f>
        <v/>
      </c>
      <c r="BH344" s="31" t="inlineStr">
        <is>
          <t>Uptrend</t>
        </is>
      </c>
      <c r="BI344" s="31">
        <f>IF(BH344="Uptrend",10,IF(BH344="Sideways",5,0))</f>
        <v/>
      </c>
      <c r="BJ344" s="31" t="inlineStr">
        <is>
          <t>Close to 52 week high or retracement</t>
        </is>
      </c>
      <c r="BK344" s="31">
        <f>IF(BJ344="Overhead supply in last 2 years in last 2 years",-5,IF(BJ344="Close to 52 week high or retracement",5,IF(BJ344="Blue sky scenario",10,IF(BJ344="Long term Downtrend",-10,0))))</f>
        <v/>
      </c>
      <c r="BL344" s="31" t="inlineStr">
        <is>
          <t>Yes</t>
        </is>
      </c>
      <c r="BM344" s="31">
        <f>IF(BL344="Yes",10,0)</f>
        <v/>
      </c>
      <c r="BN344" s="31" t="inlineStr">
        <is>
          <t>More than 20%</t>
        </is>
      </c>
      <c r="BO344" s="31">
        <f>IF(BN344="More than 20%",10,IF(BN344="Between 12 to 20%",5,IF(BN344="Less than 12%",0,0)))</f>
        <v/>
      </c>
      <c r="BP344" s="31" t="inlineStr">
        <is>
          <t>No</t>
        </is>
      </c>
      <c r="BQ344" s="31">
        <f>IF(BP344="No",10,0)</f>
        <v/>
      </c>
      <c r="BR344" s="31" t="inlineStr">
        <is>
          <t>Yes</t>
        </is>
      </c>
      <c r="BS344" s="31">
        <f>IF(BR344="NO",5,0)</f>
        <v/>
      </c>
      <c r="BT344" s="31" t="inlineStr">
        <is>
          <t>Above 2</t>
        </is>
      </c>
      <c r="BU344" s="31">
        <f>IF(BT344="Above 2",0,IF(BT344="Between 1.5 to 2",5,IF(BT344="Less than 1.5",10,0)))</f>
        <v/>
      </c>
      <c r="BV344" s="31" t="inlineStr">
        <is>
          <t>Above 70%</t>
        </is>
      </c>
      <c r="BW344" s="31">
        <f>IF(BV344="Above 70%",10,IF(BV344="Between 50% to 70%",5,IF(BV344="Less than 50%",0,IF(BV344="Negative",-10,IF(BV344="Less than 50% and Borrowings are increasing",-5,0)))))</f>
        <v/>
      </c>
      <c r="BX344" s="31" t="inlineStr">
        <is>
          <t>More than 1.2</t>
        </is>
      </c>
      <c r="BY344" s="31">
        <f>IF(BX344="More than 1.2",-10,IF(BX344="Between 0.7 to 1.2",0,IF(BX344="Less than 0.7",10,0)))</f>
        <v/>
      </c>
      <c r="BZ344" s="31" t="inlineStr">
        <is>
          <t>No</t>
        </is>
      </c>
      <c r="CA344" s="31">
        <f>IF(BZ344="Yes",-10,0)</f>
        <v/>
      </c>
      <c r="CB344" s="31" t="inlineStr">
        <is>
          <t>Less than 15%</t>
        </is>
      </c>
      <c r="CC344" s="31">
        <f>IF(CB344="More than 15%",-10,IF(CB344="Less than 15%",10,0))</f>
        <v/>
      </c>
      <c r="CD344" s="31" t="inlineStr">
        <is>
          <t>No</t>
        </is>
      </c>
      <c r="CE344" s="31">
        <f>IF(CD344="Yes, more than 10%",-10,IF(CD344="No",10,0))</f>
        <v/>
      </c>
    </row>
    <row r="345">
      <c r="A345" s="31">
        <f>IF(B345=0,"",RANK(B345,$B$2:$B$363,0))</f>
        <v/>
      </c>
      <c r="B345" s="32">
        <f>SUM(N345,Y345,AA345,AC345,AE345,AG345,AI345,AK345,AM345,AO345,AQ345,AS345,AU345,AW345,AY345,BA345,BC345,BE345,BG345,BI345,BK345,BM345,BO345,BQ345,BS345,BU345,BW345,BY345,CA345,CC345,CE345)</f>
        <v/>
      </c>
      <c r="C345" s="31" t="inlineStr">
        <is>
          <t>UEL</t>
        </is>
      </c>
      <c r="D345" s="31" t="inlineStr">
        <is>
          <t>Ujaas Energy Ltd</t>
        </is>
      </c>
      <c r="E345" s="31" t="inlineStr">
        <is>
          <t>power &amp; utilities</t>
        </is>
      </c>
      <c r="F345" s="31" t="inlineStr">
        <is>
          <t>power generation and supply</t>
        </is>
      </c>
      <c r="G345" s="31" t="inlineStr">
        <is>
          <t>smallcap</t>
        </is>
      </c>
      <c r="H345" s="32" t="n">
        <v>3069.48</v>
      </c>
      <c r="I345" s="32" t="n">
        <v>241.6</v>
      </c>
      <c r="J345" s="32" t="n">
        <v>5</v>
      </c>
      <c r="K345" s="32" t="n">
        <v>18811</v>
      </c>
      <c r="L345" s="31" t="n">
        <v>90</v>
      </c>
      <c r="M345" s="31" t="inlineStr">
        <is>
          <t>Outperforming</t>
        </is>
      </c>
      <c r="N345" s="32">
        <f>IF(M345="Underperforming",-5,IF(L345&gt;=95,15,IF(L345&gt;=90,10,IF(L345&gt;=80,5,0))))</f>
        <v/>
      </c>
      <c r="O345" s="32" t="n">
        <v>64.61</v>
      </c>
      <c r="P345" s="32" t="n">
        <v>19.23</v>
      </c>
      <c r="Q345" s="32" t="n">
        <v>169.15</v>
      </c>
      <c r="R345" s="31" t="inlineStr">
        <is>
          <t>Earnings / Momentum Support</t>
        </is>
      </c>
      <c r="S345" s="31" t="inlineStr">
        <is>
          <t>Nifty IT</t>
        </is>
      </c>
      <c r="T345" s="32" t="n">
        <v>-11.38</v>
      </c>
      <c r="U345" s="32" t="n">
        <v>113.18</v>
      </c>
      <c r="V345" s="32" t="n">
        <v>140.54</v>
      </c>
      <c r="W345" s="32" t="n">
        <v>35.98</v>
      </c>
      <c r="X345" s="31" t="inlineStr">
        <is>
          <t>Growing Industry</t>
        </is>
      </c>
      <c r="Y345" s="31">
        <f>IF(X345="Growing Industry",10,IF(X345="Cyclical in an Upturn",5,0))</f>
        <v/>
      </c>
      <c r="Z345" s="31" t="inlineStr">
        <is>
          <t>Too Many Players with High ROCE</t>
        </is>
      </c>
      <c r="AA345" s="31">
        <f>IF(Z345="Monopoly",10,IF(Z345="Oligopoly",5,IF(Z345="Duopoly that cooperate",10,IF(Z345="Duopoly that compete",5,IF(Z345="Too many players with High ROCE",5,0)))))</f>
        <v/>
      </c>
      <c r="AB345" s="31" t="inlineStr">
        <is>
          <t>No</t>
        </is>
      </c>
      <c r="AC345" s="31">
        <f>IF(AB345="No",5,0)</f>
        <v/>
      </c>
      <c r="AD345" s="31" t="inlineStr">
        <is>
          <t>Tailwind</t>
        </is>
      </c>
      <c r="AE345" s="31">
        <f>IF(AD345="Tailwind",10,0)</f>
        <v/>
      </c>
      <c r="AF345" s="31" t="inlineStr">
        <is>
          <t>Structural (10 Years Consistency)</t>
        </is>
      </c>
      <c r="AG345" s="31">
        <f>IF(AF345="Structural (10 Years Consistency)",10,IF(AF345="Shallow Cyclical (2 to 3 years growth)",5,0))</f>
        <v/>
      </c>
      <c r="AH345" s="31" t="inlineStr">
        <is>
          <t>No</t>
        </is>
      </c>
      <c r="AI345" s="31">
        <f>IF(AH345="Yes due to Product Mix change or Operating Leverage",10,IF(AH345="Yes, these are peak margins",-5,IF(AH345="No",5,0)))</f>
        <v/>
      </c>
      <c r="AJ345" s="31" t="inlineStr">
        <is>
          <t>Stable</t>
        </is>
      </c>
      <c r="AK345" s="31">
        <f>IF(AJ345="Stable",10,0)</f>
        <v/>
      </c>
      <c r="AL345" s="31" t="inlineStr">
        <is>
          <t>Yes</t>
        </is>
      </c>
      <c r="AM345" s="31">
        <f>IF(AL345="Yes",10,0)</f>
        <v/>
      </c>
      <c r="AN345" s="31" t="inlineStr">
        <is>
          <t>B2B</t>
        </is>
      </c>
      <c r="AO345" s="31">
        <f>IF(AN345="B2C",10,IF(AN345="B2B",5,0))</f>
        <v/>
      </c>
      <c r="AP345" s="31" t="inlineStr">
        <is>
          <t>No</t>
        </is>
      </c>
      <c r="AQ345" s="31">
        <f>IF(AP345="Yes",10,0)</f>
        <v/>
      </c>
      <c r="AR345" s="31" t="inlineStr">
        <is>
          <t>Higher One Time, Lower Annuity</t>
        </is>
      </c>
      <c r="AS345" s="31">
        <f>IF(AR345="Fully Annuity",10,IF(AR345="Higher Annuity, Lower One Time",5,IF(AR345="Higher One Time, Lower Annuity",3,0)))</f>
        <v/>
      </c>
      <c r="AT345" s="31" t="inlineStr">
        <is>
          <t>Good</t>
        </is>
      </c>
      <c r="AU345" s="31">
        <f>IF(AT345="Good",10,0)</f>
        <v/>
      </c>
      <c r="AV345" s="31" t="inlineStr">
        <is>
          <t>Yes for more than 2 years</t>
        </is>
      </c>
      <c r="AW345" s="31">
        <f>IF(AV345="Yes for more than 2 years",10,IF(AV345="Yes only for next 1 to 2 years",5,0))</f>
        <v/>
      </c>
      <c r="AX345" s="31" t="inlineStr">
        <is>
          <t>0 to 20</t>
        </is>
      </c>
      <c r="AY345" s="31">
        <f>IF(AX345="Above 40",20,IF(AX345="20 to 40",10,IF(AX345="0 to 20",-5,0)))</f>
        <v/>
      </c>
      <c r="AZ345" s="31" t="inlineStr">
        <is>
          <t>Between 50 to 75</t>
        </is>
      </c>
      <c r="BA345" s="31">
        <f>IF(AZ345="Between 50 to 75",10,IF(AZ345="Above 75",0,0))</f>
        <v/>
      </c>
      <c r="BB345" s="31" t="inlineStr">
        <is>
          <t>Stage 2</t>
        </is>
      </c>
      <c r="BC345" s="31">
        <f>IF(BB345="Stage 2",20,IF(BB345="Stage 1",0,IF(BB345="Stage 3",5,IF(BB345="Stage 4",-5,0))))</f>
        <v/>
      </c>
      <c r="BD345" s="31" t="inlineStr">
        <is>
          <t>Negative Trend</t>
        </is>
      </c>
      <c r="BE345" s="31">
        <f>IF(BD345="Positive Trend",20,IF(BD345="Negative Trend",-10,0))</f>
        <v/>
      </c>
      <c r="BF345" s="31" t="inlineStr">
        <is>
          <t>Uptrend</t>
        </is>
      </c>
      <c r="BG345" s="31">
        <f>IF(BF345="Uptrend",10,IF(BF345="Sideways",5,0))</f>
        <v/>
      </c>
      <c r="BH345" s="31" t="inlineStr">
        <is>
          <t>Uptrend</t>
        </is>
      </c>
      <c r="BI345" s="31">
        <f>IF(BH345="Uptrend",10,IF(BH345="Sideways",5,0))</f>
        <v/>
      </c>
      <c r="BJ345" s="31" t="inlineStr">
        <is>
          <t>Close to 52 week high or retracement</t>
        </is>
      </c>
      <c r="BK345" s="31">
        <f>IF(BJ345="Overhead supply in last 2 years in last 2 years",-5,IF(BJ345="Close to 52 week high or retracement",5,IF(BJ345="Blue sky scenario",10,IF(BJ345="Long term Downtrend",-10,0))))</f>
        <v/>
      </c>
      <c r="BL345" s="31" t="inlineStr">
        <is>
          <t>Yes</t>
        </is>
      </c>
      <c r="BM345" s="31">
        <f>IF(BL345="Yes",10,0)</f>
        <v/>
      </c>
      <c r="BN345" s="31" t="inlineStr">
        <is>
          <t>More than 20%</t>
        </is>
      </c>
      <c r="BO345" s="31">
        <f>IF(BN345="More than 20%",10,IF(BN345="Between 12 to 20%",5,IF(BN345="Less than 12%",0,0)))</f>
        <v/>
      </c>
      <c r="BP345" s="31" t="inlineStr">
        <is>
          <t>No</t>
        </is>
      </c>
      <c r="BQ345" s="31">
        <f>IF(BP345="No",10,0)</f>
        <v/>
      </c>
      <c r="BR345" s="31" t="inlineStr">
        <is>
          <t>Yes</t>
        </is>
      </c>
      <c r="BS345" s="31">
        <f>IF(BR345="NO",5,0)</f>
        <v/>
      </c>
      <c r="BT345" s="31" t="inlineStr">
        <is>
          <t>Above 2</t>
        </is>
      </c>
      <c r="BU345" s="31">
        <f>IF(BT345="Above 2",0,IF(BT345="Between 1.5 to 2",5,IF(BT345="Less than 1.5",10,0)))</f>
        <v/>
      </c>
      <c r="BV345" s="31" t="inlineStr">
        <is>
          <t>Above 70%</t>
        </is>
      </c>
      <c r="BW345" s="31">
        <f>IF(BV345="Above 70%",10,IF(BV345="Between 50% to 70%",5,IF(BV345="Less than 50%",0,IF(BV345="Negative",-10,IF(BV345="Less than 50% and Borrowings are increasing",-5,0)))))</f>
        <v/>
      </c>
      <c r="BX345" s="31" t="inlineStr">
        <is>
          <t>Less than 0.7</t>
        </is>
      </c>
      <c r="BY345" s="31">
        <f>IF(BX345="More than 1.2",-10,IF(BX345="Between 0.7 to 1.2",0,IF(BX345="Less than 0.7",10,0)))</f>
        <v/>
      </c>
      <c r="BZ345" s="31" t="inlineStr">
        <is>
          <t>No</t>
        </is>
      </c>
      <c r="CA345" s="31">
        <f>IF(BZ345="Yes",-10,0)</f>
        <v/>
      </c>
      <c r="CB345" s="31" t="inlineStr">
        <is>
          <t>Less than 15%</t>
        </is>
      </c>
      <c r="CC345" s="31">
        <f>IF(CB345="More than 15%",-10,IF(CB345="Less than 15%",10,0))</f>
        <v/>
      </c>
      <c r="CD345" s="31" t="inlineStr">
        <is>
          <t>No</t>
        </is>
      </c>
      <c r="CE345" s="31">
        <f>IF(CD345="Yes, more than 10%",-10,IF(CD345="No",10,0))</f>
        <v/>
      </c>
    </row>
    <row r="346">
      <c r="A346" s="31">
        <f>IF(B346=0,"",RANK(B346,$B$2:$B$363,0))</f>
        <v/>
      </c>
      <c r="B346" s="32">
        <f>SUM(N346,Y346,AA346,AC346,AE346,AG346,AI346,AK346,AM346,AO346,AQ346,AS346,AU346,AW346,AY346,BA346,BC346,BE346,BG346,BI346,BK346,BM346,BO346,BQ346,BS346,BU346,BW346,BY346,CA346,CC346,CE346)</f>
        <v/>
      </c>
      <c r="C346" s="33" t="inlineStr">
        <is>
          <t>20MICRONS</t>
        </is>
      </c>
      <c r="D346" s="33" t="inlineStr">
        <is>
          <t>20 Microns Limited</t>
        </is>
      </c>
      <c r="E346" s="31" t="inlineStr">
        <is>
          <t>metals &amp; mining</t>
        </is>
      </c>
      <c r="F346" s="31" t="inlineStr">
        <is>
          <t>mining / minerals / metals</t>
        </is>
      </c>
      <c r="G346" s="31" t="inlineStr">
        <is>
          <t>smallcap</t>
        </is>
      </c>
      <c r="H346" s="32" t="n">
        <v>768.61</v>
      </c>
      <c r="I346" s="32" t="n">
        <v>222.49</v>
      </c>
      <c r="J346" s="32" t="n">
        <v>2.14</v>
      </c>
      <c r="K346" s="32" t="n">
        <v>174812</v>
      </c>
      <c r="L346" s="31" t="n">
        <v>14</v>
      </c>
      <c r="M346" s="31" t="inlineStr">
        <is>
          <t>Underperforming</t>
        </is>
      </c>
      <c r="N346" s="32">
        <f>IF(M346="Underperforming",-5,IF(L346&gt;=95,15,IF(L346&gt;=90,10,IF(L346&gt;=80,5,0))))</f>
        <v/>
      </c>
      <c r="O346" s="32" t="n">
        <v>64.44</v>
      </c>
      <c r="P346" s="32" t="n">
        <v>17.15</v>
      </c>
      <c r="Q346" s="32" t="n">
        <v>165.92</v>
      </c>
      <c r="R346" s="31" t="inlineStr">
        <is>
          <t>Near 52W High Breakout</t>
        </is>
      </c>
      <c r="S346" s="31" t="inlineStr">
        <is>
          <t>Nifty Metal</t>
        </is>
      </c>
      <c r="T346" s="32" t="n">
        <v>41.3</v>
      </c>
      <c r="U346" s="32" t="n">
        <v>-16.65</v>
      </c>
      <c r="V346" s="32" t="n">
        <v>-41.01</v>
      </c>
      <c r="W346" s="32" t="n">
        <v>3.3</v>
      </c>
      <c r="X346" s="31" t="inlineStr">
        <is>
          <t>Cyclical in an Upturn</t>
        </is>
      </c>
      <c r="Y346" s="31">
        <f>IF(X346="Growing Industry",10,IF(X346="Cyclical in an Upturn",5,0))</f>
        <v/>
      </c>
      <c r="Z346" s="31" t="inlineStr">
        <is>
          <t>Too Many Players with High ROCE</t>
        </is>
      </c>
      <c r="AA346" s="31">
        <f>IF(Z346="Monopoly",10,IF(Z346="Oligopoly",5,IF(Z346="Duopoly that cooperate",10,IF(Z346="Duopoly that compete",5,IF(Z346="Too many players with High ROCE",5,0)))))</f>
        <v/>
      </c>
      <c r="AB346" s="31" t="inlineStr">
        <is>
          <t>No</t>
        </is>
      </c>
      <c r="AC346" s="31">
        <f>IF(AB346="No",5,0)</f>
        <v/>
      </c>
      <c r="AD346" s="31" t="inlineStr">
        <is>
          <t>Tailwind</t>
        </is>
      </c>
      <c r="AE346" s="31">
        <f>IF(AD346="Tailwind",10,0)</f>
        <v/>
      </c>
      <c r="AF346" s="31" t="inlineStr">
        <is>
          <t>Cyclical</t>
        </is>
      </c>
      <c r="AG346" s="31">
        <f>IF(AF346="Structural (10 Years Consistency)",10,IF(AF346="Shallow Cyclical (2 to 3 years growth)",5,0))</f>
        <v/>
      </c>
      <c r="AH346" s="31" t="inlineStr">
        <is>
          <t>No</t>
        </is>
      </c>
      <c r="AI346" s="31">
        <f>IF(AH346="Yes due to Product Mix change or Operating Leverage",10,IF(AH346="Yes, these are peak margins",-5,IF(AH346="No",5,0)))</f>
        <v/>
      </c>
      <c r="AJ346" s="31" t="inlineStr">
        <is>
          <t>Volatile</t>
        </is>
      </c>
      <c r="AK346" s="31">
        <f>IF(AJ346="Stable",10,0)</f>
        <v/>
      </c>
      <c r="AL346" s="31" t="inlineStr">
        <is>
          <t>Yes</t>
        </is>
      </c>
      <c r="AM346" s="31">
        <f>IF(AL346="Yes",10,0)</f>
        <v/>
      </c>
      <c r="AN346" s="31" t="inlineStr">
        <is>
          <t>B2B</t>
        </is>
      </c>
      <c r="AO346" s="31">
        <f>IF(AN346="B2C",10,IF(AN346="B2B",5,0))</f>
        <v/>
      </c>
      <c r="AP346" s="31" t="inlineStr">
        <is>
          <t>Yes</t>
        </is>
      </c>
      <c r="AQ346" s="31">
        <f>IF(AP346="Yes",10,0)</f>
        <v/>
      </c>
      <c r="AR346" s="31" t="inlineStr">
        <is>
          <t>Higher One Time, Lower Annuity</t>
        </is>
      </c>
      <c r="AS346" s="31">
        <f>IF(AR346="Fully Annuity",10,IF(AR346="Higher Annuity, Lower One Time",5,IF(AR346="Higher One Time, Lower Annuity",3,0)))</f>
        <v/>
      </c>
      <c r="AT346" s="31" t="inlineStr">
        <is>
          <t>Good</t>
        </is>
      </c>
      <c r="AU346" s="31">
        <f>IF(AT346="Good",10,0)</f>
        <v/>
      </c>
      <c r="AV346" s="31" t="inlineStr">
        <is>
          <t>Yes for more than 2 years</t>
        </is>
      </c>
      <c r="AW346" s="31">
        <f>IF(AV346="Yes for more than 2 years",10,IF(AV346="Yes only for next 1 to 2 years",5,0))</f>
        <v/>
      </c>
      <c r="AX346" s="31" t="inlineStr">
        <is>
          <t>0 to 20</t>
        </is>
      </c>
      <c r="AY346" s="31">
        <f>IF(AX346="Above 40",20,IF(AX346="20 to 40",10,IF(AX346="0 to 20",-5,0)))</f>
        <v/>
      </c>
      <c r="AZ346" s="31" t="inlineStr">
        <is>
          <t>Between 50 to 75</t>
        </is>
      </c>
      <c r="BA346" s="31">
        <f>IF(AZ346="Between 50 to 75",10,IF(AZ346="Above 75",0,0))</f>
        <v/>
      </c>
      <c r="BB346" s="31" t="inlineStr">
        <is>
          <t>Stage 2</t>
        </is>
      </c>
      <c r="BC346" s="31">
        <f>IF(BB346="Stage 2",20,IF(BB346="Stage 1",0,IF(BB346="Stage 3",5,IF(BB346="Stage 4",-5,0))))</f>
        <v/>
      </c>
      <c r="BD346" s="31" t="inlineStr">
        <is>
          <t>Positive Trend</t>
        </is>
      </c>
      <c r="BE346" s="31">
        <f>IF(BD346="Positive Trend",20,IF(BD346="Negative Trend",-10,0))</f>
        <v/>
      </c>
      <c r="BF346" s="31" t="inlineStr">
        <is>
          <t>Uptrend</t>
        </is>
      </c>
      <c r="BG346" s="31">
        <f>IF(BF346="Uptrend",10,IF(BF346="Sideways",5,0))</f>
        <v/>
      </c>
      <c r="BH346" s="31" t="inlineStr">
        <is>
          <t>Uptrend</t>
        </is>
      </c>
      <c r="BI346" s="31">
        <f>IF(BH346="Uptrend",10,IF(BH346="Sideways",5,0))</f>
        <v/>
      </c>
      <c r="BJ346" s="31" t="inlineStr">
        <is>
          <t>Close to 52 week high or retracement</t>
        </is>
      </c>
      <c r="BK346" s="31">
        <f>IF(BJ346="Overhead supply in last 2 years in last 2 years",-5,IF(BJ346="Close to 52 week high or retracement",5,IF(BJ346="Blue sky scenario",10,IF(BJ346="Long term Downtrend",-10,0))))</f>
        <v/>
      </c>
      <c r="BL346" s="31" t="inlineStr">
        <is>
          <t>Yes</t>
        </is>
      </c>
      <c r="BM346" s="31">
        <f>IF(BL346="Yes",10,0)</f>
        <v/>
      </c>
      <c r="BN346" s="31" t="inlineStr">
        <is>
          <t>Less than 12%</t>
        </is>
      </c>
      <c r="BO346" s="31">
        <f>IF(BN346="More than 20%",10,IF(BN346="Between 12 to 20%",5,IF(BN346="Less than 12%",0,0)))</f>
        <v/>
      </c>
      <c r="BP346" s="31" t="inlineStr">
        <is>
          <t>No</t>
        </is>
      </c>
      <c r="BQ346" s="31">
        <f>IF(BP346="No",10,0)</f>
        <v/>
      </c>
      <c r="BR346" s="31" t="inlineStr">
        <is>
          <t>No</t>
        </is>
      </c>
      <c r="BS346" s="31">
        <f>IF(BR346="NO",5,0)</f>
        <v/>
      </c>
      <c r="BT346" s="31" t="inlineStr">
        <is>
          <t>Above 2</t>
        </is>
      </c>
      <c r="BU346" s="31">
        <f>IF(BT346="Above 2",0,IF(BT346="Between 1.5 to 2",5,IF(BT346="Less than 1.5",10,0)))</f>
        <v/>
      </c>
      <c r="BV346" s="31" t="inlineStr">
        <is>
          <t>Above 70%</t>
        </is>
      </c>
      <c r="BW346" s="31">
        <f>IF(BV346="Above 70%",10,IF(BV346="Between 50% to 70%",5,IF(BV346="Less than 50%",0,IF(BV346="Negative",-10,IF(BV346="Less than 50% and Borrowings are increasing",-5,0)))))</f>
        <v/>
      </c>
      <c r="BX346" s="31" t="inlineStr">
        <is>
          <t>Less than 0.7</t>
        </is>
      </c>
      <c r="BY346" s="31">
        <f>IF(BX346="More than 1.2",-10,IF(BX346="Between 0.7 to 1.2",0,IF(BX346="Less than 0.7",10,0)))</f>
        <v/>
      </c>
      <c r="BZ346" s="31" t="inlineStr">
        <is>
          <t>No</t>
        </is>
      </c>
      <c r="CA346" s="31">
        <f>IF(BZ346="Yes",-10,0)</f>
        <v/>
      </c>
      <c r="CB346" s="31" t="inlineStr">
        <is>
          <t>Less than 15%</t>
        </is>
      </c>
      <c r="CC346" s="31">
        <f>IF(CB346="More than 15%",-10,IF(CB346="Less than 15%",10,0))</f>
        <v/>
      </c>
      <c r="CD346" s="31" t="inlineStr">
        <is>
          <t>No</t>
        </is>
      </c>
      <c r="CE346" s="31">
        <f>IF(CD346="Yes, more than 10%",-10,IF(CD346="No",10,0))</f>
        <v/>
      </c>
    </row>
    <row r="347">
      <c r="A347" s="31">
        <f>IF(B347=0,"",RANK(B347,$B$2:$B$363,0))</f>
        <v/>
      </c>
      <c r="B347" s="32">
        <f>SUM(N347,Y347,AA347,AC347,AE347,AG347,AI347,AK347,AM347,AO347,AQ347,AS347,AU347,AW347,AY347,BA347,BC347,BE347,BG347,BI347,BK347,BM347,BO347,BQ347,BS347,BU347,BW347,BY347,CA347,CC347,CE347)</f>
        <v/>
      </c>
      <c r="C347" s="33" t="inlineStr">
        <is>
          <t>MAITHANALL</t>
        </is>
      </c>
      <c r="D347" s="33" t="inlineStr">
        <is>
          <t>Maithan Alloys Limited</t>
        </is>
      </c>
      <c r="E347" s="31" t="inlineStr">
        <is>
          <t>metals &amp; mining</t>
        </is>
      </c>
      <c r="F347" s="31" t="inlineStr">
        <is>
          <t>mining / minerals / metals</t>
        </is>
      </c>
      <c r="G347" s="31" t="inlineStr">
        <is>
          <t>smallcap</t>
        </is>
      </c>
      <c r="H347" s="32" t="n">
        <v>3023.23</v>
      </c>
      <c r="I347" s="32" t="n">
        <v>1090.55</v>
      </c>
      <c r="J347" s="32" t="n">
        <v>5.01</v>
      </c>
      <c r="K347" s="32" t="n">
        <v>400161</v>
      </c>
      <c r="L347" s="31" t="n">
        <v>7</v>
      </c>
      <c r="M347" s="31" t="inlineStr">
        <is>
          <t>Underperforming</t>
        </is>
      </c>
      <c r="N347" s="32">
        <f>IF(M347="Underperforming",-5,IF(L347&gt;=95,15,IF(L347&gt;=90,10,IF(L347&gt;=80,5,0))))</f>
        <v/>
      </c>
      <c r="O347" s="32" t="n">
        <v>59.5</v>
      </c>
      <c r="P347" s="32" t="n">
        <v>24.51</v>
      </c>
      <c r="Q347" s="32" t="n">
        <v>892.26</v>
      </c>
      <c r="R347" s="31" t="inlineStr">
        <is>
          <t>Volume Spike / Accumulation</t>
        </is>
      </c>
      <c r="S347" s="31" t="inlineStr">
        <is>
          <t>Nifty Metal</t>
        </is>
      </c>
      <c r="T347" s="32" t="n">
        <v>41.3</v>
      </c>
      <c r="U347" s="32" t="n">
        <v>-2.69</v>
      </c>
      <c r="V347" s="32" t="n">
        <v>-31.13</v>
      </c>
      <c r="W347" s="32" t="n">
        <v>1.78</v>
      </c>
      <c r="X347" s="31" t="inlineStr">
        <is>
          <t>Cyclical in an Upturn</t>
        </is>
      </c>
      <c r="Y347" s="31">
        <f>IF(X347="Growing Industry",10,IF(X347="Cyclical in an Upturn",5,0))</f>
        <v/>
      </c>
      <c r="Z347" s="31" t="inlineStr">
        <is>
          <t>Too Many Players with High ROCE</t>
        </is>
      </c>
      <c r="AA347" s="31">
        <f>IF(Z347="Monopoly",10,IF(Z347="Oligopoly",5,IF(Z347="Duopoly that cooperate",10,IF(Z347="Duopoly that compete",5,IF(Z347="Too many players with High ROCE",5,0)))))</f>
        <v/>
      </c>
      <c r="AB347" s="31" t="inlineStr">
        <is>
          <t>No</t>
        </is>
      </c>
      <c r="AC347" s="31">
        <f>IF(AB347="No",5,0)</f>
        <v/>
      </c>
      <c r="AD347" s="31" t="inlineStr">
        <is>
          <t>Tailwind</t>
        </is>
      </c>
      <c r="AE347" s="31">
        <f>IF(AD347="Tailwind",10,0)</f>
        <v/>
      </c>
      <c r="AF347" s="31" t="inlineStr">
        <is>
          <t>Cyclical</t>
        </is>
      </c>
      <c r="AG347" s="31">
        <f>IF(AF347="Structural (10 Years Consistency)",10,IF(AF347="Shallow Cyclical (2 to 3 years growth)",5,0))</f>
        <v/>
      </c>
      <c r="AH347" s="31" t="inlineStr">
        <is>
          <t>No</t>
        </is>
      </c>
      <c r="AI347" s="31">
        <f>IF(AH347="Yes due to Product Mix change or Operating Leverage",10,IF(AH347="Yes, these are peak margins",-5,IF(AH347="No",5,0)))</f>
        <v/>
      </c>
      <c r="AJ347" s="31" t="inlineStr">
        <is>
          <t>Volatile</t>
        </is>
      </c>
      <c r="AK347" s="31">
        <f>IF(AJ347="Stable",10,0)</f>
        <v/>
      </c>
      <c r="AL347" s="31" t="inlineStr">
        <is>
          <t>Yes</t>
        </is>
      </c>
      <c r="AM347" s="31">
        <f>IF(AL347="Yes",10,0)</f>
        <v/>
      </c>
      <c r="AN347" s="31" t="inlineStr">
        <is>
          <t>B2B</t>
        </is>
      </c>
      <c r="AO347" s="31">
        <f>IF(AN347="B2C",10,IF(AN347="B2B",5,0))</f>
        <v/>
      </c>
      <c r="AP347" s="31" t="inlineStr">
        <is>
          <t>Yes</t>
        </is>
      </c>
      <c r="AQ347" s="31">
        <f>IF(AP347="Yes",10,0)</f>
        <v/>
      </c>
      <c r="AR347" s="31" t="inlineStr">
        <is>
          <t>Higher One Time, Lower Annuity</t>
        </is>
      </c>
      <c r="AS347" s="31">
        <f>IF(AR347="Fully Annuity",10,IF(AR347="Higher Annuity, Lower One Time",5,IF(AR347="Higher One Time, Lower Annuity",3,0)))</f>
        <v/>
      </c>
      <c r="AT347" s="31" t="inlineStr">
        <is>
          <t>Good</t>
        </is>
      </c>
      <c r="AU347" s="31">
        <f>IF(AT347="Good",10,0)</f>
        <v/>
      </c>
      <c r="AV347" s="31" t="inlineStr">
        <is>
          <t>Yes for more than 2 years</t>
        </is>
      </c>
      <c r="AW347" s="31">
        <f>IF(AV347="Yes for more than 2 years",10,IF(AV347="Yes only for next 1 to 2 years",5,0))</f>
        <v/>
      </c>
      <c r="AX347" s="31" t="inlineStr">
        <is>
          <t>20 to 40</t>
        </is>
      </c>
      <c r="AY347" s="31">
        <f>IF(AX347="Above 40",20,IF(AX347="20 to 40",10,IF(AX347="0 to 20",-5,0)))</f>
        <v/>
      </c>
      <c r="AZ347" s="31" t="inlineStr">
        <is>
          <t>Between 50 to 75</t>
        </is>
      </c>
      <c r="BA347" s="31">
        <f>IF(AZ347="Between 50 to 75",10,IF(AZ347="Above 75",0,0))</f>
        <v/>
      </c>
      <c r="BB347" s="31" t="inlineStr">
        <is>
          <t>Stage 1</t>
        </is>
      </c>
      <c r="BC347" s="31">
        <f>IF(BB347="Stage 2",20,IF(BB347="Stage 1",0,IF(BB347="Stage 3",5,IF(BB347="Stage 4",-5,0))))</f>
        <v/>
      </c>
      <c r="BD347" s="31" t="inlineStr">
        <is>
          <t>Positive Trend</t>
        </is>
      </c>
      <c r="BE347" s="31">
        <f>IF(BD347="Positive Trend",20,IF(BD347="Negative Trend",-10,0))</f>
        <v/>
      </c>
      <c r="BF347" s="31" t="inlineStr">
        <is>
          <t>Uptrend</t>
        </is>
      </c>
      <c r="BG347" s="31">
        <f>IF(BF347="Uptrend",10,IF(BF347="Sideways",5,0))</f>
        <v/>
      </c>
      <c r="BH347" s="31" t="inlineStr">
        <is>
          <t>Uptrend</t>
        </is>
      </c>
      <c r="BI347" s="31">
        <f>IF(BH347="Uptrend",10,IF(BH347="Sideways",5,0))</f>
        <v/>
      </c>
      <c r="BJ347" s="31" t="inlineStr">
        <is>
          <t>Close to 52 week high or retracement</t>
        </is>
      </c>
      <c r="BK347" s="31">
        <f>IF(BJ347="Overhead supply in last 2 years in last 2 years",-5,IF(BJ347="Close to 52 week high or retracement",5,IF(BJ347="Blue sky scenario",10,IF(BJ347="Long term Downtrend",-10,0))))</f>
        <v/>
      </c>
      <c r="BL347" s="31" t="inlineStr">
        <is>
          <t>Yes</t>
        </is>
      </c>
      <c r="BM347" s="31">
        <f>IF(BL347="Yes",10,0)</f>
        <v/>
      </c>
      <c r="BN347" s="31" t="inlineStr">
        <is>
          <t>Less than 12%</t>
        </is>
      </c>
      <c r="BO347" s="31">
        <f>IF(BN347="More than 20%",10,IF(BN347="Between 12 to 20%",5,IF(BN347="Less than 12%",0,0)))</f>
        <v/>
      </c>
      <c r="BP347" s="31" t="inlineStr">
        <is>
          <t>No</t>
        </is>
      </c>
      <c r="BQ347" s="31">
        <f>IF(BP347="No",10,0)</f>
        <v/>
      </c>
      <c r="BR347" s="31" t="inlineStr">
        <is>
          <t>No</t>
        </is>
      </c>
      <c r="BS347" s="31">
        <f>IF(BR347="NO",5,0)</f>
        <v/>
      </c>
      <c r="BT347" s="31" t="inlineStr">
        <is>
          <t>Above 2</t>
        </is>
      </c>
      <c r="BU347" s="31">
        <f>IF(BT347="Above 2",0,IF(BT347="Between 1.5 to 2",5,IF(BT347="Less than 1.5",10,0)))</f>
        <v/>
      </c>
      <c r="BV347" s="31" t="inlineStr">
        <is>
          <t>Above 70%</t>
        </is>
      </c>
      <c r="BW347" s="31">
        <f>IF(BV347="Above 70%",10,IF(BV347="Between 50% to 70%",5,IF(BV347="Less than 50%",0,IF(BV347="Negative",-10,IF(BV347="Less than 50% and Borrowings are increasing",-5,0)))))</f>
        <v/>
      </c>
      <c r="BX347" s="31" t="inlineStr">
        <is>
          <t>Less than 0.7</t>
        </is>
      </c>
      <c r="BY347" s="31">
        <f>IF(BX347="More than 1.2",-10,IF(BX347="Between 0.7 to 1.2",0,IF(BX347="Less than 0.7",10,0)))</f>
        <v/>
      </c>
      <c r="BZ347" s="31" t="inlineStr">
        <is>
          <t>No</t>
        </is>
      </c>
      <c r="CA347" s="31">
        <f>IF(BZ347="Yes",-10,0)</f>
        <v/>
      </c>
      <c r="CB347" s="31" t="inlineStr">
        <is>
          <t>Less than 15%</t>
        </is>
      </c>
      <c r="CC347" s="31">
        <f>IF(CB347="More than 15%",-10,IF(CB347="Less than 15%",10,0))</f>
        <v/>
      </c>
      <c r="CD347" s="31" t="inlineStr">
        <is>
          <t>No</t>
        </is>
      </c>
      <c r="CE347" s="31">
        <f>IF(CD347="Yes, more than 10%",-10,IF(CD347="No",10,0))</f>
        <v/>
      </c>
    </row>
    <row r="348">
      <c r="A348" s="31">
        <f>IF(B348=0,"",RANK(B348,$B$2:$B$363,0))</f>
        <v/>
      </c>
      <c r="B348" s="32">
        <f>SUM(N348,Y348,AA348,AC348,AE348,AG348,AI348,AK348,AM348,AO348,AQ348,AS348,AU348,AW348,AY348,BA348,BC348,BE348,BG348,BI348,BK348,BM348,BO348,BQ348,BS348,BU348,BW348,BY348,CA348,CC348,CE348)</f>
        <v/>
      </c>
      <c r="C348" s="33" t="inlineStr">
        <is>
          <t>ELECTCAST</t>
        </is>
      </c>
      <c r="D348" s="33" t="inlineStr">
        <is>
          <t>Electrosteel Castings Limited</t>
        </is>
      </c>
      <c r="E348" s="31" t="inlineStr">
        <is>
          <t>industrials</t>
        </is>
      </c>
      <c r="F348" s="31" t="inlineStr">
        <is>
          <t>castings &amp; forgings</t>
        </is>
      </c>
      <c r="G348" s="31" t="inlineStr">
        <is>
          <t>midcap</t>
        </is>
      </c>
      <c r="H348" s="32" t="n">
        <v>5183.48</v>
      </c>
      <c r="I348" s="32" t="n">
        <v>83.70999999999999</v>
      </c>
      <c r="J348" s="32" t="n">
        <v>-0.17</v>
      </c>
      <c r="K348" s="32" t="n">
        <v>1762760</v>
      </c>
      <c r="L348" s="31" t="n">
        <v>6</v>
      </c>
      <c r="M348" s="31" t="inlineStr">
        <is>
          <t>Underperforming</t>
        </is>
      </c>
      <c r="N348" s="32">
        <f>IF(M348="Underperforming",-5,IF(L348&gt;=95,15,IF(L348&gt;=90,10,IF(L348&gt;=80,5,0))))</f>
        <v/>
      </c>
      <c r="O348" s="32" t="n">
        <v>58.28</v>
      </c>
      <c r="P348" s="32" t="n">
        <v>15.49</v>
      </c>
      <c r="Q348" s="32" t="n">
        <v>62.89</v>
      </c>
      <c r="R348" s="31" t="inlineStr">
        <is>
          <t>Volume Spike / Accumulation</t>
        </is>
      </c>
      <c r="S348" s="31" t="inlineStr">
        <is>
          <t>Nifty 50</t>
        </is>
      </c>
      <c r="T348" s="32" t="n">
        <v>-3.41</v>
      </c>
      <c r="U348" s="32" t="n">
        <v>-13.5</v>
      </c>
      <c r="V348" s="32" t="n">
        <v>-10.44</v>
      </c>
      <c r="W348" s="32" t="n">
        <v>1.62</v>
      </c>
      <c r="X348" s="31" t="inlineStr">
        <is>
          <t>Cyclical in an Upturn</t>
        </is>
      </c>
      <c r="Y348" s="31">
        <f>IF(X348="Growing Industry",10,IF(X348="Cyclical in an Upturn",5,0))</f>
        <v/>
      </c>
      <c r="Z348" s="31" t="inlineStr">
        <is>
          <t>Too Many Players with High ROCE</t>
        </is>
      </c>
      <c r="AA348" s="31">
        <f>IF(Z348="Monopoly",10,IF(Z348="Oligopoly",5,IF(Z348="Duopoly that cooperate",10,IF(Z348="Duopoly that compete",5,IF(Z348="Too many players with High ROCE",5,0)))))</f>
        <v/>
      </c>
      <c r="AB348" s="31" t="inlineStr">
        <is>
          <t>No</t>
        </is>
      </c>
      <c r="AC348" s="31">
        <f>IF(AB348="No",5,0)</f>
        <v/>
      </c>
      <c r="AD348" s="31" t="inlineStr">
        <is>
          <t>Tailwind</t>
        </is>
      </c>
      <c r="AE348" s="31">
        <f>IF(AD348="Tailwind",10,0)</f>
        <v/>
      </c>
      <c r="AF348" s="31" t="inlineStr">
        <is>
          <t>Structural (10 Years Consistency)</t>
        </is>
      </c>
      <c r="AG348" s="31">
        <f>IF(AF348="Structural (10 Years Consistency)",10,IF(AF348="Shallow Cyclical (2 to 3 years growth)",5,0))</f>
        <v/>
      </c>
      <c r="AH348" s="31" t="inlineStr">
        <is>
          <t>No</t>
        </is>
      </c>
      <c r="AI348" s="31">
        <f>IF(AH348="Yes due to Product Mix change or Operating Leverage",10,IF(AH348="Yes, these are peak margins",-5,IF(AH348="No",5,0)))</f>
        <v/>
      </c>
      <c r="AJ348" s="31" t="inlineStr">
        <is>
          <t>Stable</t>
        </is>
      </c>
      <c r="AK348" s="31">
        <f>IF(AJ348="Stable",10,0)</f>
        <v/>
      </c>
      <c r="AL348" s="31" t="inlineStr">
        <is>
          <t>Yes</t>
        </is>
      </c>
      <c r="AM348" s="31">
        <f>IF(AL348="Yes",10,0)</f>
        <v/>
      </c>
      <c r="AN348" s="31" t="inlineStr">
        <is>
          <t>B2B</t>
        </is>
      </c>
      <c r="AO348" s="31">
        <f>IF(AN348="B2C",10,IF(AN348="B2B",5,0))</f>
        <v/>
      </c>
      <c r="AP348" s="31" t="inlineStr">
        <is>
          <t>Yes</t>
        </is>
      </c>
      <c r="AQ348" s="31">
        <f>IF(AP348="Yes",10,0)</f>
        <v/>
      </c>
      <c r="AR348" s="31" t="inlineStr">
        <is>
          <t>Higher One Time, Lower Annuity</t>
        </is>
      </c>
      <c r="AS348" s="31">
        <f>IF(AR348="Fully Annuity",10,IF(AR348="Higher Annuity, Lower One Time",5,IF(AR348="Higher One Time, Lower Annuity",3,0)))</f>
        <v/>
      </c>
      <c r="AT348" s="31" t="inlineStr">
        <is>
          <t>Good</t>
        </is>
      </c>
      <c r="AU348" s="31">
        <f>IF(AT348="Good",10,0)</f>
        <v/>
      </c>
      <c r="AV348" s="31" t="inlineStr">
        <is>
          <t>Yes for more than 2 years</t>
        </is>
      </c>
      <c r="AW348" s="31">
        <f>IF(AV348="Yes for more than 2 years",10,IF(AV348="Yes only for next 1 to 2 years",5,0))</f>
        <v/>
      </c>
      <c r="AX348" s="31" t="inlineStr">
        <is>
          <t>0 to 20</t>
        </is>
      </c>
      <c r="AY348" s="31">
        <f>IF(AX348="Above 40",20,IF(AX348="20 to 40",10,IF(AX348="0 to 20",-5,0)))</f>
        <v/>
      </c>
      <c r="AZ348" s="31" t="inlineStr">
        <is>
          <t>Between 50 to 75</t>
        </is>
      </c>
      <c r="BA348" s="31">
        <f>IF(AZ348="Between 50 to 75",10,IF(AZ348="Above 75",0,0))</f>
        <v/>
      </c>
      <c r="BB348" s="31" t="inlineStr">
        <is>
          <t>Stage 1</t>
        </is>
      </c>
      <c r="BC348" s="31">
        <f>IF(BB348="Stage 2",20,IF(BB348="Stage 1",0,IF(BB348="Stage 3",5,IF(BB348="Stage 4",-5,0))))</f>
        <v/>
      </c>
      <c r="BD348" s="31" t="inlineStr">
        <is>
          <t>Positive Trend</t>
        </is>
      </c>
      <c r="BE348" s="31">
        <f>IF(BD348="Positive Trend",20,IF(BD348="Negative Trend",-10,0))</f>
        <v/>
      </c>
      <c r="BF348" s="31" t="inlineStr">
        <is>
          <t>Uptrend</t>
        </is>
      </c>
      <c r="BG348" s="31">
        <f>IF(BF348="Uptrend",10,IF(BF348="Sideways",5,0))</f>
        <v/>
      </c>
      <c r="BH348" s="31" t="inlineStr">
        <is>
          <t>Uptrend</t>
        </is>
      </c>
      <c r="BI348" s="31">
        <f>IF(BH348="Uptrend",10,IF(BH348="Sideways",5,0))</f>
        <v/>
      </c>
      <c r="BJ348" s="31" t="inlineStr">
        <is>
          <t>Close to 52 week high or retracement</t>
        </is>
      </c>
      <c r="BK348" s="31">
        <f>IF(BJ348="Overhead supply in last 2 years in last 2 years",-5,IF(BJ348="Close to 52 week high or retracement",5,IF(BJ348="Blue sky scenario",10,IF(BJ348="Long term Downtrend",-10,0))))</f>
        <v/>
      </c>
      <c r="BL348" s="31" t="inlineStr">
        <is>
          <t>Yes</t>
        </is>
      </c>
      <c r="BM348" s="31">
        <f>IF(BL348="Yes",10,0)</f>
        <v/>
      </c>
      <c r="BN348" s="31" t="inlineStr">
        <is>
          <t>Less than 12%</t>
        </is>
      </c>
      <c r="BO348" s="31">
        <f>IF(BN348="More than 20%",10,IF(BN348="Between 12 to 20%",5,IF(BN348="Less than 12%",0,0)))</f>
        <v/>
      </c>
      <c r="BP348" s="31" t="inlineStr">
        <is>
          <t>No</t>
        </is>
      </c>
      <c r="BQ348" s="31">
        <f>IF(BP348="No",10,0)</f>
        <v/>
      </c>
      <c r="BR348" s="31" t="inlineStr">
        <is>
          <t>Yes</t>
        </is>
      </c>
      <c r="BS348" s="31">
        <f>IF(BR348="NO",5,0)</f>
        <v/>
      </c>
      <c r="BT348" s="31" t="inlineStr">
        <is>
          <t>Above 2</t>
        </is>
      </c>
      <c r="BU348" s="31">
        <f>IF(BT348="Above 2",0,IF(BT348="Between 1.5 to 2",5,IF(BT348="Less than 1.5",10,0)))</f>
        <v/>
      </c>
      <c r="BV348" s="31" t="inlineStr">
        <is>
          <t>Above 70%</t>
        </is>
      </c>
      <c r="BW348" s="31">
        <f>IF(BV348="Above 70%",10,IF(BV348="Between 50% to 70%",5,IF(BV348="Less than 50%",0,IF(BV348="Negative",-10,IF(BV348="Less than 50% and Borrowings are increasing",-5,0)))))</f>
        <v/>
      </c>
      <c r="BX348" s="31" t="inlineStr">
        <is>
          <t>Less than 0.7</t>
        </is>
      </c>
      <c r="BY348" s="31">
        <f>IF(BX348="More than 1.2",-10,IF(BX348="Between 0.7 to 1.2",0,IF(BX348="Less than 0.7",10,0)))</f>
        <v/>
      </c>
      <c r="BZ348" s="31" t="inlineStr">
        <is>
          <t>No</t>
        </is>
      </c>
      <c r="CA348" s="31">
        <f>IF(BZ348="Yes",-10,0)</f>
        <v/>
      </c>
      <c r="CB348" s="31" t="inlineStr">
        <is>
          <t>Less than 15%</t>
        </is>
      </c>
      <c r="CC348" s="31">
        <f>IF(CB348="More than 15%",-10,IF(CB348="Less than 15%",10,0))</f>
        <v/>
      </c>
      <c r="CD348" s="31" t="inlineStr">
        <is>
          <t>No</t>
        </is>
      </c>
      <c r="CE348" s="31">
        <f>IF(CD348="Yes, more than 10%",-10,IF(CD348="No",10,0))</f>
        <v/>
      </c>
    </row>
    <row r="349">
      <c r="A349" s="31">
        <f>IF(B349=0,"",RANK(B349,$B$2:$B$363,0))</f>
        <v/>
      </c>
      <c r="B349" s="32">
        <f>SUM(N349,Y349,AA349,AC349,AE349,AG349,AI349,AK349,AM349,AO349,AQ349,AS349,AU349,AW349,AY349,BA349,BC349,BE349,BG349,BI349,BK349,BM349,BO349,BQ349,BS349,BU349,BW349,BY349,CA349,CC349,CE349)</f>
        <v/>
      </c>
      <c r="C349" s="33" t="inlineStr">
        <is>
          <t>IONEXCHANG</t>
        </is>
      </c>
      <c r="D349" s="33" t="inlineStr">
        <is>
          <t>Ion Exchange (India) Ltd</t>
        </is>
      </c>
      <c r="E349" s="31" t="inlineStr">
        <is>
          <t>realty</t>
        </is>
      </c>
      <c r="F349" s="31" t="inlineStr">
        <is>
          <t>engineering - turnkey services</t>
        </is>
      </c>
      <c r="G349" s="31" t="inlineStr">
        <is>
          <t>midcap</t>
        </is>
      </c>
      <c r="H349" s="32" t="n">
        <v>5605.6</v>
      </c>
      <c r="I349" s="32" t="n">
        <v>409.2</v>
      </c>
      <c r="J349" s="32" t="n">
        <v>7.06</v>
      </c>
      <c r="K349" s="32" t="n">
        <v>1293430</v>
      </c>
      <c r="L349" s="31" t="n">
        <v>2</v>
      </c>
      <c r="M349" s="31" t="inlineStr">
        <is>
          <t>Underperforming</t>
        </is>
      </c>
      <c r="N349" s="32">
        <f>IF(M349="Underperforming",-5,IF(L349&gt;=95,15,IF(L349&gt;=90,10,IF(L349&gt;=80,5,0))))</f>
        <v/>
      </c>
      <c r="O349" s="32" t="n">
        <v>54.15</v>
      </c>
      <c r="P349" s="32" t="n">
        <v>17.74</v>
      </c>
      <c r="Q349" s="32" t="n">
        <v>357.06</v>
      </c>
      <c r="R349" s="31" t="inlineStr">
        <is>
          <t>Earnings / Momentum Support</t>
        </is>
      </c>
      <c r="S349" s="31" t="inlineStr">
        <is>
          <t>Nifty Realty</t>
        </is>
      </c>
      <c r="T349" s="32" t="n">
        <v>-4.49</v>
      </c>
      <c r="U349" s="32" t="n">
        <v>-11.64</v>
      </c>
      <c r="V349" s="32" t="n">
        <v>-7.48</v>
      </c>
      <c r="W349" s="32" t="n">
        <v>-1.24</v>
      </c>
      <c r="X349" s="31" t="inlineStr">
        <is>
          <t>Growing Industry</t>
        </is>
      </c>
      <c r="Y349" s="31">
        <f>IF(X349="Growing Industry",10,IF(X349="Cyclical in an Upturn",5,0))</f>
        <v/>
      </c>
      <c r="Z349" s="31" t="inlineStr">
        <is>
          <t>Too Many Players with High ROCE</t>
        </is>
      </c>
      <c r="AA349" s="31">
        <f>IF(Z349="Monopoly",10,IF(Z349="Oligopoly",5,IF(Z349="Duopoly that cooperate",10,IF(Z349="Duopoly that compete",5,IF(Z349="Too many players with High ROCE",5,0)))))</f>
        <v/>
      </c>
      <c r="AB349" s="31" t="inlineStr">
        <is>
          <t>No</t>
        </is>
      </c>
      <c r="AC349" s="31">
        <f>IF(AB349="No",5,0)</f>
        <v/>
      </c>
      <c r="AD349" s="31" t="inlineStr">
        <is>
          <t>Tailwind</t>
        </is>
      </c>
      <c r="AE349" s="31">
        <f>IF(AD349="Tailwind",10,0)</f>
        <v/>
      </c>
      <c r="AF349" s="31" t="inlineStr">
        <is>
          <t>Structural (10 Years Consistency)</t>
        </is>
      </c>
      <c r="AG349" s="31">
        <f>IF(AF349="Structural (10 Years Consistency)",10,IF(AF349="Shallow Cyclical (2 to 3 years growth)",5,0))</f>
        <v/>
      </c>
      <c r="AH349" s="31" t="inlineStr">
        <is>
          <t>No</t>
        </is>
      </c>
      <c r="AI349" s="31">
        <f>IF(AH349="Yes due to Product Mix change or Operating Leverage",10,IF(AH349="Yes, these are peak margins",-5,IF(AH349="No",5,0)))</f>
        <v/>
      </c>
      <c r="AJ349" s="31" t="inlineStr">
        <is>
          <t>Stable</t>
        </is>
      </c>
      <c r="AK349" s="31">
        <f>IF(AJ349="Stable",10,0)</f>
        <v/>
      </c>
      <c r="AL349" s="31" t="inlineStr">
        <is>
          <t>Yes</t>
        </is>
      </c>
      <c r="AM349" s="31">
        <f>IF(AL349="Yes",10,0)</f>
        <v/>
      </c>
      <c r="AN349" s="31" t="inlineStr">
        <is>
          <t>B2B</t>
        </is>
      </c>
      <c r="AO349" s="31">
        <f>IF(AN349="B2C",10,IF(AN349="B2B",5,0))</f>
        <v/>
      </c>
      <c r="AP349" s="31" t="inlineStr">
        <is>
          <t>No</t>
        </is>
      </c>
      <c r="AQ349" s="31">
        <f>IF(AP349="Yes",10,0)</f>
        <v/>
      </c>
      <c r="AR349" s="31" t="inlineStr">
        <is>
          <t>Higher One Time, Lower Annuity</t>
        </is>
      </c>
      <c r="AS349" s="31">
        <f>IF(AR349="Fully Annuity",10,IF(AR349="Higher Annuity, Lower One Time",5,IF(AR349="Higher One Time, Lower Annuity",3,0)))</f>
        <v/>
      </c>
      <c r="AT349" s="31" t="inlineStr">
        <is>
          <t>Good</t>
        </is>
      </c>
      <c r="AU349" s="31">
        <f>IF(AT349="Good",10,0)</f>
        <v/>
      </c>
      <c r="AV349" s="31" t="inlineStr">
        <is>
          <t>Yes for more than 2 years</t>
        </is>
      </c>
      <c r="AW349" s="31">
        <f>IF(AV349="Yes for more than 2 years",10,IF(AV349="Yes only for next 1 to 2 years",5,0))</f>
        <v/>
      </c>
      <c r="AX349" s="31" t="inlineStr">
        <is>
          <t>0 to 20</t>
        </is>
      </c>
      <c r="AY349" s="31">
        <f>IF(AX349="Above 40",20,IF(AX349="20 to 40",10,IF(AX349="0 to 20",-5,0)))</f>
        <v/>
      </c>
      <c r="AZ349" s="31" t="inlineStr">
        <is>
          <t>Between 50 to 75</t>
        </is>
      </c>
      <c r="BA349" s="31">
        <f>IF(AZ349="Between 50 to 75",10,IF(AZ349="Above 75",0,0))</f>
        <v/>
      </c>
      <c r="BB349" s="31" t="inlineStr">
        <is>
          <t>Stage 1</t>
        </is>
      </c>
      <c r="BC349" s="31">
        <f>IF(BB349="Stage 2",20,IF(BB349="Stage 1",0,IF(BB349="Stage 3",5,IF(BB349="Stage 4",-5,0))))</f>
        <v/>
      </c>
      <c r="BD349" s="31" t="inlineStr">
        <is>
          <t>Positive Trend</t>
        </is>
      </c>
      <c r="BE349" s="31">
        <f>IF(BD349="Positive Trend",20,IF(BD349="Negative Trend",-10,0))</f>
        <v/>
      </c>
      <c r="BF349" s="31" t="inlineStr">
        <is>
          <t>Uptrend</t>
        </is>
      </c>
      <c r="BG349" s="31">
        <f>IF(BF349="Uptrend",10,IF(BF349="Sideways",5,0))</f>
        <v/>
      </c>
      <c r="BH349" s="31" t="inlineStr">
        <is>
          <t>Uptrend</t>
        </is>
      </c>
      <c r="BI349" s="31">
        <f>IF(BH349="Uptrend",10,IF(BH349="Sideways",5,0))</f>
        <v/>
      </c>
      <c r="BJ349" s="31" t="inlineStr">
        <is>
          <t>Close to 52 week high or retracement</t>
        </is>
      </c>
      <c r="BK349" s="31">
        <f>IF(BJ349="Overhead supply in last 2 years in last 2 years",-5,IF(BJ349="Close to 52 week high or retracement",5,IF(BJ349="Blue sky scenario",10,IF(BJ349="Long term Downtrend",-10,0))))</f>
        <v/>
      </c>
      <c r="BL349" s="31" t="inlineStr">
        <is>
          <t>Yes</t>
        </is>
      </c>
      <c r="BM349" s="31">
        <f>IF(BL349="Yes",10,0)</f>
        <v/>
      </c>
      <c r="BN349" s="31" t="inlineStr">
        <is>
          <t>Less than 12%</t>
        </is>
      </c>
      <c r="BO349" s="31">
        <f>IF(BN349="More than 20%",10,IF(BN349="Between 12 to 20%",5,IF(BN349="Less than 12%",0,0)))</f>
        <v/>
      </c>
      <c r="BP349" s="31" t="inlineStr">
        <is>
          <t>No</t>
        </is>
      </c>
      <c r="BQ349" s="31">
        <f>IF(BP349="No",10,0)</f>
        <v/>
      </c>
      <c r="BR349" s="31" t="inlineStr">
        <is>
          <t>Yes</t>
        </is>
      </c>
      <c r="BS349" s="31">
        <f>IF(BR349="NO",5,0)</f>
        <v/>
      </c>
      <c r="BT349" s="31" t="inlineStr">
        <is>
          <t>Above 2</t>
        </is>
      </c>
      <c r="BU349" s="31">
        <f>IF(BT349="Above 2",0,IF(BT349="Between 1.5 to 2",5,IF(BT349="Less than 1.5",10,0)))</f>
        <v/>
      </c>
      <c r="BV349" s="31" t="inlineStr">
        <is>
          <t>Above 70%</t>
        </is>
      </c>
      <c r="BW349" s="31">
        <f>IF(BV349="Above 70%",10,IF(BV349="Between 50% to 70%",5,IF(BV349="Less than 50%",0,IF(BV349="Negative",-10,IF(BV349="Less than 50% and Borrowings are increasing",-5,0)))))</f>
        <v/>
      </c>
      <c r="BX349" s="31" t="inlineStr">
        <is>
          <t>Less than 0.7</t>
        </is>
      </c>
      <c r="BY349" s="31">
        <f>IF(BX349="More than 1.2",-10,IF(BX349="Between 0.7 to 1.2",0,IF(BX349="Less than 0.7",10,0)))</f>
        <v/>
      </c>
      <c r="BZ349" s="31" t="inlineStr">
        <is>
          <t>No</t>
        </is>
      </c>
      <c r="CA349" s="31">
        <f>IF(BZ349="Yes",-10,0)</f>
        <v/>
      </c>
      <c r="CB349" s="31" t="inlineStr">
        <is>
          <t>Less than 15%</t>
        </is>
      </c>
      <c r="CC349" s="31">
        <f>IF(CB349="More than 15%",-10,IF(CB349="Less than 15%",10,0))</f>
        <v/>
      </c>
      <c r="CD349" s="31" t="inlineStr">
        <is>
          <t>No</t>
        </is>
      </c>
      <c r="CE349" s="31">
        <f>IF(CD349="Yes, more than 10%",-10,IF(CD349="No",10,0))</f>
        <v/>
      </c>
    </row>
    <row r="350">
      <c r="A350" s="31">
        <f>IF(B350=0,"",RANK(B350,$B$2:$B$363,0))</f>
        <v/>
      </c>
      <c r="B350" s="32">
        <f>SUM(N350,Y350,AA350,AC350,AE350,AG350,AI350,AK350,AM350,AO350,AQ350,AS350,AU350,AW350,AY350,BA350,BC350,BE350,BG350,BI350,BK350,BM350,BO350,BQ350,BS350,BU350,BW350,BY350,CA350,CC350,CE350)</f>
        <v/>
      </c>
      <c r="C350" s="33" t="inlineStr">
        <is>
          <t>KIRLFER</t>
        </is>
      </c>
      <c r="D350" s="33" t="inlineStr">
        <is>
          <t>Kirloskar Ferrous Industries Ltd</t>
        </is>
      </c>
      <c r="E350" s="31" t="inlineStr">
        <is>
          <t>metals &amp; mining</t>
        </is>
      </c>
      <c r="F350" s="31" t="inlineStr">
        <is>
          <t>steel - large</t>
        </is>
      </c>
      <c r="G350" s="31" t="inlineStr">
        <is>
          <t>midcap</t>
        </is>
      </c>
      <c r="H350" s="32" t="n">
        <v>7499.73</v>
      </c>
      <c r="I350" s="32" t="n">
        <v>459.6</v>
      </c>
      <c r="J350" s="32" t="n">
        <v>1.11</v>
      </c>
      <c r="K350" s="32" t="n">
        <v>242037</v>
      </c>
      <c r="L350" s="31" t="n">
        <v>1</v>
      </c>
      <c r="M350" s="31" t="inlineStr">
        <is>
          <t>Underperforming</t>
        </is>
      </c>
      <c r="N350" s="32">
        <f>IF(M350="Underperforming",-5,IF(L350&gt;=95,15,IF(L350&gt;=90,10,IF(L350&gt;=80,5,0))))</f>
        <v/>
      </c>
      <c r="O350" s="32" t="n">
        <v>53.45</v>
      </c>
      <c r="P350" s="32" t="n">
        <v>11.98</v>
      </c>
      <c r="Q350" s="32" t="n">
        <v>386.53</v>
      </c>
      <c r="R350" s="31" t="inlineStr">
        <is>
          <t>Earnings / Momentum Support</t>
        </is>
      </c>
      <c r="S350" s="31" t="inlineStr">
        <is>
          <t>Nifty Metal</t>
        </is>
      </c>
      <c r="T350" s="32" t="n">
        <v>41.3</v>
      </c>
      <c r="U350" s="32" t="n">
        <v>-18.14</v>
      </c>
      <c r="V350" s="32" t="n">
        <v>-42.06</v>
      </c>
      <c r="W350" s="32" t="n">
        <v>-2.09</v>
      </c>
      <c r="X350" s="31" t="inlineStr">
        <is>
          <t>Cyclical in an Upturn</t>
        </is>
      </c>
      <c r="Y350" s="31">
        <f>IF(X350="Growing Industry",10,IF(X350="Cyclical in an Upturn",5,0))</f>
        <v/>
      </c>
      <c r="Z350" s="31" t="inlineStr">
        <is>
          <t>Too Many Players with High ROCE</t>
        </is>
      </c>
      <c r="AA350" s="31">
        <f>IF(Z350="Monopoly",10,IF(Z350="Oligopoly",5,IF(Z350="Duopoly that cooperate",10,IF(Z350="Duopoly that compete",5,IF(Z350="Too many players with High ROCE",5,0)))))</f>
        <v/>
      </c>
      <c r="AB350" s="31" t="inlineStr">
        <is>
          <t>No</t>
        </is>
      </c>
      <c r="AC350" s="31">
        <f>IF(AB350="No",5,0)</f>
        <v/>
      </c>
      <c r="AD350" s="31" t="inlineStr">
        <is>
          <t>Tailwind</t>
        </is>
      </c>
      <c r="AE350" s="31">
        <f>IF(AD350="Tailwind",10,0)</f>
        <v/>
      </c>
      <c r="AF350" s="31" t="inlineStr">
        <is>
          <t>Cyclical</t>
        </is>
      </c>
      <c r="AG350" s="31">
        <f>IF(AF350="Structural (10 Years Consistency)",10,IF(AF350="Shallow Cyclical (2 to 3 years growth)",5,0))</f>
        <v/>
      </c>
      <c r="AH350" s="31" t="inlineStr">
        <is>
          <t>No</t>
        </is>
      </c>
      <c r="AI350" s="31">
        <f>IF(AH350="Yes due to Product Mix change or Operating Leverage",10,IF(AH350="Yes, these are peak margins",-5,IF(AH350="No",5,0)))</f>
        <v/>
      </c>
      <c r="AJ350" s="31" t="inlineStr">
        <is>
          <t>Volatile</t>
        </is>
      </c>
      <c r="AK350" s="31">
        <f>IF(AJ350="Stable",10,0)</f>
        <v/>
      </c>
      <c r="AL350" s="31" t="inlineStr">
        <is>
          <t>Yes</t>
        </is>
      </c>
      <c r="AM350" s="31">
        <f>IF(AL350="Yes",10,0)</f>
        <v/>
      </c>
      <c r="AN350" s="31" t="inlineStr">
        <is>
          <t>B2B</t>
        </is>
      </c>
      <c r="AO350" s="31">
        <f>IF(AN350="B2C",10,IF(AN350="B2B",5,0))</f>
        <v/>
      </c>
      <c r="AP350" s="31" t="inlineStr">
        <is>
          <t>No</t>
        </is>
      </c>
      <c r="AQ350" s="31">
        <f>IF(AP350="Yes",10,0)</f>
        <v/>
      </c>
      <c r="AR350" s="31" t="inlineStr">
        <is>
          <t>Higher One Time, Lower Annuity</t>
        </is>
      </c>
      <c r="AS350" s="31">
        <f>IF(AR350="Fully Annuity",10,IF(AR350="Higher Annuity, Lower One Time",5,IF(AR350="Higher One Time, Lower Annuity",3,0)))</f>
        <v/>
      </c>
      <c r="AT350" s="31" t="inlineStr">
        <is>
          <t>Good</t>
        </is>
      </c>
      <c r="AU350" s="31">
        <f>IF(AT350="Good",10,0)</f>
        <v/>
      </c>
      <c r="AV350" s="31" t="inlineStr">
        <is>
          <t>Yes for more than 2 years</t>
        </is>
      </c>
      <c r="AW350" s="31">
        <f>IF(AV350="Yes for more than 2 years",10,IF(AV350="Yes only for next 1 to 2 years",5,0))</f>
        <v/>
      </c>
      <c r="AX350" s="31" t="inlineStr">
        <is>
          <t>0 to 20</t>
        </is>
      </c>
      <c r="AY350" s="31">
        <f>IF(AX350="Above 40",20,IF(AX350="20 to 40",10,IF(AX350="0 to 20",-5,0)))</f>
        <v/>
      </c>
      <c r="AZ350" s="31" t="inlineStr">
        <is>
          <t>Between 50 to 75</t>
        </is>
      </c>
      <c r="BA350" s="31">
        <f>IF(AZ350="Between 50 to 75",10,IF(AZ350="Above 75",0,0))</f>
        <v/>
      </c>
      <c r="BB350" s="31" t="inlineStr">
        <is>
          <t>Stage 1</t>
        </is>
      </c>
      <c r="BC350" s="31">
        <f>IF(BB350="Stage 2",20,IF(BB350="Stage 1",0,IF(BB350="Stage 3",5,IF(BB350="Stage 4",-5,0))))</f>
        <v/>
      </c>
      <c r="BD350" s="31" t="inlineStr">
        <is>
          <t>Positive Trend</t>
        </is>
      </c>
      <c r="BE350" s="31">
        <f>IF(BD350="Positive Trend",20,IF(BD350="Negative Trend",-10,0))</f>
        <v/>
      </c>
      <c r="BF350" s="31" t="inlineStr">
        <is>
          <t>Uptrend</t>
        </is>
      </c>
      <c r="BG350" s="31">
        <f>IF(BF350="Uptrend",10,IF(BF350="Sideways",5,0))</f>
        <v/>
      </c>
      <c r="BH350" s="31" t="inlineStr">
        <is>
          <t>Uptrend</t>
        </is>
      </c>
      <c r="BI350" s="31">
        <f>IF(BH350="Uptrend",10,IF(BH350="Sideways",5,0))</f>
        <v/>
      </c>
      <c r="BJ350" s="31" t="inlineStr">
        <is>
          <t>Close to 52 week high or retracement</t>
        </is>
      </c>
      <c r="BK350" s="31">
        <f>IF(BJ350="Overhead supply in last 2 years in last 2 years",-5,IF(BJ350="Close to 52 week high or retracement",5,IF(BJ350="Blue sky scenario",10,IF(BJ350="Long term Downtrend",-10,0))))</f>
        <v/>
      </c>
      <c r="BL350" s="31" t="inlineStr">
        <is>
          <t>Yes</t>
        </is>
      </c>
      <c r="BM350" s="31">
        <f>IF(BL350="Yes",10,0)</f>
        <v/>
      </c>
      <c r="BN350" s="31" t="inlineStr">
        <is>
          <t>More than 20%</t>
        </is>
      </c>
      <c r="BO350" s="31">
        <f>IF(BN350="More than 20%",10,IF(BN350="Between 12 to 20%",5,IF(BN350="Less than 12%",0,0)))</f>
        <v/>
      </c>
      <c r="BP350" s="31" t="inlineStr">
        <is>
          <t>No</t>
        </is>
      </c>
      <c r="BQ350" s="31">
        <f>IF(BP350="No",10,0)</f>
        <v/>
      </c>
      <c r="BR350" s="31" t="inlineStr">
        <is>
          <t>No</t>
        </is>
      </c>
      <c r="BS350" s="31">
        <f>IF(BR350="NO",5,0)</f>
        <v/>
      </c>
      <c r="BT350" s="31" t="inlineStr">
        <is>
          <t>Less than 1.5</t>
        </is>
      </c>
      <c r="BU350" s="31">
        <f>IF(BT350="Above 2",0,IF(BT350="Between 1.5 to 2",5,IF(BT350="Less than 1.5",10,0)))</f>
        <v/>
      </c>
      <c r="BV350" s="31" t="inlineStr">
        <is>
          <t>Above 70%</t>
        </is>
      </c>
      <c r="BW350" s="31">
        <f>IF(BV350="Above 70%",10,IF(BV350="Between 50% to 70%",5,IF(BV350="Less than 50%",0,IF(BV350="Negative",-10,IF(BV350="Less than 50% and Borrowings are increasing",-5,0)))))</f>
        <v/>
      </c>
      <c r="BX350" s="31" t="inlineStr">
        <is>
          <t>Less than 0.7</t>
        </is>
      </c>
      <c r="BY350" s="31">
        <f>IF(BX350="More than 1.2",-10,IF(BX350="Between 0.7 to 1.2",0,IF(BX350="Less than 0.7",10,0)))</f>
        <v/>
      </c>
      <c r="BZ350" s="31" t="inlineStr">
        <is>
          <t>No</t>
        </is>
      </c>
      <c r="CA350" s="31">
        <f>IF(BZ350="Yes",-10,0)</f>
        <v/>
      </c>
      <c r="CB350" s="31" t="inlineStr">
        <is>
          <t>Less than 15%</t>
        </is>
      </c>
      <c r="CC350" s="31">
        <f>IF(CB350="More than 15%",-10,IF(CB350="Less than 15%",10,0))</f>
        <v/>
      </c>
      <c r="CD350" s="31" t="inlineStr">
        <is>
          <t>No</t>
        </is>
      </c>
      <c r="CE350" s="31">
        <f>IF(CD350="Yes, more than 10%",-10,IF(CD350="No",10,0))</f>
        <v/>
      </c>
    </row>
    <row r="351">
      <c r="A351" s="31">
        <f>IF(B351=0,"",RANK(B351,$B$2:$B$363,0))</f>
        <v/>
      </c>
      <c r="B351" s="32">
        <f>SUM(N351,Y351,AA351,AC351,AE351,AG351,AI351,AK351,AM351,AO351,AQ351,AS351,AU351,AW351,AY351,BA351,BC351,BE351,BG351,BI351,BK351,BM351,BO351,BQ351,BS351,BU351,BW351,BY351,CA351,CC351,CE351)</f>
        <v/>
      </c>
      <c r="C351" s="31" t="inlineStr">
        <is>
          <t>SIRCA</t>
        </is>
      </c>
      <c r="D351" s="31" t="inlineStr">
        <is>
          <t>Sirca Paints India Ltd</t>
        </is>
      </c>
      <c r="E351" s="31" t="inlineStr">
        <is>
          <t>building materials</t>
        </is>
      </c>
      <c r="F351" s="31" t="inlineStr">
        <is>
          <t>paints / varnishes</t>
        </is>
      </c>
      <c r="G351" s="31" t="inlineStr">
        <is>
          <t>smallcap</t>
        </is>
      </c>
      <c r="H351" s="32" t="n">
        <v>2501.15</v>
      </c>
      <c r="I351" s="32" t="n">
        <v>439.25</v>
      </c>
      <c r="J351" s="32" t="n">
        <v>-0.26</v>
      </c>
      <c r="K351" s="32" t="n">
        <v>156696</v>
      </c>
      <c r="L351" s="31" t="n">
        <v>8</v>
      </c>
      <c r="M351" s="31" t="inlineStr">
        <is>
          <t>Outperforming</t>
        </is>
      </c>
      <c r="N351" s="32">
        <f>IF(M351="Underperforming",-5,IF(L351&gt;=95,15,IF(L351&gt;=90,10,IF(L351&gt;=80,5,0))))</f>
        <v/>
      </c>
      <c r="O351" s="32" t="n">
        <v>53.39</v>
      </c>
      <c r="P351" s="32" t="n">
        <v>18.04</v>
      </c>
      <c r="Q351" s="32" t="n">
        <v>371.46</v>
      </c>
      <c r="R351" s="31" t="inlineStr">
        <is>
          <t>Earnings / Momentum Support</t>
        </is>
      </c>
      <c r="S351" s="31" t="inlineStr">
        <is>
          <t>Nifty Infra</t>
        </is>
      </c>
      <c r="T351" s="32" t="n">
        <v>1.45</v>
      </c>
      <c r="U351" s="32" t="n">
        <v>6.11</v>
      </c>
      <c r="V351" s="32" t="n">
        <v>4.6</v>
      </c>
      <c r="W351" s="32" t="n">
        <v>1.85</v>
      </c>
      <c r="X351" s="31" t="inlineStr">
        <is>
          <t>Growing Industry</t>
        </is>
      </c>
      <c r="Y351" s="31">
        <f>IF(X351="Growing Industry",10,IF(X351="Cyclical in an Upturn",5,0))</f>
        <v/>
      </c>
      <c r="Z351" s="31" t="inlineStr">
        <is>
          <t>Too Many Players with High ROCE</t>
        </is>
      </c>
      <c r="AA351" s="31">
        <f>IF(Z351="Monopoly",10,IF(Z351="Oligopoly",5,IF(Z351="Duopoly that cooperate",10,IF(Z351="Duopoly that compete",5,IF(Z351="Too many players with High ROCE",5,0)))))</f>
        <v/>
      </c>
      <c r="AB351" s="31" t="inlineStr">
        <is>
          <t>No</t>
        </is>
      </c>
      <c r="AC351" s="31">
        <f>IF(AB351="No",5,0)</f>
        <v/>
      </c>
      <c r="AD351" s="31" t="inlineStr">
        <is>
          <t>Tailwind</t>
        </is>
      </c>
      <c r="AE351" s="31">
        <f>IF(AD351="Tailwind",10,0)</f>
        <v/>
      </c>
      <c r="AF351" s="31" t="inlineStr">
        <is>
          <t>Structural (10 Years Consistency)</t>
        </is>
      </c>
      <c r="AG351" s="31">
        <f>IF(AF351="Structural (10 Years Consistency)",10,IF(AF351="Shallow Cyclical (2 to 3 years growth)",5,0))</f>
        <v/>
      </c>
      <c r="AH351" s="31" t="inlineStr">
        <is>
          <t>No</t>
        </is>
      </c>
      <c r="AI351" s="31">
        <f>IF(AH351="Yes due to Product Mix change or Operating Leverage",10,IF(AH351="Yes, these are peak margins",-5,IF(AH351="No",5,0)))</f>
        <v/>
      </c>
      <c r="AJ351" s="31" t="inlineStr">
        <is>
          <t>Stable</t>
        </is>
      </c>
      <c r="AK351" s="31">
        <f>IF(AJ351="Stable",10,0)</f>
        <v/>
      </c>
      <c r="AL351" s="31" t="inlineStr">
        <is>
          <t>Yes</t>
        </is>
      </c>
      <c r="AM351" s="31">
        <f>IF(AL351="Yes",10,0)</f>
        <v/>
      </c>
      <c r="AN351" s="31" t="inlineStr">
        <is>
          <t>B2B</t>
        </is>
      </c>
      <c r="AO351" s="31">
        <f>IF(AN351="B2C",10,IF(AN351="B2B",5,0))</f>
        <v/>
      </c>
      <c r="AP351" s="31" t="inlineStr">
        <is>
          <t>No</t>
        </is>
      </c>
      <c r="AQ351" s="31">
        <f>IF(AP351="Yes",10,0)</f>
        <v/>
      </c>
      <c r="AR351" s="31" t="inlineStr">
        <is>
          <t>Higher One Time, Lower Annuity</t>
        </is>
      </c>
      <c r="AS351" s="31">
        <f>IF(AR351="Fully Annuity",10,IF(AR351="Higher Annuity, Lower One Time",5,IF(AR351="Higher One Time, Lower Annuity",3,0)))</f>
        <v/>
      </c>
      <c r="AT351" s="31" t="inlineStr">
        <is>
          <t>Good</t>
        </is>
      </c>
      <c r="AU351" s="31">
        <f>IF(AT351="Good",10,0)</f>
        <v/>
      </c>
      <c r="AV351" s="31" t="inlineStr">
        <is>
          <t>Yes for more than 2 years</t>
        </is>
      </c>
      <c r="AW351" s="31">
        <f>IF(AV351="Yes for more than 2 years",10,IF(AV351="Yes only for next 1 to 2 years",5,0))</f>
        <v/>
      </c>
      <c r="AX351" s="31" t="inlineStr">
        <is>
          <t>0 to 20</t>
        </is>
      </c>
      <c r="AY351" s="31">
        <f>IF(AX351="Above 40",20,IF(AX351="20 to 40",10,IF(AX351="0 to 20",-5,0)))</f>
        <v/>
      </c>
      <c r="AZ351" s="31" t="inlineStr">
        <is>
          <t>Between 50 to 75</t>
        </is>
      </c>
      <c r="BA351" s="31">
        <f>IF(AZ351="Between 50 to 75",10,IF(AZ351="Above 75",0,0))</f>
        <v/>
      </c>
      <c r="BB351" s="31" t="inlineStr">
        <is>
          <t>Stage 2</t>
        </is>
      </c>
      <c r="BC351" s="31">
        <f>IF(BB351="Stage 2",20,IF(BB351="Stage 1",0,IF(BB351="Stage 3",5,IF(BB351="Stage 4",-5,0))))</f>
        <v/>
      </c>
      <c r="BD351" s="31" t="inlineStr">
        <is>
          <t>Negative Trend</t>
        </is>
      </c>
      <c r="BE351" s="31">
        <f>IF(BD351="Positive Trend",20,IF(BD351="Negative Trend",-10,0))</f>
        <v/>
      </c>
      <c r="BF351" s="31" t="inlineStr">
        <is>
          <t>Uptrend</t>
        </is>
      </c>
      <c r="BG351" s="31">
        <f>IF(BF351="Uptrend",10,IF(BF351="Sideways",5,0))</f>
        <v/>
      </c>
      <c r="BH351" s="31" t="inlineStr">
        <is>
          <t>Uptrend</t>
        </is>
      </c>
      <c r="BI351" s="31">
        <f>IF(BH351="Uptrend",10,IF(BH351="Sideways",5,0))</f>
        <v/>
      </c>
      <c r="BJ351" s="31" t="inlineStr">
        <is>
          <t>Close to 52 week high or retracement</t>
        </is>
      </c>
      <c r="BK351" s="31">
        <f>IF(BJ351="Overhead supply in last 2 years in last 2 years",-5,IF(BJ351="Close to 52 week high or retracement",5,IF(BJ351="Blue sky scenario",10,IF(BJ351="Long term Downtrend",-10,0))))</f>
        <v/>
      </c>
      <c r="BL351" s="31" t="inlineStr">
        <is>
          <t>Yes</t>
        </is>
      </c>
      <c r="BM351" s="31">
        <f>IF(BL351="Yes",10,0)</f>
        <v/>
      </c>
      <c r="BN351" s="31" t="inlineStr">
        <is>
          <t>Less than 12%</t>
        </is>
      </c>
      <c r="BO351" s="31">
        <f>IF(BN351="More than 20%",10,IF(BN351="Between 12 to 20%",5,IF(BN351="Less than 12%",0,0)))</f>
        <v/>
      </c>
      <c r="BP351" s="31" t="inlineStr">
        <is>
          <t>No</t>
        </is>
      </c>
      <c r="BQ351" s="31">
        <f>IF(BP351="No",10,0)</f>
        <v/>
      </c>
      <c r="BR351" s="31" t="inlineStr">
        <is>
          <t>No</t>
        </is>
      </c>
      <c r="BS351" s="31">
        <f>IF(BR351="NO",5,0)</f>
        <v/>
      </c>
      <c r="BT351" s="31" t="inlineStr">
        <is>
          <t>Above 2</t>
        </is>
      </c>
      <c r="BU351" s="31">
        <f>IF(BT351="Above 2",0,IF(BT351="Between 1.5 to 2",5,IF(BT351="Less than 1.5",10,0)))</f>
        <v/>
      </c>
      <c r="BV351" s="31" t="inlineStr">
        <is>
          <t>Above 70%</t>
        </is>
      </c>
      <c r="BW351" s="31">
        <f>IF(BV351="Above 70%",10,IF(BV351="Between 50% to 70%",5,IF(BV351="Less than 50%",0,IF(BV351="Negative",-10,IF(BV351="Less than 50% and Borrowings are increasing",-5,0)))))</f>
        <v/>
      </c>
      <c r="BX351" s="31" t="inlineStr">
        <is>
          <t>Less than 0.7</t>
        </is>
      </c>
      <c r="BY351" s="31">
        <f>IF(BX351="More than 1.2",-10,IF(BX351="Between 0.7 to 1.2",0,IF(BX351="Less than 0.7",10,0)))</f>
        <v/>
      </c>
      <c r="BZ351" s="31" t="inlineStr">
        <is>
          <t>No</t>
        </is>
      </c>
      <c r="CA351" s="31">
        <f>IF(BZ351="Yes",-10,0)</f>
        <v/>
      </c>
      <c r="CB351" s="31" t="inlineStr">
        <is>
          <t>Less than 15%</t>
        </is>
      </c>
      <c r="CC351" s="31">
        <f>IF(CB351="More than 15%",-10,IF(CB351="Less than 15%",10,0))</f>
        <v/>
      </c>
      <c r="CD351" s="31" t="inlineStr">
        <is>
          <t>No</t>
        </is>
      </c>
      <c r="CE351" s="31">
        <f>IF(CD351="Yes, more than 10%",-10,IF(CD351="No",10,0))</f>
        <v/>
      </c>
    </row>
    <row r="352">
      <c r="A352" s="31">
        <f>IF(B352=0,"",RANK(B352,$B$2:$B$363,0))</f>
        <v/>
      </c>
      <c r="B352" s="32">
        <f>SUM(N352,Y352,AA352,AC352,AE352,AG352,AI352,AK352,AM352,AO352,AQ352,AS352,AU352,AW352,AY352,BA352,BC352,BE352,BG352,BI352,BK352,BM352,BO352,BQ352,BS352,BU352,BW352,BY352,CA352,CC352,CE352)</f>
        <v/>
      </c>
      <c r="C352" s="33" t="inlineStr">
        <is>
          <t>JINDALSTEL</t>
        </is>
      </c>
      <c r="D352" s="33" t="inlineStr">
        <is>
          <t>Jindal Steel Ltd</t>
        </is>
      </c>
      <c r="E352" s="31" t="inlineStr">
        <is>
          <t>metals &amp; mining</t>
        </is>
      </c>
      <c r="F352" s="31" t="inlineStr">
        <is>
          <t>steel - large</t>
        </is>
      </c>
      <c r="G352" s="31" t="inlineStr">
        <is>
          <t>largecap</t>
        </is>
      </c>
      <c r="H352" s="32" t="n">
        <v>116800.09</v>
      </c>
      <c r="I352" s="32" t="n">
        <v>1165</v>
      </c>
      <c r="J352" s="32" t="n">
        <v>1.75</v>
      </c>
      <c r="K352" s="32" t="n">
        <v>893053</v>
      </c>
      <c r="L352" s="31" t="n">
        <v>9</v>
      </c>
      <c r="M352" s="31" t="inlineStr">
        <is>
          <t>Underperforming</t>
        </is>
      </c>
      <c r="N352" s="32">
        <f>IF(M352="Underperforming",-5,IF(L352&gt;=95,15,IF(L352&gt;=90,10,IF(L352&gt;=80,5,0))))</f>
        <v/>
      </c>
      <c r="O352" s="32" t="n">
        <v>55.61</v>
      </c>
      <c r="P352" s="32" t="n">
        <v>14.64</v>
      </c>
      <c r="Q352" s="32" t="n">
        <v>994.6</v>
      </c>
      <c r="R352" s="31" t="inlineStr">
        <is>
          <t>Earnings / Momentum Support</t>
        </is>
      </c>
      <c r="S352" s="31" t="inlineStr">
        <is>
          <t>Nifty Metal</t>
        </is>
      </c>
      <c r="T352" s="32" t="n">
        <v>41.3</v>
      </c>
      <c r="U352" s="32" t="n">
        <v>16.92</v>
      </c>
      <c r="V352" s="32" t="n">
        <v>-17.25</v>
      </c>
      <c r="W352" s="32" t="n">
        <v>2.09</v>
      </c>
      <c r="X352" s="31" t="inlineStr">
        <is>
          <t>Cyclical in an Upturn</t>
        </is>
      </c>
      <c r="Y352" s="31">
        <f>IF(X352="Growing Industry",10,IF(X352="Cyclical in an Upturn",5,0))</f>
        <v/>
      </c>
      <c r="Z352" s="31" t="inlineStr">
        <is>
          <t>Too Many Players with High ROCE</t>
        </is>
      </c>
      <c r="AA352" s="31">
        <f>IF(Z352="Monopoly",10,IF(Z352="Oligopoly",5,IF(Z352="Duopoly that cooperate",10,IF(Z352="Duopoly that compete",5,IF(Z352="Too many players with High ROCE",5,0)))))</f>
        <v/>
      </c>
      <c r="AB352" s="31" t="inlineStr">
        <is>
          <t>No</t>
        </is>
      </c>
      <c r="AC352" s="31">
        <f>IF(AB352="No",5,0)</f>
        <v/>
      </c>
      <c r="AD352" s="31" t="inlineStr">
        <is>
          <t>Tailwind</t>
        </is>
      </c>
      <c r="AE352" s="31">
        <f>IF(AD352="Tailwind",10,0)</f>
        <v/>
      </c>
      <c r="AF352" s="31" t="inlineStr">
        <is>
          <t>Cyclical</t>
        </is>
      </c>
      <c r="AG352" s="31">
        <f>IF(AF352="Structural (10 Years Consistency)",10,IF(AF352="Shallow Cyclical (2 to 3 years growth)",5,0))</f>
        <v/>
      </c>
      <c r="AH352" s="31" t="inlineStr">
        <is>
          <t>No</t>
        </is>
      </c>
      <c r="AI352" s="31">
        <f>IF(AH352="Yes due to Product Mix change or Operating Leverage",10,IF(AH352="Yes, these are peak margins",-5,IF(AH352="No",5,0)))</f>
        <v/>
      </c>
      <c r="AJ352" s="31" t="inlineStr">
        <is>
          <t>Volatile</t>
        </is>
      </c>
      <c r="AK352" s="31">
        <f>IF(AJ352="Stable",10,0)</f>
        <v/>
      </c>
      <c r="AL352" s="31" t="inlineStr">
        <is>
          <t>Yes</t>
        </is>
      </c>
      <c r="AM352" s="31">
        <f>IF(AL352="Yes",10,0)</f>
        <v/>
      </c>
      <c r="AN352" s="31" t="inlineStr">
        <is>
          <t>B2B</t>
        </is>
      </c>
      <c r="AO352" s="31">
        <f>IF(AN352="B2C",10,IF(AN352="B2B",5,0))</f>
        <v/>
      </c>
      <c r="AP352" s="31" t="inlineStr">
        <is>
          <t>No</t>
        </is>
      </c>
      <c r="AQ352" s="31">
        <f>IF(AP352="Yes",10,0)</f>
        <v/>
      </c>
      <c r="AR352" s="31" t="inlineStr">
        <is>
          <t>Higher One Time, Lower Annuity</t>
        </is>
      </c>
      <c r="AS352" s="31">
        <f>IF(AR352="Fully Annuity",10,IF(AR352="Higher Annuity, Lower One Time",5,IF(AR352="Higher One Time, Lower Annuity",3,0)))</f>
        <v/>
      </c>
      <c r="AT352" s="31" t="inlineStr">
        <is>
          <t>Good</t>
        </is>
      </c>
      <c r="AU352" s="31">
        <f>IF(AT352="Good",10,0)</f>
        <v/>
      </c>
      <c r="AV352" s="31" t="inlineStr">
        <is>
          <t>Yes for more than 2 years</t>
        </is>
      </c>
      <c r="AW352" s="31">
        <f>IF(AV352="Yes for more than 2 years",10,IF(AV352="Yes only for next 1 to 2 years",5,0))</f>
        <v/>
      </c>
      <c r="AX352" s="31" t="inlineStr">
        <is>
          <t>0 to 20</t>
        </is>
      </c>
      <c r="AY352" s="31">
        <f>IF(AX352="Above 40",20,IF(AX352="20 to 40",10,IF(AX352="0 to 20",-5,0)))</f>
        <v/>
      </c>
      <c r="AZ352" s="31" t="inlineStr">
        <is>
          <t>Between 50 to 75</t>
        </is>
      </c>
      <c r="BA352" s="31">
        <f>IF(AZ352="Between 50 to 75",10,IF(AZ352="Above 75",0,0))</f>
        <v/>
      </c>
      <c r="BB352" s="31" t="inlineStr">
        <is>
          <t>Stage 2</t>
        </is>
      </c>
      <c r="BC352" s="31">
        <f>IF(BB352="Stage 2",20,IF(BB352="Stage 1",0,IF(BB352="Stage 3",5,IF(BB352="Stage 4",-5,0))))</f>
        <v/>
      </c>
      <c r="BD352" s="31" t="inlineStr">
        <is>
          <t>Positive Trend</t>
        </is>
      </c>
      <c r="BE352" s="31">
        <f>IF(BD352="Positive Trend",20,IF(BD352="Negative Trend",-10,0))</f>
        <v/>
      </c>
      <c r="BF352" s="31" t="inlineStr">
        <is>
          <t>Uptrend</t>
        </is>
      </c>
      <c r="BG352" s="31">
        <f>IF(BF352="Uptrend",10,IF(BF352="Sideways",5,0))</f>
        <v/>
      </c>
      <c r="BH352" s="31" t="inlineStr">
        <is>
          <t>Uptrend</t>
        </is>
      </c>
      <c r="BI352" s="31">
        <f>IF(BH352="Uptrend",10,IF(BH352="Sideways",5,0))</f>
        <v/>
      </c>
      <c r="BJ352" s="31" t="inlineStr">
        <is>
          <t>Close to 52 week high or retracement</t>
        </is>
      </c>
      <c r="BK352" s="31">
        <f>IF(BJ352="Overhead supply in last 2 years in last 2 years",-5,IF(BJ352="Close to 52 week high or retracement",5,IF(BJ352="Blue sky scenario",10,IF(BJ352="Long term Downtrend",-10,0))))</f>
        <v/>
      </c>
      <c r="BL352" s="31" t="inlineStr">
        <is>
          <t>Yes</t>
        </is>
      </c>
      <c r="BM352" s="31">
        <f>IF(BL352="Yes",10,0)</f>
        <v/>
      </c>
      <c r="BN352" s="31" t="inlineStr">
        <is>
          <t>Less than 12%</t>
        </is>
      </c>
      <c r="BO352" s="31">
        <f>IF(BN352="More than 20%",10,IF(BN352="Between 12 to 20%",5,IF(BN352="Less than 12%",0,0)))</f>
        <v/>
      </c>
      <c r="BP352" s="31" t="inlineStr">
        <is>
          <t>No</t>
        </is>
      </c>
      <c r="BQ352" s="31">
        <f>IF(BP352="No",10,0)</f>
        <v/>
      </c>
      <c r="BR352" s="31" t="inlineStr">
        <is>
          <t>Yes</t>
        </is>
      </c>
      <c r="BS352" s="31">
        <f>IF(BR352="NO",5,0)</f>
        <v/>
      </c>
      <c r="BT352" s="31" t="inlineStr">
        <is>
          <t>Above 2</t>
        </is>
      </c>
      <c r="BU352" s="31">
        <f>IF(BT352="Above 2",0,IF(BT352="Between 1.5 to 2",5,IF(BT352="Less than 1.5",10,0)))</f>
        <v/>
      </c>
      <c r="BV352" s="31" t="inlineStr">
        <is>
          <t>Above 70%</t>
        </is>
      </c>
      <c r="BW352" s="31">
        <f>IF(BV352="Above 70%",10,IF(BV352="Between 50% to 70%",5,IF(BV352="Less than 50%",0,IF(BV352="Negative",-10,IF(BV352="Less than 50% and Borrowings are increasing",-5,0)))))</f>
        <v/>
      </c>
      <c r="BX352" s="31" t="inlineStr">
        <is>
          <t>Less than 0.7</t>
        </is>
      </c>
      <c r="BY352" s="31">
        <f>IF(BX352="More than 1.2",-10,IF(BX352="Between 0.7 to 1.2",0,IF(BX352="Less than 0.7",10,0)))</f>
        <v/>
      </c>
      <c r="BZ352" s="31" t="inlineStr">
        <is>
          <t>No</t>
        </is>
      </c>
      <c r="CA352" s="31">
        <f>IF(BZ352="Yes",-10,0)</f>
        <v/>
      </c>
      <c r="CB352" s="31" t="inlineStr">
        <is>
          <t>Less than 15%</t>
        </is>
      </c>
      <c r="CC352" s="31">
        <f>IF(CB352="More than 15%",-10,IF(CB352="Less than 15%",10,0))</f>
        <v/>
      </c>
      <c r="CD352" s="31" t="inlineStr">
        <is>
          <t>No</t>
        </is>
      </c>
      <c r="CE352" s="31">
        <f>IF(CD352="Yes, more than 10%",-10,IF(CD352="No",10,0))</f>
        <v/>
      </c>
    </row>
    <row r="353">
      <c r="A353" s="31">
        <f>IF(B353=0,"",RANK(B353,$B$2:$B$363,0))</f>
        <v/>
      </c>
      <c r="B353" s="32">
        <f>SUM(N353,Y353,AA353,AC353,AE353,AG353,AI353,AK353,AM353,AO353,AQ353,AS353,AU353,AW353,AY353,BA353,BC353,BE353,BG353,BI353,BK353,BM353,BO353,BQ353,BS353,BU353,BW353,BY353,CA353,CC353,CE353)</f>
        <v/>
      </c>
      <c r="C353" s="33" t="inlineStr">
        <is>
          <t>TNPL</t>
        </is>
      </c>
      <c r="D353" s="33" t="inlineStr">
        <is>
          <t>Tamil Nadu Newsprint &amp; Papers Limited</t>
        </is>
      </c>
      <c r="E353" s="31" t="inlineStr">
        <is>
          <t>building materials</t>
        </is>
      </c>
      <c r="F353" s="31" t="inlineStr">
        <is>
          <t>paper</t>
        </is>
      </c>
      <c r="G353" s="31" t="inlineStr">
        <is>
          <t>smallcap</t>
        </is>
      </c>
      <c r="H353" s="32" t="n">
        <v>1068.33</v>
      </c>
      <c r="I353" s="32" t="n">
        <v>155.75</v>
      </c>
      <c r="J353" s="32" t="n">
        <v>0.9</v>
      </c>
      <c r="K353" s="32" t="n">
        <v>382264</v>
      </c>
      <c r="L353" s="31" t="n">
        <v>7</v>
      </c>
      <c r="M353" s="31" t="inlineStr">
        <is>
          <t>Underperforming</t>
        </is>
      </c>
      <c r="N353" s="32">
        <f>IF(M353="Underperforming",-5,IF(L353&gt;=95,15,IF(L353&gt;=90,10,IF(L353&gt;=80,5,0))))</f>
        <v/>
      </c>
      <c r="O353" s="32" t="n">
        <v>58.76</v>
      </c>
      <c r="P353" s="32" t="n">
        <v>10.62</v>
      </c>
      <c r="Q353" s="32" t="n">
        <v>126.3</v>
      </c>
      <c r="R353" s="31" t="inlineStr">
        <is>
          <t>Volume Spike &amp; Near 52W High Breakout</t>
        </is>
      </c>
      <c r="S353" s="31" t="inlineStr">
        <is>
          <t>Nifty Infra</t>
        </is>
      </c>
      <c r="T353" s="32" t="n">
        <v>1.45</v>
      </c>
      <c r="U353" s="32" t="n">
        <v>-3.81</v>
      </c>
      <c r="V353" s="32" t="n">
        <v>-5.19</v>
      </c>
      <c r="W353" s="32" t="n">
        <v>1.78</v>
      </c>
      <c r="X353" s="31" t="inlineStr">
        <is>
          <t>Growing Industry</t>
        </is>
      </c>
      <c r="Y353" s="31">
        <f>IF(X353="Growing Industry",10,IF(X353="Cyclical in an Upturn",5,0))</f>
        <v/>
      </c>
      <c r="Z353" s="31" t="inlineStr">
        <is>
          <t>Too Many Players with High ROCE</t>
        </is>
      </c>
      <c r="AA353" s="31">
        <f>IF(Z353="Monopoly",10,IF(Z353="Oligopoly",5,IF(Z353="Duopoly that cooperate",10,IF(Z353="Duopoly that compete",5,IF(Z353="Too many players with High ROCE",5,0)))))</f>
        <v/>
      </c>
      <c r="AB353" s="31" t="inlineStr">
        <is>
          <t>No</t>
        </is>
      </c>
      <c r="AC353" s="31">
        <f>IF(AB353="No",5,0)</f>
        <v/>
      </c>
      <c r="AD353" s="31" t="inlineStr">
        <is>
          <t>Tailwind</t>
        </is>
      </c>
      <c r="AE353" s="31">
        <f>IF(AD353="Tailwind",10,0)</f>
        <v/>
      </c>
      <c r="AF353" s="31" t="inlineStr">
        <is>
          <t>Structural (10 Years Consistency)</t>
        </is>
      </c>
      <c r="AG353" s="31">
        <f>IF(AF353="Structural (10 Years Consistency)",10,IF(AF353="Shallow Cyclical (2 to 3 years growth)",5,0))</f>
        <v/>
      </c>
      <c r="AH353" s="31" t="inlineStr">
        <is>
          <t>No</t>
        </is>
      </c>
      <c r="AI353" s="31">
        <f>IF(AH353="Yes due to Product Mix change or Operating Leverage",10,IF(AH353="Yes, these are peak margins",-5,IF(AH353="No",5,0)))</f>
        <v/>
      </c>
      <c r="AJ353" s="31" t="inlineStr">
        <is>
          <t>Stable</t>
        </is>
      </c>
      <c r="AK353" s="31">
        <f>IF(AJ353="Stable",10,0)</f>
        <v/>
      </c>
      <c r="AL353" s="31" t="inlineStr">
        <is>
          <t>Yes</t>
        </is>
      </c>
      <c r="AM353" s="31">
        <f>IF(AL353="Yes",10,0)</f>
        <v/>
      </c>
      <c r="AN353" s="31" t="inlineStr">
        <is>
          <t>B2B</t>
        </is>
      </c>
      <c r="AO353" s="31">
        <f>IF(AN353="B2C",10,IF(AN353="B2B",5,0))</f>
        <v/>
      </c>
      <c r="AP353" s="31" t="inlineStr">
        <is>
          <t>Yes</t>
        </is>
      </c>
      <c r="AQ353" s="31">
        <f>IF(AP353="Yes",10,0)</f>
        <v/>
      </c>
      <c r="AR353" s="31" t="inlineStr">
        <is>
          <t>Higher One Time, Lower Annuity</t>
        </is>
      </c>
      <c r="AS353" s="31">
        <f>IF(AR353="Fully Annuity",10,IF(AR353="Higher Annuity, Lower One Time",5,IF(AR353="Higher One Time, Lower Annuity",3,0)))</f>
        <v/>
      </c>
      <c r="AT353" s="31" t="inlineStr">
        <is>
          <t>Good</t>
        </is>
      </c>
      <c r="AU353" s="31">
        <f>IF(AT353="Good",10,0)</f>
        <v/>
      </c>
      <c r="AV353" s="31" t="inlineStr">
        <is>
          <t>Yes for more than 2 years</t>
        </is>
      </c>
      <c r="AW353" s="31">
        <f>IF(AV353="Yes for more than 2 years",10,IF(AV353="Yes only for next 1 to 2 years",5,0))</f>
        <v/>
      </c>
      <c r="AX353" s="31" t="inlineStr">
        <is>
          <t>0 to 20</t>
        </is>
      </c>
      <c r="AY353" s="31">
        <f>IF(AX353="Above 40",20,IF(AX353="20 to 40",10,IF(AX353="0 to 20",-5,0)))</f>
        <v/>
      </c>
      <c r="AZ353" s="31" t="inlineStr">
        <is>
          <t>Between 50 to 75</t>
        </is>
      </c>
      <c r="BA353" s="31">
        <f>IF(AZ353="Between 50 to 75",10,IF(AZ353="Above 75",0,0))</f>
        <v/>
      </c>
      <c r="BB353" s="31" t="inlineStr">
        <is>
          <t>Stage 1</t>
        </is>
      </c>
      <c r="BC353" s="31">
        <f>IF(BB353="Stage 2",20,IF(BB353="Stage 1",0,IF(BB353="Stage 3",5,IF(BB353="Stage 4",-5,0))))</f>
        <v/>
      </c>
      <c r="BD353" s="31" t="inlineStr">
        <is>
          <t>Negative Trend</t>
        </is>
      </c>
      <c r="BE353" s="31">
        <f>IF(BD353="Positive Trend",20,IF(BD353="Negative Trend",-10,0))</f>
        <v/>
      </c>
      <c r="BF353" s="31" t="inlineStr">
        <is>
          <t>Uptrend</t>
        </is>
      </c>
      <c r="BG353" s="31">
        <f>IF(BF353="Uptrend",10,IF(BF353="Sideways",5,0))</f>
        <v/>
      </c>
      <c r="BH353" s="31" t="inlineStr">
        <is>
          <t>Uptrend</t>
        </is>
      </c>
      <c r="BI353" s="31">
        <f>IF(BH353="Uptrend",10,IF(BH353="Sideways",5,0))</f>
        <v/>
      </c>
      <c r="BJ353" s="31" t="inlineStr">
        <is>
          <t>Close to 52 week high or retracement</t>
        </is>
      </c>
      <c r="BK353" s="31">
        <f>IF(BJ353="Overhead supply in last 2 years in last 2 years",-5,IF(BJ353="Close to 52 week high or retracement",5,IF(BJ353="Blue sky scenario",10,IF(BJ353="Long term Downtrend",-10,0))))</f>
        <v/>
      </c>
      <c r="BL353" s="31" t="inlineStr">
        <is>
          <t>Yes</t>
        </is>
      </c>
      <c r="BM353" s="31">
        <f>IF(BL353="Yes",10,0)</f>
        <v/>
      </c>
      <c r="BN353" s="31" t="inlineStr">
        <is>
          <t>More than 20%</t>
        </is>
      </c>
      <c r="BO353" s="31">
        <f>IF(BN353="More than 20%",10,IF(BN353="Between 12 to 20%",5,IF(BN353="Less than 12%",0,0)))</f>
        <v/>
      </c>
      <c r="BP353" s="31" t="inlineStr">
        <is>
          <t>No</t>
        </is>
      </c>
      <c r="BQ353" s="31">
        <f>IF(BP353="No",10,0)</f>
        <v/>
      </c>
      <c r="BR353" s="31" t="inlineStr">
        <is>
          <t>No</t>
        </is>
      </c>
      <c r="BS353" s="31">
        <f>IF(BR353="NO",5,0)</f>
        <v/>
      </c>
      <c r="BT353" s="31" t="inlineStr">
        <is>
          <t>Above 2</t>
        </is>
      </c>
      <c r="BU353" s="31">
        <f>IF(BT353="Above 2",0,IF(BT353="Between 1.5 to 2",5,IF(BT353="Less than 1.5",10,0)))</f>
        <v/>
      </c>
      <c r="BV353" s="31" t="inlineStr">
        <is>
          <t>Above 70%</t>
        </is>
      </c>
      <c r="BW353" s="31">
        <f>IF(BV353="Above 70%",10,IF(BV353="Between 50% to 70%",5,IF(BV353="Less than 50%",0,IF(BV353="Negative",-10,IF(BV353="Less than 50% and Borrowings are increasing",-5,0)))))</f>
        <v/>
      </c>
      <c r="BX353" s="31" t="inlineStr">
        <is>
          <t>Less than 0.7</t>
        </is>
      </c>
      <c r="BY353" s="31">
        <f>IF(BX353="More than 1.2",-10,IF(BX353="Between 0.7 to 1.2",0,IF(BX353="Less than 0.7",10,0)))</f>
        <v/>
      </c>
      <c r="BZ353" s="31" t="inlineStr">
        <is>
          <t>No</t>
        </is>
      </c>
      <c r="CA353" s="31">
        <f>IF(BZ353="Yes",-10,0)</f>
        <v/>
      </c>
      <c r="CB353" s="31" t="inlineStr">
        <is>
          <t>Less than 15%</t>
        </is>
      </c>
      <c r="CC353" s="31">
        <f>IF(CB353="More than 15%",-10,IF(CB353="Less than 15%",10,0))</f>
        <v/>
      </c>
      <c r="CD353" s="31" t="inlineStr">
        <is>
          <t>No</t>
        </is>
      </c>
      <c r="CE353" s="31">
        <f>IF(CD353="Yes, more than 10%",-10,IF(CD353="No",10,0))</f>
        <v/>
      </c>
    </row>
    <row r="354">
      <c r="A354" s="31">
        <f>IF(B354=0,"",RANK(B354,$B$2:$B$363,0))</f>
        <v/>
      </c>
      <c r="B354" s="32">
        <f>SUM(N354,Y354,AA354,AC354,AE354,AG354,AI354,AK354,AM354,AO354,AQ354,AS354,AU354,AW354,AY354,BA354,BC354,BE354,BG354,BI354,BK354,BM354,BO354,BQ354,BS354,BU354,BW354,BY354,CA354,CC354,CE354)</f>
        <v/>
      </c>
      <c r="C354" s="33" t="inlineStr">
        <is>
          <t>JSL</t>
        </is>
      </c>
      <c r="D354" s="33" t="inlineStr">
        <is>
          <t>Jindal Stainless Limited</t>
        </is>
      </c>
      <c r="E354" s="31" t="inlineStr">
        <is>
          <t>metals &amp; mining</t>
        </is>
      </c>
      <c r="F354" s="31" t="inlineStr">
        <is>
          <t>steel - large</t>
        </is>
      </c>
      <c r="G354" s="31" t="inlineStr">
        <is>
          <t>largecap</t>
        </is>
      </c>
      <c r="H354" s="32" t="n">
        <v>60875.14</v>
      </c>
      <c r="I354" s="32" t="n">
        <v>737.85</v>
      </c>
      <c r="J354" s="32" t="n">
        <v>-0.07000000000000001</v>
      </c>
      <c r="K354" s="32" t="n">
        <v>780597</v>
      </c>
      <c r="L354" s="31" t="n">
        <v>10</v>
      </c>
      <c r="M354" s="31" t="inlineStr">
        <is>
          <t>Underperforming</t>
        </is>
      </c>
      <c r="N354" s="32">
        <f>IF(M354="Underperforming",-5,IF(L354&gt;=95,15,IF(L354&gt;=90,10,IF(L354&gt;=80,5,0))))</f>
        <v/>
      </c>
      <c r="O354" s="32" t="n">
        <v>52.7</v>
      </c>
      <c r="P354" s="32" t="n">
        <v>10.99</v>
      </c>
      <c r="Q354" s="32" t="n">
        <v>611.72</v>
      </c>
      <c r="R354" s="31" t="inlineStr">
        <is>
          <t>Volume Spike / Accumulation</t>
        </is>
      </c>
      <c r="S354" s="31" t="inlineStr">
        <is>
          <t>Nifty Metal</t>
        </is>
      </c>
      <c r="T354" s="32" t="n">
        <v>41.3</v>
      </c>
      <c r="U354" s="32" t="n">
        <v>13.37</v>
      </c>
      <c r="V354" s="32" t="n">
        <v>-19.76</v>
      </c>
      <c r="W354" s="32" t="n">
        <v>2.36</v>
      </c>
      <c r="X354" s="31" t="inlineStr">
        <is>
          <t>Cyclical in an Upturn</t>
        </is>
      </c>
      <c r="Y354" s="31">
        <f>IF(X354="Growing Industry",10,IF(X354="Cyclical in an Upturn",5,0))</f>
        <v/>
      </c>
      <c r="Z354" s="31" t="inlineStr">
        <is>
          <t>Too Many Players with High ROCE</t>
        </is>
      </c>
      <c r="AA354" s="31">
        <f>IF(Z354="Monopoly",10,IF(Z354="Oligopoly",5,IF(Z354="Duopoly that cooperate",10,IF(Z354="Duopoly that compete",5,IF(Z354="Too many players with High ROCE",5,0)))))</f>
        <v/>
      </c>
      <c r="AB354" s="31" t="inlineStr">
        <is>
          <t>No</t>
        </is>
      </c>
      <c r="AC354" s="31">
        <f>IF(AB354="No",5,0)</f>
        <v/>
      </c>
      <c r="AD354" s="31" t="inlineStr">
        <is>
          <t>Tailwind</t>
        </is>
      </c>
      <c r="AE354" s="31">
        <f>IF(AD354="Tailwind",10,0)</f>
        <v/>
      </c>
      <c r="AF354" s="31" t="inlineStr">
        <is>
          <t>Cyclical</t>
        </is>
      </c>
      <c r="AG354" s="31">
        <f>IF(AF354="Structural (10 Years Consistency)",10,IF(AF354="Shallow Cyclical (2 to 3 years growth)",5,0))</f>
        <v/>
      </c>
      <c r="AH354" s="31" t="inlineStr">
        <is>
          <t>No</t>
        </is>
      </c>
      <c r="AI354" s="31">
        <f>IF(AH354="Yes due to Product Mix change or Operating Leverage",10,IF(AH354="Yes, these are peak margins",-5,IF(AH354="No",5,0)))</f>
        <v/>
      </c>
      <c r="AJ354" s="31" t="inlineStr">
        <is>
          <t>Volatile</t>
        </is>
      </c>
      <c r="AK354" s="31">
        <f>IF(AJ354="Stable",10,0)</f>
        <v/>
      </c>
      <c r="AL354" s="31" t="inlineStr">
        <is>
          <t>Yes</t>
        </is>
      </c>
      <c r="AM354" s="31">
        <f>IF(AL354="Yes",10,0)</f>
        <v/>
      </c>
      <c r="AN354" s="31" t="inlineStr">
        <is>
          <t>B2B</t>
        </is>
      </c>
      <c r="AO354" s="31">
        <f>IF(AN354="B2C",10,IF(AN354="B2B",5,0))</f>
        <v/>
      </c>
      <c r="AP354" s="31" t="inlineStr">
        <is>
          <t>Yes</t>
        </is>
      </c>
      <c r="AQ354" s="31">
        <f>IF(AP354="Yes",10,0)</f>
        <v/>
      </c>
      <c r="AR354" s="31" t="inlineStr">
        <is>
          <t>Higher One Time, Lower Annuity</t>
        </is>
      </c>
      <c r="AS354" s="31">
        <f>IF(AR354="Fully Annuity",10,IF(AR354="Higher Annuity, Lower One Time",5,IF(AR354="Higher One Time, Lower Annuity",3,0)))</f>
        <v/>
      </c>
      <c r="AT354" s="31" t="inlineStr">
        <is>
          <t>Good</t>
        </is>
      </c>
      <c r="AU354" s="31">
        <f>IF(AT354="Good",10,0)</f>
        <v/>
      </c>
      <c r="AV354" s="31" t="inlineStr">
        <is>
          <t>Yes for more than 2 years</t>
        </is>
      </c>
      <c r="AW354" s="31">
        <f>IF(AV354="Yes for more than 2 years",10,IF(AV354="Yes only for next 1 to 2 years",5,0))</f>
        <v/>
      </c>
      <c r="AX354" s="31" t="inlineStr">
        <is>
          <t>0 to 20</t>
        </is>
      </c>
      <c r="AY354" s="31">
        <f>IF(AX354="Above 40",20,IF(AX354="20 to 40",10,IF(AX354="0 to 20",-5,0)))</f>
        <v/>
      </c>
      <c r="AZ354" s="31" t="inlineStr">
        <is>
          <t>Between 50 to 75</t>
        </is>
      </c>
      <c r="BA354" s="31">
        <f>IF(AZ354="Between 50 to 75",10,IF(AZ354="Above 75",0,0))</f>
        <v/>
      </c>
      <c r="BB354" s="31" t="inlineStr">
        <is>
          <t>Stage 1</t>
        </is>
      </c>
      <c r="BC354" s="31">
        <f>IF(BB354="Stage 2",20,IF(BB354="Stage 1",0,IF(BB354="Stage 3",5,IF(BB354="Stage 4",-5,0))))</f>
        <v/>
      </c>
      <c r="BD354" s="31" t="inlineStr">
        <is>
          <t>Positive Trend</t>
        </is>
      </c>
      <c r="BE354" s="31">
        <f>IF(BD354="Positive Trend",20,IF(BD354="Negative Trend",-10,0))</f>
        <v/>
      </c>
      <c r="BF354" s="31" t="inlineStr">
        <is>
          <t>Uptrend</t>
        </is>
      </c>
      <c r="BG354" s="31">
        <f>IF(BF354="Uptrend",10,IF(BF354="Sideways",5,0))</f>
        <v/>
      </c>
      <c r="BH354" s="31" t="inlineStr">
        <is>
          <t>Uptrend</t>
        </is>
      </c>
      <c r="BI354" s="31">
        <f>IF(BH354="Uptrend",10,IF(BH354="Sideways",5,0))</f>
        <v/>
      </c>
      <c r="BJ354" s="31" t="inlineStr">
        <is>
          <t>Close to 52 week high or retracement</t>
        </is>
      </c>
      <c r="BK354" s="31">
        <f>IF(BJ354="Overhead supply in last 2 years in last 2 years",-5,IF(BJ354="Close to 52 week high or retracement",5,IF(BJ354="Blue sky scenario",10,IF(BJ354="Long term Downtrend",-10,0))))</f>
        <v/>
      </c>
      <c r="BL354" s="31" t="inlineStr">
        <is>
          <t>Yes</t>
        </is>
      </c>
      <c r="BM354" s="31">
        <f>IF(BL354="Yes",10,0)</f>
        <v/>
      </c>
      <c r="BN354" s="31" t="inlineStr">
        <is>
          <t>Less than 12%</t>
        </is>
      </c>
      <c r="BO354" s="31">
        <f>IF(BN354="More than 20%",10,IF(BN354="Between 12 to 20%",5,IF(BN354="Less than 12%",0,0)))</f>
        <v/>
      </c>
      <c r="BP354" s="31" t="inlineStr">
        <is>
          <t>No</t>
        </is>
      </c>
      <c r="BQ354" s="31">
        <f>IF(BP354="No",10,0)</f>
        <v/>
      </c>
      <c r="BR354" s="31" t="inlineStr">
        <is>
          <t>No</t>
        </is>
      </c>
      <c r="BS354" s="31">
        <f>IF(BR354="NO",5,0)</f>
        <v/>
      </c>
      <c r="BT354" s="31" t="inlineStr">
        <is>
          <t>Above 2</t>
        </is>
      </c>
      <c r="BU354" s="31">
        <f>IF(BT354="Above 2",0,IF(BT354="Between 1.5 to 2",5,IF(BT354="Less than 1.5",10,0)))</f>
        <v/>
      </c>
      <c r="BV354" s="31" t="inlineStr">
        <is>
          <t>Above 70%</t>
        </is>
      </c>
      <c r="BW354" s="31">
        <f>IF(BV354="Above 70%",10,IF(BV354="Between 50% to 70%",5,IF(BV354="Less than 50%",0,IF(BV354="Negative",-10,IF(BV354="Less than 50% and Borrowings are increasing",-5,0)))))</f>
        <v/>
      </c>
      <c r="BX354" s="31" t="inlineStr">
        <is>
          <t>Less than 0.7</t>
        </is>
      </c>
      <c r="BY354" s="31">
        <f>IF(BX354="More than 1.2",-10,IF(BX354="Between 0.7 to 1.2",0,IF(BX354="Less than 0.7",10,0)))</f>
        <v/>
      </c>
      <c r="BZ354" s="31" t="inlineStr">
        <is>
          <t>No</t>
        </is>
      </c>
      <c r="CA354" s="31">
        <f>IF(BZ354="Yes",-10,0)</f>
        <v/>
      </c>
      <c r="CB354" s="31" t="inlineStr">
        <is>
          <t>Less than 15%</t>
        </is>
      </c>
      <c r="CC354" s="31">
        <f>IF(CB354="More than 15%",-10,IF(CB354="Less than 15%",10,0))</f>
        <v/>
      </c>
      <c r="CD354" s="31" t="inlineStr">
        <is>
          <t>No</t>
        </is>
      </c>
      <c r="CE354" s="31">
        <f>IF(CD354="Yes, more than 10%",-10,IF(CD354="No",10,0))</f>
        <v/>
      </c>
    </row>
    <row r="355">
      <c r="A355" s="31">
        <f>IF(B355=0,"",RANK(B355,$B$2:$B$363,0))</f>
        <v/>
      </c>
      <c r="B355" s="32">
        <f>SUM(N355,Y355,AA355,AC355,AE355,AG355,AI355,AK355,AM355,AO355,AQ355,AS355,AU355,AW355,AY355,BA355,BC355,BE355,BG355,BI355,BK355,BM355,BO355,BQ355,BS355,BU355,BW355,BY355,CA355,CC355,CE355)</f>
        <v/>
      </c>
      <c r="C355" s="33" t="inlineStr">
        <is>
          <t>KILITCH</t>
        </is>
      </c>
      <c r="D355" s="33" t="inlineStr">
        <is>
          <t>Kilitch Drugs (india) Limited</t>
        </is>
      </c>
      <c r="E355" s="31" t="inlineStr">
        <is>
          <t>healthcare</t>
        </is>
      </c>
      <c r="F355" s="31" t="inlineStr">
        <is>
          <t>pharmaceuticals - indian - formulations</t>
        </is>
      </c>
      <c r="G355" s="31" t="inlineStr">
        <is>
          <t>smallcap</t>
        </is>
      </c>
      <c r="H355" s="32" t="n">
        <v>603.16</v>
      </c>
      <c r="I355" s="32" t="n">
        <v>180.95</v>
      </c>
      <c r="J355" s="32" t="n">
        <v>4.89</v>
      </c>
      <c r="K355" s="32" t="n">
        <v>33164</v>
      </c>
      <c r="L355" s="31" t="n">
        <v>4</v>
      </c>
      <c r="M355" s="31" t="inlineStr">
        <is>
          <t>Underperforming</t>
        </is>
      </c>
      <c r="N355" s="32">
        <f>IF(M355="Underperforming",-5,IF(L355&gt;=95,15,IF(L355&gt;=90,10,IF(L355&gt;=80,5,0))))</f>
        <v/>
      </c>
      <c r="O355" s="32" t="n">
        <v>53.07</v>
      </c>
      <c r="P355" s="32" t="n">
        <v>27.34</v>
      </c>
      <c r="Q355" s="32" t="n">
        <v>137.69</v>
      </c>
      <c r="R355" s="31" t="inlineStr">
        <is>
          <t>Earnings / Momentum Support</t>
        </is>
      </c>
      <c r="S355" s="31" t="inlineStr">
        <is>
          <t>Nifty Pharma</t>
        </is>
      </c>
      <c r="T355" s="32" t="n">
        <v>20.77</v>
      </c>
      <c r="U355" s="32" t="n">
        <v>-2.16</v>
      </c>
      <c r="V355" s="32" t="n">
        <v>-18.99</v>
      </c>
      <c r="W355" s="32" t="n">
        <v>0.59</v>
      </c>
      <c r="X355" s="31" t="inlineStr">
        <is>
          <t>Growing Industry</t>
        </is>
      </c>
      <c r="Y355" s="31">
        <f>IF(X355="Growing Industry",10,IF(X355="Cyclical in an Upturn",5,0))</f>
        <v/>
      </c>
      <c r="Z355" s="31" t="inlineStr">
        <is>
          <t>Too Many Players with High ROCE</t>
        </is>
      </c>
      <c r="AA355" s="31">
        <f>IF(Z355="Monopoly",10,IF(Z355="Oligopoly",5,IF(Z355="Duopoly that cooperate",10,IF(Z355="Duopoly that compete",5,IF(Z355="Too many players with High ROCE",5,0)))))</f>
        <v/>
      </c>
      <c r="AB355" s="31" t="inlineStr">
        <is>
          <t>Yes</t>
        </is>
      </c>
      <c r="AC355" s="31">
        <f>IF(AB355="No",5,0)</f>
        <v/>
      </c>
      <c r="AD355" s="31" t="inlineStr">
        <is>
          <t>Tailwind</t>
        </is>
      </c>
      <c r="AE355" s="31">
        <f>IF(AD355="Tailwind",10,0)</f>
        <v/>
      </c>
      <c r="AF355" s="31" t="inlineStr">
        <is>
          <t>Structural (10 Years Consistency)</t>
        </is>
      </c>
      <c r="AG355" s="31">
        <f>IF(AF355="Structural (10 Years Consistency)",10,IF(AF355="Shallow Cyclical (2 to 3 years growth)",5,0))</f>
        <v/>
      </c>
      <c r="AH355" s="31" t="inlineStr">
        <is>
          <t>No</t>
        </is>
      </c>
      <c r="AI355" s="31">
        <f>IF(AH355="Yes due to Product Mix change or Operating Leverage",10,IF(AH355="Yes, these are peak margins",-5,IF(AH355="No",5,0)))</f>
        <v/>
      </c>
      <c r="AJ355" s="31" t="inlineStr">
        <is>
          <t>Stable</t>
        </is>
      </c>
      <c r="AK355" s="31">
        <f>IF(AJ355="Stable",10,0)</f>
        <v/>
      </c>
      <c r="AL355" s="31" t="inlineStr">
        <is>
          <t>Yes</t>
        </is>
      </c>
      <c r="AM355" s="31">
        <f>IF(AL355="Yes",10,0)</f>
        <v/>
      </c>
      <c r="AN355" s="31" t="inlineStr">
        <is>
          <t>B2B</t>
        </is>
      </c>
      <c r="AO355" s="31">
        <f>IF(AN355="B2C",10,IF(AN355="B2B",5,0))</f>
        <v/>
      </c>
      <c r="AP355" s="31" t="inlineStr">
        <is>
          <t>No</t>
        </is>
      </c>
      <c r="AQ355" s="31">
        <f>IF(AP355="Yes",10,0)</f>
        <v/>
      </c>
      <c r="AR355" s="31" t="inlineStr">
        <is>
          <t>Higher Annuity, Lower One Time</t>
        </is>
      </c>
      <c r="AS355" s="31">
        <f>IF(AR355="Fully Annuity",10,IF(AR355="Higher Annuity, Lower One Time",5,IF(AR355="Higher One Time, Lower Annuity",3,0)))</f>
        <v/>
      </c>
      <c r="AT355" s="31" t="inlineStr">
        <is>
          <t>Good</t>
        </is>
      </c>
      <c r="AU355" s="31">
        <f>IF(AT355="Good",10,0)</f>
        <v/>
      </c>
      <c r="AV355" s="31" t="inlineStr">
        <is>
          <t>Yes for more than 2 years</t>
        </is>
      </c>
      <c r="AW355" s="31">
        <f>IF(AV355="Yes for more than 2 years",10,IF(AV355="Yes only for next 1 to 2 years",5,0))</f>
        <v/>
      </c>
      <c r="AX355" s="31" t="inlineStr">
        <is>
          <t>20 to 40</t>
        </is>
      </c>
      <c r="AY355" s="31">
        <f>IF(AX355="Above 40",20,IF(AX355="20 to 40",10,IF(AX355="0 to 20",-5,0)))</f>
        <v/>
      </c>
      <c r="AZ355" s="31" t="inlineStr">
        <is>
          <t>Between 50 to 75</t>
        </is>
      </c>
      <c r="BA355" s="31">
        <f>IF(AZ355="Between 50 to 75",10,IF(AZ355="Above 75",0,0))</f>
        <v/>
      </c>
      <c r="BB355" s="31" t="inlineStr">
        <is>
          <t>Stage 1</t>
        </is>
      </c>
      <c r="BC355" s="31">
        <f>IF(BB355="Stage 2",20,IF(BB355="Stage 1",0,IF(BB355="Stage 3",5,IF(BB355="Stage 4",-5,0))))</f>
        <v/>
      </c>
      <c r="BD355" s="31" t="inlineStr">
        <is>
          <t>Negative Trend</t>
        </is>
      </c>
      <c r="BE355" s="31">
        <f>IF(BD355="Positive Trend",20,IF(BD355="Negative Trend",-10,0))</f>
        <v/>
      </c>
      <c r="BF355" s="31" t="inlineStr">
        <is>
          <t>Uptrend</t>
        </is>
      </c>
      <c r="BG355" s="31">
        <f>IF(BF355="Uptrend",10,IF(BF355="Sideways",5,0))</f>
        <v/>
      </c>
      <c r="BH355" s="31" t="inlineStr">
        <is>
          <t>Uptrend</t>
        </is>
      </c>
      <c r="BI355" s="31">
        <f>IF(BH355="Uptrend",10,IF(BH355="Sideways",5,0))</f>
        <v/>
      </c>
      <c r="BJ355" s="31" t="inlineStr">
        <is>
          <t>Close to 52 week high or retracement</t>
        </is>
      </c>
      <c r="BK355" s="31">
        <f>IF(BJ355="Overhead supply in last 2 years in last 2 years",-5,IF(BJ355="Close to 52 week high or retracement",5,IF(BJ355="Blue sky scenario",10,IF(BJ355="Long term Downtrend",-10,0))))</f>
        <v/>
      </c>
      <c r="BL355" s="31" t="inlineStr">
        <is>
          <t>Yes</t>
        </is>
      </c>
      <c r="BM355" s="31">
        <f>IF(BL355="Yes",10,0)</f>
        <v/>
      </c>
      <c r="BN355" s="31" t="inlineStr">
        <is>
          <t>Less than 12%</t>
        </is>
      </c>
      <c r="BO355" s="31">
        <f>IF(BN355="More than 20%",10,IF(BN355="Between 12 to 20%",5,IF(BN355="Less than 12%",0,0)))</f>
        <v/>
      </c>
      <c r="BP355" s="31" t="inlineStr">
        <is>
          <t>No</t>
        </is>
      </c>
      <c r="BQ355" s="31">
        <f>IF(BP355="No",10,0)</f>
        <v/>
      </c>
      <c r="BR355" s="31" t="inlineStr">
        <is>
          <t>No</t>
        </is>
      </c>
      <c r="BS355" s="31">
        <f>IF(BR355="NO",5,0)</f>
        <v/>
      </c>
      <c r="BT355" s="31" t="inlineStr">
        <is>
          <t>Above 2</t>
        </is>
      </c>
      <c r="BU355" s="31">
        <f>IF(BT355="Above 2",0,IF(BT355="Between 1.5 to 2",5,IF(BT355="Less than 1.5",10,0)))</f>
        <v/>
      </c>
      <c r="BV355" s="31" t="inlineStr">
        <is>
          <t>Above 70%</t>
        </is>
      </c>
      <c r="BW355" s="31">
        <f>IF(BV355="Above 70%",10,IF(BV355="Between 50% to 70%",5,IF(BV355="Less than 50%",0,IF(BV355="Negative",-10,IF(BV355="Less than 50% and Borrowings are increasing",-5,0)))))</f>
        <v/>
      </c>
      <c r="BX355" s="31" t="inlineStr">
        <is>
          <t>Less than 0.7</t>
        </is>
      </c>
      <c r="BY355" s="31">
        <f>IF(BX355="More than 1.2",-10,IF(BX355="Between 0.7 to 1.2",0,IF(BX355="Less than 0.7",10,0)))</f>
        <v/>
      </c>
      <c r="BZ355" s="31" t="inlineStr">
        <is>
          <t>No</t>
        </is>
      </c>
      <c r="CA355" s="31">
        <f>IF(BZ355="Yes",-10,0)</f>
        <v/>
      </c>
      <c r="CB355" s="31" t="inlineStr">
        <is>
          <t>Less than 15%</t>
        </is>
      </c>
      <c r="CC355" s="31">
        <f>IF(CB355="More than 15%",-10,IF(CB355="Less than 15%",10,0))</f>
        <v/>
      </c>
      <c r="CD355" s="31" t="inlineStr">
        <is>
          <t>No</t>
        </is>
      </c>
      <c r="CE355" s="31">
        <f>IF(CD355="Yes, more than 10%",-10,IF(CD355="No",10,0))</f>
        <v/>
      </c>
    </row>
    <row r="356">
      <c r="A356" s="31">
        <f>IF(B356=0,"",RANK(B356,$B$2:$B$363,0))</f>
        <v/>
      </c>
      <c r="B356" s="32">
        <f>SUM(N356,Y356,AA356,AC356,AE356,AG356,AI356,AK356,AM356,AO356,AQ356,AS356,AU356,AW356,AY356,BA356,BC356,BE356,BG356,BI356,BK356,BM356,BO356,BQ356,BS356,BU356,BW356,BY356,CA356,CC356,CE356)</f>
        <v/>
      </c>
      <c r="C356" s="31" t="inlineStr">
        <is>
          <t>BALAMINES</t>
        </is>
      </c>
      <c r="D356" s="31" t="inlineStr">
        <is>
          <t>Balaji Amines Limited</t>
        </is>
      </c>
      <c r="E356" s="31" t="inlineStr">
        <is>
          <t>chemicals</t>
        </is>
      </c>
      <c r="F356" s="31" t="inlineStr">
        <is>
          <t>chemicals</t>
        </is>
      </c>
      <c r="G356" s="31" t="inlineStr">
        <is>
          <t>midcap</t>
        </is>
      </c>
      <c r="H356" s="32" t="n">
        <v>7833.91</v>
      </c>
      <c r="I356" s="32" t="n">
        <v>2525.2</v>
      </c>
      <c r="J356" s="32" t="n">
        <v>4.44</v>
      </c>
      <c r="K356" s="32" t="n">
        <v>608894</v>
      </c>
      <c r="L356" s="31" t="n">
        <v>74</v>
      </c>
      <c r="M356" s="31" t="inlineStr">
        <is>
          <t>Outperforming</t>
        </is>
      </c>
      <c r="N356" s="32">
        <f>IF(M356="Underperforming",-5,IF(L356&gt;=95,15,IF(L356&gt;=90,10,IF(L356&gt;=80,5,0))))</f>
        <v/>
      </c>
      <c r="O356" s="32" t="n">
        <v>71.38</v>
      </c>
      <c r="P356" s="32" t="n">
        <v>58.52</v>
      </c>
      <c r="Q356" s="32" t="n">
        <v>1850.61</v>
      </c>
      <c r="R356" s="31" t="inlineStr">
        <is>
          <t>Near 52W High Breakout</t>
        </is>
      </c>
      <c r="S356" s="31" t="inlineStr">
        <is>
          <t>Nifty 50</t>
        </is>
      </c>
      <c r="T356" s="32" t="n">
        <v>-3.41</v>
      </c>
      <c r="U356" s="32" t="n">
        <v>70.63</v>
      </c>
      <c r="V356" s="32" t="n">
        <v>76.65000000000001</v>
      </c>
      <c r="W356" s="32" t="n">
        <v>22.5</v>
      </c>
      <c r="X356" s="31" t="inlineStr">
        <is>
          <t>Growing Industry</t>
        </is>
      </c>
      <c r="Y356" s="31">
        <f>IF(X356="Growing Industry",10,IF(X356="Cyclical in an Upturn",5,0))</f>
        <v/>
      </c>
      <c r="Z356" s="31" t="inlineStr">
        <is>
          <t>Duopoly That Cooperate</t>
        </is>
      </c>
      <c r="AA356" s="31">
        <f>IF(Z356="Monopoly",10,IF(Z356="Oligopoly",5,IF(Z356="Duopoly that cooperate",10,IF(Z356="Duopoly that compete",5,IF(Z356="Too many players with High ROCE",5,0)))))</f>
        <v/>
      </c>
      <c r="AB356" s="31" t="inlineStr">
        <is>
          <t>No</t>
        </is>
      </c>
      <c r="AC356" s="31">
        <f>IF(AB356="No",5,0)</f>
        <v/>
      </c>
      <c r="AD356" s="31" t="inlineStr">
        <is>
          <t>Headwind</t>
        </is>
      </c>
      <c r="AE356" s="31">
        <f>IF(AD356="Tailwind",10,0)</f>
        <v/>
      </c>
      <c r="AF356" s="31" t="inlineStr">
        <is>
          <t>Shallow Cyclical (2 to 3 Years Growth)</t>
        </is>
      </c>
      <c r="AG356" s="31">
        <f>IF(AF356="Structural (10 Years Consistency)",10,IF(AF356="Shallow Cyclical (2 to 3 years growth)",5,0))</f>
        <v/>
      </c>
      <c r="AH356" s="31" t="inlineStr">
        <is>
          <t>No</t>
        </is>
      </c>
      <c r="AI356" s="31">
        <f>IF(AH356="Yes due to Product Mix change or Operating Leverage",10,IF(AH356="Yes, these are peak margins",-5,IF(AH356="No",5,0)))</f>
        <v/>
      </c>
      <c r="AJ356" s="31" t="inlineStr">
        <is>
          <t>Stable</t>
        </is>
      </c>
      <c r="AK356" s="31">
        <f>IF(AJ356="Stable",10,0)</f>
        <v/>
      </c>
      <c r="AL356" s="31" t="inlineStr">
        <is>
          <t>Yes</t>
        </is>
      </c>
      <c r="AM356" s="31">
        <f>IF(AL356="Yes",10,0)</f>
        <v/>
      </c>
      <c r="AN356" s="31" t="inlineStr">
        <is>
          <t>B2B</t>
        </is>
      </c>
      <c r="AO356" s="31">
        <f>IF(AN356="B2C",10,IF(AN356="B2B",5,0))</f>
        <v/>
      </c>
      <c r="AP356" s="31" t="inlineStr">
        <is>
          <t>Yes</t>
        </is>
      </c>
      <c r="AQ356" s="31">
        <f>IF(AP356="Yes",10,0)</f>
        <v/>
      </c>
      <c r="AR356" s="31" t="inlineStr">
        <is>
          <t>Higher One Time, Lower Annuity</t>
        </is>
      </c>
      <c r="AS356" s="31">
        <f>IF(AR356="Fully Annuity",10,IF(AR356="Higher Annuity, Lower One Time",5,IF(AR356="Higher One Time, Lower Annuity",3,0)))</f>
        <v/>
      </c>
      <c r="AT356" s="31" t="inlineStr">
        <is>
          <t>Good</t>
        </is>
      </c>
      <c r="AU356" s="31">
        <f>IF(AT356="Good",10,0)</f>
        <v/>
      </c>
      <c r="AV356" s="31" t="inlineStr">
        <is>
          <t>Yes for more than 2 years</t>
        </is>
      </c>
      <c r="AW356" s="31">
        <f>IF(AV356="Yes for more than 2 years",10,IF(AV356="Yes only for next 1 to 2 years",5,0))</f>
        <v/>
      </c>
      <c r="AX356" s="31" t="inlineStr">
        <is>
          <t>20 to 40</t>
        </is>
      </c>
      <c r="AY356" s="31">
        <f>IF(AX356="Above 40",20,IF(AX356="20 to 40",10,IF(AX356="0 to 20",-5,0)))</f>
        <v/>
      </c>
      <c r="AZ356" s="31" t="inlineStr">
        <is>
          <t>Between 50 to 75</t>
        </is>
      </c>
      <c r="BA356" s="31">
        <f>IF(AZ356="Between 50 to 75",10,IF(AZ356="Above 75",0,0))</f>
        <v/>
      </c>
      <c r="BB356" s="31" t="inlineStr">
        <is>
          <t>Stage 4</t>
        </is>
      </c>
      <c r="BC356" s="31">
        <f>IF(BB356="Stage 2",20,IF(BB356="Stage 1",0,IF(BB356="Stage 3",5,IF(BB356="Stage 4",-5,0))))</f>
        <v/>
      </c>
      <c r="BD356" s="31" t="inlineStr">
        <is>
          <t>Negative Trend</t>
        </is>
      </c>
      <c r="BE356" s="31">
        <f>IF(BD356="Positive Trend",20,IF(BD356="Negative Trend",-10,0))</f>
        <v/>
      </c>
      <c r="BF356" s="31" t="inlineStr">
        <is>
          <t>Downtrend</t>
        </is>
      </c>
      <c r="BG356" s="31">
        <f>IF(BF356="Uptrend",10,IF(BF356="Sideways",5,0))</f>
        <v/>
      </c>
      <c r="BH356" s="31" t="inlineStr">
        <is>
          <t>Uptrend</t>
        </is>
      </c>
      <c r="BI356" s="31">
        <f>IF(BH356="Uptrend",10,IF(BH356="Sideways",5,0))</f>
        <v/>
      </c>
      <c r="BJ356" s="31" t="inlineStr">
        <is>
          <t>Overhead supply in last 2 years in last 2 years</t>
        </is>
      </c>
      <c r="BK356" s="31">
        <f>IF(BJ356="Overhead supply in last 2 years in last 2 years",-5,IF(BJ356="Close to 52 week high or retracement",5,IF(BJ356="Blue sky scenario",10,IF(BJ356="Long term Downtrend",-10,0))))</f>
        <v/>
      </c>
      <c r="BL356" s="31" t="inlineStr">
        <is>
          <t>No</t>
        </is>
      </c>
      <c r="BM356" s="31">
        <f>IF(BL356="Yes",10,0)</f>
        <v/>
      </c>
      <c r="BN356" s="31" t="inlineStr">
        <is>
          <t>More than 20%</t>
        </is>
      </c>
      <c r="BO356" s="31">
        <f>IF(BN356="More than 20%",10,IF(BN356="Between 12 to 20%",5,IF(BN356="Less than 12%",0,0)))</f>
        <v/>
      </c>
      <c r="BP356" s="31" t="inlineStr">
        <is>
          <t>No</t>
        </is>
      </c>
      <c r="BQ356" s="31">
        <f>IF(BP356="No",10,0)</f>
        <v/>
      </c>
      <c r="BR356" s="31" t="inlineStr">
        <is>
          <t>No</t>
        </is>
      </c>
      <c r="BS356" s="31">
        <f>IF(BR356="NO",5,0)</f>
        <v/>
      </c>
      <c r="BT356" s="31" t="inlineStr">
        <is>
          <t>Less than 1.5</t>
        </is>
      </c>
      <c r="BU356" s="31">
        <f>IF(BT356="Above 2",0,IF(BT356="Between 1.5 to 2",5,IF(BT356="Less than 1.5",10,0)))</f>
        <v/>
      </c>
      <c r="BV356" s="31" t="inlineStr">
        <is>
          <t>Above 70%</t>
        </is>
      </c>
      <c r="BW356" s="31">
        <f>IF(BV356="Above 70%",10,IF(BV356="Between 50% to 70%",5,IF(BV356="Less than 50%",0,IF(BV356="Negative",-10,IF(BV356="Less than 50% and Borrowings are increasing",-5,0)))))</f>
        <v/>
      </c>
      <c r="BX356" s="31" t="inlineStr">
        <is>
          <t>Less than 0.7</t>
        </is>
      </c>
      <c r="BY356" s="31">
        <f>IF(BX356="More than 1.2",-10,IF(BX356="Between 0.7 to 1.2",0,IF(BX356="Less than 0.7",10,0)))</f>
        <v/>
      </c>
      <c r="BZ356" s="31" t="inlineStr">
        <is>
          <t>No</t>
        </is>
      </c>
      <c r="CA356" s="31">
        <f>IF(BZ356="Yes",-10,0)</f>
        <v/>
      </c>
      <c r="CB356" s="31" t="inlineStr">
        <is>
          <t>Less than 15%</t>
        </is>
      </c>
      <c r="CC356" s="31">
        <f>IF(CB356="More than 15%",-10,IF(CB356="Less than 15%",10,0))</f>
        <v/>
      </c>
      <c r="CD356" s="31" t="inlineStr">
        <is>
          <t>No</t>
        </is>
      </c>
      <c r="CE356" s="31">
        <f>IF(CD356="Yes, more than 10%",-10,IF(CD356="No",10,0))</f>
        <v/>
      </c>
    </row>
    <row r="357">
      <c r="A357" s="31">
        <f>IF(B357=0,"",RANK(B357,$B$2:$B$363,0))</f>
        <v/>
      </c>
      <c r="B357" s="32">
        <f>SUM(N357,Y357,AA357,AC357,AE357,AG357,AI357,AK357,AM357,AO357,AQ357,AS357,AU357,AW357,AY357,BA357,BC357,BE357,BG357,BI357,BK357,BM357,BO357,BQ357,BS357,BU357,BW357,BY357,CA357,CC357,CE357)</f>
        <v/>
      </c>
      <c r="C357" s="33" t="inlineStr">
        <is>
          <t>HINDZINC</t>
        </is>
      </c>
      <c r="D357" s="33" t="inlineStr">
        <is>
          <t>Hindustan Zinc Limited</t>
        </is>
      </c>
      <c r="E357" s="31" t="inlineStr">
        <is>
          <t>metals &amp; mining</t>
        </is>
      </c>
      <c r="F357" s="31" t="inlineStr">
        <is>
          <t>mining / minerals / metals</t>
        </is>
      </c>
      <c r="G357" s="31" t="inlineStr">
        <is>
          <t>largecap</t>
        </is>
      </c>
      <c r="H357" s="32" t="n">
        <v>248427.63</v>
      </c>
      <c r="I357" s="32" t="n">
        <v>601</v>
      </c>
      <c r="J357" s="32" t="n">
        <v>2.22</v>
      </c>
      <c r="K357" s="32" t="n">
        <v>4650039</v>
      </c>
      <c r="L357" s="31" t="n">
        <v>37</v>
      </c>
      <c r="M357" s="31" t="inlineStr">
        <is>
          <t>Underperforming</t>
        </is>
      </c>
      <c r="N357" s="32">
        <f>IF(M357="Underperforming",-5,IF(L357&gt;=95,15,IF(L357&gt;=90,10,IF(L357&gt;=80,5,0))))</f>
        <v/>
      </c>
      <c r="O357" s="32" t="n">
        <v>55.2</v>
      </c>
      <c r="P357" s="32" t="n">
        <v>10.71</v>
      </c>
      <c r="Q357" s="32" t="n">
        <v>494.72</v>
      </c>
      <c r="R357" s="31" t="inlineStr">
        <is>
          <t>Earnings / Momentum Support</t>
        </is>
      </c>
      <c r="S357" s="31" t="inlineStr">
        <is>
          <t>Nifty Metal</t>
        </is>
      </c>
      <c r="T357" s="32" t="n">
        <v>41.3</v>
      </c>
      <c r="U357" s="32" t="n">
        <v>39.34</v>
      </c>
      <c r="V357" s="32" t="n">
        <v>-1.39</v>
      </c>
      <c r="W357" s="32" t="n">
        <v>9.32</v>
      </c>
      <c r="X357" s="31" t="inlineStr">
        <is>
          <t>Cyclical in an Upturn</t>
        </is>
      </c>
      <c r="Y357" s="31">
        <f>IF(X357="Growing Industry",10,IF(X357="Cyclical in an Upturn",5,0))</f>
        <v/>
      </c>
      <c r="Z357" s="31" t="inlineStr">
        <is>
          <t>Too Many Players with High ROCE</t>
        </is>
      </c>
      <c r="AA357" s="31">
        <f>IF(Z357="Monopoly",10,IF(Z357="Oligopoly",5,IF(Z357="Duopoly that cooperate",10,IF(Z357="Duopoly that compete",5,IF(Z357="Too many players with High ROCE",5,0)))))</f>
        <v/>
      </c>
      <c r="AB357" s="31" t="inlineStr">
        <is>
          <t>No</t>
        </is>
      </c>
      <c r="AC357" s="31">
        <f>IF(AB357="No",5,0)</f>
        <v/>
      </c>
      <c r="AD357" s="31" t="inlineStr">
        <is>
          <t>Tailwind</t>
        </is>
      </c>
      <c r="AE357" s="31">
        <f>IF(AD357="Tailwind",10,0)</f>
        <v/>
      </c>
      <c r="AF357" s="31" t="inlineStr">
        <is>
          <t>Cyclical</t>
        </is>
      </c>
      <c r="AG357" s="31">
        <f>IF(AF357="Structural (10 Years Consistency)",10,IF(AF357="Shallow Cyclical (2 to 3 years growth)",5,0))</f>
        <v/>
      </c>
      <c r="AH357" s="31" t="inlineStr">
        <is>
          <t>No</t>
        </is>
      </c>
      <c r="AI357" s="31">
        <f>IF(AH357="Yes due to Product Mix change or Operating Leverage",10,IF(AH357="Yes, these are peak margins",-5,IF(AH357="No",5,0)))</f>
        <v/>
      </c>
      <c r="AJ357" s="31" t="inlineStr">
        <is>
          <t>Volatile</t>
        </is>
      </c>
      <c r="AK357" s="31">
        <f>IF(AJ357="Stable",10,0)</f>
        <v/>
      </c>
      <c r="AL357" s="31" t="inlineStr">
        <is>
          <t>Yes</t>
        </is>
      </c>
      <c r="AM357" s="31">
        <f>IF(AL357="Yes",10,0)</f>
        <v/>
      </c>
      <c r="AN357" s="31" t="inlineStr">
        <is>
          <t>B2B</t>
        </is>
      </c>
      <c r="AO357" s="31">
        <f>IF(AN357="B2C",10,IF(AN357="B2B",5,0))</f>
        <v/>
      </c>
      <c r="AP357" s="31" t="inlineStr">
        <is>
          <t>No</t>
        </is>
      </c>
      <c r="AQ357" s="31">
        <f>IF(AP357="Yes",10,0)</f>
        <v/>
      </c>
      <c r="AR357" s="31" t="inlineStr">
        <is>
          <t>Higher One Time, Lower Annuity</t>
        </is>
      </c>
      <c r="AS357" s="31">
        <f>IF(AR357="Fully Annuity",10,IF(AR357="Higher Annuity, Lower One Time",5,IF(AR357="Higher One Time, Lower Annuity",3,0)))</f>
        <v/>
      </c>
      <c r="AT357" s="31" t="inlineStr">
        <is>
          <t>Good</t>
        </is>
      </c>
      <c r="AU357" s="31">
        <f>IF(AT357="Good",10,0)</f>
        <v/>
      </c>
      <c r="AV357" s="31" t="inlineStr">
        <is>
          <t>Yes for more than 2 years</t>
        </is>
      </c>
      <c r="AW357" s="31">
        <f>IF(AV357="Yes for more than 2 years",10,IF(AV357="Yes only for next 1 to 2 years",5,0))</f>
        <v/>
      </c>
      <c r="AX357" s="31" t="inlineStr">
        <is>
          <t>0 to 20</t>
        </is>
      </c>
      <c r="AY357" s="31">
        <f>IF(AX357="Above 40",20,IF(AX357="20 to 40",10,IF(AX357="0 to 20",-5,0)))</f>
        <v/>
      </c>
      <c r="AZ357" s="31" t="inlineStr">
        <is>
          <t>Between 50 to 75</t>
        </is>
      </c>
      <c r="BA357" s="31">
        <f>IF(AZ357="Between 50 to 75",10,IF(AZ357="Above 75",0,0))</f>
        <v/>
      </c>
      <c r="BB357" s="31" t="inlineStr">
        <is>
          <t>Stage 2</t>
        </is>
      </c>
      <c r="BC357" s="31">
        <f>IF(BB357="Stage 2",20,IF(BB357="Stage 1",0,IF(BB357="Stage 3",5,IF(BB357="Stage 4",-5,0))))</f>
        <v/>
      </c>
      <c r="BD357" s="31" t="inlineStr">
        <is>
          <t>Negative Trend</t>
        </is>
      </c>
      <c r="BE357" s="31">
        <f>IF(BD357="Positive Trend",20,IF(BD357="Negative Trend",-10,0))</f>
        <v/>
      </c>
      <c r="BF357" s="31" t="inlineStr">
        <is>
          <t>Uptrend</t>
        </is>
      </c>
      <c r="BG357" s="31">
        <f>IF(BF357="Uptrend",10,IF(BF357="Sideways",5,0))</f>
        <v/>
      </c>
      <c r="BH357" s="31" t="inlineStr">
        <is>
          <t>Uptrend</t>
        </is>
      </c>
      <c r="BI357" s="31">
        <f>IF(BH357="Uptrend",10,IF(BH357="Sideways",5,0))</f>
        <v/>
      </c>
      <c r="BJ357" s="31" t="inlineStr">
        <is>
          <t>Close to 52 week high or retracement</t>
        </is>
      </c>
      <c r="BK357" s="31">
        <f>IF(BJ357="Overhead supply in last 2 years in last 2 years",-5,IF(BJ357="Close to 52 week high or retracement",5,IF(BJ357="Blue sky scenario",10,IF(BJ357="Long term Downtrend",-10,0))))</f>
        <v/>
      </c>
      <c r="BL357" s="31" t="inlineStr">
        <is>
          <t>Yes</t>
        </is>
      </c>
      <c r="BM357" s="31">
        <f>IF(BL357="Yes",10,0)</f>
        <v/>
      </c>
      <c r="BN357" s="31" t="inlineStr">
        <is>
          <t>More than 20%</t>
        </is>
      </c>
      <c r="BO357" s="31">
        <f>IF(BN357="More than 20%",10,IF(BN357="Between 12 to 20%",5,IF(BN357="Less than 12%",0,0)))</f>
        <v/>
      </c>
      <c r="BP357" s="31" t="inlineStr">
        <is>
          <t>No</t>
        </is>
      </c>
      <c r="BQ357" s="31">
        <f>IF(BP357="No",10,0)</f>
        <v/>
      </c>
      <c r="BR357" s="31" t="inlineStr">
        <is>
          <t>No</t>
        </is>
      </c>
      <c r="BS357" s="31">
        <f>IF(BR357="NO",5,0)</f>
        <v/>
      </c>
      <c r="BT357" s="31" t="inlineStr">
        <is>
          <t>Above 2</t>
        </is>
      </c>
      <c r="BU357" s="31">
        <f>IF(BT357="Above 2",0,IF(BT357="Between 1.5 to 2",5,IF(BT357="Less than 1.5",10,0)))</f>
        <v/>
      </c>
      <c r="BV357" s="31" t="inlineStr">
        <is>
          <t>Above 70%</t>
        </is>
      </c>
      <c r="BW357" s="31">
        <f>IF(BV357="Above 70%",10,IF(BV357="Between 50% to 70%",5,IF(BV357="Less than 50%",0,IF(BV357="Negative",-10,IF(BV357="Less than 50% and Borrowings are increasing",-5,0)))))</f>
        <v/>
      </c>
      <c r="BX357" s="31" t="inlineStr">
        <is>
          <t>Less than 0.7</t>
        </is>
      </c>
      <c r="BY357" s="31">
        <f>IF(BX357="More than 1.2",-10,IF(BX357="Between 0.7 to 1.2",0,IF(BX357="Less than 0.7",10,0)))</f>
        <v/>
      </c>
      <c r="BZ357" s="31" t="inlineStr">
        <is>
          <t>No</t>
        </is>
      </c>
      <c r="CA357" s="31">
        <f>IF(BZ357="Yes",-10,0)</f>
        <v/>
      </c>
      <c r="CB357" s="31" t="inlineStr">
        <is>
          <t>Less than 15%</t>
        </is>
      </c>
      <c r="CC357" s="31">
        <f>IF(CB357="More than 15%",-10,IF(CB357="Less than 15%",10,0))</f>
        <v/>
      </c>
      <c r="CD357" s="31" t="inlineStr">
        <is>
          <t>No</t>
        </is>
      </c>
      <c r="CE357" s="31">
        <f>IF(CD357="Yes, more than 10%",-10,IF(CD357="No",10,0))</f>
        <v/>
      </c>
    </row>
    <row r="358">
      <c r="A358" s="31">
        <f>IF(B358=0,"",RANK(B358,$B$2:$B$363,0))</f>
        <v/>
      </c>
      <c r="B358" s="32">
        <f>SUM(N358,Y358,AA358,AC358,AE358,AG358,AI358,AK358,AM358,AO358,AQ358,AS358,AU358,AW358,AY358,BA358,BC358,BE358,BG358,BI358,BK358,BM358,BO358,BQ358,BS358,BU358,BW358,BY358,CA358,CC358,CE358)</f>
        <v/>
      </c>
      <c r="C358" s="31" t="inlineStr">
        <is>
          <t>UNITEDPOLY</t>
        </is>
      </c>
      <c r="D358" s="31" t="inlineStr">
        <is>
          <t>United Polyfab Gujarat Ltd</t>
        </is>
      </c>
      <c r="E358" s="31" t="inlineStr">
        <is>
          <t>textiles</t>
        </is>
      </c>
      <c r="F358" s="31" t="inlineStr">
        <is>
          <t>textiles - products</t>
        </is>
      </c>
      <c r="G358" s="31" t="inlineStr">
        <is>
          <t>smallcap</t>
        </is>
      </c>
      <c r="H358" s="32" t="n">
        <v>927.47</v>
      </c>
      <c r="I358" s="32" t="n">
        <v>41.66</v>
      </c>
      <c r="J358" s="32" t="n">
        <v>3.09</v>
      </c>
      <c r="K358" s="32" t="n">
        <v>210611</v>
      </c>
      <c r="L358" s="31" t="n">
        <v>46</v>
      </c>
      <c r="M358" s="31" t="inlineStr">
        <is>
          <t>Outperforming</t>
        </is>
      </c>
      <c r="N358" s="32">
        <f>IF(M358="Underperforming",-5,IF(L358&gt;=95,15,IF(L358&gt;=90,10,IF(L358&gt;=80,5,0))))</f>
        <v/>
      </c>
      <c r="O358" s="32" t="n">
        <v>69.19</v>
      </c>
      <c r="P358" s="32" t="n">
        <v>17.5</v>
      </c>
      <c r="Q358" s="32" t="n">
        <v>29.28</v>
      </c>
      <c r="R358" s="31" t="inlineStr">
        <is>
          <t>Earnings / Momentum Support</t>
        </is>
      </c>
      <c r="S358" s="31" t="inlineStr">
        <is>
          <t>Nifty 50</t>
        </is>
      </c>
      <c r="T358" s="32" t="n">
        <v>-3.41</v>
      </c>
      <c r="U358" s="32" t="n">
        <v>26.47</v>
      </c>
      <c r="V358" s="32" t="n">
        <v>30.94</v>
      </c>
      <c r="W358" s="32" t="n">
        <v>12.54</v>
      </c>
      <c r="X358" s="31" t="inlineStr">
        <is>
          <t>Growing Industry</t>
        </is>
      </c>
      <c r="Y358" s="31">
        <f>IF(X358="Growing Industry",10,IF(X358="Cyclical in an Upturn",5,0))</f>
        <v/>
      </c>
      <c r="Z358" s="31" t="inlineStr">
        <is>
          <t>Oligopoly</t>
        </is>
      </c>
      <c r="AA358" s="31">
        <f>IF(Z358="Monopoly",10,IF(Z358="Oligopoly",5,IF(Z358="Duopoly that cooperate",10,IF(Z358="Duopoly that compete",5,IF(Z358="Too many players with High ROCE",5,0)))))</f>
        <v/>
      </c>
      <c r="AB358" s="31" t="inlineStr">
        <is>
          <t>No</t>
        </is>
      </c>
      <c r="AC358" s="31">
        <f>IF(AB358="No",5,0)</f>
        <v/>
      </c>
      <c r="AD358" s="31" t="inlineStr">
        <is>
          <t>Tailwind</t>
        </is>
      </c>
      <c r="AE358" s="31">
        <f>IF(AD358="Tailwind",10,0)</f>
        <v/>
      </c>
      <c r="AF358" s="31" t="inlineStr">
        <is>
          <t>Shallow Cyclical (2 to 3 Years Growth)</t>
        </is>
      </c>
      <c r="AG358" s="31">
        <f>IF(AF358="Structural (10 Years Consistency)",10,IF(AF358="Shallow Cyclical (2 to 3 years growth)",5,0))</f>
        <v/>
      </c>
      <c r="AH358" s="31" t="inlineStr">
        <is>
          <t>Yes due to Product Mix change or Operating Leverage</t>
        </is>
      </c>
      <c r="AI358" s="31">
        <f>IF(AH358="Yes due to Product Mix change or Operating Leverage",10,IF(AH358="Yes, these are peak margins",-5,IF(AH358="No",5,0)))</f>
        <v/>
      </c>
      <c r="AJ358" s="31" t="inlineStr">
        <is>
          <t>Volatile</t>
        </is>
      </c>
      <c r="AK358" s="31">
        <f>IF(AJ358="Stable",10,0)</f>
        <v/>
      </c>
      <c r="AL358" s="31" t="inlineStr">
        <is>
          <t>Yes</t>
        </is>
      </c>
      <c r="AM358" s="31">
        <f>IF(AL358="Yes",10,0)</f>
        <v/>
      </c>
      <c r="AN358" s="31" t="inlineStr">
        <is>
          <t>B2B</t>
        </is>
      </c>
      <c r="AO358" s="31">
        <f>IF(AN358="B2C",10,IF(AN358="B2B",5,0))</f>
        <v/>
      </c>
      <c r="AP358" s="31" t="inlineStr">
        <is>
          <t>Yes</t>
        </is>
      </c>
      <c r="AQ358" s="31">
        <f>IF(AP358="Yes",10,0)</f>
        <v/>
      </c>
      <c r="AR358" s="31" t="inlineStr">
        <is>
          <t>Higher One Time, Lower Annuity</t>
        </is>
      </c>
      <c r="AS358" s="31">
        <f>IF(AR358="Fully Annuity",10,IF(AR358="Higher Annuity, Lower One Time",5,IF(AR358="Higher One Time, Lower Annuity",3,0)))</f>
        <v/>
      </c>
      <c r="AT358" s="31" t="inlineStr">
        <is>
          <t>Allocated capital in Non-core Areas</t>
        </is>
      </c>
      <c r="AU358" s="31">
        <f>IF(AT358="Good",10,0)</f>
        <v/>
      </c>
      <c r="AV358" s="31" t="inlineStr">
        <is>
          <t>Yes for more than 2 years</t>
        </is>
      </c>
      <c r="AW358" s="31">
        <f>IF(AV358="Yes for more than 2 years",10,IF(AV358="Yes only for next 1 to 2 years",5,0))</f>
        <v/>
      </c>
      <c r="AX358" s="31" t="inlineStr">
        <is>
          <t>Above 40</t>
        </is>
      </c>
      <c r="AY358" s="31">
        <f>IF(AX358="Above 40",20,IF(AX358="20 to 40",10,IF(AX358="0 to 20",-5,0)))</f>
        <v/>
      </c>
      <c r="AZ358" s="31" t="inlineStr">
        <is>
          <t>Between 50 to 75</t>
        </is>
      </c>
      <c r="BA358" s="31">
        <f>IF(AZ358="Between 50 to 75",10,IF(AZ358="Above 75",0,0))</f>
        <v/>
      </c>
      <c r="BB358" s="31" t="inlineStr">
        <is>
          <t>Stage 3</t>
        </is>
      </c>
      <c r="BC358" s="31">
        <f>IF(BB358="Stage 2",20,IF(BB358="Stage 1",0,IF(BB358="Stage 3",5,IF(BB358="Stage 4",-5,0))))</f>
        <v/>
      </c>
      <c r="BD358" s="31" t="inlineStr">
        <is>
          <t>Negative Trend</t>
        </is>
      </c>
      <c r="BE358" s="31">
        <f>IF(BD358="Positive Trend",20,IF(BD358="Negative Trend",-10,0))</f>
        <v/>
      </c>
      <c r="BF358" s="31" t="inlineStr">
        <is>
          <t>Sideways</t>
        </is>
      </c>
      <c r="BG358" s="31">
        <f>IF(BF358="Uptrend",10,IF(BF358="Sideways",5,0))</f>
        <v/>
      </c>
      <c r="BH358" s="31" t="inlineStr">
        <is>
          <t>Uptrend</t>
        </is>
      </c>
      <c r="BI358" s="31">
        <f>IF(BH358="Uptrend",10,IF(BH358="Sideways",5,0))</f>
        <v/>
      </c>
      <c r="BJ358" s="31" t="inlineStr">
        <is>
          <t>Overhead supply in last 2 years in last 2 years</t>
        </is>
      </c>
      <c r="BK358" s="31">
        <f>IF(BJ358="Overhead supply in last 2 years in last 2 years",-5,IF(BJ358="Close to 52 week high or retracement",5,IF(BJ358="Blue sky scenario",10,IF(BJ358="Long term Downtrend",-10,0))))</f>
        <v/>
      </c>
      <c r="BL358" s="31" t="inlineStr">
        <is>
          <t>Yes</t>
        </is>
      </c>
      <c r="BM358" s="31">
        <f>IF(BL358="Yes",10,0)</f>
        <v/>
      </c>
      <c r="BN358" s="31" t="inlineStr">
        <is>
          <t>More than 20%</t>
        </is>
      </c>
      <c r="BO358" s="31">
        <f>IF(BN358="More than 20%",10,IF(BN358="Between 12 to 20%",5,IF(BN358="Less than 12%",0,0)))</f>
        <v/>
      </c>
      <c r="BP358" s="31" t="inlineStr">
        <is>
          <t>No</t>
        </is>
      </c>
      <c r="BQ358" s="31">
        <f>IF(BP358="No",10,0)</f>
        <v/>
      </c>
      <c r="BR358" s="31" t="inlineStr">
        <is>
          <t>No</t>
        </is>
      </c>
      <c r="BS358" s="31">
        <f>IF(BR358="NO",5,0)</f>
        <v/>
      </c>
      <c r="BT358" s="31" t="inlineStr">
        <is>
          <t>Less than 1.5</t>
        </is>
      </c>
      <c r="BU358" s="31">
        <f>IF(BT358="Above 2",0,IF(BT358="Between 1.5 to 2",5,IF(BT358="Less than 1.5",10,0)))</f>
        <v/>
      </c>
      <c r="BV358" s="31" t="inlineStr">
        <is>
          <t>Above 70%</t>
        </is>
      </c>
      <c r="BW358" s="31">
        <f>IF(BV358="Above 70%",10,IF(BV358="Between 50% to 70%",5,IF(BV358="Less than 50%",0,IF(BV358="Negative",-10,IF(BV358="Less than 50% and Borrowings are increasing",-5,0)))))</f>
        <v/>
      </c>
      <c r="BX358" s="31" t="inlineStr">
        <is>
          <t>Less than 0.7</t>
        </is>
      </c>
      <c r="BY358" s="31">
        <f>IF(BX358="More than 1.2",-10,IF(BX358="Between 0.7 to 1.2",0,IF(BX358="Less than 0.7",10,0)))</f>
        <v/>
      </c>
      <c r="BZ358" s="31" t="inlineStr">
        <is>
          <t>No</t>
        </is>
      </c>
      <c r="CA358" s="31">
        <f>IF(BZ358="Yes",-10,0)</f>
        <v/>
      </c>
      <c r="CB358" s="31" t="inlineStr">
        <is>
          <t>More than 15%</t>
        </is>
      </c>
      <c r="CC358" s="31">
        <f>IF(CB358="More than 15%",-10,IF(CB358="Less than 15%",10,0))</f>
        <v/>
      </c>
      <c r="CD358" s="31" t="inlineStr">
        <is>
          <t>Yes Upto 10%</t>
        </is>
      </c>
      <c r="CE358" s="31">
        <f>IF(CD358="Yes, more than 10%",-10,IF(CD358="No",10,0))</f>
        <v/>
      </c>
    </row>
    <row r="359">
      <c r="A359" s="31">
        <f>IF(B359=0,"",RANK(B359,$B$2:$B$363,0))</f>
        <v/>
      </c>
      <c r="B359" s="32">
        <f>SUM(N359,Y359,AA359,AC359,AE359,AG359,AI359,AK359,AM359,AO359,AQ359,AS359,AU359,AW359,AY359,BA359,BC359,BE359,BG359,BI359,BK359,BM359,BO359,BQ359,BS359,BU359,BW359,BY359,CA359,CC359,CE359)</f>
        <v/>
      </c>
      <c r="C359" s="31" t="inlineStr">
        <is>
          <t>GNFC</t>
        </is>
      </c>
      <c r="D359" s="31" t="inlineStr">
        <is>
          <t>Gujarat Narmada Valley Fertilizers And Chemicals Limited</t>
        </is>
      </c>
      <c r="E359" s="31" t="inlineStr">
        <is>
          <t>chemicals</t>
        </is>
      </c>
      <c r="F359" s="31" t="inlineStr">
        <is>
          <t>chemicals</t>
        </is>
      </c>
      <c r="G359" s="31" t="inlineStr">
        <is>
          <t>midcap</t>
        </is>
      </c>
      <c r="H359" s="32" t="n">
        <v>8630.559999999999</v>
      </c>
      <c r="I359" s="32" t="n">
        <v>596.7</v>
      </c>
      <c r="J359" s="32" t="n">
        <v>1.59</v>
      </c>
      <c r="K359" s="32" t="n">
        <v>791924</v>
      </c>
      <c r="L359" s="31" t="n">
        <v>30</v>
      </c>
      <c r="M359" s="31" t="inlineStr">
        <is>
          <t>Outperforming</t>
        </is>
      </c>
      <c r="N359" s="32">
        <f>IF(M359="Underperforming",-5,IF(L359&gt;=95,15,IF(L359&gt;=90,10,IF(L359&gt;=80,5,0))))</f>
        <v/>
      </c>
      <c r="O359" s="32" t="n">
        <v>69.01000000000001</v>
      </c>
      <c r="P359" s="32" t="n">
        <v>36.64</v>
      </c>
      <c r="Q359" s="32" t="n">
        <v>488.07</v>
      </c>
      <c r="R359" s="31" t="inlineStr">
        <is>
          <t>Near 52W High Breakout</t>
        </is>
      </c>
      <c r="S359" s="31" t="inlineStr">
        <is>
          <t>Nifty 50</t>
        </is>
      </c>
      <c r="T359" s="32" t="n">
        <v>-3.41</v>
      </c>
      <c r="U359" s="32" t="n">
        <v>18.29</v>
      </c>
      <c r="V359" s="32" t="n">
        <v>22.46</v>
      </c>
      <c r="W359" s="32" t="n">
        <v>8.02</v>
      </c>
      <c r="X359" s="31" t="inlineStr">
        <is>
          <t>Growing Industry</t>
        </is>
      </c>
      <c r="Y359" s="31">
        <f>IF(X359="Growing Industry",10,IF(X359="Cyclical in an Upturn",5,0))</f>
        <v/>
      </c>
      <c r="Z359" s="31" t="inlineStr">
        <is>
          <t>Oligopoly</t>
        </is>
      </c>
      <c r="AA359" s="31">
        <f>IF(Z359="Monopoly",10,IF(Z359="Oligopoly",5,IF(Z359="Duopoly that cooperate",10,IF(Z359="Duopoly that compete",5,IF(Z359="Too many players with High ROCE",5,0)))))</f>
        <v/>
      </c>
      <c r="AB359" s="31" t="inlineStr">
        <is>
          <t>No</t>
        </is>
      </c>
      <c r="AC359" s="31">
        <f>IF(AB359="No",5,0)</f>
        <v/>
      </c>
      <c r="AD359" s="31" t="inlineStr">
        <is>
          <t>Tailwind</t>
        </is>
      </c>
      <c r="AE359" s="31">
        <f>IF(AD359="Tailwind",10,0)</f>
        <v/>
      </c>
      <c r="AF359" s="31" t="inlineStr">
        <is>
          <t>Shallow Cyclical (2 to 3 Years Growth)</t>
        </is>
      </c>
      <c r="AG359" s="31">
        <f>IF(AF359="Structural (10 Years Consistency)",10,IF(AF359="Shallow Cyclical (2 to 3 years growth)",5,0))</f>
        <v/>
      </c>
      <c r="AH359" s="31" t="inlineStr">
        <is>
          <t>Yes due to Product Mix change or Operating Leverage</t>
        </is>
      </c>
      <c r="AI359" s="31">
        <f>IF(AH359="Yes due to Product Mix change or Operating Leverage",10,IF(AH359="Yes, these are peak margins",-5,IF(AH359="No",5,0)))</f>
        <v/>
      </c>
      <c r="AJ359" s="31" t="inlineStr">
        <is>
          <t>Volatile</t>
        </is>
      </c>
      <c r="AK359" s="31">
        <f>IF(AJ359="Stable",10,0)</f>
        <v/>
      </c>
      <c r="AL359" s="31" t="inlineStr">
        <is>
          <t>Yes</t>
        </is>
      </c>
      <c r="AM359" s="31">
        <f>IF(AL359="Yes",10,0)</f>
        <v/>
      </c>
      <c r="AN359" s="31" t="inlineStr">
        <is>
          <t>B2B</t>
        </is>
      </c>
      <c r="AO359" s="31">
        <f>IF(AN359="B2C",10,IF(AN359="B2B",5,0))</f>
        <v/>
      </c>
      <c r="AP359" s="31" t="inlineStr">
        <is>
          <t>Yes</t>
        </is>
      </c>
      <c r="AQ359" s="31">
        <f>IF(AP359="Yes",10,0)</f>
        <v/>
      </c>
      <c r="AR359" s="31" t="inlineStr">
        <is>
          <t>Higher One Time, Lower Annuity</t>
        </is>
      </c>
      <c r="AS359" s="31">
        <f>IF(AR359="Fully Annuity",10,IF(AR359="Higher Annuity, Lower One Time",5,IF(AR359="Higher One Time, Lower Annuity",3,0)))</f>
        <v/>
      </c>
      <c r="AT359" s="31" t="inlineStr">
        <is>
          <t>Allocated capital in Non-core Areas</t>
        </is>
      </c>
      <c r="AU359" s="31">
        <f>IF(AT359="Good",10,0)</f>
        <v/>
      </c>
      <c r="AV359" s="31" t="inlineStr">
        <is>
          <t>Yes for more than 2 years</t>
        </is>
      </c>
      <c r="AW359" s="31">
        <f>IF(AV359="Yes for more than 2 years",10,IF(AV359="Yes only for next 1 to 2 years",5,0))</f>
        <v/>
      </c>
      <c r="AX359" s="31" t="inlineStr">
        <is>
          <t>Above 40</t>
        </is>
      </c>
      <c r="AY359" s="31">
        <f>IF(AX359="Above 40",20,IF(AX359="20 to 40",10,IF(AX359="0 to 20",-5,0)))</f>
        <v/>
      </c>
      <c r="AZ359" s="31" t="inlineStr">
        <is>
          <t>Between 50 to 75</t>
        </is>
      </c>
      <c r="BA359" s="31">
        <f>IF(AZ359="Between 50 to 75",10,IF(AZ359="Above 75",0,0))</f>
        <v/>
      </c>
      <c r="BB359" s="31" t="inlineStr">
        <is>
          <t>Stage 3</t>
        </is>
      </c>
      <c r="BC359" s="31">
        <f>IF(BB359="Stage 2",20,IF(BB359="Stage 1",0,IF(BB359="Stage 3",5,IF(BB359="Stage 4",-5,0))))</f>
        <v/>
      </c>
      <c r="BD359" s="31" t="inlineStr">
        <is>
          <t>Negative Trend</t>
        </is>
      </c>
      <c r="BE359" s="31">
        <f>IF(BD359="Positive Trend",20,IF(BD359="Negative Trend",-10,0))</f>
        <v/>
      </c>
      <c r="BF359" s="31" t="inlineStr">
        <is>
          <t>Sideways</t>
        </is>
      </c>
      <c r="BG359" s="31">
        <f>IF(BF359="Uptrend",10,IF(BF359="Sideways",5,0))</f>
        <v/>
      </c>
      <c r="BH359" s="31" t="inlineStr">
        <is>
          <t>Uptrend</t>
        </is>
      </c>
      <c r="BI359" s="31">
        <f>IF(BH359="Uptrend",10,IF(BH359="Sideways",5,0))</f>
        <v/>
      </c>
      <c r="BJ359" s="31" t="inlineStr">
        <is>
          <t>Overhead supply in last 2 years in last 2 years</t>
        </is>
      </c>
      <c r="BK359" s="31">
        <f>IF(BJ359="Overhead supply in last 2 years in last 2 years",-5,IF(BJ359="Close to 52 week high or retracement",5,IF(BJ359="Blue sky scenario",10,IF(BJ359="Long term Downtrend",-10,0))))</f>
        <v/>
      </c>
      <c r="BL359" s="31" t="inlineStr">
        <is>
          <t>Yes</t>
        </is>
      </c>
      <c r="BM359" s="31">
        <f>IF(BL359="Yes",10,0)</f>
        <v/>
      </c>
      <c r="BN359" s="31" t="inlineStr">
        <is>
          <t>More than 20%</t>
        </is>
      </c>
      <c r="BO359" s="31">
        <f>IF(BN359="More than 20%",10,IF(BN359="Between 12 to 20%",5,IF(BN359="Less than 12%",0,0)))</f>
        <v/>
      </c>
      <c r="BP359" s="31" t="inlineStr">
        <is>
          <t>No</t>
        </is>
      </c>
      <c r="BQ359" s="31">
        <f>IF(BP359="No",10,0)</f>
        <v/>
      </c>
      <c r="BR359" s="31" t="inlineStr">
        <is>
          <t>No</t>
        </is>
      </c>
      <c r="BS359" s="31">
        <f>IF(BR359="NO",5,0)</f>
        <v/>
      </c>
      <c r="BT359" s="31" t="inlineStr">
        <is>
          <t>Less than 1.5</t>
        </is>
      </c>
      <c r="BU359" s="31">
        <f>IF(BT359="Above 2",0,IF(BT359="Between 1.5 to 2",5,IF(BT359="Less than 1.5",10,0)))</f>
        <v/>
      </c>
      <c r="BV359" s="31" t="inlineStr">
        <is>
          <t>Above 70%</t>
        </is>
      </c>
      <c r="BW359" s="31">
        <f>IF(BV359="Above 70%",10,IF(BV359="Between 50% to 70%",5,IF(BV359="Less than 50%",0,IF(BV359="Negative",-10,IF(BV359="Less than 50% and Borrowings are increasing",-5,0)))))</f>
        <v/>
      </c>
      <c r="BX359" s="31" t="inlineStr">
        <is>
          <t>Less than 0.7</t>
        </is>
      </c>
      <c r="BY359" s="31">
        <f>IF(BX359="More than 1.2",-10,IF(BX359="Between 0.7 to 1.2",0,IF(BX359="Less than 0.7",10,0)))</f>
        <v/>
      </c>
      <c r="BZ359" s="31" t="inlineStr">
        <is>
          <t>No</t>
        </is>
      </c>
      <c r="CA359" s="31">
        <f>IF(BZ359="Yes",-10,0)</f>
        <v/>
      </c>
      <c r="CB359" s="31" t="inlineStr">
        <is>
          <t>More than 15%</t>
        </is>
      </c>
      <c r="CC359" s="31">
        <f>IF(CB359="More than 15%",-10,IF(CB359="Less than 15%",10,0))</f>
        <v/>
      </c>
      <c r="CD359" s="31" t="inlineStr">
        <is>
          <t>Yes Upto 10%</t>
        </is>
      </c>
      <c r="CE359" s="31">
        <f>IF(CD359="Yes, more than 10%",-10,IF(CD359="No",10,0))</f>
        <v/>
      </c>
    </row>
    <row r="360">
      <c r="A360" s="31">
        <f>IF(B360=0,"",RANK(B360,$B$2:$B$363,0))</f>
        <v/>
      </c>
      <c r="B360" s="32">
        <f>SUM(N360,Y360,AA360,AC360,AE360,AG360,AI360,AK360,AM360,AO360,AQ360,AS360,AU360,AW360,AY360,BA360,BC360,BE360,BG360,BI360,BK360,BM360,BO360,BQ360,BS360,BU360,BW360,BY360,CA360,CC360,CE360)</f>
        <v/>
      </c>
      <c r="C360" s="31" t="inlineStr">
        <is>
          <t>GUJALKALI</t>
        </is>
      </c>
      <c r="D360" s="31" t="inlineStr">
        <is>
          <t>Gujarat Alkalies And Chemicals Limited</t>
        </is>
      </c>
      <c r="E360" s="31" t="inlineStr">
        <is>
          <t>chemicals</t>
        </is>
      </c>
      <c r="F360" s="31" t="inlineStr">
        <is>
          <t>chemicals</t>
        </is>
      </c>
      <c r="G360" s="31" t="inlineStr">
        <is>
          <t>midcap</t>
        </is>
      </c>
      <c r="H360" s="32" t="n">
        <v>5308.39</v>
      </c>
      <c r="I360" s="32" t="n">
        <v>721.6</v>
      </c>
      <c r="J360" s="32" t="n">
        <v>-0.17</v>
      </c>
      <c r="K360" s="32" t="n">
        <v>109374</v>
      </c>
      <c r="L360" s="31" t="n">
        <v>33</v>
      </c>
      <c r="M360" s="31" t="inlineStr">
        <is>
          <t>Outperforming</t>
        </is>
      </c>
      <c r="N360" s="32">
        <f>IF(M360="Underperforming",-5,IF(L360&gt;=95,15,IF(L360&gt;=90,10,IF(L360&gt;=80,5,0))))</f>
        <v/>
      </c>
      <c r="O360" s="32" t="n">
        <v>63.16</v>
      </c>
      <c r="P360" s="32" t="n">
        <v>28.58</v>
      </c>
      <c r="Q360" s="32" t="n">
        <v>544.11</v>
      </c>
      <c r="R360" s="31" t="inlineStr">
        <is>
          <t>Earnings / Momentum Support</t>
        </is>
      </c>
      <c r="S360" s="31" t="inlineStr">
        <is>
          <t>Nifty 50</t>
        </is>
      </c>
      <c r="T360" s="32" t="n">
        <v>-3.41</v>
      </c>
      <c r="U360" s="32" t="n">
        <v>26</v>
      </c>
      <c r="V360" s="32" t="n">
        <v>30.45</v>
      </c>
      <c r="W360" s="32" t="n">
        <v>8.69</v>
      </c>
      <c r="X360" s="31" t="inlineStr">
        <is>
          <t>Growing Industry</t>
        </is>
      </c>
      <c r="Y360" s="31">
        <f>IF(X360="Growing Industry",10,IF(X360="Cyclical in an Upturn",5,0))</f>
        <v/>
      </c>
      <c r="Z360" s="31" t="inlineStr">
        <is>
          <t>Oligopoly</t>
        </is>
      </c>
      <c r="AA360" s="31">
        <f>IF(Z360="Monopoly",10,IF(Z360="Oligopoly",5,IF(Z360="Duopoly that cooperate",10,IF(Z360="Duopoly that compete",5,IF(Z360="Too many players with High ROCE",5,0)))))</f>
        <v/>
      </c>
      <c r="AB360" s="31" t="inlineStr">
        <is>
          <t>No</t>
        </is>
      </c>
      <c r="AC360" s="31">
        <f>IF(AB360="No",5,0)</f>
        <v/>
      </c>
      <c r="AD360" s="31" t="inlineStr">
        <is>
          <t>Tailwind</t>
        </is>
      </c>
      <c r="AE360" s="31">
        <f>IF(AD360="Tailwind",10,0)</f>
        <v/>
      </c>
      <c r="AF360" s="31" t="inlineStr">
        <is>
          <t>Shallow Cyclical (2 to 3 Years Growth)</t>
        </is>
      </c>
      <c r="AG360" s="31">
        <f>IF(AF360="Structural (10 Years Consistency)",10,IF(AF360="Shallow Cyclical (2 to 3 years growth)",5,0))</f>
        <v/>
      </c>
      <c r="AH360" s="31" t="inlineStr">
        <is>
          <t>Yes due to Product Mix change or Operating Leverage</t>
        </is>
      </c>
      <c r="AI360" s="31">
        <f>IF(AH360="Yes due to Product Mix change or Operating Leverage",10,IF(AH360="Yes, these are peak margins",-5,IF(AH360="No",5,0)))</f>
        <v/>
      </c>
      <c r="AJ360" s="31" t="inlineStr">
        <is>
          <t>Volatile</t>
        </is>
      </c>
      <c r="AK360" s="31">
        <f>IF(AJ360="Stable",10,0)</f>
        <v/>
      </c>
      <c r="AL360" s="31" t="inlineStr">
        <is>
          <t>Yes</t>
        </is>
      </c>
      <c r="AM360" s="31">
        <f>IF(AL360="Yes",10,0)</f>
        <v/>
      </c>
      <c r="AN360" s="31" t="inlineStr">
        <is>
          <t>B2B</t>
        </is>
      </c>
      <c r="AO360" s="31">
        <f>IF(AN360="B2C",10,IF(AN360="B2B",5,0))</f>
        <v/>
      </c>
      <c r="AP360" s="31" t="inlineStr">
        <is>
          <t>Yes</t>
        </is>
      </c>
      <c r="AQ360" s="31">
        <f>IF(AP360="Yes",10,0)</f>
        <v/>
      </c>
      <c r="AR360" s="31" t="inlineStr">
        <is>
          <t>Higher One Time, Lower Annuity</t>
        </is>
      </c>
      <c r="AS360" s="31">
        <f>IF(AR360="Fully Annuity",10,IF(AR360="Higher Annuity, Lower One Time",5,IF(AR360="Higher One Time, Lower Annuity",3,0)))</f>
        <v/>
      </c>
      <c r="AT360" s="31" t="inlineStr">
        <is>
          <t>Allocated capital in Non-core Areas</t>
        </is>
      </c>
      <c r="AU360" s="31">
        <f>IF(AT360="Good",10,0)</f>
        <v/>
      </c>
      <c r="AV360" s="31" t="inlineStr">
        <is>
          <t>Yes for more than 2 years</t>
        </is>
      </c>
      <c r="AW360" s="31">
        <f>IF(AV360="Yes for more than 2 years",10,IF(AV360="Yes only for next 1 to 2 years",5,0))</f>
        <v/>
      </c>
      <c r="AX360" s="31" t="inlineStr">
        <is>
          <t>Above 40</t>
        </is>
      </c>
      <c r="AY360" s="31">
        <f>IF(AX360="Above 40",20,IF(AX360="20 to 40",10,IF(AX360="0 to 20",-5,0)))</f>
        <v/>
      </c>
      <c r="AZ360" s="31" t="inlineStr">
        <is>
          <t>Between 50 to 75</t>
        </is>
      </c>
      <c r="BA360" s="31">
        <f>IF(AZ360="Between 50 to 75",10,IF(AZ360="Above 75",0,0))</f>
        <v/>
      </c>
      <c r="BB360" s="31" t="inlineStr">
        <is>
          <t>Stage 3</t>
        </is>
      </c>
      <c r="BC360" s="31">
        <f>IF(BB360="Stage 2",20,IF(BB360="Stage 1",0,IF(BB360="Stage 3",5,IF(BB360="Stage 4",-5,0))))</f>
        <v/>
      </c>
      <c r="BD360" s="31" t="inlineStr">
        <is>
          <t>Negative Trend</t>
        </is>
      </c>
      <c r="BE360" s="31">
        <f>IF(BD360="Positive Trend",20,IF(BD360="Negative Trend",-10,0))</f>
        <v/>
      </c>
      <c r="BF360" s="31" t="inlineStr">
        <is>
          <t>Sideways</t>
        </is>
      </c>
      <c r="BG360" s="31">
        <f>IF(BF360="Uptrend",10,IF(BF360="Sideways",5,0))</f>
        <v/>
      </c>
      <c r="BH360" s="31" t="inlineStr">
        <is>
          <t>Uptrend</t>
        </is>
      </c>
      <c r="BI360" s="31">
        <f>IF(BH360="Uptrend",10,IF(BH360="Sideways",5,0))</f>
        <v/>
      </c>
      <c r="BJ360" s="31" t="inlineStr">
        <is>
          <t>Overhead supply in last 2 years in last 2 years</t>
        </is>
      </c>
      <c r="BK360" s="31">
        <f>IF(BJ360="Overhead supply in last 2 years in last 2 years",-5,IF(BJ360="Close to 52 week high or retracement",5,IF(BJ360="Blue sky scenario",10,IF(BJ360="Long term Downtrend",-10,0))))</f>
        <v/>
      </c>
      <c r="BL360" s="31" t="inlineStr">
        <is>
          <t>Yes</t>
        </is>
      </c>
      <c r="BM360" s="31">
        <f>IF(BL360="Yes",10,0)</f>
        <v/>
      </c>
      <c r="BN360" s="31" t="inlineStr">
        <is>
          <t>More than 20%</t>
        </is>
      </c>
      <c r="BO360" s="31">
        <f>IF(BN360="More than 20%",10,IF(BN360="Between 12 to 20%",5,IF(BN360="Less than 12%",0,0)))</f>
        <v/>
      </c>
      <c r="BP360" s="31" t="inlineStr">
        <is>
          <t>No</t>
        </is>
      </c>
      <c r="BQ360" s="31">
        <f>IF(BP360="No",10,0)</f>
        <v/>
      </c>
      <c r="BR360" s="31" t="inlineStr">
        <is>
          <t>No</t>
        </is>
      </c>
      <c r="BS360" s="31">
        <f>IF(BR360="NO",5,0)</f>
        <v/>
      </c>
      <c r="BT360" s="31" t="inlineStr">
        <is>
          <t>Less than 1.5</t>
        </is>
      </c>
      <c r="BU360" s="31">
        <f>IF(BT360="Above 2",0,IF(BT360="Between 1.5 to 2",5,IF(BT360="Less than 1.5",10,0)))</f>
        <v/>
      </c>
      <c r="BV360" s="31" t="inlineStr">
        <is>
          <t>Above 70%</t>
        </is>
      </c>
      <c r="BW360" s="31">
        <f>IF(BV360="Above 70%",10,IF(BV360="Between 50% to 70%",5,IF(BV360="Less than 50%",0,IF(BV360="Negative",-10,IF(BV360="Less than 50% and Borrowings are increasing",-5,0)))))</f>
        <v/>
      </c>
      <c r="BX360" s="31" t="inlineStr">
        <is>
          <t>Less than 0.7</t>
        </is>
      </c>
      <c r="BY360" s="31">
        <f>IF(BX360="More than 1.2",-10,IF(BX360="Between 0.7 to 1.2",0,IF(BX360="Less than 0.7",10,0)))</f>
        <v/>
      </c>
      <c r="BZ360" s="31" t="inlineStr">
        <is>
          <t>No</t>
        </is>
      </c>
      <c r="CA360" s="31">
        <f>IF(BZ360="Yes",-10,0)</f>
        <v/>
      </c>
      <c r="CB360" s="31" t="inlineStr">
        <is>
          <t>More than 15%</t>
        </is>
      </c>
      <c r="CC360" s="31">
        <f>IF(CB360="More than 15%",-10,IF(CB360="Less than 15%",10,0))</f>
        <v/>
      </c>
      <c r="CD360" s="31" t="inlineStr">
        <is>
          <t>Yes Upto 10%</t>
        </is>
      </c>
      <c r="CE360" s="31">
        <f>IF(CD360="Yes, more than 10%",-10,IF(CD360="No",10,0))</f>
        <v/>
      </c>
    </row>
    <row r="361">
      <c r="A361" s="31">
        <f>IF(B361=0,"",RANK(B361,$B$2:$B$363,0))</f>
        <v/>
      </c>
      <c r="B361" s="32">
        <f>SUM(N361,Y361,AA361,AC361,AE361,AG361,AI361,AK361,AM361,AO361,AQ361,AS361,AU361,AW361,AY361,BA361,BC361,BE361,BG361,BI361,BK361,BM361,BO361,BQ361,BS361,BU361,BW361,BY361,CA361,CC361,CE361)</f>
        <v/>
      </c>
      <c r="C361" s="31" t="inlineStr">
        <is>
          <t>GIPCL</t>
        </is>
      </c>
      <c r="D361" s="31" t="inlineStr">
        <is>
          <t>Gujarat Industries Power Company Limited</t>
        </is>
      </c>
      <c r="E361" s="31" t="inlineStr">
        <is>
          <t>power &amp; utilities</t>
        </is>
      </c>
      <c r="F361" s="31" t="inlineStr">
        <is>
          <t>power generation and supply</t>
        </is>
      </c>
      <c r="G361" s="31" t="inlineStr">
        <is>
          <t>smallcap</t>
        </is>
      </c>
      <c r="H361" s="32" t="n">
        <v>3229.11</v>
      </c>
      <c r="I361" s="32" t="n">
        <v>205.18</v>
      </c>
      <c r="J361" s="32" t="n">
        <v>-1.37</v>
      </c>
      <c r="K361" s="32" t="n">
        <v>400260</v>
      </c>
      <c r="L361" s="31" t="n">
        <v>27</v>
      </c>
      <c r="M361" s="31" t="inlineStr">
        <is>
          <t>Outperforming</t>
        </is>
      </c>
      <c r="N361" s="32">
        <f>IF(M361="Underperforming",-5,IF(L361&gt;=95,15,IF(L361&gt;=90,10,IF(L361&gt;=80,5,0))))</f>
        <v/>
      </c>
      <c r="O361" s="32" t="n">
        <v>71.81999999999999</v>
      </c>
      <c r="P361" s="32" t="n">
        <v>19.27</v>
      </c>
      <c r="Q361" s="32" t="n">
        <v>166.16</v>
      </c>
      <c r="R361" s="31" t="inlineStr">
        <is>
          <t>Near 52W High Breakout</t>
        </is>
      </c>
      <c r="S361" s="31" t="inlineStr">
        <is>
          <t>Nifty IT</t>
        </is>
      </c>
      <c r="T361" s="32" t="n">
        <v>-11.38</v>
      </c>
      <c r="U361" s="32" t="n">
        <v>7.79</v>
      </c>
      <c r="V361" s="32" t="n">
        <v>21.62</v>
      </c>
      <c r="W361" s="32" t="n">
        <v>7.14</v>
      </c>
      <c r="X361" s="31" t="inlineStr">
        <is>
          <t>Growing Industry</t>
        </is>
      </c>
      <c r="Y361" s="31">
        <f>IF(X361="Growing Industry",10,IF(X361="Cyclical in an Upturn",5,0))</f>
        <v/>
      </c>
      <c r="Z361" s="31" t="inlineStr">
        <is>
          <t>Oligopoly</t>
        </is>
      </c>
      <c r="AA361" s="31">
        <f>IF(Z361="Monopoly",10,IF(Z361="Oligopoly",5,IF(Z361="Duopoly that cooperate",10,IF(Z361="Duopoly that compete",5,IF(Z361="Too many players with High ROCE",5,0)))))</f>
        <v/>
      </c>
      <c r="AB361" s="31" t="inlineStr">
        <is>
          <t>No</t>
        </is>
      </c>
      <c r="AC361" s="31">
        <f>IF(AB361="No",5,0)</f>
        <v/>
      </c>
      <c r="AD361" s="31" t="inlineStr">
        <is>
          <t>Tailwind</t>
        </is>
      </c>
      <c r="AE361" s="31">
        <f>IF(AD361="Tailwind",10,0)</f>
        <v/>
      </c>
      <c r="AF361" s="31" t="inlineStr">
        <is>
          <t>Shallow Cyclical (2 to 3 Years Growth)</t>
        </is>
      </c>
      <c r="AG361" s="31">
        <f>IF(AF361="Structural (10 Years Consistency)",10,IF(AF361="Shallow Cyclical (2 to 3 years growth)",5,0))</f>
        <v/>
      </c>
      <c r="AH361" s="31" t="inlineStr">
        <is>
          <t>Yes due to Product Mix change or Operating Leverage</t>
        </is>
      </c>
      <c r="AI361" s="31">
        <f>IF(AH361="Yes due to Product Mix change or Operating Leverage",10,IF(AH361="Yes, these are peak margins",-5,IF(AH361="No",5,0)))</f>
        <v/>
      </c>
      <c r="AJ361" s="31" t="inlineStr">
        <is>
          <t>Volatile</t>
        </is>
      </c>
      <c r="AK361" s="31">
        <f>IF(AJ361="Stable",10,0)</f>
        <v/>
      </c>
      <c r="AL361" s="31" t="inlineStr">
        <is>
          <t>Yes</t>
        </is>
      </c>
      <c r="AM361" s="31">
        <f>IF(AL361="Yes",10,0)</f>
        <v/>
      </c>
      <c r="AN361" s="31" t="inlineStr">
        <is>
          <t>B2B</t>
        </is>
      </c>
      <c r="AO361" s="31">
        <f>IF(AN361="B2C",10,IF(AN361="B2B",5,0))</f>
        <v/>
      </c>
      <c r="AP361" s="31" t="inlineStr">
        <is>
          <t>Yes</t>
        </is>
      </c>
      <c r="AQ361" s="31">
        <f>IF(AP361="Yes",10,0)</f>
        <v/>
      </c>
      <c r="AR361" s="31" t="inlineStr">
        <is>
          <t>Higher One Time, Lower Annuity</t>
        </is>
      </c>
      <c r="AS361" s="31">
        <f>IF(AR361="Fully Annuity",10,IF(AR361="Higher Annuity, Lower One Time",5,IF(AR361="Higher One Time, Lower Annuity",3,0)))</f>
        <v/>
      </c>
      <c r="AT361" s="31" t="inlineStr">
        <is>
          <t>Allocated capital in Non-core Areas</t>
        </is>
      </c>
      <c r="AU361" s="31">
        <f>IF(AT361="Good",10,0)</f>
        <v/>
      </c>
      <c r="AV361" s="31" t="inlineStr">
        <is>
          <t>Yes for more than 2 years</t>
        </is>
      </c>
      <c r="AW361" s="31">
        <f>IF(AV361="Yes for more than 2 years",10,IF(AV361="Yes only for next 1 to 2 years",5,0))</f>
        <v/>
      </c>
      <c r="AX361" s="31" t="inlineStr">
        <is>
          <t>Above 40</t>
        </is>
      </c>
      <c r="AY361" s="31">
        <f>IF(AX361="Above 40",20,IF(AX361="20 to 40",10,IF(AX361="0 to 20",-5,0)))</f>
        <v/>
      </c>
      <c r="AZ361" s="31" t="inlineStr">
        <is>
          <t>Between 50 to 75</t>
        </is>
      </c>
      <c r="BA361" s="31">
        <f>IF(AZ361="Between 50 to 75",10,IF(AZ361="Above 75",0,0))</f>
        <v/>
      </c>
      <c r="BB361" s="31" t="inlineStr">
        <is>
          <t>Stage 3</t>
        </is>
      </c>
      <c r="BC361" s="31">
        <f>IF(BB361="Stage 2",20,IF(BB361="Stage 1",0,IF(BB361="Stage 3",5,IF(BB361="Stage 4",-5,0))))</f>
        <v/>
      </c>
      <c r="BD361" s="31" t="inlineStr">
        <is>
          <t>Negative Trend</t>
        </is>
      </c>
      <c r="BE361" s="31">
        <f>IF(BD361="Positive Trend",20,IF(BD361="Negative Trend",-10,0))</f>
        <v/>
      </c>
      <c r="BF361" s="31" t="inlineStr">
        <is>
          <t>Sideways</t>
        </is>
      </c>
      <c r="BG361" s="31">
        <f>IF(BF361="Uptrend",10,IF(BF361="Sideways",5,0))</f>
        <v/>
      </c>
      <c r="BH361" s="31" t="inlineStr">
        <is>
          <t>Uptrend</t>
        </is>
      </c>
      <c r="BI361" s="31">
        <f>IF(BH361="Uptrend",10,IF(BH361="Sideways",5,0))</f>
        <v/>
      </c>
      <c r="BJ361" s="31" t="inlineStr">
        <is>
          <t>Overhead supply in last 2 years in last 2 years</t>
        </is>
      </c>
      <c r="BK361" s="31">
        <f>IF(BJ361="Overhead supply in last 2 years in last 2 years",-5,IF(BJ361="Close to 52 week high or retracement",5,IF(BJ361="Blue sky scenario",10,IF(BJ361="Long term Downtrend",-10,0))))</f>
        <v/>
      </c>
      <c r="BL361" s="31" t="inlineStr">
        <is>
          <t>Yes</t>
        </is>
      </c>
      <c r="BM361" s="31">
        <f>IF(BL361="Yes",10,0)</f>
        <v/>
      </c>
      <c r="BN361" s="31" t="inlineStr">
        <is>
          <t>More than 20%</t>
        </is>
      </c>
      <c r="BO361" s="31">
        <f>IF(BN361="More than 20%",10,IF(BN361="Between 12 to 20%",5,IF(BN361="Less than 12%",0,0)))</f>
        <v/>
      </c>
      <c r="BP361" s="31" t="inlineStr">
        <is>
          <t>No</t>
        </is>
      </c>
      <c r="BQ361" s="31">
        <f>IF(BP361="No",10,0)</f>
        <v/>
      </c>
      <c r="BR361" s="31" t="inlineStr">
        <is>
          <t>No</t>
        </is>
      </c>
      <c r="BS361" s="31">
        <f>IF(BR361="NO",5,0)</f>
        <v/>
      </c>
      <c r="BT361" s="31" t="inlineStr">
        <is>
          <t>Less than 1.5</t>
        </is>
      </c>
      <c r="BU361" s="31">
        <f>IF(BT361="Above 2",0,IF(BT361="Between 1.5 to 2",5,IF(BT361="Less than 1.5",10,0)))</f>
        <v/>
      </c>
      <c r="BV361" s="31" t="inlineStr">
        <is>
          <t>Above 70%</t>
        </is>
      </c>
      <c r="BW361" s="31">
        <f>IF(BV361="Above 70%",10,IF(BV361="Between 50% to 70%",5,IF(BV361="Less than 50%",0,IF(BV361="Negative",-10,IF(BV361="Less than 50% and Borrowings are increasing",-5,0)))))</f>
        <v/>
      </c>
      <c r="BX361" s="31" t="inlineStr">
        <is>
          <t>Less than 0.7</t>
        </is>
      </c>
      <c r="BY361" s="31">
        <f>IF(BX361="More than 1.2",-10,IF(BX361="Between 0.7 to 1.2",0,IF(BX361="Less than 0.7",10,0)))</f>
        <v/>
      </c>
      <c r="BZ361" s="31" t="inlineStr">
        <is>
          <t>No</t>
        </is>
      </c>
      <c r="CA361" s="31">
        <f>IF(BZ361="Yes",-10,0)</f>
        <v/>
      </c>
      <c r="CB361" s="31" t="inlineStr">
        <is>
          <t>More than 15%</t>
        </is>
      </c>
      <c r="CC361" s="31">
        <f>IF(CB361="More than 15%",-10,IF(CB361="Less than 15%",10,0))</f>
        <v/>
      </c>
      <c r="CD361" s="31" t="inlineStr">
        <is>
          <t>Yes Upto 10%</t>
        </is>
      </c>
      <c r="CE361" s="31">
        <f>IF(CD361="Yes, more than 10%",-10,IF(CD361="No",10,0))</f>
        <v/>
      </c>
    </row>
    <row r="362">
      <c r="A362" s="31">
        <f>IF(B362=0,"",RANK(B362,$B$2:$B$363,0))</f>
        <v/>
      </c>
      <c r="B362" s="32">
        <f>SUM(N362,Y362,AA362,AC362,AE362,AG362,AI362,AK362,AM362,AO362,AQ362,AS362,AU362,AW362,AY362,BA362,BC362,BE362,BG362,BI362,BK362,BM362,BO362,BQ362,BS362,BU362,BW362,BY362,CA362,CC362,CE362)</f>
        <v/>
      </c>
      <c r="C362" s="31" t="inlineStr">
        <is>
          <t>POLICYBZR</t>
        </is>
      </c>
      <c r="D362" s="31" t="inlineStr">
        <is>
          <t>PB Fintech Ltd</t>
        </is>
      </c>
      <c r="E362" s="31" t="inlineStr">
        <is>
          <t>i.t</t>
        </is>
      </c>
      <c r="F362" s="31" t="inlineStr">
        <is>
          <t>miscellaneous</t>
        </is>
      </c>
      <c r="G362" s="31" t="inlineStr">
        <is>
          <t>largecap</t>
        </is>
      </c>
      <c r="H362" s="32" t="n">
        <v>86523.94</v>
      </c>
      <c r="I362" s="32" t="n">
        <v>1836</v>
      </c>
      <c r="J362" s="32" t="n">
        <v>-1.82</v>
      </c>
      <c r="K362" s="32" t="n">
        <v>445054</v>
      </c>
      <c r="L362" s="31" t="n">
        <v>19</v>
      </c>
      <c r="M362" s="31" t="inlineStr">
        <is>
          <t>Outperforming</t>
        </is>
      </c>
      <c r="N362" s="32">
        <f>IF(M362="Underperforming",-5,IF(L362&gt;=95,15,IF(L362&gt;=90,10,IF(L362&gt;=80,5,0))))</f>
        <v/>
      </c>
      <c r="O362" s="32" t="n">
        <v>63.67</v>
      </c>
      <c r="P362" s="32" t="n">
        <v>10.4</v>
      </c>
      <c r="Q362" s="32" t="n">
        <v>1504.74</v>
      </c>
      <c r="R362" s="31" t="inlineStr">
        <is>
          <t>Near 52W High Breakout</t>
        </is>
      </c>
      <c r="S362" s="31" t="inlineStr">
        <is>
          <t>Nifty IT</t>
        </is>
      </c>
      <c r="T362" s="32" t="n">
        <v>-11.38</v>
      </c>
      <c r="U362" s="32" t="n">
        <v>0.74</v>
      </c>
      <c r="V362" s="32" t="n">
        <v>13.67</v>
      </c>
      <c r="W362" s="32" t="n">
        <v>5.22</v>
      </c>
      <c r="X362" s="31" t="inlineStr">
        <is>
          <t>Growing Industry</t>
        </is>
      </c>
      <c r="Y362" s="31">
        <f>IF(X362="Growing Industry",10,IF(X362="Cyclical in an Upturn",5,0))</f>
        <v/>
      </c>
      <c r="Z362" s="31" t="inlineStr">
        <is>
          <t>Monopoly</t>
        </is>
      </c>
      <c r="AA362" s="31">
        <f>IF(Z362="Monopoly",10,IF(Z362="Oligopoly",5,IF(Z362="Duopoly that cooperate",10,IF(Z362="Duopoly that compete",5,IF(Z362="Too many players with High ROCE",5,0)))))</f>
        <v/>
      </c>
      <c r="AB362" s="31" t="inlineStr">
        <is>
          <t>Yes</t>
        </is>
      </c>
      <c r="AC362" s="31">
        <f>IF(AB362="No",5,0)</f>
        <v/>
      </c>
      <c r="AD362" s="31" t="inlineStr">
        <is>
          <t>Tailwind</t>
        </is>
      </c>
      <c r="AE362" s="31">
        <f>IF(AD362="Tailwind",10,0)</f>
        <v/>
      </c>
      <c r="AF362" s="31" t="inlineStr">
        <is>
          <t>Structural (10 Years Consistency)</t>
        </is>
      </c>
      <c r="AG362" s="31">
        <f>IF(AF362="Structural (10 Years Consistency)",10,IF(AF362="Shallow Cyclical (2 to 3 years growth)",5,0))</f>
        <v/>
      </c>
      <c r="AH362" s="31" t="inlineStr">
        <is>
          <t>No</t>
        </is>
      </c>
      <c r="AI362" s="31">
        <f>IF(AH362="Yes due to Product Mix change or Operating Leverage",10,IF(AH362="Yes, these are peak margins",-5,IF(AH362="No",5,0)))</f>
        <v/>
      </c>
      <c r="AJ362" s="31" t="inlineStr">
        <is>
          <t>Volatile</t>
        </is>
      </c>
      <c r="AK362" s="31">
        <f>IF(AJ362="Stable",10,0)</f>
        <v/>
      </c>
      <c r="AL362" s="31" t="inlineStr">
        <is>
          <t>Yes</t>
        </is>
      </c>
      <c r="AM362" s="31">
        <f>IF(AL362="Yes",10,0)</f>
        <v/>
      </c>
      <c r="AN362" s="31" t="inlineStr">
        <is>
          <t>B2C</t>
        </is>
      </c>
      <c r="AO362" s="31">
        <f>IF(AN362="B2C",10,IF(AN362="B2B",5,0))</f>
        <v/>
      </c>
      <c r="AP362" s="31" t="inlineStr">
        <is>
          <t>Yes</t>
        </is>
      </c>
      <c r="AQ362" s="31">
        <f>IF(AP362="Yes",10,0)</f>
        <v/>
      </c>
      <c r="AR362" s="31" t="inlineStr">
        <is>
          <t>Fully Annuity</t>
        </is>
      </c>
      <c r="AS362" s="31">
        <f>IF(AR362="Fully Annuity",10,IF(AR362="Higher Annuity, Lower One Time",5,IF(AR362="Higher One Time, Lower Annuity",3,0)))</f>
        <v/>
      </c>
      <c r="AT362" s="31" t="inlineStr">
        <is>
          <t>Allocated capital in Non-core Areas</t>
        </is>
      </c>
      <c r="AU362" s="31">
        <f>IF(AT362="Good",10,0)</f>
        <v/>
      </c>
      <c r="AV362" s="31" t="inlineStr">
        <is>
          <t>Yes for more than 2 years</t>
        </is>
      </c>
      <c r="AW362" s="31">
        <f>IF(AV362="Yes for more than 2 years",10,IF(AV362="Yes only for next 1 to 2 years",5,0))</f>
        <v/>
      </c>
      <c r="AX362" s="31" t="inlineStr">
        <is>
          <t>20 to 40</t>
        </is>
      </c>
      <c r="AY362" s="31">
        <f>IF(AX362="Above 40",20,IF(AX362="20 to 40",10,IF(AX362="0 to 20",-5,0)))</f>
        <v/>
      </c>
      <c r="AZ362" s="31" t="inlineStr">
        <is>
          <t>Below 45</t>
        </is>
      </c>
      <c r="BA362" s="31">
        <f>IF(AZ362="Between 50 to 75",10,IF(AZ362="Above 75",0,0))</f>
        <v/>
      </c>
      <c r="BB362" s="31" t="inlineStr">
        <is>
          <t>Stage 1</t>
        </is>
      </c>
      <c r="BC362" s="31">
        <f>IF(BB362="Stage 2",20,IF(BB362="Stage 1",0,IF(BB362="Stage 3",5,IF(BB362="Stage 4",-5,0))))</f>
        <v/>
      </c>
      <c r="BD362" s="31" t="inlineStr">
        <is>
          <t>Positive Trend</t>
        </is>
      </c>
      <c r="BE362" s="31">
        <f>IF(BD362="Positive Trend",20,IF(BD362="Negative Trend",-10,0))</f>
        <v/>
      </c>
      <c r="BF362" s="31" t="inlineStr">
        <is>
          <t>Downtrend</t>
        </is>
      </c>
      <c r="BG362" s="31">
        <f>IF(BF362="Uptrend",10,IF(BF362="Sideways",5,0))</f>
        <v/>
      </c>
      <c r="BH362" s="31" t="inlineStr">
        <is>
          <t>Downtrend</t>
        </is>
      </c>
      <c r="BI362" s="31">
        <f>IF(BH362="Uptrend",10,IF(BH362="Sideways",5,0))</f>
        <v/>
      </c>
      <c r="BJ362" s="31" t="inlineStr">
        <is>
          <t>Overhead supply in last 2 years in last 2 years</t>
        </is>
      </c>
      <c r="BK362" s="31">
        <f>IF(BJ362="Overhead supply in last 2 years in last 2 years",-5,IF(BJ362="Close to 52 week high or retracement",5,IF(BJ362="Blue sky scenario",10,IF(BJ362="Long term Downtrend",-10,0))))</f>
        <v/>
      </c>
      <c r="BL362" s="31" t="inlineStr">
        <is>
          <t>Yes</t>
        </is>
      </c>
      <c r="BM362" s="31">
        <f>IF(BL362="Yes",10,0)</f>
        <v/>
      </c>
      <c r="BN362" s="31" t="inlineStr">
        <is>
          <t>Less than 12%</t>
        </is>
      </c>
      <c r="BO362" s="31">
        <f>IF(BN362="More than 20%",10,IF(BN362="Between 12 to 20%",5,IF(BN362="Less than 12%",0,0)))</f>
        <v/>
      </c>
      <c r="BP362" s="31" t="inlineStr">
        <is>
          <t>Yes</t>
        </is>
      </c>
      <c r="BQ362" s="31">
        <f>IF(BP362="No",10,0)</f>
        <v/>
      </c>
      <c r="BR362" s="31" t="inlineStr">
        <is>
          <t>Yes</t>
        </is>
      </c>
      <c r="BS362" s="31">
        <f>IF(BR362="NO",5,0)</f>
        <v/>
      </c>
      <c r="BT362" s="31" t="inlineStr">
        <is>
          <t>Above 2</t>
        </is>
      </c>
      <c r="BU362" s="31">
        <f>IF(BT362="Above 2",0,IF(BT362="Between 1.5 to 2",5,IF(BT362="Less than 1.5",10,0)))</f>
        <v/>
      </c>
      <c r="BV362" s="31" t="inlineStr">
        <is>
          <t>Above 70%</t>
        </is>
      </c>
      <c r="BW362" s="31">
        <f>IF(BV362="Above 70%",10,IF(BV362="Between 50% to 70%",5,IF(BV362="Less than 50%",0,IF(BV362="Negative",-10,IF(BV362="Less than 50% and Borrowings are increasing",-5,0)))))</f>
        <v/>
      </c>
      <c r="BX362" s="31" t="inlineStr">
        <is>
          <t>Less than 0.7</t>
        </is>
      </c>
      <c r="BY362" s="31">
        <f>IF(BX362="More than 1.2",-10,IF(BX362="Between 0.7 to 1.2",0,IF(BX362="Less than 0.7",10,0)))</f>
        <v/>
      </c>
      <c r="BZ362" s="31" t="inlineStr">
        <is>
          <t>No</t>
        </is>
      </c>
      <c r="CA362" s="31">
        <f>IF(BZ362="Yes",-10,0)</f>
        <v/>
      </c>
      <c r="CB362" s="31" t="inlineStr">
        <is>
          <t>Less than 15%</t>
        </is>
      </c>
      <c r="CC362" s="31">
        <f>IF(CB362="More than 15%",-10,IF(CB362="Less than 15%",10,0))</f>
        <v/>
      </c>
      <c r="CD362" s="31" t="inlineStr">
        <is>
          <t>No</t>
        </is>
      </c>
      <c r="CE362" s="31">
        <f>IF(CD362="Yes, more than 10%",-10,IF(CD362="No",10,0))</f>
        <v/>
      </c>
    </row>
    <row r="363">
      <c r="A363" s="31">
        <f>IF(B363=0,"",RANK(B363,$B$2:$B$363,0))</f>
        <v/>
      </c>
      <c r="B363" s="32">
        <f>SUM(N363,Y363,AA363,AC363,AE363,AG363,AI363,AK363,AM363,AO363,AQ363,AS363,AU363,AW363,AY363,BA363,BC363,BE363,BG363,BI363,BK363,BM363,BO363,BQ363,BS363,BU363,BW363,BY363,CA363,CC363,CE363)</f>
        <v/>
      </c>
      <c r="C363" s="33" t="inlineStr">
        <is>
          <t>GUJTHEM</t>
        </is>
      </c>
      <c r="D363" s="33" t="inlineStr">
        <is>
          <t>Gujarat Themis Biosyn Ltd</t>
        </is>
      </c>
      <c r="E363" s="31" t="inlineStr">
        <is>
          <t>healthcare</t>
        </is>
      </c>
      <c r="F363" s="31" t="inlineStr">
        <is>
          <t>pharmaceuticals - indian - bulk drugs</t>
        </is>
      </c>
      <c r="G363" s="31" t="inlineStr">
        <is>
          <t>smallcap</t>
        </is>
      </c>
      <c r="H363" s="32" t="n">
        <v>4632.11</v>
      </c>
      <c r="I363" s="32" t="n">
        <v>411.35</v>
      </c>
      <c r="J363" s="32" t="n">
        <v>-3.23</v>
      </c>
      <c r="K363" s="32" t="n">
        <v>605159</v>
      </c>
      <c r="L363" s="31" t="n">
        <v>12</v>
      </c>
      <c r="M363" s="31" t="inlineStr">
        <is>
          <t>Underperforming</t>
        </is>
      </c>
      <c r="N363" s="32">
        <f>IF(M363="Underperforming",-5,IF(L363&gt;=95,15,IF(L363&gt;=90,10,IF(L363&gt;=80,5,0))))</f>
        <v/>
      </c>
      <c r="O363" s="32" t="n">
        <v>61.12</v>
      </c>
      <c r="P363" s="32" t="n">
        <v>23.84</v>
      </c>
      <c r="Q363" s="32" t="n">
        <v>301.42</v>
      </c>
      <c r="R363" s="31" t="inlineStr">
        <is>
          <t>Volume Spike / Accumulation</t>
        </is>
      </c>
      <c r="S363" s="31" t="inlineStr">
        <is>
          <t>Nifty Pharma</t>
        </is>
      </c>
      <c r="T363" s="32" t="n">
        <v>20.77</v>
      </c>
      <c r="U363" s="32" t="n">
        <v>7.04</v>
      </c>
      <c r="V363" s="32" t="n">
        <v>-11.37</v>
      </c>
      <c r="W363" s="32" t="n">
        <v>2.99</v>
      </c>
      <c r="X363" s="31" t="inlineStr">
        <is>
          <t>Growing Industry</t>
        </is>
      </c>
      <c r="Y363" s="31">
        <f>IF(X363="Growing Industry",10,IF(X363="Cyclical in an Upturn",5,0))</f>
        <v/>
      </c>
      <c r="Z363" s="31" t="inlineStr">
        <is>
          <t>Oligopoly</t>
        </is>
      </c>
      <c r="AA363" s="31">
        <f>IF(Z363="Monopoly",10,IF(Z363="Oligopoly",5,IF(Z363="Duopoly that cooperate",10,IF(Z363="Duopoly that compete",5,IF(Z363="Too many players with High ROCE",5,0)))))</f>
        <v/>
      </c>
      <c r="AB363" s="31" t="inlineStr">
        <is>
          <t>No</t>
        </is>
      </c>
      <c r="AC363" s="31">
        <f>IF(AB363="No",5,0)</f>
        <v/>
      </c>
      <c r="AD363" s="31" t="inlineStr">
        <is>
          <t>Tailwind</t>
        </is>
      </c>
      <c r="AE363" s="31">
        <f>IF(AD363="Tailwind",10,0)</f>
        <v/>
      </c>
      <c r="AF363" s="31" t="inlineStr">
        <is>
          <t>Shallow Cyclical (2 to 3 Years Growth)</t>
        </is>
      </c>
      <c r="AG363" s="31">
        <f>IF(AF363="Structural (10 Years Consistency)",10,IF(AF363="Shallow Cyclical (2 to 3 years growth)",5,0))</f>
        <v/>
      </c>
      <c r="AH363" s="31" t="inlineStr">
        <is>
          <t>Yes due to Product Mix change or Operating Leverage</t>
        </is>
      </c>
      <c r="AI363" s="31">
        <f>IF(AH363="Yes due to Product Mix change or Operating Leverage",10,IF(AH363="Yes, these are peak margins",-5,IF(AH363="No",5,0)))</f>
        <v/>
      </c>
      <c r="AJ363" s="31" t="inlineStr">
        <is>
          <t>Volatile</t>
        </is>
      </c>
      <c r="AK363" s="31">
        <f>IF(AJ363="Stable",10,0)</f>
        <v/>
      </c>
      <c r="AL363" s="31" t="inlineStr">
        <is>
          <t>Yes</t>
        </is>
      </c>
      <c r="AM363" s="31">
        <f>IF(AL363="Yes",10,0)</f>
        <v/>
      </c>
      <c r="AN363" s="31" t="inlineStr">
        <is>
          <t>B2B</t>
        </is>
      </c>
      <c r="AO363" s="31">
        <f>IF(AN363="B2C",10,IF(AN363="B2B",5,0))</f>
        <v/>
      </c>
      <c r="AP363" s="31" t="inlineStr">
        <is>
          <t>Yes</t>
        </is>
      </c>
      <c r="AQ363" s="31">
        <f>IF(AP363="Yes",10,0)</f>
        <v/>
      </c>
      <c r="AR363" s="31" t="inlineStr">
        <is>
          <t>Higher One Time, Lower Annuity</t>
        </is>
      </c>
      <c r="AS363" s="31">
        <f>IF(AR363="Fully Annuity",10,IF(AR363="Higher Annuity, Lower One Time",5,IF(AR363="Higher One Time, Lower Annuity",3,0)))</f>
        <v/>
      </c>
      <c r="AT363" s="31" t="inlineStr">
        <is>
          <t>Allocated capital in Non-core Areas</t>
        </is>
      </c>
      <c r="AU363" s="31">
        <f>IF(AT363="Good",10,0)</f>
        <v/>
      </c>
      <c r="AV363" s="31" t="inlineStr">
        <is>
          <t>Yes for more than 2 years</t>
        </is>
      </c>
      <c r="AW363" s="31">
        <f>IF(AV363="Yes for more than 2 years",10,IF(AV363="Yes only for next 1 to 2 years",5,0))</f>
        <v/>
      </c>
      <c r="AX363" s="31" t="inlineStr">
        <is>
          <t>Above 40</t>
        </is>
      </c>
      <c r="AY363" s="31">
        <f>IF(AX363="Above 40",20,IF(AX363="20 to 40",10,IF(AX363="0 to 20",-5,0)))</f>
        <v/>
      </c>
      <c r="AZ363" s="31" t="inlineStr">
        <is>
          <t>Between 50 to 75</t>
        </is>
      </c>
      <c r="BA363" s="31">
        <f>IF(AZ363="Between 50 to 75",10,IF(AZ363="Above 75",0,0))</f>
        <v/>
      </c>
      <c r="BB363" s="31" t="inlineStr">
        <is>
          <t>Stage 3</t>
        </is>
      </c>
      <c r="BC363" s="31">
        <f>IF(BB363="Stage 2",20,IF(BB363="Stage 1",0,IF(BB363="Stage 3",5,IF(BB363="Stage 4",-5,0))))</f>
        <v/>
      </c>
      <c r="BD363" s="31" t="inlineStr">
        <is>
          <t>Negative Trend</t>
        </is>
      </c>
      <c r="BE363" s="31">
        <f>IF(BD363="Positive Trend",20,IF(BD363="Negative Trend",-10,0))</f>
        <v/>
      </c>
      <c r="BF363" s="31" t="inlineStr">
        <is>
          <t>Sideways</t>
        </is>
      </c>
      <c r="BG363" s="31">
        <f>IF(BF363="Uptrend",10,IF(BF363="Sideways",5,0))</f>
        <v/>
      </c>
      <c r="BH363" s="31" t="inlineStr">
        <is>
          <t>Uptrend</t>
        </is>
      </c>
      <c r="BI363" s="31">
        <f>IF(BH363="Uptrend",10,IF(BH363="Sideways",5,0))</f>
        <v/>
      </c>
      <c r="BJ363" s="31" t="inlineStr">
        <is>
          <t>Overhead supply in last 2 years in last 2 years</t>
        </is>
      </c>
      <c r="BK363" s="31">
        <f>IF(BJ363="Overhead supply in last 2 years in last 2 years",-5,IF(BJ363="Close to 52 week high or retracement",5,IF(BJ363="Blue sky scenario",10,IF(BJ363="Long term Downtrend",-10,0))))</f>
        <v/>
      </c>
      <c r="BL363" s="31" t="inlineStr">
        <is>
          <t>Yes</t>
        </is>
      </c>
      <c r="BM363" s="31">
        <f>IF(BL363="Yes",10,0)</f>
        <v/>
      </c>
      <c r="BN363" s="31" t="inlineStr">
        <is>
          <t>More than 20%</t>
        </is>
      </c>
      <c r="BO363" s="31">
        <f>IF(BN363="More than 20%",10,IF(BN363="Between 12 to 20%",5,IF(BN363="Less than 12%",0,0)))</f>
        <v/>
      </c>
      <c r="BP363" s="31" t="inlineStr">
        <is>
          <t>No</t>
        </is>
      </c>
      <c r="BQ363" s="31">
        <f>IF(BP363="No",10,0)</f>
        <v/>
      </c>
      <c r="BR363" s="31" t="inlineStr">
        <is>
          <t>No</t>
        </is>
      </c>
      <c r="BS363" s="31">
        <f>IF(BR363="NO",5,0)</f>
        <v/>
      </c>
      <c r="BT363" s="31" t="inlineStr">
        <is>
          <t>Less than 1.5</t>
        </is>
      </c>
      <c r="BU363" s="31">
        <f>IF(BT363="Above 2",0,IF(BT363="Between 1.5 to 2",5,IF(BT363="Less than 1.5",10,0)))</f>
        <v/>
      </c>
      <c r="BV363" s="31" t="inlineStr">
        <is>
          <t>Above 70%</t>
        </is>
      </c>
      <c r="BW363" s="31">
        <f>IF(BV363="Above 70%",10,IF(BV363="Between 50% to 70%",5,IF(BV363="Less than 50%",0,IF(BV363="Negative",-10,IF(BV363="Less than 50% and Borrowings are increasing",-5,0)))))</f>
        <v/>
      </c>
      <c r="BX363" s="31" t="inlineStr">
        <is>
          <t>Less than 0.7</t>
        </is>
      </c>
      <c r="BY363" s="31">
        <f>IF(BX363="More than 1.2",-10,IF(BX363="Between 0.7 to 1.2",0,IF(BX363="Less than 0.7",10,0)))</f>
        <v/>
      </c>
      <c r="BZ363" s="31" t="inlineStr">
        <is>
          <t>No</t>
        </is>
      </c>
      <c r="CA363" s="31">
        <f>IF(BZ363="Yes",-10,0)</f>
        <v/>
      </c>
      <c r="CB363" s="31" t="inlineStr">
        <is>
          <t>More than 15%</t>
        </is>
      </c>
      <c r="CC363" s="31">
        <f>IF(CB363="More than 15%",-10,IF(CB363="Less than 15%",10,0))</f>
        <v/>
      </c>
      <c r="CD363" s="31" t="inlineStr">
        <is>
          <t>Yes Upto 10%</t>
        </is>
      </c>
      <c r="CE363" s="31">
        <f>IF(CD363="Yes, more than 10%",-10,IF(CD363="No",10,0))</f>
        <v/>
      </c>
    </row>
  </sheetData>
  <autoFilter ref="A1:CE363"/>
  <conditionalFormatting sqref="B2:B36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6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6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6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6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6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6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6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6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6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6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6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6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6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6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6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6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6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6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6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6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6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6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6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6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6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6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6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6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63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63">
    <cfRule type="cellIs" priority="36" operator="equal" dxfId="3" stopIfTrue="1">
      <formula>"Underperforming"</formula>
    </cfRule>
  </conditionalFormatting>
  <conditionalFormatting sqref="N2:N363">
    <cfRule type="cellIs" priority="37" operator="equal" dxfId="3" stopIfTrue="1">
      <formula>-5</formula>
    </cfRule>
  </conditionalFormatting>
  <conditionalFormatting sqref="Q2:Q363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63" showDropDown="0" showInputMessage="0" showErrorMessage="0" allowBlank="1" type="list">
      <formula1>"Growing Industry,Stagnant Industry,Cyclical in an Upturn"</formula1>
    </dataValidation>
    <dataValidation sqref="Z2:Z363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63" showDropDown="0" showInputMessage="0" showErrorMessage="0" allowBlank="1" type="list">
      <formula1>"Yes,No"</formula1>
    </dataValidation>
    <dataValidation sqref="AD2:AD363" showDropDown="0" showInputMessage="0" showErrorMessage="0" allowBlank="1" type="list">
      <formula1>"Tailwind,Headwind"</formula1>
    </dataValidation>
    <dataValidation sqref="AF2:AF363" showDropDown="0" showInputMessage="0" showErrorMessage="0" allowBlank="1" type="list">
      <formula1>"Structural (10 Years Consistency),Shallow Cyclical (2 to 3 Years Growth),Cyclical"</formula1>
    </dataValidation>
    <dataValidation sqref="AH2:AH363" showDropDown="0" showInputMessage="0" showErrorMessage="0" allowBlank="1" type="list">
      <formula1>"Yes due to Product Mix change or Operating Leverage,Yes, these are peak margins,No"</formula1>
    </dataValidation>
    <dataValidation sqref="AJ2:AJ363" showDropDown="0" showInputMessage="0" showErrorMessage="0" allowBlank="1" type="list">
      <formula1>"Stable,Volatile"</formula1>
    </dataValidation>
    <dataValidation sqref="AL2:AL363" showDropDown="0" showInputMessage="0" showErrorMessage="0" allowBlank="1" type="list">
      <formula1>"Yes,No"</formula1>
    </dataValidation>
    <dataValidation sqref="AN2:AN363" showDropDown="0" showInputMessage="0" showErrorMessage="0" allowBlank="1" type="list">
      <formula1>"B2C,B2B,B2G"</formula1>
    </dataValidation>
    <dataValidation sqref="AP2:AP363" showDropDown="0" showInputMessage="0" showErrorMessage="0" allowBlank="1" type="list">
      <formula1>"Yes,No"</formula1>
    </dataValidation>
    <dataValidation sqref="AR2:AR363" showDropDown="0" showInputMessage="0" showErrorMessage="0" allowBlank="1" type="list">
      <formula1>"Fully Annuity,Higher Annuity, Lower One time,Higher One Time, Lower Annuity,Fully One Time"</formula1>
    </dataValidation>
    <dataValidation sqref="AT2:AT363" showDropDown="0" showInputMessage="0" showErrorMessage="0" allowBlank="1" type="list">
      <formula1>"Good,Allocated capital in Non-core Areas"</formula1>
    </dataValidation>
    <dataValidation sqref="AV2:AV363" showDropDown="0" showInputMessage="0" showErrorMessage="0" allowBlank="1" type="list">
      <formula1>"Yes for more than 2 years,Yes only for next 1 to 2 years,No"</formula1>
    </dataValidation>
    <dataValidation sqref="AX2:AX363" showDropDown="0" showInputMessage="0" showErrorMessage="0" allowBlank="1" type="list">
      <formula1>"Above 40,20 to 40,0 to 20"</formula1>
    </dataValidation>
    <dataValidation sqref="AZ2:AZ363" showDropDown="0" showInputMessage="0" showErrorMessage="0" allowBlank="1" type="list">
      <formula1>"Between 50 to 75,Above 75,Below 45"</formula1>
    </dataValidation>
    <dataValidation sqref="BB2:BB363" showDropDown="0" showInputMessage="0" showErrorMessage="0" allowBlank="1" type="list">
      <formula1>"Stage 1,Stage 2,Stage 3,Stage 4"</formula1>
    </dataValidation>
    <dataValidation sqref="BD2:BD363" showDropDown="0" showInputMessage="0" showErrorMessage="0" allowBlank="1" type="list">
      <formula1>"Positive Trend,Negative Trend"</formula1>
    </dataValidation>
    <dataValidation sqref="BF2:BF363" showDropDown="0" showInputMessage="0" showErrorMessage="0" allowBlank="1" type="list">
      <formula1>"Uptrend,Sideways,Downtrend"</formula1>
    </dataValidation>
    <dataValidation sqref="BH2:BH363" showDropDown="0" showInputMessage="0" showErrorMessage="0" allowBlank="1" type="list">
      <formula1>"Uptrend,Sideways,Downtrend"</formula1>
    </dataValidation>
    <dataValidation sqref="BJ2:BJ36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63" showDropDown="0" showInputMessage="0" showErrorMessage="0" allowBlank="1" type="list">
      <formula1>"Yes,No"</formula1>
    </dataValidation>
    <dataValidation sqref="BN2:BN363" showDropDown="0" showInputMessage="0" showErrorMessage="0" allowBlank="1" type="list">
      <formula1>"More than 20%,Between 12 to 20%,Less than 12%"</formula1>
    </dataValidation>
    <dataValidation sqref="BP2:BP363" showDropDown="0" showInputMessage="0" showErrorMessage="0" allowBlank="1" type="list">
      <formula1>"Yes,No"</formula1>
    </dataValidation>
    <dataValidation sqref="BR2:BR363" showDropDown="0" showInputMessage="0" showErrorMessage="0" allowBlank="1" type="list">
      <formula1>"Yes,No"</formula1>
    </dataValidation>
    <dataValidation sqref="BT2:BT363" showDropDown="0" showInputMessage="0" showErrorMessage="0" allowBlank="1" type="list">
      <formula1>"Above 2,Between 1.5 to 2,Less than 1.5"</formula1>
    </dataValidation>
    <dataValidation sqref="BV2:BV363" showDropDown="0" showInputMessage="0" showErrorMessage="0" allowBlank="1" type="list">
      <formula1>"Above 70%,Between 50% to 70%,Less than 50%,Less than 50% and Borrowings are increasing,Negative"</formula1>
    </dataValidation>
    <dataValidation sqref="BX2:BX363" showDropDown="0" showInputMessage="0" showErrorMessage="0" allowBlank="1" type="list">
      <formula1>"More than 1.2,Between 0.7 to 1.2,Less than 0.7"</formula1>
    </dataValidation>
    <dataValidation sqref="BZ2:BZ363" showDropDown="0" showInputMessage="0" showErrorMessage="0" allowBlank="1" type="list">
      <formula1>"Yes,No"</formula1>
    </dataValidation>
    <dataValidation sqref="CB2:CB363" showDropDown="0" showInputMessage="0" showErrorMessage="0" allowBlank="1" type="list">
      <formula1>"More than 15%,Less than 15%"</formula1>
    </dataValidation>
    <dataValidation sqref="CD2:CD363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4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IF(B2=0,"",RANK(B2,$B$2:$B$47,0))</f>
        <v/>
      </c>
      <c r="B2" s="32">
        <f>SUM(N2,Y2,AA2,AC2,AE2,AG2,AI2,AK2,AM2,AO2,AQ2,AS2,AU2,AW2,AY2,BA2,BC2,BE2,BG2,BI2,BK2,BM2,BO2,BQ2,BS2,BU2,BW2,BY2,CA2)</f>
        <v/>
      </c>
      <c r="C2" s="31" t="inlineStr">
        <is>
          <t>MAHABANK</t>
        </is>
      </c>
      <c r="D2" s="31" t="inlineStr">
        <is>
          <t>Bank Of Maharashtra Ltd</t>
        </is>
      </c>
      <c r="E2" s="31" t="inlineStr">
        <is>
          <t>bank</t>
        </is>
      </c>
      <c r="F2" s="31" t="inlineStr">
        <is>
          <t>banks - public sector</t>
        </is>
      </c>
      <c r="G2" s="31" t="inlineStr">
        <is>
          <t>largecap</t>
        </is>
      </c>
      <c r="H2" s="32" t="n">
        <v>66393.5</v>
      </c>
      <c r="I2" s="32" t="n">
        <v>85.95</v>
      </c>
      <c r="J2" s="32" t="n">
        <v>-0.43</v>
      </c>
      <c r="K2" s="32" t="n">
        <v>13802528</v>
      </c>
      <c r="L2" s="31" t="n">
        <v>48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62.89</v>
      </c>
      <c r="P2" s="32" t="n">
        <v>41.54</v>
      </c>
      <c r="Q2" s="32" t="n">
        <v>74.14</v>
      </c>
      <c r="R2" s="31" t="inlineStr">
        <is>
          <t>Near 52W High Breakout</t>
        </is>
      </c>
      <c r="S2" s="31" t="inlineStr">
        <is>
          <t>Nifty Bank</t>
        </is>
      </c>
      <c r="T2" s="32" t="n">
        <v>6.02</v>
      </c>
      <c r="U2" s="32" t="n">
        <v>68.45</v>
      </c>
      <c r="V2" s="32" t="n">
        <v>58.89</v>
      </c>
      <c r="W2" s="32" t="n">
        <v>13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IF(B3=0,"",RANK(B3,$B$2:$B$47,0))</f>
        <v/>
      </c>
      <c r="B3" s="32">
        <f>SUM(N3,Y3,AA3,AC3,AE3,AG3,AI3,AK3,AM3,AO3,AQ3,AS3,AU3,AW3,AY3,BA3,BC3,BE3,BG3,BI3,BK3,BM3,BO3,BQ3,BS3,BU3,BW3,BY3,CA3)</f>
        <v/>
      </c>
      <c r="C3" s="31" t="inlineStr">
        <is>
          <t>TMB</t>
        </is>
      </c>
      <c r="D3" s="31" t="inlineStr">
        <is>
          <t>Tamilnad Mercantile Bank Ltd</t>
        </is>
      </c>
      <c r="E3" s="31" t="inlineStr">
        <is>
          <t>bank</t>
        </is>
      </c>
      <c r="F3" s="31" t="inlineStr">
        <is>
          <t>banks - private sector</t>
        </is>
      </c>
      <c r="G3" s="31" t="inlineStr">
        <is>
          <t>midcap</t>
        </is>
      </c>
      <c r="H3" s="32" t="n">
        <v>14923.83</v>
      </c>
      <c r="I3" s="32" t="n">
        <v>932.45</v>
      </c>
      <c r="J3" s="32" t="n">
        <v>-1.06</v>
      </c>
      <c r="K3" s="32" t="n">
        <v>131784</v>
      </c>
      <c r="L3" s="31" t="n">
        <v>75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74.81999999999999</v>
      </c>
      <c r="P3" s="32" t="n">
        <v>42.68</v>
      </c>
      <c r="Q3" s="32" t="n">
        <v>760.21</v>
      </c>
      <c r="R3" s="31" t="inlineStr">
        <is>
          <t>Near 52W High Breakout</t>
        </is>
      </c>
      <c r="S3" s="31" t="inlineStr">
        <is>
          <t>Nifty Bank</t>
        </is>
      </c>
      <c r="T3" s="32" t="n">
        <v>6.02</v>
      </c>
      <c r="U3" s="32" t="n">
        <v>123.64</v>
      </c>
      <c r="V3" s="32" t="n">
        <v>110.95</v>
      </c>
      <c r="W3" s="32" t="n">
        <v>23.31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IF(B4=0,"",RANK(B4,$B$2:$B$47,0))</f>
        <v/>
      </c>
      <c r="B4" s="32">
        <f>SUM(N4,Y4,AA4,AC4,AE4,AG4,AI4,AK4,AM4,AO4,AQ4,AS4,AU4,AW4,AY4,BA4,BC4,BE4,BG4,BI4,BK4,BM4,BO4,BQ4,BS4,BU4,BW4,BY4,CA4)</f>
        <v/>
      </c>
      <c r="C4" s="31" t="inlineStr">
        <is>
          <t>PAISALO</t>
        </is>
      </c>
      <c r="D4" s="31" t="inlineStr">
        <is>
          <t>Paisalo Digital Ltd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midcap</t>
        </is>
      </c>
      <c r="H4" s="32" t="n">
        <v>6392.12</v>
      </c>
      <c r="I4" s="32" t="n">
        <v>74.09999999999999</v>
      </c>
      <c r="J4" s="32" t="n">
        <v>5.44</v>
      </c>
      <c r="K4" s="32" t="n">
        <v>31201929</v>
      </c>
      <c r="L4" s="31" t="n">
        <v>80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74.06999999999999</v>
      </c>
      <c r="P4" s="32" t="n">
        <v>65.67</v>
      </c>
      <c r="Q4" s="32" t="n">
        <v>57.92</v>
      </c>
      <c r="R4" s="31" t="inlineStr">
        <is>
          <t>Near 52W High Breakout</t>
        </is>
      </c>
      <c r="S4" s="31" t="inlineStr">
        <is>
          <t>Nifty Bank</t>
        </is>
      </c>
      <c r="T4" s="32" t="n">
        <v>6.02</v>
      </c>
      <c r="U4" s="32" t="n">
        <v>114.77</v>
      </c>
      <c r="V4" s="32" t="n">
        <v>102.59</v>
      </c>
      <c r="W4" s="32" t="n">
        <v>25.36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IF(B5=0,"",RANK(B5,$B$2:$B$47,0))</f>
        <v/>
      </c>
      <c r="B5" s="32">
        <f>SUM(N5,Y5,AA5,AC5,AE5,AG5,AI5,AK5,AM5,AO5,AQ5,AS5,AU5,AW5,AY5,BA5,BC5,BE5,BG5,BI5,BK5,BM5,BO5,BQ5,BS5,BU5,BW5,BY5,CA5)</f>
        <v/>
      </c>
      <c r="C5" s="31" t="inlineStr">
        <is>
          <t>FEDFINA</t>
        </is>
      </c>
      <c r="D5" s="31" t="inlineStr">
        <is>
          <t>Fedbank Financial Services Ltd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midcap</t>
        </is>
      </c>
      <c r="H5" s="32" t="n">
        <v>5918.27</v>
      </c>
      <c r="I5" s="32" t="n">
        <v>161.56</v>
      </c>
      <c r="J5" s="32" t="n">
        <v>2.34</v>
      </c>
      <c r="K5" s="32" t="n">
        <v>818017</v>
      </c>
      <c r="L5" s="31" t="n">
        <v>16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59.92</v>
      </c>
      <c r="P5" s="32" t="n">
        <v>27.37</v>
      </c>
      <c r="Q5" s="32" t="n">
        <v>126.85</v>
      </c>
      <c r="R5" s="31" t="inlineStr">
        <is>
          <t>Near 52W High Breakout</t>
        </is>
      </c>
      <c r="S5" s="31" t="inlineStr">
        <is>
          <t>Nifty Bank</t>
        </is>
      </c>
      <c r="T5" s="32" t="n">
        <v>6.02</v>
      </c>
      <c r="U5" s="32" t="n">
        <v>18.45</v>
      </c>
      <c r="V5" s="32" t="n">
        <v>11.73</v>
      </c>
      <c r="W5" s="32" t="n">
        <v>4.32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IF(B6=0,"",RANK(B6,$B$2:$B$47,0))</f>
        <v/>
      </c>
      <c r="B6" s="32">
        <f>SUM(N6,Y6,AA6,AC6,AE6,AG6,AI6,AK6,AM6,AO6,AQ6,AS6,AU6,AW6,AY6,BA6,BC6,BE6,BG6,BI6,BK6,BM6,BO6,BQ6,BS6,BU6,BW6,BY6,CA6)</f>
        <v/>
      </c>
      <c r="C6" s="31" t="inlineStr">
        <is>
          <t>WELINV</t>
        </is>
      </c>
      <c r="D6" s="31" t="inlineStr">
        <is>
          <t>Welspun Investments And Commercials Limited</t>
        </is>
      </c>
      <c r="E6" s="31" t="inlineStr">
        <is>
          <t>financials</t>
        </is>
      </c>
      <c r="F6" s="31" t="inlineStr">
        <is>
          <t>finance &amp; investments</t>
        </is>
      </c>
      <c r="G6" s="31" t="inlineStr">
        <is>
          <t>smallcap</t>
        </is>
      </c>
      <c r="H6" s="32" t="n">
        <v>799.23</v>
      </c>
      <c r="I6" s="32" t="n">
        <v>2230.7</v>
      </c>
      <c r="J6" s="32" t="n">
        <v>2</v>
      </c>
      <c r="K6" s="32" t="n">
        <v>89</v>
      </c>
      <c r="L6" s="31" t="n">
        <v>74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80.29000000000001</v>
      </c>
      <c r="P6" s="32" t="n">
        <v>55.63</v>
      </c>
      <c r="Q6" s="32" t="n">
        <v>1733.61</v>
      </c>
      <c r="R6" s="31" t="inlineStr">
        <is>
          <t>Near 52W High Breakout</t>
        </is>
      </c>
      <c r="S6" s="31" t="inlineStr">
        <is>
          <t>Nifty Bank</t>
        </is>
      </c>
      <c r="T6" s="32" t="n">
        <v>6.02</v>
      </c>
      <c r="U6" s="32" t="n">
        <v>112.45</v>
      </c>
      <c r="V6" s="32" t="n">
        <v>100.39</v>
      </c>
      <c r="W6" s="32" t="n">
        <v>22.47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Above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IF(B7=0,"",RANK(B7,$B$2:$B$47,0))</f>
        <v/>
      </c>
      <c r="B7" s="32">
        <f>SUM(N7,Y7,AA7,AC7,AE7,AG7,AI7,AK7,AM7,AO7,AQ7,AS7,AU7,AW7,AY7,BA7,BC7,BE7,BG7,BI7,BK7,BM7,BO7,BQ7,BS7,BU7,BW7,BY7,CA7)</f>
        <v/>
      </c>
      <c r="C7" s="31" t="inlineStr">
        <is>
          <t>RBLBANK</t>
        </is>
      </c>
      <c r="D7" s="31" t="inlineStr">
        <is>
          <t>Rbl Bank Limited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largecap</t>
        </is>
      </c>
      <c r="H7" s="32" t="n">
        <v>63196.65</v>
      </c>
      <c r="I7" s="32" t="n">
        <v>414.35</v>
      </c>
      <c r="J7" s="32" t="n">
        <v>1.53</v>
      </c>
      <c r="K7" s="32" t="n">
        <v>7858699</v>
      </c>
      <c r="L7" s="31" t="n">
        <v>46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68.23</v>
      </c>
      <c r="P7" s="32" t="n">
        <v>35.91</v>
      </c>
      <c r="Q7" s="32" t="n">
        <v>350.72</v>
      </c>
      <c r="R7" s="31" t="inlineStr">
        <is>
          <t>Near 52W High Breakout</t>
        </is>
      </c>
      <c r="S7" s="31" t="inlineStr">
        <is>
          <t>Nifty Bank</t>
        </is>
      </c>
      <c r="T7" s="32" t="n">
        <v>6.02</v>
      </c>
      <c r="U7" s="32" t="n">
        <v>51.06</v>
      </c>
      <c r="V7" s="32" t="n">
        <v>42.49</v>
      </c>
      <c r="W7" s="32" t="n">
        <v>12.53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IF(B8=0,"",RANK(B8,$B$2:$B$47,0))</f>
        <v/>
      </c>
      <c r="B8" s="32">
        <f>SUM(N8,Y8,AA8,AC8,AE8,AG8,AI8,AK8,AM8,AO8,AQ8,AS8,AU8,AW8,AY8,BA8,BC8,BE8,BG8,BI8,BK8,BM8,BO8,BQ8,BS8,BU8,BW8,BY8,CA8)</f>
        <v/>
      </c>
      <c r="C8" s="31" t="inlineStr">
        <is>
          <t>IIFL</t>
        </is>
      </c>
      <c r="D8" s="31" t="inlineStr">
        <is>
          <t>IIFL Finance Ltd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largecap</t>
        </is>
      </c>
      <c r="H8" s="32" t="n">
        <v>27365.41</v>
      </c>
      <c r="I8" s="32" t="n">
        <v>651.15</v>
      </c>
      <c r="J8" s="32" t="n">
        <v>1.2</v>
      </c>
      <c r="K8" s="32" t="n">
        <v>2119359</v>
      </c>
      <c r="L8" s="31" t="n">
        <v>54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68.65000000000001</v>
      </c>
      <c r="P8" s="32" t="n">
        <v>29.07</v>
      </c>
      <c r="Q8" s="32" t="n">
        <v>541.1799999999999</v>
      </c>
      <c r="R8" s="31" t="inlineStr">
        <is>
          <t>Near 52W High Breakout</t>
        </is>
      </c>
      <c r="S8" s="31" t="inlineStr">
        <is>
          <t>Nifty Bank</t>
        </is>
      </c>
      <c r="T8" s="32" t="n">
        <v>6.02</v>
      </c>
      <c r="U8" s="32" t="n">
        <v>50.8</v>
      </c>
      <c r="V8" s="32" t="n">
        <v>42.24</v>
      </c>
      <c r="W8" s="32" t="n">
        <v>15.04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IF(B9=0,"",RANK(B9,$B$2:$B$47,0))</f>
        <v/>
      </c>
      <c r="B9" s="32">
        <f>SUM(N9,Y9,AA9,AC9,AE9,AG9,AI9,AK9,AM9,AO9,AQ9,AS9,AU9,AW9,AY9,BA9,BC9,BE9,BG9,BI9,BK9,BM9,BO9,BQ9,BS9,BU9,BW9,BY9,CA9)</f>
        <v/>
      </c>
      <c r="C9" s="31" t="inlineStr">
        <is>
          <t>CUB</t>
        </is>
      </c>
      <c r="D9" s="31" t="inlineStr">
        <is>
          <t>City Union Bank Limited</t>
        </is>
      </c>
      <c r="E9" s="31" t="inlineStr">
        <is>
          <t>bank</t>
        </is>
      </c>
      <c r="F9" s="31" t="inlineStr">
        <is>
          <t>banks - private sector</t>
        </is>
      </c>
      <c r="G9" s="31" t="inlineStr">
        <is>
          <t>largecap</t>
        </is>
      </c>
      <c r="H9" s="32" t="n">
        <v>23220.09</v>
      </c>
      <c r="I9" s="32" t="n">
        <v>236.01</v>
      </c>
      <c r="J9" s="32" t="n">
        <v>0.7</v>
      </c>
      <c r="K9" s="32" t="n">
        <v>2621193</v>
      </c>
      <c r="L9" s="31" t="n">
        <v>59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65.31</v>
      </c>
      <c r="P9" s="32" t="n">
        <v>36.15</v>
      </c>
      <c r="Q9" s="32" t="n">
        <v>182.93</v>
      </c>
      <c r="R9" s="31" t="inlineStr">
        <is>
          <t>Near 52W High Breakout</t>
        </is>
      </c>
      <c r="S9" s="31" t="inlineStr">
        <is>
          <t>Nifty Bank</t>
        </is>
      </c>
      <c r="T9" s="32" t="n">
        <v>6.02</v>
      </c>
      <c r="U9" s="32" t="n">
        <v>58.76</v>
      </c>
      <c r="V9" s="32" t="n">
        <v>49.75</v>
      </c>
      <c r="W9" s="32" t="n">
        <v>17.03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IF(B10=0,"",RANK(B10,$B$2:$B$47,0))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KTKBANK</t>
        </is>
      </c>
      <c r="D10" s="31" t="inlineStr">
        <is>
          <t>The Karnataka Bank Limited</t>
        </is>
      </c>
      <c r="E10" s="31" t="inlineStr">
        <is>
          <t>bank</t>
        </is>
      </c>
      <c r="F10" s="31" t="inlineStr">
        <is>
          <t>banks - private sector</t>
        </is>
      </c>
      <c r="G10" s="31" t="inlineStr">
        <is>
          <t>midcap</t>
        </is>
      </c>
      <c r="H10" s="32" t="n">
        <v>12849.46</v>
      </c>
      <c r="I10" s="32" t="n">
        <v>340.1</v>
      </c>
      <c r="J10" s="32" t="n">
        <v>0.1</v>
      </c>
      <c r="K10" s="32" t="n">
        <v>1919012</v>
      </c>
      <c r="L10" s="31" t="n">
        <v>72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80.31999999999999</v>
      </c>
      <c r="P10" s="32" t="n">
        <v>49.13</v>
      </c>
      <c r="Q10" s="32" t="n">
        <v>281.32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6.02</v>
      </c>
      <c r="U10" s="32" t="n">
        <v>100.81</v>
      </c>
      <c r="V10" s="32" t="n">
        <v>89.42</v>
      </c>
      <c r="W10" s="32" t="n">
        <v>21.59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Above 40</t>
        </is>
      </c>
      <c r="BM10" s="31">
        <f>IF(BL10="Above 40",20,IF(BL10="20 to 40",10,IF(BL10="0 to 20",-5,0)))</f>
        <v/>
      </c>
      <c r="BN10" s="31" t="inlineStr">
        <is>
          <t>Above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IF(B11=0,"",RANK(B11,$B$2:$B$47,0))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KARURVYSYA</t>
        </is>
      </c>
      <c r="D11" s="31" t="inlineStr">
        <is>
          <t>Karur Vysya Bank Limited</t>
        </is>
      </c>
      <c r="E11" s="31" t="inlineStr">
        <is>
          <t>bank</t>
        </is>
      </c>
      <c r="F11" s="31" t="inlineStr">
        <is>
          <t>banks - private sector</t>
        </is>
      </c>
      <c r="G11" s="31" t="inlineStr">
        <is>
          <t>largecap</t>
        </is>
      </c>
      <c r="H11" s="32" t="n">
        <v>33833.41</v>
      </c>
      <c r="I11" s="32" t="n">
        <v>348.85</v>
      </c>
      <c r="J11" s="32" t="n">
        <v>-0.33</v>
      </c>
      <c r="K11" s="32" t="n">
        <v>955056</v>
      </c>
      <c r="L11" s="31" t="n">
        <v>61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69.45999999999999</v>
      </c>
      <c r="P11" s="32" t="n">
        <v>26.57</v>
      </c>
      <c r="Q11" s="32" t="n">
        <v>291.3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6.02</v>
      </c>
      <c r="U11" s="32" t="n">
        <v>70.58</v>
      </c>
      <c r="V11" s="32" t="n">
        <v>60.9</v>
      </c>
      <c r="W11" s="32" t="n">
        <v>17.49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IF(B12=0,"",RANK(B12,$B$2:$B$47,0))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DCBBANK</t>
        </is>
      </c>
      <c r="D12" s="31" t="inlineStr">
        <is>
          <t>Dcb Bank Limited</t>
        </is>
      </c>
      <c r="E12" s="31" t="inlineStr">
        <is>
          <t>bank</t>
        </is>
      </c>
      <c r="F12" s="31" t="inlineStr">
        <is>
          <t>banks - private sector</t>
        </is>
      </c>
      <c r="G12" s="31" t="inlineStr">
        <is>
          <t>midcap</t>
        </is>
      </c>
      <c r="H12" s="32" t="n">
        <v>7156.56</v>
      </c>
      <c r="I12" s="32" t="n">
        <v>220.74</v>
      </c>
      <c r="J12" s="32" t="n">
        <v>-0.66</v>
      </c>
      <c r="K12" s="32" t="n">
        <v>539992</v>
      </c>
      <c r="L12" s="31" t="n">
        <v>64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71.45</v>
      </c>
      <c r="P12" s="32" t="n">
        <v>29.12</v>
      </c>
      <c r="Q12" s="32" t="n">
        <v>178.2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6.02</v>
      </c>
      <c r="U12" s="32" t="n">
        <v>78.42</v>
      </c>
      <c r="V12" s="32" t="n">
        <v>68.29000000000001</v>
      </c>
      <c r="W12" s="32" t="n">
        <v>18.78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IF(B13=0,"",RANK(B13,$B$2:$B$47,0))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NORTHARC</t>
        </is>
      </c>
      <c r="D13" s="31" t="inlineStr">
        <is>
          <t>Northern ARC Capital Ltd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smallcap</t>
        </is>
      </c>
      <c r="H13" s="32" t="n">
        <v>4922.71</v>
      </c>
      <c r="I13" s="32" t="n">
        <v>302.15</v>
      </c>
      <c r="J13" s="32" t="n">
        <v>-0.8</v>
      </c>
      <c r="K13" s="32" t="n">
        <v>1089238</v>
      </c>
      <c r="L13" s="31" t="n">
        <v>20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58.34</v>
      </c>
      <c r="P13" s="32" t="n">
        <v>32.78</v>
      </c>
      <c r="Q13" s="32" t="n">
        <v>252.66</v>
      </c>
      <c r="R13" s="31" t="inlineStr">
        <is>
          <t>Volume Spike / Accumulation</t>
        </is>
      </c>
      <c r="S13" s="31" t="inlineStr">
        <is>
          <t>Nifty Bank</t>
        </is>
      </c>
      <c r="T13" s="32" t="n">
        <v>6.02</v>
      </c>
      <c r="U13" s="32" t="n">
        <v>24.71</v>
      </c>
      <c r="V13" s="32" t="n">
        <v>17.64</v>
      </c>
      <c r="W13" s="32" t="n">
        <v>5.35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IF(B14=0,"",RANK(B14,$B$2:$B$47,0))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CGCL</t>
        </is>
      </c>
      <c r="D14" s="31" t="inlineStr">
        <is>
          <t>Capri Global Capital Limited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largecap</t>
        </is>
      </c>
      <c r="H14" s="32" t="n">
        <v>26141.72</v>
      </c>
      <c r="I14" s="32" t="n">
        <v>279.9</v>
      </c>
      <c r="J14" s="32" t="n">
        <v>3.02</v>
      </c>
      <c r="K14" s="32" t="n">
        <v>7594713</v>
      </c>
      <c r="L14" s="31" t="n">
        <v>62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74.18000000000001</v>
      </c>
      <c r="P14" s="32" t="n">
        <v>39.64</v>
      </c>
      <c r="Q14" s="32" t="n">
        <v>219.97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6.02</v>
      </c>
      <c r="U14" s="32" t="n">
        <v>52</v>
      </c>
      <c r="V14" s="32" t="n">
        <v>43.37</v>
      </c>
      <c r="W14" s="32" t="n">
        <v>17.98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between 2.5x to 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IF(B15=0,"",RANK(B15,$B$2:$B$47,0))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MUFIN</t>
        </is>
      </c>
      <c r="D15" s="31" t="inlineStr">
        <is>
          <t>Mufin Green Finance Ltd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smallcap</t>
        </is>
      </c>
      <c r="H15" s="32" t="n">
        <v>2713.24</v>
      </c>
      <c r="I15" s="32" t="n">
        <v>137.56</v>
      </c>
      <c r="J15" s="32" t="n">
        <v>0.47</v>
      </c>
      <c r="K15" s="32" t="n">
        <v>1131652</v>
      </c>
      <c r="L15" s="31" t="n">
        <v>49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63.5</v>
      </c>
      <c r="P15" s="32" t="n">
        <v>38.17</v>
      </c>
      <c r="Q15" s="32" t="n">
        <v>115.27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6.02</v>
      </c>
      <c r="U15" s="32" t="n">
        <v>64.29000000000001</v>
      </c>
      <c r="V15" s="32" t="n">
        <v>54.97</v>
      </c>
      <c r="W15" s="32" t="n">
        <v>13.38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between 2.5x to 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IF(B16=0,"",RANK(B16,$B$2:$B$47,0))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IFCI</t>
        </is>
      </c>
      <c r="D16" s="31" t="inlineStr">
        <is>
          <t>Ifci Limited</t>
        </is>
      </c>
      <c r="E16" s="31" t="inlineStr">
        <is>
          <t>financials</t>
        </is>
      </c>
      <c r="F16" s="31" t="inlineStr">
        <is>
          <t>finance - term-lending institutions</t>
        </is>
      </c>
      <c r="G16" s="31" t="inlineStr">
        <is>
          <t>largecap</t>
        </is>
      </c>
      <c r="H16" s="32" t="n">
        <v>25841.17</v>
      </c>
      <c r="I16" s="32" t="n">
        <v>101.38</v>
      </c>
      <c r="J16" s="32" t="n">
        <v>5.7</v>
      </c>
      <c r="K16" s="32" t="n">
        <v>407352536</v>
      </c>
      <c r="L16" s="31" t="n">
        <v>71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73.53</v>
      </c>
      <c r="P16" s="32" t="n">
        <v>47.29</v>
      </c>
      <c r="Q16" s="32" t="n">
        <v>75.45</v>
      </c>
      <c r="R16" s="31" t="inlineStr">
        <is>
          <t>Volume Spike &amp; Near 52W High Breakout</t>
        </is>
      </c>
      <c r="S16" s="31" t="inlineStr">
        <is>
          <t>Nifty Bank</t>
        </is>
      </c>
      <c r="T16" s="32" t="n">
        <v>6.02</v>
      </c>
      <c r="U16" s="32" t="n">
        <v>93.36</v>
      </c>
      <c r="V16" s="32" t="n">
        <v>82.39</v>
      </c>
      <c r="W16" s="32" t="n">
        <v>21.05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between 2.5x to 5x and Growth less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Above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IF(B17=0,"",RANK(B17,$B$2:$B$47,0))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SMCGLOBAL</t>
        </is>
      </c>
      <c r="D17" s="31" t="inlineStr">
        <is>
          <t>SMC Global Securities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smallcap</t>
        </is>
      </c>
      <c r="H17" s="32" t="n">
        <v>1663.05</v>
      </c>
      <c r="I17" s="32" t="n">
        <v>81.25</v>
      </c>
      <c r="J17" s="32" t="n">
        <v>2.3</v>
      </c>
      <c r="K17" s="32" t="n">
        <v>865274</v>
      </c>
      <c r="L17" s="31" t="n">
        <v>47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59.33</v>
      </c>
      <c r="P17" s="32" t="n">
        <v>20.03</v>
      </c>
      <c r="Q17" s="32" t="n">
        <v>63.69</v>
      </c>
      <c r="R17" s="31" t="inlineStr">
        <is>
          <t>Earnings / Momentum Support</t>
        </is>
      </c>
      <c r="S17" s="31" t="inlineStr">
        <is>
          <t>Nifty Bank</t>
        </is>
      </c>
      <c r="T17" s="32" t="n">
        <v>6.02</v>
      </c>
      <c r="U17" s="32" t="n">
        <v>21.18</v>
      </c>
      <c r="V17" s="32" t="n">
        <v>14.3</v>
      </c>
      <c r="W17" s="32" t="n">
        <v>12.67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No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IF(B18=0,"",RANK(B18,$B$2:$B$47,0))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PNBHOUSING</t>
        </is>
      </c>
      <c r="D18" s="31" t="inlineStr">
        <is>
          <t>Pnb Housing Finance Limited</t>
        </is>
      </c>
      <c r="E18" s="31" t="inlineStr">
        <is>
          <t>financials</t>
        </is>
      </c>
      <c r="F18" s="31" t="inlineStr">
        <is>
          <t>finance - housing</t>
        </is>
      </c>
      <c r="G18" s="31" t="inlineStr">
        <is>
          <t>largecap</t>
        </is>
      </c>
      <c r="H18" s="32" t="n">
        <v>29850.58</v>
      </c>
      <c r="I18" s="32" t="n">
        <v>1166</v>
      </c>
      <c r="J18" s="32" t="n">
        <v>1.79</v>
      </c>
      <c r="K18" s="32" t="n">
        <v>923575</v>
      </c>
      <c r="L18" s="31" t="n">
        <v>47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68.44</v>
      </c>
      <c r="P18" s="32" t="n">
        <v>34.18</v>
      </c>
      <c r="Q18" s="32" t="n">
        <v>968.4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6.02</v>
      </c>
      <c r="U18" s="32" t="n">
        <v>48.43</v>
      </c>
      <c r="V18" s="32" t="n">
        <v>40.01</v>
      </c>
      <c r="W18" s="32" t="n">
        <v>12.86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less than 2.5x and Growth less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Blue sky scenario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IF(B19=0,"",RANK(B19,$B$2:$B$47,0))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KOTAKBANK</t>
        </is>
      </c>
      <c r="D19" s="31" t="inlineStr">
        <is>
          <t>Kotak Mahindra Bank Limited</t>
        </is>
      </c>
      <c r="E19" s="31" t="inlineStr">
        <is>
          <t>bank</t>
        </is>
      </c>
      <c r="F19" s="31" t="inlineStr">
        <is>
          <t>banks - private sector</t>
        </is>
      </c>
      <c r="G19" s="31" t="inlineStr">
        <is>
          <t>largecap</t>
        </is>
      </c>
      <c r="H19" s="32" t="n">
        <v>418905.66</v>
      </c>
      <c r="I19" s="32" t="n">
        <v>424.5</v>
      </c>
      <c r="J19" s="32" t="n">
        <v>0.8</v>
      </c>
      <c r="K19" s="32" t="n">
        <v>9408316</v>
      </c>
      <c r="L19" s="31" t="n">
        <v>17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62.21</v>
      </c>
      <c r="P19" s="32" t="n">
        <v>11.5</v>
      </c>
      <c r="Q19" s="32" t="n">
        <v>372.57</v>
      </c>
      <c r="R19" s="31" t="inlineStr">
        <is>
          <t>Near 52W High Breakout</t>
        </is>
      </c>
      <c r="S19" s="31" t="inlineStr">
        <is>
          <t>Nifty Bank</t>
        </is>
      </c>
      <c r="T19" s="32" t="n">
        <v>6.02</v>
      </c>
      <c r="U19" s="32" t="n">
        <v>9.289999999999999</v>
      </c>
      <c r="V19" s="32" t="n">
        <v>3.09</v>
      </c>
      <c r="W19" s="32" t="n">
        <v>4.65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less than 2.5x and Growth more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0 to 20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Blue sky scenario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IF(B20=0,"",RANK(B20,$B$2:$B$47,0))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SOUTHBANK</t>
        </is>
      </c>
      <c r="D20" s="31" t="inlineStr">
        <is>
          <t>The South Indian Bank Limited</t>
        </is>
      </c>
      <c r="E20" s="31" t="inlineStr">
        <is>
          <t>bank</t>
        </is>
      </c>
      <c r="F20" s="31" t="inlineStr">
        <is>
          <t>banks - private sector</t>
        </is>
      </c>
      <c r="G20" s="31" t="inlineStr">
        <is>
          <t>midcap</t>
        </is>
      </c>
      <c r="H20" s="32" t="n">
        <v>12488.18</v>
      </c>
      <c r="I20" s="32" t="n">
        <v>47.29</v>
      </c>
      <c r="J20" s="32" t="n">
        <v>-0.86</v>
      </c>
      <c r="K20" s="32" t="n">
        <v>8819050</v>
      </c>
      <c r="L20" s="31" t="n">
        <v>49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62.78</v>
      </c>
      <c r="P20" s="32" t="n">
        <v>35.67</v>
      </c>
      <c r="Q20" s="32" t="n">
        <v>38.94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6.02</v>
      </c>
      <c r="U20" s="32" t="n">
        <v>67.03</v>
      </c>
      <c r="V20" s="32" t="n">
        <v>57.56</v>
      </c>
      <c r="W20" s="32" t="n">
        <v>13.35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less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Blue sky scenario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IF(B21=0,"",RANK(B21,$B$2:$B$47,0))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IDFCFIRSTB</t>
        </is>
      </c>
      <c r="D21" s="31" t="inlineStr">
        <is>
          <t>IDFC First Bank Ltd</t>
        </is>
      </c>
      <c r="E21" s="31" t="inlineStr">
        <is>
          <t>bank</t>
        </is>
      </c>
      <c r="F21" s="31" t="inlineStr">
        <is>
          <t>banks - private sector</t>
        </is>
      </c>
      <c r="G21" s="31" t="inlineStr">
        <is>
          <t>largecap</t>
        </is>
      </c>
      <c r="H21" s="32" t="n">
        <v>75378.94</v>
      </c>
      <c r="I21" s="32" t="n">
        <v>86.70999999999999</v>
      </c>
      <c r="J21" s="32" t="n">
        <v>-0.9</v>
      </c>
      <c r="K21" s="32" t="n">
        <v>15288105</v>
      </c>
      <c r="L21" s="31" t="n">
        <v>32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65.23999999999999</v>
      </c>
      <c r="P21" s="32" t="n">
        <v>26.62</v>
      </c>
      <c r="Q21" s="32" t="n">
        <v>74.40000000000001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6.02</v>
      </c>
      <c r="U21" s="32" t="n">
        <v>19.79</v>
      </c>
      <c r="V21" s="32" t="n">
        <v>12.99</v>
      </c>
      <c r="W21" s="32" t="n">
        <v>8.34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less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20 to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Blue sky scenario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IF(B22=0,"",RANK(B22,$B$2:$B$47,0))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UNIONBANK</t>
        </is>
      </c>
      <c r="D22" s="31" t="inlineStr">
        <is>
          <t>Union Bank Of India Ltd</t>
        </is>
      </c>
      <c r="E22" s="31" t="inlineStr">
        <is>
          <t>bank</t>
        </is>
      </c>
      <c r="F22" s="31" t="inlineStr">
        <is>
          <t>banks - public sector</t>
        </is>
      </c>
      <c r="G22" s="31" t="inlineStr">
        <is>
          <t>largecap</t>
        </is>
      </c>
      <c r="H22" s="32" t="n">
        <v>144275.15</v>
      </c>
      <c r="I22" s="32" t="n">
        <v>187.22</v>
      </c>
      <c r="J22" s="32" t="n">
        <v>-0.9399999999999999</v>
      </c>
      <c r="K22" s="32" t="n">
        <v>7910433</v>
      </c>
      <c r="L22" s="31" t="n">
        <v>46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63.77</v>
      </c>
      <c r="P22" s="32" t="n">
        <v>22.06</v>
      </c>
      <c r="Q22" s="32" t="n">
        <v>155.48</v>
      </c>
      <c r="R22" s="31" t="inlineStr">
        <is>
          <t>Near 52W High Breakout</t>
        </is>
      </c>
      <c r="S22" s="31" t="inlineStr">
        <is>
          <t>Nifty Bank</t>
        </is>
      </c>
      <c r="T22" s="32" t="n">
        <v>6.02</v>
      </c>
      <c r="U22" s="32" t="n">
        <v>51.36</v>
      </c>
      <c r="V22" s="32" t="n">
        <v>42.78</v>
      </c>
      <c r="W22" s="32" t="n">
        <v>12.56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less than 2.5x and Growth less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Blue sky scenario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IF(B23=0,"",RANK(B23,$B$2:$B$47,0))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TFCILTD</t>
        </is>
      </c>
      <c r="D23" s="31" t="inlineStr">
        <is>
          <t>Tourism Finance Corporation Of India Limited</t>
        </is>
      </c>
      <c r="E23" s="31" t="inlineStr">
        <is>
          <t>financials</t>
        </is>
      </c>
      <c r="F23" s="31" t="inlineStr">
        <is>
          <t>finance - term-lending institutions</t>
        </is>
      </c>
      <c r="G23" s="31" t="inlineStr">
        <is>
          <t>midcap</t>
        </is>
      </c>
      <c r="H23" s="32" t="n">
        <v>6792.34</v>
      </c>
      <c r="I23" s="32" t="n">
        <v>143.26</v>
      </c>
      <c r="J23" s="32" t="n">
        <v>-2.35</v>
      </c>
      <c r="K23" s="32" t="n">
        <v>8211306</v>
      </c>
      <c r="L23" s="31" t="n">
        <v>91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86.04000000000001</v>
      </c>
      <c r="P23" s="32" t="n">
        <v>62.45</v>
      </c>
      <c r="Q23" s="32" t="n">
        <v>114.08</v>
      </c>
      <c r="R23" s="31" t="inlineStr">
        <is>
          <t>Near 52W High Breakout</t>
        </is>
      </c>
      <c r="S23" s="31" t="inlineStr">
        <is>
          <t>Nifty Bank</t>
        </is>
      </c>
      <c r="T23" s="32" t="n">
        <v>6.02</v>
      </c>
      <c r="U23" s="32" t="n">
        <v>108.08</v>
      </c>
      <c r="V23" s="32" t="n">
        <v>96.27</v>
      </c>
      <c r="W23" s="32" t="n">
        <v>38.42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above 5x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Above 40</t>
        </is>
      </c>
      <c r="BM23" s="31">
        <f>IF(BL23="Above 40",20,IF(BL23="20 to 40",10,IF(BL23="0 to 20",-5,0)))</f>
        <v/>
      </c>
      <c r="BN23" s="31" t="inlineStr">
        <is>
          <t>Above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Blue sky scenario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IF(B24=0,"",RANK(B24,$B$2:$B$47,0))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NIACL</t>
        </is>
      </c>
      <c r="D24" s="31" t="inlineStr">
        <is>
          <t>New India Assurance Company Ltd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largecap</t>
        </is>
      </c>
      <c r="H24" s="32" t="n">
        <v>32190.38</v>
      </c>
      <c r="I24" s="32" t="n">
        <v>229.91</v>
      </c>
      <c r="J24" s="32" t="n">
        <v>17.7</v>
      </c>
      <c r="K24" s="32" t="n">
        <v>66928665</v>
      </c>
      <c r="L24" s="31" t="n">
        <v>58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74.43000000000001</v>
      </c>
      <c r="P24" s="32" t="n">
        <v>29.52</v>
      </c>
      <c r="Q24" s="32" t="n">
        <v>177.81</v>
      </c>
      <c r="R24" s="31" t="inlineStr">
        <is>
          <t>Volume Spike &amp; Near 52W High Breakout</t>
        </is>
      </c>
      <c r="S24" s="31" t="inlineStr">
        <is>
          <t>Nifty Bank</t>
        </is>
      </c>
      <c r="T24" s="32" t="n">
        <v>6.02</v>
      </c>
      <c r="U24" s="32" t="n">
        <v>19</v>
      </c>
      <c r="V24" s="32" t="n">
        <v>12.25</v>
      </c>
      <c r="W24" s="32" t="n">
        <v>16.82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less than 2.5x and Growth less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20 to 40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IF(B25=0,"",RANK(B25,$B$2:$B$47,0))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OFSS</t>
        </is>
      </c>
      <c r="D25" s="31" t="inlineStr">
        <is>
          <t>Oracle Financial Services Software Limited</t>
        </is>
      </c>
      <c r="E25" s="31" t="inlineStr">
        <is>
          <t>i.t</t>
        </is>
      </c>
      <c r="F25" s="31" t="inlineStr">
        <is>
          <t>computers - software - large</t>
        </is>
      </c>
      <c r="G25" s="31" t="inlineStr">
        <is>
          <t>largecap</t>
        </is>
      </c>
      <c r="H25" s="32" t="n">
        <v>105783.94</v>
      </c>
      <c r="I25" s="32" t="n">
        <v>12058</v>
      </c>
      <c r="J25" s="32" t="n">
        <v>-0.75</v>
      </c>
      <c r="K25" s="32" t="n">
        <v>166477</v>
      </c>
      <c r="L25" s="31" t="n">
        <v>55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68.87</v>
      </c>
      <c r="P25" s="32" t="n">
        <v>29.34</v>
      </c>
      <c r="Q25" s="32" t="n">
        <v>9860.85</v>
      </c>
      <c r="R25" s="31" t="inlineStr">
        <is>
          <t>Near 52W High Breakout</t>
        </is>
      </c>
      <c r="S25" s="31" t="inlineStr">
        <is>
          <t>Nifty IT</t>
        </is>
      </c>
      <c r="T25" s="32" t="n">
        <v>-11.38</v>
      </c>
      <c r="U25" s="32" t="n">
        <v>52.12</v>
      </c>
      <c r="V25" s="32" t="n">
        <v>71.65000000000001</v>
      </c>
      <c r="W25" s="32" t="n">
        <v>15.48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above 5x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20 to 40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Blue sky scenario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IF(B26=0,"",RANK(B26,$B$2:$B$47,0))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MCX</t>
        </is>
      </c>
      <c r="D26" s="31" t="inlineStr">
        <is>
          <t>Multi Commodity Exchange Of India Limited</t>
        </is>
      </c>
      <c r="E26" s="31" t="inlineStr">
        <is>
          <t>financials</t>
        </is>
      </c>
      <c r="F26" s="31" t="inlineStr">
        <is>
          <t>miscellaneous</t>
        </is>
      </c>
      <c r="G26" s="31" t="inlineStr">
        <is>
          <t>largecap</t>
        </is>
      </c>
      <c r="H26" s="32" t="n">
        <v>80837.50999999999</v>
      </c>
      <c r="I26" s="32" t="n">
        <v>3275.4</v>
      </c>
      <c r="J26" s="32" t="n">
        <v>3.32</v>
      </c>
      <c r="K26" s="32" t="n">
        <v>2485731</v>
      </c>
      <c r="L26" s="31" t="n">
        <v>70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67.15000000000001</v>
      </c>
      <c r="P26" s="32" t="n">
        <v>21.19</v>
      </c>
      <c r="Q26" s="32" t="n">
        <v>2657.29</v>
      </c>
      <c r="R26" s="31" t="inlineStr">
        <is>
          <t>Near 52W High Breakout</t>
        </is>
      </c>
      <c r="S26" s="31" t="inlineStr">
        <is>
          <t>Nifty Bank</t>
        </is>
      </c>
      <c r="T26" s="32" t="n">
        <v>6.02</v>
      </c>
      <c r="U26" s="32" t="n">
        <v>115.86</v>
      </c>
      <c r="V26" s="32" t="n">
        <v>103.61</v>
      </c>
      <c r="W26" s="32" t="n">
        <v>20.75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above 5x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20 to 40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Blue sky scenario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IF(B27=0,"",RANK(B27,$B$2:$B$47,0))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EDELWEISS</t>
        </is>
      </c>
      <c r="D27" s="31" t="inlineStr">
        <is>
          <t>Edelweiss Financial Services Limited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midcap</t>
        </is>
      </c>
      <c r="H27" s="32" t="n">
        <v>12755.46</v>
      </c>
      <c r="I27" s="32" t="n">
        <v>136.08</v>
      </c>
      <c r="J27" s="32" t="n">
        <v>0.98</v>
      </c>
      <c r="K27" s="32" t="n">
        <v>11273587</v>
      </c>
      <c r="L27" s="31" t="n">
        <v>29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64.31999999999999</v>
      </c>
      <c r="P27" s="32" t="n">
        <v>14.8</v>
      </c>
      <c r="Q27" s="32" t="n">
        <v>104.47</v>
      </c>
      <c r="R27" s="31" t="inlineStr">
        <is>
          <t>Volume Spike &amp; Near 52W High Breakout</t>
        </is>
      </c>
      <c r="S27" s="31" t="inlineStr">
        <is>
          <t>Nifty Bank</t>
        </is>
      </c>
      <c r="T27" s="32" t="n">
        <v>6.02</v>
      </c>
      <c r="U27" s="32" t="n">
        <v>18.57</v>
      </c>
      <c r="V27" s="32" t="n">
        <v>11.85</v>
      </c>
      <c r="W27" s="32" t="n">
        <v>7.57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between 2.5x to 5x and Growth more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0 to 20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Blue sky scenario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IF(B28=0,"",RANK(B28,$B$2:$B$47,0))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ANANDRATHI</t>
        </is>
      </c>
      <c r="D28" s="31" t="inlineStr">
        <is>
          <t>Anand Rathi Wealth Ltd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largecap</t>
        </is>
      </c>
      <c r="H28" s="32" t="n">
        <v>36617.08</v>
      </c>
      <c r="I28" s="32" t="n">
        <v>2215.9</v>
      </c>
      <c r="J28" s="32" t="n">
        <v>0.48</v>
      </c>
      <c r="K28" s="32" t="n">
        <v>119776</v>
      </c>
      <c r="L28" s="31" t="n">
        <v>52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76.63</v>
      </c>
      <c r="P28" s="32" t="n">
        <v>56.89</v>
      </c>
      <c r="Q28" s="32" t="n">
        <v>1920.82</v>
      </c>
      <c r="R28" s="31" t="inlineStr">
        <is>
          <t>Near 52W High Breakout</t>
        </is>
      </c>
      <c r="S28" s="31" t="inlineStr">
        <is>
          <t>Nifty Bank</t>
        </is>
      </c>
      <c r="T28" s="32" t="n">
        <v>6.02</v>
      </c>
      <c r="U28" s="32" t="n">
        <v>51.23</v>
      </c>
      <c r="V28" s="32" t="n">
        <v>42.65</v>
      </c>
      <c r="W28" s="32" t="n">
        <v>14.34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above 5x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Above 40</t>
        </is>
      </c>
      <c r="BM28" s="31">
        <f>IF(BL28="Above 40",20,IF(BL28="20 to 40",10,IF(BL28="0 to 20",-5,0)))</f>
        <v/>
      </c>
      <c r="BN28" s="31" t="inlineStr">
        <is>
          <t>Above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Blue sky scenario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IF(B29=0,"",RANK(B29,$B$2:$B$47,0))</f>
        <v/>
      </c>
      <c r="B29" s="32">
        <f>SUM(N29,Y29,AA29,AC29,AE29,AG29,AI29,AK29,AM29,AO29,AQ29,AS29,AU29,AW29,AY29,BA29,BC29,BE29,BG29,BI29,BK29,BM29,BO29,BQ29,BS29,BU29,BW29,BY29,CA29)</f>
        <v/>
      </c>
      <c r="C29" s="33" t="inlineStr">
        <is>
          <t>HOMEFIRST</t>
        </is>
      </c>
      <c r="D29" s="33" t="inlineStr">
        <is>
          <t>Home First Finance Company India Ltd</t>
        </is>
      </c>
      <c r="E29" s="31" t="inlineStr">
        <is>
          <t>financials</t>
        </is>
      </c>
      <c r="F29" s="31" t="inlineStr">
        <is>
          <t>finance - housing</t>
        </is>
      </c>
      <c r="G29" s="31" t="inlineStr">
        <is>
          <t>midcap</t>
        </is>
      </c>
      <c r="H29" s="32" t="n">
        <v>12557.66</v>
      </c>
      <c r="I29" s="32" t="n">
        <v>1210.1</v>
      </c>
      <c r="J29" s="32" t="n">
        <v>0.72</v>
      </c>
      <c r="K29" s="32" t="n">
        <v>128463</v>
      </c>
      <c r="L29" s="31" t="n">
        <v>9</v>
      </c>
      <c r="M29" s="31" t="inlineStr">
        <is>
          <t>Underperforming</t>
        </is>
      </c>
      <c r="N29" s="32">
        <f>IF(M29="Underperforming",-5,IF(L29&gt;=95,15,IF(L29&gt;=90,10,IF(L29&gt;=80,5,0))))</f>
        <v/>
      </c>
      <c r="O29" s="32" t="n">
        <v>57.31</v>
      </c>
      <c r="P29" s="32" t="n">
        <v>30.59</v>
      </c>
      <c r="Q29" s="32" t="n">
        <v>1009.66</v>
      </c>
      <c r="R29" s="31" t="inlineStr">
        <is>
          <t>Earnings / Momentum Support</t>
        </is>
      </c>
      <c r="S29" s="31" t="inlineStr">
        <is>
          <t>Nifty Bank</t>
        </is>
      </c>
      <c r="T29" s="32" t="n">
        <v>6.02</v>
      </c>
      <c r="U29" s="32" t="n">
        <v>-3.6</v>
      </c>
      <c r="V29" s="32" t="n">
        <v>-9.07</v>
      </c>
      <c r="W29" s="32" t="n">
        <v>2.06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No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between 2.5x to 5x and Growth more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20 to 40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IF(B30=0,"",RANK(B30,$B$2:$B$47,0))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NUVAMA</t>
        </is>
      </c>
      <c r="D30" s="31" t="inlineStr">
        <is>
          <t>Nuvama Wealth Management Ltd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largecap</t>
        </is>
      </c>
      <c r="H30" s="32" t="n">
        <v>33570.7</v>
      </c>
      <c r="I30" s="32" t="n">
        <v>1815.6</v>
      </c>
      <c r="J30" s="32" t="n">
        <v>-1.28</v>
      </c>
      <c r="K30" s="32" t="n">
        <v>263032</v>
      </c>
      <c r="L30" s="31" t="n">
        <v>43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58.82</v>
      </c>
      <c r="P30" s="32" t="n">
        <v>40.34</v>
      </c>
      <c r="Q30" s="32" t="n">
        <v>1543.94</v>
      </c>
      <c r="R30" s="31" t="inlineStr">
        <is>
          <t>Earnings / Momentum Support</t>
        </is>
      </c>
      <c r="S30" s="31" t="inlineStr">
        <is>
          <t>Nifty Bank</t>
        </is>
      </c>
      <c r="T30" s="32" t="n">
        <v>6.02</v>
      </c>
      <c r="U30" s="32" t="n">
        <v>42.12</v>
      </c>
      <c r="V30" s="32" t="n">
        <v>34.06</v>
      </c>
      <c r="W30" s="32" t="n">
        <v>11.4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No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above 5x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Above 40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IF(B31=0,"",RANK(B31,$B$2:$B$47,0))</f>
        <v/>
      </c>
      <c r="B31" s="32">
        <f>SUM(N31,Y31,AA31,AC31,AE31,AG31,AI31,AK31,AM31,AO31,AQ31,AS31,AU31,AW31,AY31,BA31,BC31,BE31,BG31,BI31,BK31,BM31,BO31,BQ31,BS31,BU31,BW31,BY31,CA31)</f>
        <v/>
      </c>
      <c r="C31" s="33" t="inlineStr">
        <is>
          <t>SBFC</t>
        </is>
      </c>
      <c r="D31" s="33" t="inlineStr">
        <is>
          <t>SBFC Finance Ltd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midcap</t>
        </is>
      </c>
      <c r="H31" s="32" t="n">
        <v>11061.99</v>
      </c>
      <c r="I31" s="32" t="n">
        <v>100.08</v>
      </c>
      <c r="J31" s="32" t="n">
        <v>0.18</v>
      </c>
      <c r="K31" s="32" t="n">
        <v>817043</v>
      </c>
      <c r="L31" s="31" t="n">
        <v>4</v>
      </c>
      <c r="M31" s="31" t="inlineStr">
        <is>
          <t>Underperforming</t>
        </is>
      </c>
      <c r="N31" s="32">
        <f>IF(M31="Underperforming",-5,IF(L31&gt;=95,15,IF(L31&gt;=90,10,IF(L31&gt;=80,5,0))))</f>
        <v/>
      </c>
      <c r="O31" s="32" t="n">
        <v>57.47</v>
      </c>
      <c r="P31" s="32" t="n">
        <v>12.92</v>
      </c>
      <c r="Q31" s="32" t="n">
        <v>80.95999999999999</v>
      </c>
      <c r="R31" s="31" t="inlineStr">
        <is>
          <t>Volume Spike / Accumulation</t>
        </is>
      </c>
      <c r="S31" s="31" t="inlineStr">
        <is>
          <t>Nifty Bank</t>
        </is>
      </c>
      <c r="T31" s="32" t="n">
        <v>6.02</v>
      </c>
      <c r="U31" s="32" t="n">
        <v>-6.31</v>
      </c>
      <c r="V31" s="32" t="n">
        <v>-11.63</v>
      </c>
      <c r="W31" s="32" t="n">
        <v>0.43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between 2.5x to 5x and Growth more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0 to 20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IF(B32=0,"",RANK(B32,$B$2:$B$47,0))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GEOJITFSL</t>
        </is>
      </c>
      <c r="D32" s="31" t="inlineStr">
        <is>
          <t>Geojit Financial Services Ltd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smallcap</t>
        </is>
      </c>
      <c r="H32" s="32" t="n">
        <v>2310.29</v>
      </c>
      <c r="I32" s="32" t="n">
        <v>82.72</v>
      </c>
      <c r="J32" s="32" t="n">
        <v>-0.06</v>
      </c>
      <c r="K32" s="32" t="n">
        <v>332909</v>
      </c>
      <c r="L32" s="31" t="n">
        <v>17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64.09</v>
      </c>
      <c r="P32" s="32" t="n">
        <v>13.83</v>
      </c>
      <c r="Q32" s="32" t="n">
        <v>66.72</v>
      </c>
      <c r="R32" s="31" t="inlineStr">
        <is>
          <t>Near 52W High Breakout</t>
        </is>
      </c>
      <c r="S32" s="31" t="inlineStr">
        <is>
          <t>Nifty Bank</t>
        </is>
      </c>
      <c r="T32" s="32" t="n">
        <v>6.02</v>
      </c>
      <c r="U32" s="32" t="n">
        <v>10.78</v>
      </c>
      <c r="V32" s="32" t="n">
        <v>4.5</v>
      </c>
      <c r="W32" s="32" t="n">
        <v>4.97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less than 2.5x and Growth less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0 to 20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2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IF(B33=0,"",RANK(B33,$B$2:$B$47,0))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MOTILALOFS</t>
        </is>
      </c>
      <c r="D33" s="31" t="inlineStr">
        <is>
          <t>Motilal Oswal Financial Services Limited</t>
        </is>
      </c>
      <c r="E33" s="31" t="inlineStr">
        <is>
          <t>financials</t>
        </is>
      </c>
      <c r="F33" s="31" t="inlineStr">
        <is>
          <t>finance &amp; investments</t>
        </is>
      </c>
      <c r="G33" s="31" t="inlineStr">
        <is>
          <t>largecap</t>
        </is>
      </c>
      <c r="H33" s="32" t="n">
        <v>60985.42</v>
      </c>
      <c r="I33" s="32" t="n">
        <v>1037</v>
      </c>
      <c r="J33" s="32" t="n">
        <v>2.39</v>
      </c>
      <c r="K33" s="32" t="n">
        <v>807197</v>
      </c>
      <c r="L33" s="31" t="n">
        <v>35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65.59</v>
      </c>
      <c r="P33" s="32" t="n">
        <v>17.26</v>
      </c>
      <c r="Q33" s="32" t="n">
        <v>845.64</v>
      </c>
      <c r="R33" s="31" t="inlineStr">
        <is>
          <t>Near 52W High Breakout</t>
        </is>
      </c>
      <c r="S33" s="31" t="inlineStr">
        <is>
          <t>Nifty Bank</t>
        </is>
      </c>
      <c r="T33" s="32" t="n">
        <v>6.02</v>
      </c>
      <c r="U33" s="32" t="n">
        <v>19.74</v>
      </c>
      <c r="V33" s="32" t="n">
        <v>12.94</v>
      </c>
      <c r="W33" s="32" t="n">
        <v>8.970000000000001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between 2.5x to 5x and Growth less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0 to 20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Positive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Blue sky scenario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IF(B34=0,"",RANK(B34,$B$2:$B$47,0))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ABSLAMC</t>
        </is>
      </c>
      <c r="D34" s="31" t="inlineStr">
        <is>
          <t>Aditya Birla Sun Life AMC Ltd</t>
        </is>
      </c>
      <c r="E34" s="31" t="inlineStr">
        <is>
          <t>financials</t>
        </is>
      </c>
      <c r="F34" s="31" t="inlineStr">
        <is>
          <t>finance &amp; investments</t>
        </is>
      </c>
      <c r="G34" s="31" t="inlineStr">
        <is>
          <t>largecap</t>
        </is>
      </c>
      <c r="H34" s="32" t="n">
        <v>30186.02</v>
      </c>
      <c r="I34" s="32" t="n">
        <v>1062.3</v>
      </c>
      <c r="J34" s="32" t="n">
        <v>1.64</v>
      </c>
      <c r="K34" s="32" t="n">
        <v>127937</v>
      </c>
      <c r="L34" s="31" t="n">
        <v>28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56.99</v>
      </c>
      <c r="P34" s="32" t="n">
        <v>34.53</v>
      </c>
      <c r="Q34" s="32" t="n">
        <v>936.42</v>
      </c>
      <c r="R34" s="31" t="inlineStr">
        <is>
          <t>Earnings / Momentum Support</t>
        </is>
      </c>
      <c r="S34" s="31" t="inlineStr">
        <is>
          <t>Nifty Bank</t>
        </is>
      </c>
      <c r="T34" s="32" t="n">
        <v>6.02</v>
      </c>
      <c r="U34" s="32" t="n">
        <v>31.49</v>
      </c>
      <c r="V34" s="32" t="n">
        <v>24.03</v>
      </c>
      <c r="W34" s="32" t="n">
        <v>7.21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No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above 5x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20 to 40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Positive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IF(B35=0,"",RANK(B35,$B$2:$B$47,0))</f>
        <v/>
      </c>
      <c r="B35" s="32">
        <f>SUM(N35,Y35,AA35,AC35,AE35,AG35,AI35,AK35,AM35,AO35,AQ35,AS35,AU35,AW35,AY35,BA35,BC35,BE35,BG35,BI35,BK35,BM35,BO35,BQ35,BS35,BU35,BW35,BY35,CA35)</f>
        <v/>
      </c>
      <c r="C35" s="33" t="inlineStr">
        <is>
          <t>BFINVEST</t>
        </is>
      </c>
      <c r="D35" s="33" t="inlineStr">
        <is>
          <t>Bf Investment Limited</t>
        </is>
      </c>
      <c r="E35" s="31" t="inlineStr">
        <is>
          <t>financials</t>
        </is>
      </c>
      <c r="F35" s="31" t="inlineStr">
        <is>
          <t>finance &amp; investments</t>
        </is>
      </c>
      <c r="G35" s="31" t="inlineStr">
        <is>
          <t>smallcap</t>
        </is>
      </c>
      <c r="H35" s="32" t="n">
        <v>1768.31</v>
      </c>
      <c r="I35" s="32" t="n">
        <v>469.35</v>
      </c>
      <c r="J35" s="32" t="n">
        <v>-0.02</v>
      </c>
      <c r="K35" s="32" t="n">
        <v>33149</v>
      </c>
      <c r="L35" s="31" t="n">
        <v>13</v>
      </c>
      <c r="M35" s="31" t="inlineStr">
        <is>
          <t>Underperforming</t>
        </is>
      </c>
      <c r="N35" s="32">
        <f>IF(M35="Underperforming",-5,IF(L35&gt;=95,15,IF(L35&gt;=90,10,IF(L35&gt;=80,5,0))))</f>
        <v/>
      </c>
      <c r="O35" s="32" t="n">
        <v>58.52</v>
      </c>
      <c r="P35" s="32" t="n">
        <v>38.32</v>
      </c>
      <c r="Q35" s="32" t="n">
        <v>370.21</v>
      </c>
      <c r="R35" s="31" t="inlineStr">
        <is>
          <t>Near 52W High Breakout</t>
        </is>
      </c>
      <c r="S35" s="31" t="inlineStr">
        <is>
          <t>Nifty Bank</t>
        </is>
      </c>
      <c r="T35" s="32" t="n">
        <v>6.02</v>
      </c>
      <c r="U35" s="32" t="n">
        <v>4.28</v>
      </c>
      <c r="V35" s="32" t="n">
        <v>-1.63</v>
      </c>
      <c r="W35" s="32" t="n">
        <v>3.21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less than 2.5x and Growth more than 20%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20 to 40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2</t>
        </is>
      </c>
      <c r="BQ35" s="31">
        <f>IF(BP35="Stage 2",20,IF(BP35="Stage 1",0,IF(BP35="Stage 3",5,IF(BP35="Stage 4",-5,0))))</f>
        <v/>
      </c>
      <c r="BR35" s="31" t="inlineStr">
        <is>
          <t>Negative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IF(B36=0,"",RANK(B36,$B$2:$B$47,0))</f>
        <v/>
      </c>
      <c r="B36" s="32">
        <f>SUM(N36,Y36,AA36,AC36,AE36,AG36,AI36,AK36,AM36,AO36,AQ36,AS36,AU36,AW36,AY36,BA36,BC36,BE36,BG36,BI36,BK36,BM36,BO36,BQ36,BS36,BU36,BW36,BY36,CA36)</f>
        <v/>
      </c>
      <c r="C36" s="31" t="inlineStr">
        <is>
          <t>CONSOFINVT</t>
        </is>
      </c>
      <c r="D36" s="31" t="inlineStr">
        <is>
          <t>Consolidated Finvest &amp; Holdings Limited</t>
        </is>
      </c>
      <c r="E36" s="31" t="inlineStr">
        <is>
          <t>financials</t>
        </is>
      </c>
      <c r="F36" s="31" t="inlineStr">
        <is>
          <t>finance &amp; investments</t>
        </is>
      </c>
      <c r="G36" s="31" t="inlineStr">
        <is>
          <t>smallcap</t>
        </is>
      </c>
      <c r="H36" s="32" t="n">
        <v>887.6799999999999</v>
      </c>
      <c r="I36" s="32" t="n">
        <v>288.3</v>
      </c>
      <c r="J36" s="32" t="n">
        <v>4.99</v>
      </c>
      <c r="K36" s="32" t="n">
        <v>21811</v>
      </c>
      <c r="L36" s="31" t="n">
        <v>50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66.53</v>
      </c>
      <c r="P36" s="32" t="n">
        <v>35.6</v>
      </c>
      <c r="Q36" s="32" t="n">
        <v>232.43</v>
      </c>
      <c r="R36" s="31" t="inlineStr">
        <is>
          <t>Near 52W High Breakout</t>
        </is>
      </c>
      <c r="S36" s="31" t="inlineStr">
        <is>
          <t>Nifty Bank</t>
        </is>
      </c>
      <c r="T36" s="32" t="n">
        <v>6.02</v>
      </c>
      <c r="U36" s="32" t="n">
        <v>47.96</v>
      </c>
      <c r="V36" s="32" t="n">
        <v>39.56</v>
      </c>
      <c r="W36" s="32" t="n">
        <v>14.12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less than 2.5x and Growth less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20 to 40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2</t>
        </is>
      </c>
      <c r="BQ36" s="31">
        <f>IF(BP36="Stage 2",20,IF(BP36="Stage 1",0,IF(BP36="Stage 3",5,IF(BP36="Stage 4",-5,0))))</f>
        <v/>
      </c>
      <c r="BR36" s="31" t="inlineStr">
        <is>
          <t>Negative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Blue sky scenario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IF(B37=0,"",RANK(B37,$B$2:$B$47,0))</f>
        <v/>
      </c>
      <c r="B37" s="32">
        <f>SUM(N37,Y37,AA37,AC37,AE37,AG37,AI37,AK37,AM37,AO37,AQ37,AS37,AU37,AW37,AY37,BA37,BC37,BE37,BG37,BI37,BK37,BM37,BO37,BQ37,BS37,BU37,BW37,BY37,CA37)</f>
        <v/>
      </c>
      <c r="C37" s="31" t="inlineStr">
        <is>
          <t>PNB</t>
        </is>
      </c>
      <c r="D37" s="31" t="inlineStr">
        <is>
          <t>Punjab National Bank Ltd</t>
        </is>
      </c>
      <c r="E37" s="31" t="inlineStr">
        <is>
          <t>bank</t>
        </is>
      </c>
      <c r="F37" s="31" t="inlineStr">
        <is>
          <t>banks - public sector</t>
        </is>
      </c>
      <c r="G37" s="31" t="inlineStr">
        <is>
          <t>largecap</t>
        </is>
      </c>
      <c r="H37" s="32" t="n">
        <v>133685.92</v>
      </c>
      <c r="I37" s="32" t="n">
        <v>117</v>
      </c>
      <c r="J37" s="32" t="n">
        <v>0.58</v>
      </c>
      <c r="K37" s="32" t="n">
        <v>11160741</v>
      </c>
      <c r="L37" s="31" t="n">
        <v>22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59.3</v>
      </c>
      <c r="P37" s="32" t="n">
        <v>9.31</v>
      </c>
      <c r="Q37" s="32" t="n">
        <v>101.9</v>
      </c>
      <c r="R37" s="31" t="inlineStr">
        <is>
          <t>Earnings / Momentum Support</t>
        </is>
      </c>
      <c r="S37" s="31" t="inlineStr">
        <is>
          <t>Nifty Bank</t>
        </is>
      </c>
      <c r="T37" s="32" t="n">
        <v>6.02</v>
      </c>
      <c r="U37" s="32" t="n">
        <v>16.05</v>
      </c>
      <c r="V37" s="32" t="n">
        <v>9.470000000000001</v>
      </c>
      <c r="W37" s="32" t="n">
        <v>6.05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No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less than 2.5x and Growth less than 20%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0 to 20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2</t>
        </is>
      </c>
      <c r="BQ37" s="31">
        <f>IF(BP37="Stage 2",20,IF(BP37="Stage 1",0,IF(BP37="Stage 3",5,IF(BP37="Stage 4",-5,0))))</f>
        <v/>
      </c>
      <c r="BR37" s="31" t="inlineStr">
        <is>
          <t>Positive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Close to 52 week high or retracement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IF(B38=0,"",RANK(B38,$B$2:$B$47,0))</f>
        <v/>
      </c>
      <c r="B38" s="32">
        <f>SUM(N38,Y38,AA38,AC38,AE38,AG38,AI38,AK38,AM38,AO38,AQ38,AS38,AU38,AW38,AY38,BA38,BC38,BE38,BG38,BI38,BK38,BM38,BO38,BQ38,BS38,BU38,BW38,BY38,CA38)</f>
        <v/>
      </c>
      <c r="C38" s="31" t="inlineStr">
        <is>
          <t>ARMANFIN</t>
        </is>
      </c>
      <c r="D38" s="31" t="inlineStr">
        <is>
          <t>Arman Financial Services Limited</t>
        </is>
      </c>
      <c r="E38" s="31" t="inlineStr">
        <is>
          <t>financials</t>
        </is>
      </c>
      <c r="F38" s="31" t="inlineStr">
        <is>
          <t>finance &amp; investments</t>
        </is>
      </c>
      <c r="G38" s="31" t="inlineStr">
        <is>
          <t>smallcap</t>
        </is>
      </c>
      <c r="H38" s="32" t="n">
        <v>2094.44</v>
      </c>
      <c r="I38" s="32" t="n">
        <v>2069.3</v>
      </c>
      <c r="J38" s="32" t="n">
        <v>3.89</v>
      </c>
      <c r="K38" s="32" t="n">
        <v>42583</v>
      </c>
      <c r="L38" s="31" t="n">
        <v>50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66.75</v>
      </c>
      <c r="P38" s="32" t="n">
        <v>26.06</v>
      </c>
      <c r="Q38" s="32" t="n">
        <v>1587.97</v>
      </c>
      <c r="R38" s="31" t="inlineStr">
        <is>
          <t>Near 52W High Breakout</t>
        </is>
      </c>
      <c r="S38" s="31" t="inlineStr">
        <is>
          <t>Nifty Bank</t>
        </is>
      </c>
      <c r="T38" s="32" t="n">
        <v>6.02</v>
      </c>
      <c r="U38" s="32" t="n">
        <v>42.75</v>
      </c>
      <c r="V38" s="32" t="n">
        <v>34.65</v>
      </c>
      <c r="W38" s="32" t="n">
        <v>14.05</v>
      </c>
      <c r="X38" s="31" t="inlineStr">
        <is>
          <t>Cyclical in an Upturn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Cyclical in an Uptick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Not Applicable</t>
        </is>
      </c>
      <c r="AK38" s="31">
        <f>IF(AJ38="Yes",10,0)</f>
        <v/>
      </c>
      <c r="AL38" s="31" t="inlineStr">
        <is>
          <t>Yes</t>
        </is>
      </c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Not Applicable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between 2.5x to 5x and Growth more than 20%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20 to 40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2</t>
        </is>
      </c>
      <c r="BQ38" s="31">
        <f>IF(BP38="Stage 2",20,IF(BP38="Stage 1",0,IF(BP38="Stage 3",5,IF(BP38="Stage 4",-5,0))))</f>
        <v/>
      </c>
      <c r="BR38" s="31" t="inlineStr">
        <is>
          <t>Positive Trend</t>
        </is>
      </c>
      <c r="BS38" s="31">
        <f>IF(BR38="Positive Trend",20,IF(BR38="Negative Trend",-10,0))</f>
        <v/>
      </c>
      <c r="BT38" s="31" t="inlineStr">
        <is>
          <t>Sideways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Close to 52 week high or retracement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IF(B39=0,"",RANK(B39,$B$2:$B$47,0))</f>
        <v/>
      </c>
      <c r="B39" s="32">
        <f>SUM(N39,Y39,AA39,AC39,AE39,AG39,AI39,AK39,AM39,AO39,AQ39,AS39,AU39,AW39,AY39,BA39,BC39,BE39,BG39,BI39,BK39,BM39,BO39,BQ39,BS39,BU39,BW39,BY39,CA39)</f>
        <v/>
      </c>
      <c r="C39" s="33" t="inlineStr">
        <is>
          <t>CRISIL</t>
        </is>
      </c>
      <c r="D39" s="33" t="inlineStr">
        <is>
          <t>Crisil Limited</t>
        </is>
      </c>
      <c r="E39" s="31" t="inlineStr">
        <is>
          <t>financials</t>
        </is>
      </c>
      <c r="F39" s="31" t="inlineStr">
        <is>
          <t>miscellaneous</t>
        </is>
      </c>
      <c r="G39" s="31" t="inlineStr">
        <is>
          <t>largecap</t>
        </is>
      </c>
      <c r="H39" s="32" t="n">
        <v>34807.69</v>
      </c>
      <c r="I39" s="32" t="n">
        <v>4802</v>
      </c>
      <c r="J39" s="32" t="n">
        <v>0.89</v>
      </c>
      <c r="K39" s="32" t="n">
        <v>184833</v>
      </c>
      <c r="L39" s="31" t="n">
        <v>18</v>
      </c>
      <c r="M39" s="31" t="inlineStr">
        <is>
          <t>Underperforming</t>
        </is>
      </c>
      <c r="N39" s="32">
        <f>IF(M39="Underperforming",-5,IF(L39&gt;=95,15,IF(L39&gt;=90,10,IF(L39&gt;=80,5,0))))</f>
        <v/>
      </c>
      <c r="O39" s="32" t="n">
        <v>64.88</v>
      </c>
      <c r="P39" s="32" t="n">
        <v>14.96</v>
      </c>
      <c r="Q39" s="32" t="n">
        <v>4028.27</v>
      </c>
      <c r="R39" s="31" t="inlineStr">
        <is>
          <t>Near 52W High Breakout</t>
        </is>
      </c>
      <c r="S39" s="31" t="inlineStr">
        <is>
          <t>Nifty Bank</t>
        </is>
      </c>
      <c r="T39" s="32" t="n">
        <v>6.02</v>
      </c>
      <c r="U39" s="32" t="n">
        <v>-2.67</v>
      </c>
      <c r="V39" s="32" t="n">
        <v>-8.19</v>
      </c>
      <c r="W39" s="32" t="n">
        <v>5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above 5x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0 to 20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2</t>
        </is>
      </c>
      <c r="BQ39" s="31">
        <f>IF(BP39="Stage 2",20,IF(BP39="Stage 1",0,IF(BP39="Stage 3",5,IF(BP39="Stage 4",-5,0))))</f>
        <v/>
      </c>
      <c r="BR39" s="31" t="inlineStr">
        <is>
          <t>Positive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Close to 52 week high or retracement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IF(B40=0,"",RANK(B40,$B$2:$B$47,0))</f>
        <v/>
      </c>
      <c r="B40" s="32">
        <f>SUM(N40,Y40,AA40,AC40,AE40,AG40,AI40,AK40,AM40,AO40,AQ40,AS40,AU40,AW40,AY40,BA40,BC40,BE40,BG40,BI40,BK40,BM40,BO40,BQ40,BS40,BU40,BW40,BY40,CA40)</f>
        <v/>
      </c>
      <c r="C40" s="33" t="inlineStr">
        <is>
          <t>RELIGARE</t>
        </is>
      </c>
      <c r="D40" s="33" t="inlineStr">
        <is>
          <t>Religare Enterprises Limited</t>
        </is>
      </c>
      <c r="E40" s="31" t="inlineStr">
        <is>
          <t>financials</t>
        </is>
      </c>
      <c r="F40" s="31" t="inlineStr">
        <is>
          <t>finance &amp; investments</t>
        </is>
      </c>
      <c r="G40" s="31" t="inlineStr">
        <is>
          <t>midcap</t>
        </is>
      </c>
      <c r="H40" s="32" t="n">
        <v>8595.34</v>
      </c>
      <c r="I40" s="32" t="n">
        <v>257.08</v>
      </c>
      <c r="J40" s="32" t="n">
        <v>2.06</v>
      </c>
      <c r="K40" s="32" t="n">
        <v>1795582</v>
      </c>
      <c r="L40" s="31" t="n">
        <v>13</v>
      </c>
      <c r="M40" s="31" t="inlineStr">
        <is>
          <t>Underperforming</t>
        </is>
      </c>
      <c r="N40" s="32">
        <f>IF(M40="Underperforming",-5,IF(L40&gt;=95,15,IF(L40&gt;=90,10,IF(L40&gt;=80,5,0))))</f>
        <v/>
      </c>
      <c r="O40" s="32" t="n">
        <v>56.71</v>
      </c>
      <c r="P40" s="32" t="n">
        <v>17.33</v>
      </c>
      <c r="Q40" s="32" t="n">
        <v>220.28</v>
      </c>
      <c r="R40" s="31" t="inlineStr">
        <is>
          <t>Volume Spike / Accumulation</t>
        </is>
      </c>
      <c r="S40" s="31" t="inlineStr">
        <is>
          <t>Nifty Bank</t>
        </is>
      </c>
      <c r="T40" s="32" t="n">
        <v>6.02</v>
      </c>
      <c r="U40" s="32" t="n">
        <v>1.55</v>
      </c>
      <c r="V40" s="32" t="n">
        <v>-4.21</v>
      </c>
      <c r="W40" s="32" t="n">
        <v>3.29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Yes</t>
        </is>
      </c>
      <c r="AK40" s="31">
        <f>IF(AJ40="Yes",10,0)</f>
        <v/>
      </c>
      <c r="AL40" s="31" t="n"/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Yes</t>
        </is>
      </c>
      <c r="AS40" s="31">
        <f>IF(AR40="Yes",5,0)</f>
        <v/>
      </c>
      <c r="AT40" s="31" t="inlineStr">
        <is>
          <t>No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Yes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between 2.5x to 5x and Growth more than 20%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0 to 20</t>
        </is>
      </c>
      <c r="BM40" s="31">
        <f>IF(BL40="Above 40",20,IF(BL40="20 to 40",10,IF(BL40="0 to 20",-5,0)))</f>
        <v/>
      </c>
      <c r="BN40" s="31" t="inlineStr">
        <is>
          <t>Between 50 to 75</t>
        </is>
      </c>
      <c r="BO40" s="31">
        <f>IF(BN40="Between 50 to 75",10,IF(BN40="Above 75",0,0))</f>
        <v/>
      </c>
      <c r="BP40" s="31" t="inlineStr">
        <is>
          <t>Stage 1</t>
        </is>
      </c>
      <c r="BQ40" s="31">
        <f>IF(BP40="Stage 2",20,IF(BP40="Stage 1",0,IF(BP40="Stage 3",5,IF(BP40="Stage 4",-5,0))))</f>
        <v/>
      </c>
      <c r="BR40" s="31" t="inlineStr">
        <is>
          <t>Positive Trend</t>
        </is>
      </c>
      <c r="BS40" s="31">
        <f>IF(BR40="Positive Trend",20,IF(BR40="Negative Trend",-10,0))</f>
        <v/>
      </c>
      <c r="BT40" s="31" t="inlineStr">
        <is>
          <t>Uptrend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Close to 52 week high or retracement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  <row r="41">
      <c r="A41" s="31">
        <f>IF(B41=0,"",RANK(B41,$B$2:$B$47,0))</f>
        <v/>
      </c>
      <c r="B41" s="32">
        <f>SUM(N41,Y41,AA41,AC41,AE41,AG41,AI41,AK41,AM41,AO41,AQ41,AS41,AU41,AW41,AY41,BA41,BC41,BE41,BG41,BI41,BK41,BM41,BO41,BQ41,BS41,BU41,BW41,BY41,CA41)</f>
        <v/>
      </c>
      <c r="C41" s="31" t="inlineStr">
        <is>
          <t>IIFLCAPS</t>
        </is>
      </c>
      <c r="D41" s="31" t="inlineStr">
        <is>
          <t>IIFL Capital Services Ltd</t>
        </is>
      </c>
      <c r="E41" s="31" t="inlineStr">
        <is>
          <t>financials</t>
        </is>
      </c>
      <c r="F41" s="31" t="inlineStr">
        <is>
          <t>finance &amp; investments</t>
        </is>
      </c>
      <c r="G41" s="31" t="inlineStr">
        <is>
          <t>midcap</t>
        </is>
      </c>
      <c r="H41" s="32" t="n">
        <v>10596.2</v>
      </c>
      <c r="I41" s="32" t="n">
        <v>341.2</v>
      </c>
      <c r="J41" s="32" t="n">
        <v>0.93</v>
      </c>
      <c r="K41" s="32" t="n">
        <v>330001</v>
      </c>
      <c r="L41" s="31" t="n">
        <v>12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55.92</v>
      </c>
      <c r="P41" s="32" t="n">
        <v>16.67</v>
      </c>
      <c r="Q41" s="32" t="n">
        <v>297.84</v>
      </c>
      <c r="R41" s="31" t="inlineStr">
        <is>
          <t>Earnings / Momentum Support</t>
        </is>
      </c>
      <c r="S41" s="31" t="inlineStr">
        <is>
          <t>Nifty Bank</t>
        </is>
      </c>
      <c r="T41" s="32" t="n">
        <v>6.02</v>
      </c>
      <c r="U41" s="32" t="n">
        <v>15.2</v>
      </c>
      <c r="V41" s="32" t="n">
        <v>8.66</v>
      </c>
      <c r="W41" s="32" t="n">
        <v>2.9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Fragmented with High ROE</t>
        </is>
      </c>
      <c r="AA41" s="31">
        <f>IF(Z41="Fragmented with Low ROE",-5,IF(Z41="Fragmented with High ROE",10,IF(Z41= "highly cyclical",5,0)))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Consistency)",15,IF(AF41="Shallow Cyclical (2 to 3 years growth)",10,IF(AF41 = "Cyclical in an Uptick",5,IF(AF41 = "Cyclical in an Downtick",-10,0))))</f>
        <v/>
      </c>
      <c r="AH41" s="31" t="inlineStr">
        <is>
          <t>Yes</t>
        </is>
      </c>
      <c r="AI41" s="31">
        <f>IF(AH41="Yes",10,0)</f>
        <v/>
      </c>
      <c r="AJ41" s="31" t="inlineStr">
        <is>
          <t>Yes</t>
        </is>
      </c>
      <c r="AK41" s="31">
        <f>IF(AJ41="Yes",10,0)</f>
        <v/>
      </c>
      <c r="AL41" s="31" t="n"/>
      <c r="AM41" s="31">
        <f>IF(AL41="No",10,0)</f>
        <v/>
      </c>
      <c r="AN41" s="31" t="inlineStr">
        <is>
          <t>Yes</t>
        </is>
      </c>
      <c r="AO41" s="31">
        <f>IF(AN41="Yes",10,0)</f>
        <v/>
      </c>
      <c r="AP41" s="31" t="inlineStr">
        <is>
          <t>No</t>
        </is>
      </c>
      <c r="AQ41" s="31">
        <f>IF(AP41="Yes",10,0)</f>
        <v/>
      </c>
      <c r="AR41" s="31" t="inlineStr">
        <is>
          <t>Yes</t>
        </is>
      </c>
      <c r="AS41" s="31">
        <f>IF(AR41="Yes",5,0)</f>
        <v/>
      </c>
      <c r="AT41" s="31" t="inlineStr">
        <is>
          <t>No</t>
        </is>
      </c>
      <c r="AU41" s="31">
        <f>IF(AT41="No",10,IF(AT41="Yes",-10,0))</f>
        <v/>
      </c>
      <c r="AV41" s="31" t="inlineStr">
        <is>
          <t>No</t>
        </is>
      </c>
      <c r="AW41" s="31">
        <f>IF(AV41="No",10,0)</f>
        <v/>
      </c>
      <c r="AX41" s="31" t="inlineStr">
        <is>
          <t>No</t>
        </is>
      </c>
      <c r="AY41" s="31">
        <f>IF(AX41="No",10,IF(AX41= "Yes CEO Resignation",-5,0))</f>
        <v/>
      </c>
      <c r="AZ41" s="31" t="inlineStr">
        <is>
          <t>No</t>
        </is>
      </c>
      <c r="BA41" s="31">
        <f>IF(AZ41="No",10,IF(AZ41="Yes",-5,0))</f>
        <v/>
      </c>
      <c r="BB41" s="31" t="inlineStr">
        <is>
          <t>No</t>
        </is>
      </c>
      <c r="BC41" s="31">
        <f>IF(BB41="No",5,IF(BB41="Yes",-5,0))</f>
        <v/>
      </c>
      <c r="BD41" s="31" t="inlineStr">
        <is>
          <t>Yes</t>
        </is>
      </c>
      <c r="BE41" s="31">
        <f>IF(BD41="Yes",10,0)</f>
        <v/>
      </c>
      <c r="BF41" s="31" t="inlineStr">
        <is>
          <t>Yes</t>
        </is>
      </c>
      <c r="BG41" s="31">
        <f>IF(BF41="Yes",10,0)</f>
        <v/>
      </c>
      <c r="BH41" s="31" t="inlineStr">
        <is>
          <t>Yes</t>
        </is>
      </c>
      <c r="BI41" s="31">
        <f>IF(BH41="Yes",10,0)</f>
        <v/>
      </c>
      <c r="BJ41" s="31" t="inlineStr">
        <is>
          <t>P/BV between 2.5x to 5x and Growth less than 20%</t>
        </is>
      </c>
      <c r="BK41" s="31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1" t="inlineStr">
        <is>
          <t>0 to 20</t>
        </is>
      </c>
      <c r="BM41" s="31">
        <f>IF(BL41="Above 40",20,IF(BL41="20 to 40",10,IF(BL41="0 to 20",-5,0)))</f>
        <v/>
      </c>
      <c r="BN41" s="31" t="inlineStr">
        <is>
          <t>Between 50 to 75</t>
        </is>
      </c>
      <c r="BO41" s="31">
        <f>IF(BN41="Between 50 to 75",10,IF(BN41="Above 75",0,0))</f>
        <v/>
      </c>
      <c r="BP41" s="31" t="inlineStr">
        <is>
          <t>Stage 2</t>
        </is>
      </c>
      <c r="BQ41" s="31">
        <f>IF(BP41="Stage 2",20,IF(BP41="Stage 1",0,IF(BP41="Stage 3",5,IF(BP41="Stage 4",-5,0))))</f>
        <v/>
      </c>
      <c r="BR41" s="31" t="inlineStr">
        <is>
          <t>Positive Trend</t>
        </is>
      </c>
      <c r="BS41" s="31">
        <f>IF(BR41="Positive Trend",20,IF(BR41="Negative Trend",-10,0))</f>
        <v/>
      </c>
      <c r="BT41" s="31" t="inlineStr">
        <is>
          <t>Uptrend</t>
        </is>
      </c>
      <c r="BU41" s="31">
        <f>IF(BT41="Uptrend",10,IF(BT41="Sideways",5,0))</f>
        <v/>
      </c>
      <c r="BV41" s="31" t="inlineStr">
        <is>
          <t>Uptrend</t>
        </is>
      </c>
      <c r="BW41" s="31">
        <f>IF(BV41="Uptrend",10,IF(BV41="Sideways",5,0))</f>
        <v/>
      </c>
      <c r="BX41" s="31" t="inlineStr">
        <is>
          <t>Close to 52 week high or retracement</t>
        </is>
      </c>
      <c r="BY41" s="31">
        <f>IF(BX41="Overhead supply in last 2 years in last 2 years",-5,IF(BX41="Close to 52 week high or retracement",5,IF(BX41="Blue sky scenario",10,IF(BX41="Long term Downtrend",-10,0))))</f>
        <v/>
      </c>
      <c r="BZ41" s="31" t="inlineStr">
        <is>
          <t>Yes</t>
        </is>
      </c>
      <c r="CA41" s="31">
        <f>IF(BZ41="Yes",10,0)</f>
        <v/>
      </c>
    </row>
    <row r="42">
      <c r="A42" s="31">
        <f>IF(B42=0,"",RANK(B42,$B$2:$B$47,0))</f>
        <v/>
      </c>
      <c r="B42" s="32">
        <f>SUM(N42,Y42,AA42,AC42,AE42,AG42,AI42,AK42,AM42,AO42,AQ42,AS42,AU42,AW42,AY42,BA42,BC42,BE42,BG42,BI42,BK42,BM42,BO42,BQ42,BS42,BU42,BW42,BY42,CA42)</f>
        <v/>
      </c>
      <c r="C42" s="33" t="inlineStr">
        <is>
          <t>LICHSGFIN</t>
        </is>
      </c>
      <c r="D42" s="33" t="inlineStr">
        <is>
          <t>Lic Housing Finance Limited</t>
        </is>
      </c>
      <c r="E42" s="31" t="inlineStr">
        <is>
          <t>financials</t>
        </is>
      </c>
      <c r="F42" s="31" t="inlineStr">
        <is>
          <t>finance - housing</t>
        </is>
      </c>
      <c r="G42" s="31" t="inlineStr">
        <is>
          <t>largecap</t>
        </is>
      </c>
      <c r="H42" s="32" t="n">
        <v>30473.49</v>
      </c>
      <c r="I42" s="32" t="n">
        <v>562.05</v>
      </c>
      <c r="J42" s="32" t="n">
        <v>1.45</v>
      </c>
      <c r="K42" s="32" t="n">
        <v>7126780</v>
      </c>
      <c r="L42" s="31" t="n">
        <v>7</v>
      </c>
      <c r="M42" s="31" t="inlineStr">
        <is>
          <t>Underperforming</t>
        </is>
      </c>
      <c r="N42" s="32">
        <f>IF(M42="Underperforming",-5,IF(L42&gt;=95,15,IF(L42&gt;=90,10,IF(L42&gt;=80,5,0))))</f>
        <v/>
      </c>
      <c r="O42" s="32" t="n">
        <v>60.1</v>
      </c>
      <c r="P42" s="32" t="n">
        <v>12.94</v>
      </c>
      <c r="Q42" s="32" t="n">
        <v>470.94</v>
      </c>
      <c r="R42" s="31" t="inlineStr">
        <is>
          <t>Volume Spike &amp; Near 52W High Breakout</t>
        </is>
      </c>
      <c r="S42" s="31" t="inlineStr">
        <is>
          <t>Nifty Bank</t>
        </is>
      </c>
      <c r="T42" s="32" t="n">
        <v>6.02</v>
      </c>
      <c r="U42" s="32" t="n">
        <v>3.45</v>
      </c>
      <c r="V42" s="32" t="n">
        <v>-2.42</v>
      </c>
      <c r="W42" s="32" t="n">
        <v>1.64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Fragmented with High ROE</t>
        </is>
      </c>
      <c r="AA42" s="31">
        <f>IF(Z42="Fragmented with Low ROE",-5,IF(Z42="Fragmented with High ROE",10,IF(Z42= "highly cyclical",5,0)))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Consistency)",15,IF(AF42="Shallow Cyclical (2 to 3 years growth)",10,IF(AF42 = "Cyclical in an Uptick",5,IF(AF42 = "Cyclical in an Downtick",-10,0))))</f>
        <v/>
      </c>
      <c r="AH42" s="31" t="inlineStr">
        <is>
          <t>Yes</t>
        </is>
      </c>
      <c r="AI42" s="31">
        <f>IF(AH42="Yes",10,0)</f>
        <v/>
      </c>
      <c r="AJ42" s="31" t="inlineStr">
        <is>
          <t>Yes</t>
        </is>
      </c>
      <c r="AK42" s="31">
        <f>IF(AJ42="Yes",10,0)</f>
        <v/>
      </c>
      <c r="AL42" s="31" t="n"/>
      <c r="AM42" s="31">
        <f>IF(AL42="No",10,0)</f>
        <v/>
      </c>
      <c r="AN42" s="31" t="inlineStr">
        <is>
          <t>Yes</t>
        </is>
      </c>
      <c r="AO42" s="31">
        <f>IF(AN42="Yes",10,0)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Yes</t>
        </is>
      </c>
      <c r="AS42" s="31">
        <f>IF(AR42="Yes",5,0)</f>
        <v/>
      </c>
      <c r="AT42" s="31" t="inlineStr">
        <is>
          <t>No</t>
        </is>
      </c>
      <c r="AU42" s="31">
        <f>IF(AT42="No",10,IF(AT42="Yes",-10,0))</f>
        <v/>
      </c>
      <c r="AV42" s="31" t="inlineStr">
        <is>
          <t>No</t>
        </is>
      </c>
      <c r="AW42" s="31">
        <f>IF(AV42="No",10,0)</f>
        <v/>
      </c>
      <c r="AX42" s="31" t="inlineStr">
        <is>
          <t>No</t>
        </is>
      </c>
      <c r="AY42" s="31">
        <f>IF(AX42="No",10,IF(AX42= "Yes CEO Resignation",-5,0))</f>
        <v/>
      </c>
      <c r="AZ42" s="31" t="inlineStr">
        <is>
          <t>No</t>
        </is>
      </c>
      <c r="BA42" s="31">
        <f>IF(AZ42="No",10,IF(AZ42="Yes",-5,0))</f>
        <v/>
      </c>
      <c r="BB42" s="31" t="inlineStr">
        <is>
          <t>No</t>
        </is>
      </c>
      <c r="BC42" s="31">
        <f>IF(BB42="No",5,IF(BB42="Yes",-5,0))</f>
        <v/>
      </c>
      <c r="BD42" s="31" t="inlineStr">
        <is>
          <t>Yes</t>
        </is>
      </c>
      <c r="BE42" s="31">
        <f>IF(BD42="Yes",10,0)</f>
        <v/>
      </c>
      <c r="BF42" s="31" t="inlineStr">
        <is>
          <t>Yes</t>
        </is>
      </c>
      <c r="BG42" s="31">
        <f>IF(BF42="Yes",10,0)</f>
        <v/>
      </c>
      <c r="BH42" s="31" t="inlineStr">
        <is>
          <t>Yes</t>
        </is>
      </c>
      <c r="BI42" s="31">
        <f>IF(BH42="Yes",10,0)</f>
        <v/>
      </c>
      <c r="BJ42" s="31" t="inlineStr">
        <is>
          <t>P/BV less than 2.5x and Growth less than 20%</t>
        </is>
      </c>
      <c r="BK42" s="31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1" t="inlineStr">
        <is>
          <t>0 to 20</t>
        </is>
      </c>
      <c r="BM42" s="31">
        <f>IF(BL42="Above 40",20,IF(BL42="20 to 40",10,IF(BL42="0 to 20",-5,0)))</f>
        <v/>
      </c>
      <c r="BN42" s="31" t="inlineStr">
        <is>
          <t>Between 50 to 75</t>
        </is>
      </c>
      <c r="BO42" s="31">
        <f>IF(BN42="Between 50 to 75",10,IF(BN42="Above 75",0,0))</f>
        <v/>
      </c>
      <c r="BP42" s="31" t="inlineStr">
        <is>
          <t>Stage 1</t>
        </is>
      </c>
      <c r="BQ42" s="31">
        <f>IF(BP42="Stage 2",20,IF(BP42="Stage 1",0,IF(BP42="Stage 3",5,IF(BP42="Stage 4",-5,0))))</f>
        <v/>
      </c>
      <c r="BR42" s="31" t="inlineStr">
        <is>
          <t>Positive Trend</t>
        </is>
      </c>
      <c r="BS42" s="31">
        <f>IF(BR42="Positive Trend",20,IF(BR42="Negative Trend",-10,0))</f>
        <v/>
      </c>
      <c r="BT42" s="31" t="inlineStr">
        <is>
          <t>Uptrend</t>
        </is>
      </c>
      <c r="BU42" s="31">
        <f>IF(BT42="Uptrend",10,IF(BT42="Sideways",5,0))</f>
        <v/>
      </c>
      <c r="BV42" s="31" t="inlineStr">
        <is>
          <t>Uptrend</t>
        </is>
      </c>
      <c r="BW42" s="31">
        <f>IF(BV42="Uptrend",10,IF(BV42="Sideways",5,0))</f>
        <v/>
      </c>
      <c r="BX42" s="31" t="inlineStr">
        <is>
          <t>Close to 52 week high or retracement</t>
        </is>
      </c>
      <c r="BY42" s="31">
        <f>IF(BX42="Overhead supply in last 2 years in last 2 years",-5,IF(BX42="Close to 52 week high or retracement",5,IF(BX42="Blue sky scenario",10,IF(BX42="Long term Downtrend",-10,0))))</f>
        <v/>
      </c>
      <c r="BZ42" s="31" t="inlineStr">
        <is>
          <t>Yes</t>
        </is>
      </c>
      <c r="CA42" s="31">
        <f>IF(BZ42="Yes",10,0)</f>
        <v/>
      </c>
    </row>
    <row r="43">
      <c r="A43" s="31">
        <f>IF(B43=0,"",RANK(B43,$B$2:$B$47,0))</f>
        <v/>
      </c>
      <c r="B43" s="32">
        <f>SUM(N43,Y43,AA43,AC43,AE43,AG43,AI43,AK43,AM43,AO43,AQ43,AS43,AU43,AW43,AY43,BA43,BC43,BE43,BG43,BI43,BK43,BM43,BO43,BQ43,BS43,BU43,BW43,BY43,CA43)</f>
        <v/>
      </c>
      <c r="C43" s="33" t="inlineStr">
        <is>
          <t>CDSL</t>
        </is>
      </c>
      <c r="D43" s="33" t="inlineStr">
        <is>
          <t>Central Depository Services Ltd</t>
        </is>
      </c>
      <c r="E43" s="31" t="inlineStr">
        <is>
          <t>financials</t>
        </is>
      </c>
      <c r="F43" s="31" t="inlineStr">
        <is>
          <t>miscellaneous</t>
        </is>
      </c>
      <c r="G43" s="31" t="inlineStr">
        <is>
          <t>largecap</t>
        </is>
      </c>
      <c r="H43" s="32" t="n">
        <v>29134.6</v>
      </c>
      <c r="I43" s="32" t="n">
        <v>1394.6</v>
      </c>
      <c r="J43" s="32" t="n">
        <v>0.04</v>
      </c>
      <c r="K43" s="32" t="n">
        <v>1117172</v>
      </c>
      <c r="L43" s="31" t="n">
        <v>10</v>
      </c>
      <c r="M43" s="31" t="inlineStr">
        <is>
          <t>Underperforming</t>
        </is>
      </c>
      <c r="N43" s="32">
        <f>IF(M43="Underperforming",-5,IF(L43&gt;=95,15,IF(L43&gt;=90,10,IF(L43&gt;=80,5,0))))</f>
        <v/>
      </c>
      <c r="O43" s="32" t="n">
        <v>55.52</v>
      </c>
      <c r="P43" s="32" t="n">
        <v>11.15</v>
      </c>
      <c r="Q43" s="32" t="n">
        <v>1175.78</v>
      </c>
      <c r="R43" s="31" t="inlineStr">
        <is>
          <t>Earnings / Momentum Support</t>
        </is>
      </c>
      <c r="S43" s="31" t="inlineStr">
        <is>
          <t>Nifty Bank</t>
        </is>
      </c>
      <c r="T43" s="32" t="n">
        <v>6.02</v>
      </c>
      <c r="U43" s="32" t="n">
        <v>-7.62</v>
      </c>
      <c r="V43" s="32" t="n">
        <v>-12.86</v>
      </c>
      <c r="W43" s="32" t="n">
        <v>2.27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Fragmented with High ROE</t>
        </is>
      </c>
      <c r="AA43" s="31">
        <f>IF(Z43="Fragmented with Low ROE",-5,IF(Z43="Fragmented with High ROE",10,IF(Z43= "highly cyclical",5,0)))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Consistency)",15,IF(AF43="Shallow Cyclical (2 to 3 years growth)",10,IF(AF43 = "Cyclical in an Uptick",5,IF(AF43 = "Cyclical in an Downtick",-10,0))))</f>
        <v/>
      </c>
      <c r="AH43" s="31" t="inlineStr">
        <is>
          <t>Yes</t>
        </is>
      </c>
      <c r="AI43" s="31">
        <f>IF(AH43="Yes",10,0)</f>
        <v/>
      </c>
      <c r="AJ43" s="31" t="inlineStr">
        <is>
          <t>Yes</t>
        </is>
      </c>
      <c r="AK43" s="31">
        <f>IF(AJ43="Yes",10,0)</f>
        <v/>
      </c>
      <c r="AL43" s="31" t="n"/>
      <c r="AM43" s="31">
        <f>IF(AL43="No",10,0)</f>
        <v/>
      </c>
      <c r="AN43" s="31" t="inlineStr">
        <is>
          <t>Yes</t>
        </is>
      </c>
      <c r="AO43" s="31">
        <f>IF(AN43="Yes",10,0)</f>
        <v/>
      </c>
      <c r="AP43" s="31" t="inlineStr">
        <is>
          <t>No</t>
        </is>
      </c>
      <c r="AQ43" s="31">
        <f>IF(AP43="Yes",10,0)</f>
        <v/>
      </c>
      <c r="AR43" s="31" t="inlineStr">
        <is>
          <t>Yes</t>
        </is>
      </c>
      <c r="AS43" s="31">
        <f>IF(AR43="Yes",5,0)</f>
        <v/>
      </c>
      <c r="AT43" s="31" t="inlineStr">
        <is>
          <t>No</t>
        </is>
      </c>
      <c r="AU43" s="31">
        <f>IF(AT43="No",10,IF(AT43="Yes",-10,0))</f>
        <v/>
      </c>
      <c r="AV43" s="31" t="inlineStr">
        <is>
          <t>No</t>
        </is>
      </c>
      <c r="AW43" s="31">
        <f>IF(AV43="No",10,0)</f>
        <v/>
      </c>
      <c r="AX43" s="31" t="inlineStr">
        <is>
          <t>No</t>
        </is>
      </c>
      <c r="AY43" s="31">
        <f>IF(AX43="No",10,IF(AX43= "Yes CEO Resignation",-5,0))</f>
        <v/>
      </c>
      <c r="AZ43" s="31" t="inlineStr">
        <is>
          <t>No</t>
        </is>
      </c>
      <c r="BA43" s="31">
        <f>IF(AZ43="No",10,IF(AZ43="Yes",-5,0))</f>
        <v/>
      </c>
      <c r="BB43" s="31" t="inlineStr">
        <is>
          <t>No</t>
        </is>
      </c>
      <c r="BC43" s="31">
        <f>IF(BB43="No",5,IF(BB43="Yes",-5,0))</f>
        <v/>
      </c>
      <c r="BD43" s="31" t="inlineStr">
        <is>
          <t>Yes</t>
        </is>
      </c>
      <c r="BE43" s="31">
        <f>IF(BD43="Yes",10,0)</f>
        <v/>
      </c>
      <c r="BF43" s="31" t="inlineStr">
        <is>
          <t>Yes</t>
        </is>
      </c>
      <c r="BG43" s="31">
        <f>IF(BF43="Yes",10,0)</f>
        <v/>
      </c>
      <c r="BH43" s="31" t="inlineStr">
        <is>
          <t>Yes</t>
        </is>
      </c>
      <c r="BI43" s="31">
        <f>IF(BH43="Yes",10,0)</f>
        <v/>
      </c>
      <c r="BJ43" s="31" t="inlineStr">
        <is>
          <t>P/BV above 5x</t>
        </is>
      </c>
      <c r="BK43" s="31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1" t="inlineStr">
        <is>
          <t>0 to 20</t>
        </is>
      </c>
      <c r="BM43" s="31">
        <f>IF(BL43="Above 40",20,IF(BL43="20 to 40",10,IF(BL43="0 to 20",-5,0)))</f>
        <v/>
      </c>
      <c r="BN43" s="31" t="inlineStr">
        <is>
          <t>Between 50 to 75</t>
        </is>
      </c>
      <c r="BO43" s="31">
        <f>IF(BN43="Between 50 to 75",10,IF(BN43="Above 75",0,0))</f>
        <v/>
      </c>
      <c r="BP43" s="31" t="inlineStr">
        <is>
          <t>Stage 2</t>
        </is>
      </c>
      <c r="BQ43" s="31">
        <f>IF(BP43="Stage 2",20,IF(BP43="Stage 1",0,IF(BP43="Stage 3",5,IF(BP43="Stage 4",-5,0))))</f>
        <v/>
      </c>
      <c r="BR43" s="31" t="inlineStr">
        <is>
          <t>Positive Trend</t>
        </is>
      </c>
      <c r="BS43" s="31">
        <f>IF(BR43="Positive Trend",20,IF(BR43="Negative Trend",-10,0))</f>
        <v/>
      </c>
      <c r="BT43" s="31" t="inlineStr">
        <is>
          <t>Uptrend</t>
        </is>
      </c>
      <c r="BU43" s="31">
        <f>IF(BT43="Uptrend",10,IF(BT43="Sideways",5,0))</f>
        <v/>
      </c>
      <c r="BV43" s="31" t="inlineStr">
        <is>
          <t>Uptrend</t>
        </is>
      </c>
      <c r="BW43" s="31">
        <f>IF(BV43="Uptrend",10,IF(BV43="Sideways",5,0))</f>
        <v/>
      </c>
      <c r="BX43" s="31" t="inlineStr">
        <is>
          <t>Close to 52 week high or retracement</t>
        </is>
      </c>
      <c r="BY43" s="31">
        <f>IF(BX43="Overhead supply in last 2 years in last 2 years",-5,IF(BX43="Close to 52 week high or retracement",5,IF(BX43="Blue sky scenario",10,IF(BX43="Long term Downtrend",-10,0))))</f>
        <v/>
      </c>
      <c r="BZ43" s="31" t="inlineStr">
        <is>
          <t>Yes</t>
        </is>
      </c>
      <c r="CA43" s="31">
        <f>IF(BZ43="Yes",10,0)</f>
        <v/>
      </c>
    </row>
    <row r="44">
      <c r="A44" s="31">
        <f>IF(B44=0,"",RANK(B44,$B$2:$B$47,0))</f>
        <v/>
      </c>
      <c r="B44" s="32">
        <f>SUM(N44,Y44,AA44,AC44,AE44,AG44,AI44,AK44,AM44,AO44,AQ44,AS44,AU44,AW44,AY44,BA44,BC44,BE44,BG44,BI44,BK44,BM44,BO44,BQ44,BS44,BU44,BW44,BY44,CA44)</f>
        <v/>
      </c>
      <c r="C44" s="31" t="inlineStr">
        <is>
          <t>BANKINDIA</t>
        </is>
      </c>
      <c r="D44" s="31" t="inlineStr">
        <is>
          <t>Bank Of India Ltd</t>
        </is>
      </c>
      <c r="E44" s="31" t="inlineStr">
        <is>
          <t>bank</t>
        </is>
      </c>
      <c r="F44" s="31" t="inlineStr">
        <is>
          <t>banks - public sector</t>
        </is>
      </c>
      <c r="G44" s="31" t="inlineStr">
        <is>
          <t>largecap</t>
        </is>
      </c>
      <c r="H44" s="32" t="n">
        <v>66013.67999999999</v>
      </c>
      <c r="I44" s="32" t="n">
        <v>145</v>
      </c>
      <c r="J44" s="32" t="n">
        <v>0</v>
      </c>
      <c r="K44" s="32" t="n">
        <v>2902558</v>
      </c>
      <c r="L44" s="31" t="n">
        <v>27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53.37</v>
      </c>
      <c r="P44" s="32" t="n">
        <v>6.41</v>
      </c>
      <c r="Q44" s="32" t="n">
        <v>122.41</v>
      </c>
      <c r="R44" s="31" t="inlineStr">
        <is>
          <t>Earnings / Momentum Support</t>
        </is>
      </c>
      <c r="S44" s="31" t="inlineStr">
        <is>
          <t>Nifty Bank</t>
        </is>
      </c>
      <c r="T44" s="32" t="n">
        <v>6.02</v>
      </c>
      <c r="U44" s="32" t="n">
        <v>33.02</v>
      </c>
      <c r="V44" s="32" t="n">
        <v>25.47</v>
      </c>
      <c r="W44" s="32" t="n">
        <v>7.04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Fragmented with High ROE</t>
        </is>
      </c>
      <c r="AA44" s="31">
        <f>IF(Z44="Fragmented with Low ROE",-5,IF(Z44="Fragmented with High ROE",10,IF(Z44= "highly cyclical",5,0)))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Consistency)",15,IF(AF44="Shallow Cyclical (2 to 3 years growth)",10,IF(AF44 = "Cyclical in an Uptick",5,IF(AF44 = "Cyclical in an Downtick",-10,0))))</f>
        <v/>
      </c>
      <c r="AH44" s="31" t="inlineStr">
        <is>
          <t>Yes</t>
        </is>
      </c>
      <c r="AI44" s="31">
        <f>IF(AH44="Yes",10,0)</f>
        <v/>
      </c>
      <c r="AJ44" s="31" t="inlineStr">
        <is>
          <t>Yes</t>
        </is>
      </c>
      <c r="AK44" s="31">
        <f>IF(AJ44="Yes",10,0)</f>
        <v/>
      </c>
      <c r="AL44" s="31" t="n"/>
      <c r="AM44" s="31">
        <f>IF(AL44="No",10,0)</f>
        <v/>
      </c>
      <c r="AN44" s="31" t="inlineStr">
        <is>
          <t>Yes</t>
        </is>
      </c>
      <c r="AO44" s="31">
        <f>IF(AN44="Yes",10,0)</f>
        <v/>
      </c>
      <c r="AP44" s="31" t="inlineStr">
        <is>
          <t>No</t>
        </is>
      </c>
      <c r="AQ44" s="31">
        <f>IF(AP44="Yes",10,0)</f>
        <v/>
      </c>
      <c r="AR44" s="31" t="inlineStr">
        <is>
          <t>Yes</t>
        </is>
      </c>
      <c r="AS44" s="31">
        <f>IF(AR44="Yes",5,0)</f>
        <v/>
      </c>
      <c r="AT44" s="31" t="inlineStr">
        <is>
          <t>No</t>
        </is>
      </c>
      <c r="AU44" s="31">
        <f>IF(AT44="No",10,IF(AT44="Yes",-10,0))</f>
        <v/>
      </c>
      <c r="AV44" s="31" t="inlineStr">
        <is>
          <t>No</t>
        </is>
      </c>
      <c r="AW44" s="31">
        <f>IF(AV44="No",10,0)</f>
        <v/>
      </c>
      <c r="AX44" s="31" t="inlineStr">
        <is>
          <t>No</t>
        </is>
      </c>
      <c r="AY44" s="31">
        <f>IF(AX44="No",10,IF(AX44= "Yes CEO Resignation",-5,0))</f>
        <v/>
      </c>
      <c r="AZ44" s="31" t="inlineStr">
        <is>
          <t>No</t>
        </is>
      </c>
      <c r="BA44" s="31">
        <f>IF(AZ44="No",10,IF(AZ44="Yes",-5,0))</f>
        <v/>
      </c>
      <c r="BB44" s="31" t="inlineStr">
        <is>
          <t>No</t>
        </is>
      </c>
      <c r="BC44" s="31">
        <f>IF(BB44="No",5,IF(BB44="Yes",-5,0))</f>
        <v/>
      </c>
      <c r="BD44" s="31" t="inlineStr">
        <is>
          <t>Yes</t>
        </is>
      </c>
      <c r="BE44" s="31">
        <f>IF(BD44="Yes",10,0)</f>
        <v/>
      </c>
      <c r="BF44" s="31" t="inlineStr">
        <is>
          <t>Yes</t>
        </is>
      </c>
      <c r="BG44" s="31">
        <f>IF(BF44="Yes",10,0)</f>
        <v/>
      </c>
      <c r="BH44" s="31" t="inlineStr">
        <is>
          <t>Yes</t>
        </is>
      </c>
      <c r="BI44" s="31">
        <f>IF(BH44="Yes",10,0)</f>
        <v/>
      </c>
      <c r="BJ44" s="31" t="inlineStr">
        <is>
          <t>P/BV less than 2.5x and Growth more than 20%</t>
        </is>
      </c>
      <c r="BK44" s="31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1" t="inlineStr">
        <is>
          <t>0 to 20</t>
        </is>
      </c>
      <c r="BM44" s="31">
        <f>IF(BL44="Above 40",20,IF(BL44="20 to 40",10,IF(BL44="0 to 20",-5,0)))</f>
        <v/>
      </c>
      <c r="BN44" s="31" t="inlineStr">
        <is>
          <t>Between 50 to 75</t>
        </is>
      </c>
      <c r="BO44" s="31">
        <f>IF(BN44="Between 50 to 75",10,IF(BN44="Above 75",0,0))</f>
        <v/>
      </c>
      <c r="BP44" s="31" t="inlineStr">
        <is>
          <t>Stage 1</t>
        </is>
      </c>
      <c r="BQ44" s="31">
        <f>IF(BP44="Stage 2",20,IF(BP44="Stage 1",0,IF(BP44="Stage 3",5,IF(BP44="Stage 4",-5,0))))</f>
        <v/>
      </c>
      <c r="BR44" s="31" t="inlineStr">
        <is>
          <t>Positive Trend</t>
        </is>
      </c>
      <c r="BS44" s="31">
        <f>IF(BR44="Positive Trend",20,IF(BR44="Negative Trend",-10,0))</f>
        <v/>
      </c>
      <c r="BT44" s="31" t="inlineStr">
        <is>
          <t>Uptrend</t>
        </is>
      </c>
      <c r="BU44" s="31">
        <f>IF(BT44="Uptrend",10,IF(BT44="Sideways",5,0))</f>
        <v/>
      </c>
      <c r="BV44" s="31" t="inlineStr">
        <is>
          <t>Uptrend</t>
        </is>
      </c>
      <c r="BW44" s="31">
        <f>IF(BV44="Uptrend",10,IF(BV44="Sideways",5,0))</f>
        <v/>
      </c>
      <c r="BX44" s="31" t="inlineStr">
        <is>
          <t>Close to 52 week high or retracement</t>
        </is>
      </c>
      <c r="BY44" s="31">
        <f>IF(BX44="Overhead supply in last 2 years in last 2 years",-5,IF(BX44="Close to 52 week high or retracement",5,IF(BX44="Blue sky scenario",10,IF(BX44="Long term Downtrend",-10,0))))</f>
        <v/>
      </c>
      <c r="BZ44" s="31" t="inlineStr">
        <is>
          <t>Yes</t>
        </is>
      </c>
      <c r="CA44" s="31">
        <f>IF(BZ44="Yes",10,0)</f>
        <v/>
      </c>
    </row>
    <row r="45">
      <c r="A45" s="31">
        <f>IF(B45=0,"",RANK(B45,$B$2:$B$47,0))</f>
        <v/>
      </c>
      <c r="B45" s="32">
        <f>SUM(N45,Y45,AA45,AC45,AE45,AG45,AI45,AK45,AM45,AO45,AQ45,AS45,AU45,AW45,AY45,BA45,BC45,BE45,BG45,BI45,BK45,BM45,BO45,BQ45,BS45,BU45,BW45,BY45,CA45)</f>
        <v/>
      </c>
      <c r="C45" s="33" t="inlineStr">
        <is>
          <t>VHL</t>
        </is>
      </c>
      <c r="D45" s="33" t="inlineStr">
        <is>
          <t>Vardhman Holdings Limited</t>
        </is>
      </c>
      <c r="E45" s="31" t="inlineStr">
        <is>
          <t>financials</t>
        </is>
      </c>
      <c r="F45" s="31" t="inlineStr">
        <is>
          <t>finance &amp; investments</t>
        </is>
      </c>
      <c r="G45" s="31" t="inlineStr">
        <is>
          <t>smallcap</t>
        </is>
      </c>
      <c r="H45" s="32" t="n">
        <v>1151.22</v>
      </c>
      <c r="I45" s="32" t="n">
        <v>3626.4</v>
      </c>
      <c r="J45" s="32" t="n">
        <v>0.54</v>
      </c>
      <c r="K45" s="32" t="n">
        <v>779</v>
      </c>
      <c r="L45" s="31" t="n">
        <v>3</v>
      </c>
      <c r="M45" s="31" t="inlineStr">
        <is>
          <t>Underperforming</t>
        </is>
      </c>
      <c r="N45" s="32">
        <f>IF(M45="Underperforming",-5,IF(L45&gt;=95,15,IF(L45&gt;=90,10,IF(L45&gt;=80,5,0))))</f>
        <v/>
      </c>
      <c r="O45" s="32" t="n">
        <v>56.57</v>
      </c>
      <c r="P45" s="32" t="n">
        <v>8.02</v>
      </c>
      <c r="Q45" s="32" t="n">
        <v>3025.31</v>
      </c>
      <c r="R45" s="31" t="inlineStr">
        <is>
          <t>Earnings / Momentum Support</t>
        </is>
      </c>
      <c r="S45" s="31" t="inlineStr">
        <is>
          <t>Nifty Bank</t>
        </is>
      </c>
      <c r="T45" s="32" t="n">
        <v>6.02</v>
      </c>
      <c r="U45" s="32" t="n">
        <v>-9.68</v>
      </c>
      <c r="V45" s="32" t="n">
        <v>-14.8</v>
      </c>
      <c r="W45" s="32" t="n">
        <v>-0.3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Fragmented with High ROE</t>
        </is>
      </c>
      <c r="AA45" s="31">
        <f>IF(Z45="Fragmented with Low ROE",-5,IF(Z45="Fragmented with High ROE",10,IF(Z45= "highly cyclical",5,0)))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Consistency)",15,IF(AF45="Shallow Cyclical (2 to 3 years growth)",10,IF(AF45 = "Cyclical in an Uptick",5,IF(AF45 = "Cyclical in an Downtick",-10,0))))</f>
        <v/>
      </c>
      <c r="AH45" s="31" t="inlineStr">
        <is>
          <t>Yes</t>
        </is>
      </c>
      <c r="AI45" s="31">
        <f>IF(AH45="Yes",10,0)</f>
        <v/>
      </c>
      <c r="AJ45" s="31" t="inlineStr">
        <is>
          <t>Yes</t>
        </is>
      </c>
      <c r="AK45" s="31">
        <f>IF(AJ45="Yes",10,0)</f>
        <v/>
      </c>
      <c r="AL45" s="31" t="n"/>
      <c r="AM45" s="31">
        <f>IF(AL45="No",10,0)</f>
        <v/>
      </c>
      <c r="AN45" s="31" t="inlineStr">
        <is>
          <t>Yes</t>
        </is>
      </c>
      <c r="AO45" s="31">
        <f>IF(AN45="Yes",10,0)</f>
        <v/>
      </c>
      <c r="AP45" s="31" t="inlineStr">
        <is>
          <t>No</t>
        </is>
      </c>
      <c r="AQ45" s="31">
        <f>IF(AP45="Yes",10,0)</f>
        <v/>
      </c>
      <c r="AR45" s="31" t="inlineStr">
        <is>
          <t>Yes</t>
        </is>
      </c>
      <c r="AS45" s="31">
        <f>IF(AR45="Yes",5,0)</f>
        <v/>
      </c>
      <c r="AT45" s="31" t="inlineStr">
        <is>
          <t>No</t>
        </is>
      </c>
      <c r="AU45" s="31">
        <f>IF(AT45="No",10,IF(AT45="Yes",-10,0))</f>
        <v/>
      </c>
      <c r="AV45" s="31" t="inlineStr">
        <is>
          <t>No</t>
        </is>
      </c>
      <c r="AW45" s="31">
        <f>IF(AV45="No",10,0)</f>
        <v/>
      </c>
      <c r="AX45" s="31" t="inlineStr">
        <is>
          <t>No</t>
        </is>
      </c>
      <c r="AY45" s="31">
        <f>IF(AX45="No",10,IF(AX45= "Yes CEO Resignation",-5,0))</f>
        <v/>
      </c>
      <c r="AZ45" s="31" t="inlineStr">
        <is>
          <t>No</t>
        </is>
      </c>
      <c r="BA45" s="31">
        <f>IF(AZ45="No",10,IF(AZ45="Yes",-5,0))</f>
        <v/>
      </c>
      <c r="BB45" s="31" t="inlineStr">
        <is>
          <t>No</t>
        </is>
      </c>
      <c r="BC45" s="31">
        <f>IF(BB45="No",5,IF(BB45="Yes",-5,0))</f>
        <v/>
      </c>
      <c r="BD45" s="31" t="inlineStr">
        <is>
          <t>Yes</t>
        </is>
      </c>
      <c r="BE45" s="31">
        <f>IF(BD45="Yes",10,0)</f>
        <v/>
      </c>
      <c r="BF45" s="31" t="inlineStr">
        <is>
          <t>Yes</t>
        </is>
      </c>
      <c r="BG45" s="31">
        <f>IF(BF45="Yes",10,0)</f>
        <v/>
      </c>
      <c r="BH45" s="31" t="inlineStr">
        <is>
          <t>Yes</t>
        </is>
      </c>
      <c r="BI45" s="31">
        <f>IF(BH45="Yes",10,0)</f>
        <v/>
      </c>
      <c r="BJ45" s="31" t="inlineStr">
        <is>
          <t>P/BV less than 2.5x and Growth less than 20%</t>
        </is>
      </c>
      <c r="BK45" s="31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1" t="inlineStr">
        <is>
          <t>0 to 20</t>
        </is>
      </c>
      <c r="BM45" s="31">
        <f>IF(BL45="Above 40",20,IF(BL45="20 to 40",10,IF(BL45="0 to 20",-5,0)))</f>
        <v/>
      </c>
      <c r="BN45" s="31" t="inlineStr">
        <is>
          <t>Between 50 to 75</t>
        </is>
      </c>
      <c r="BO45" s="31">
        <f>IF(BN45="Between 50 to 75",10,IF(BN45="Above 75",0,0))</f>
        <v/>
      </c>
      <c r="BP45" s="31" t="inlineStr">
        <is>
          <t>Stage 1</t>
        </is>
      </c>
      <c r="BQ45" s="31">
        <f>IF(BP45="Stage 2",20,IF(BP45="Stage 1",0,IF(BP45="Stage 3",5,IF(BP45="Stage 4",-5,0))))</f>
        <v/>
      </c>
      <c r="BR45" s="31" t="inlineStr">
        <is>
          <t>Positive Trend</t>
        </is>
      </c>
      <c r="BS45" s="31">
        <f>IF(BR45="Positive Trend",20,IF(BR45="Negative Trend",-10,0))</f>
        <v/>
      </c>
      <c r="BT45" s="31" t="inlineStr">
        <is>
          <t>Uptrend</t>
        </is>
      </c>
      <c r="BU45" s="31">
        <f>IF(BT45="Uptrend",10,IF(BT45="Sideways",5,0))</f>
        <v/>
      </c>
      <c r="BV45" s="31" t="inlineStr">
        <is>
          <t>Uptrend</t>
        </is>
      </c>
      <c r="BW45" s="31">
        <f>IF(BV45="Uptrend",10,IF(BV45="Sideways",5,0))</f>
        <v/>
      </c>
      <c r="BX45" s="31" t="inlineStr">
        <is>
          <t>Close to 52 week high or retracement</t>
        </is>
      </c>
      <c r="BY45" s="31">
        <f>IF(BX45="Overhead supply in last 2 years in last 2 years",-5,IF(BX45="Close to 52 week high or retracement",5,IF(BX45="Blue sky scenario",10,IF(BX45="Long term Downtrend",-10,0))))</f>
        <v/>
      </c>
      <c r="BZ45" s="31" t="inlineStr">
        <is>
          <t>Yes</t>
        </is>
      </c>
      <c r="CA45" s="31">
        <f>IF(BZ45="Yes",10,0)</f>
        <v/>
      </c>
    </row>
    <row r="46">
      <c r="A46" s="31">
        <f>IF(B46=0,"",RANK(B46,$B$2:$B$47,0))</f>
        <v/>
      </c>
      <c r="B46" s="32">
        <f>SUM(N46,Y46,AA46,AC46,AE46,AG46,AI46,AK46,AM46,AO46,AQ46,AS46,AU46,AW46,AY46,BA46,BC46,BE46,BG46,BI46,BK46,BM46,BO46,BQ46,BS46,BU46,BW46,BY46,CA46)</f>
        <v/>
      </c>
      <c r="C46" s="31" t="inlineStr">
        <is>
          <t>CARERATING</t>
        </is>
      </c>
      <c r="D46" s="31" t="inlineStr">
        <is>
          <t>CARE Ratings Ltd</t>
        </is>
      </c>
      <c r="E46" s="31" t="inlineStr">
        <is>
          <t>financials</t>
        </is>
      </c>
      <c r="F46" s="31" t="inlineStr">
        <is>
          <t>miscellaneous</t>
        </is>
      </c>
      <c r="G46" s="31" t="inlineStr">
        <is>
          <t>midcap</t>
        </is>
      </c>
      <c r="H46" s="32" t="n">
        <v>5135.52</v>
      </c>
      <c r="I46" s="32" t="n">
        <v>1738.2</v>
      </c>
      <c r="J46" s="32" t="n">
        <v>1.74</v>
      </c>
      <c r="K46" s="32" t="n">
        <v>354155</v>
      </c>
      <c r="L46" s="31" t="n">
        <v>15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58.35</v>
      </c>
      <c r="P46" s="32" t="n">
        <v>16.06</v>
      </c>
      <c r="Q46" s="32" t="n">
        <v>1438.19</v>
      </c>
      <c r="R46" s="31" t="inlineStr">
        <is>
          <t>Volume Spike &amp; Near 52W High Breakout</t>
        </is>
      </c>
      <c r="S46" s="31" t="inlineStr">
        <is>
          <t>Nifty Bank</t>
        </is>
      </c>
      <c r="T46" s="32" t="n">
        <v>6.02</v>
      </c>
      <c r="U46" s="32" t="n">
        <v>10.03</v>
      </c>
      <c r="V46" s="32" t="n">
        <v>3.79</v>
      </c>
      <c r="W46" s="32" t="n">
        <v>3.8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Fragmented with High ROE</t>
        </is>
      </c>
      <c r="AA46" s="31">
        <f>IF(Z46="Fragmented with Low ROE",-5,IF(Z46="Fragmented with High ROE",10,IF(Z46= "highly cyclical",5,0)))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Consistency)",15,IF(AF46="Shallow Cyclical (2 to 3 years growth)",10,IF(AF46 = "Cyclical in an Uptick",5,IF(AF46 = "Cyclical in an Downtick",-10,0))))</f>
        <v/>
      </c>
      <c r="AH46" s="31" t="inlineStr">
        <is>
          <t>Yes</t>
        </is>
      </c>
      <c r="AI46" s="31">
        <f>IF(AH46="Yes",10,0)</f>
        <v/>
      </c>
      <c r="AJ46" s="31" t="inlineStr">
        <is>
          <t>Yes</t>
        </is>
      </c>
      <c r="AK46" s="31">
        <f>IF(AJ46="Yes",10,0)</f>
        <v/>
      </c>
      <c r="AL46" s="31" t="n"/>
      <c r="AM46" s="31">
        <f>IF(AL46="No",10,0)</f>
        <v/>
      </c>
      <c r="AN46" s="31" t="inlineStr">
        <is>
          <t>Yes</t>
        </is>
      </c>
      <c r="AO46" s="31">
        <f>IF(AN46="Yes",10,0)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Yes</t>
        </is>
      </c>
      <c r="AS46" s="31">
        <f>IF(AR46="Yes",5,0)</f>
        <v/>
      </c>
      <c r="AT46" s="31" t="inlineStr">
        <is>
          <t>No</t>
        </is>
      </c>
      <c r="AU46" s="31">
        <f>IF(AT46="No",10,IF(AT46="Yes",-10,0))</f>
        <v/>
      </c>
      <c r="AV46" s="31" t="inlineStr">
        <is>
          <t>No</t>
        </is>
      </c>
      <c r="AW46" s="31">
        <f>IF(AV46="No",10,0)</f>
        <v/>
      </c>
      <c r="AX46" s="31" t="inlineStr">
        <is>
          <t>No</t>
        </is>
      </c>
      <c r="AY46" s="31">
        <f>IF(AX46="No",10,IF(AX46= "Yes CEO Resignation",-5,0))</f>
        <v/>
      </c>
      <c r="AZ46" s="31" t="inlineStr">
        <is>
          <t>No</t>
        </is>
      </c>
      <c r="BA46" s="31">
        <f>IF(AZ46="No",10,IF(AZ46="Yes",-5,0))</f>
        <v/>
      </c>
      <c r="BB46" s="31" t="inlineStr">
        <is>
          <t>No</t>
        </is>
      </c>
      <c r="BC46" s="31">
        <f>IF(BB46="No",5,IF(BB46="Yes",-5,0))</f>
        <v/>
      </c>
      <c r="BD46" s="31" t="inlineStr">
        <is>
          <t>Yes</t>
        </is>
      </c>
      <c r="BE46" s="31">
        <f>IF(BD46="Yes",10,0)</f>
        <v/>
      </c>
      <c r="BF46" s="31" t="inlineStr">
        <is>
          <t>Yes</t>
        </is>
      </c>
      <c r="BG46" s="31">
        <f>IF(BF46="Yes",10,0)</f>
        <v/>
      </c>
      <c r="BH46" s="31" t="inlineStr">
        <is>
          <t>Yes</t>
        </is>
      </c>
      <c r="BI46" s="31">
        <f>IF(BH46="Yes",10,0)</f>
        <v/>
      </c>
      <c r="BJ46" s="31" t="inlineStr">
        <is>
          <t>P/BV above 5x</t>
        </is>
      </c>
      <c r="BK46" s="31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1" t="inlineStr">
        <is>
          <t>0 to 20</t>
        </is>
      </c>
      <c r="BM46" s="31">
        <f>IF(BL46="Above 40",20,IF(BL46="20 to 40",10,IF(BL46="0 to 20",-5,0)))</f>
        <v/>
      </c>
      <c r="BN46" s="31" t="inlineStr">
        <is>
          <t>Between 50 to 75</t>
        </is>
      </c>
      <c r="BO46" s="31">
        <f>IF(BN46="Between 50 to 75",10,IF(BN46="Above 75",0,0))</f>
        <v/>
      </c>
      <c r="BP46" s="31" t="inlineStr">
        <is>
          <t>Stage 2</t>
        </is>
      </c>
      <c r="BQ46" s="31">
        <f>IF(BP46="Stage 2",20,IF(BP46="Stage 1",0,IF(BP46="Stage 3",5,IF(BP46="Stage 4",-5,0))))</f>
        <v/>
      </c>
      <c r="BR46" s="31" t="inlineStr">
        <is>
          <t>Negative Trend</t>
        </is>
      </c>
      <c r="BS46" s="31">
        <f>IF(BR46="Positive Trend",20,IF(BR46="Negative Trend",-10,0))</f>
        <v/>
      </c>
      <c r="BT46" s="31" t="inlineStr">
        <is>
          <t>Uptrend</t>
        </is>
      </c>
      <c r="BU46" s="31">
        <f>IF(BT46="Uptrend",10,IF(BT46="Sideways",5,0))</f>
        <v/>
      </c>
      <c r="BV46" s="31" t="inlineStr">
        <is>
          <t>Uptrend</t>
        </is>
      </c>
      <c r="BW46" s="31">
        <f>IF(BV46="Uptrend",10,IF(BV46="Sideways",5,0))</f>
        <v/>
      </c>
      <c r="BX46" s="31" t="inlineStr">
        <is>
          <t>Close to 52 week high or retracement</t>
        </is>
      </c>
      <c r="BY46" s="31">
        <f>IF(BX46="Overhead supply in last 2 years in last 2 years",-5,IF(BX46="Close to 52 week high or retracement",5,IF(BX46="Blue sky scenario",10,IF(BX46="Long term Downtrend",-10,0))))</f>
        <v/>
      </c>
      <c r="BZ46" s="31" t="inlineStr">
        <is>
          <t>Yes</t>
        </is>
      </c>
      <c r="CA46" s="31">
        <f>IF(BZ46="Yes",10,0)</f>
        <v/>
      </c>
    </row>
    <row r="47">
      <c r="A47" s="31">
        <f>IF(B47=0,"",RANK(B47,$B$2:$B$47,0))</f>
        <v/>
      </c>
      <c r="B47" s="32">
        <f>SUM(N47,Y47,AA47,AC47,AE47,AG47,AI47,AK47,AM47,AO47,AQ47,AS47,AU47,AW47,AY47,BA47,BC47,BE47,BG47,BI47,BK47,BM47,BO47,BQ47,BS47,BU47,BW47,BY47,CA47)</f>
        <v/>
      </c>
      <c r="C47" s="31" t="inlineStr">
        <is>
          <t>SAMMAANCAP</t>
        </is>
      </c>
      <c r="D47" s="31" t="inlineStr">
        <is>
          <t>Sammaan Capital Ltd</t>
        </is>
      </c>
      <c r="E47" s="31" t="inlineStr">
        <is>
          <t>financials</t>
        </is>
      </c>
      <c r="F47" s="31" t="inlineStr">
        <is>
          <t>finance - housing</t>
        </is>
      </c>
      <c r="G47" s="31" t="inlineStr">
        <is>
          <t>midcap</t>
        </is>
      </c>
      <c r="H47" s="32" t="n">
        <v>17899.24</v>
      </c>
      <c r="I47" s="32" t="n">
        <v>158.39</v>
      </c>
      <c r="J47" s="32" t="n">
        <v>3.05</v>
      </c>
      <c r="K47" s="32" t="n">
        <v>13853349</v>
      </c>
      <c r="L47" s="31" t="n">
        <v>5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50.57</v>
      </c>
      <c r="P47" s="32" t="n">
        <v>19.99</v>
      </c>
      <c r="Q47" s="32" t="n">
        <v>145.57</v>
      </c>
      <c r="R47" s="31" t="inlineStr">
        <is>
          <t>Earnings / Momentum Support</t>
        </is>
      </c>
      <c r="S47" s="31" t="inlineStr">
        <is>
          <t>Nifty Bank</t>
        </is>
      </c>
      <c r="T47" s="32" t="n">
        <v>6.02</v>
      </c>
      <c r="U47" s="32" t="n">
        <v>14.95</v>
      </c>
      <c r="V47" s="32" t="n">
        <v>8.43</v>
      </c>
      <c r="W47" s="32" t="n">
        <v>0.99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Fragmented with High ROE</t>
        </is>
      </c>
      <c r="AA47" s="31">
        <f>IF(Z47="Fragmented with Low ROE",-5,IF(Z47="Fragmented with High ROE",10,IF(Z47= "highly cyclical",5,0)))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Consistency)",15,IF(AF47="Shallow Cyclical (2 to 3 years growth)",10,IF(AF47 = "Cyclical in an Uptick",5,IF(AF47 = "Cyclical in an Downtick",-10,0))))</f>
        <v/>
      </c>
      <c r="AH47" s="31" t="inlineStr">
        <is>
          <t>Yes</t>
        </is>
      </c>
      <c r="AI47" s="31">
        <f>IF(AH47="Yes",10,0)</f>
        <v/>
      </c>
      <c r="AJ47" s="31" t="inlineStr">
        <is>
          <t>Yes</t>
        </is>
      </c>
      <c r="AK47" s="31">
        <f>IF(AJ47="Yes",10,0)</f>
        <v/>
      </c>
      <c r="AL47" s="31" t="n"/>
      <c r="AM47" s="31">
        <f>IF(AL47="No",10,0)</f>
        <v/>
      </c>
      <c r="AN47" s="31" t="inlineStr">
        <is>
          <t>Yes</t>
        </is>
      </c>
      <c r="AO47" s="31">
        <f>IF(AN47="Yes",10,0)</f>
        <v/>
      </c>
      <c r="AP47" s="31" t="inlineStr">
        <is>
          <t>No</t>
        </is>
      </c>
      <c r="AQ47" s="31">
        <f>IF(AP47="Yes",10,0)</f>
        <v/>
      </c>
      <c r="AR47" s="31" t="inlineStr">
        <is>
          <t>Yes</t>
        </is>
      </c>
      <c r="AS47" s="31">
        <f>IF(AR47="Yes",5,0)</f>
        <v/>
      </c>
      <c r="AT47" s="31" t="inlineStr">
        <is>
          <t>No</t>
        </is>
      </c>
      <c r="AU47" s="31">
        <f>IF(AT47="No",10,IF(AT47="Yes",-10,0))</f>
        <v/>
      </c>
      <c r="AV47" s="31" t="inlineStr">
        <is>
          <t>No</t>
        </is>
      </c>
      <c r="AW47" s="31">
        <f>IF(AV47="No",10,0)</f>
        <v/>
      </c>
      <c r="AX47" s="31" t="inlineStr">
        <is>
          <t>No</t>
        </is>
      </c>
      <c r="AY47" s="31">
        <f>IF(AX47="No",10,IF(AX47= "Yes CEO Resignation",-5,0))</f>
        <v/>
      </c>
      <c r="AZ47" s="31" t="inlineStr">
        <is>
          <t>No</t>
        </is>
      </c>
      <c r="BA47" s="31">
        <f>IF(AZ47="No",10,IF(AZ47="Yes",-5,0))</f>
        <v/>
      </c>
      <c r="BB47" s="31" t="inlineStr">
        <is>
          <t>No</t>
        </is>
      </c>
      <c r="BC47" s="31">
        <f>IF(BB47="No",5,IF(BB47="Yes",-5,0))</f>
        <v/>
      </c>
      <c r="BD47" s="31" t="inlineStr">
        <is>
          <t>Yes</t>
        </is>
      </c>
      <c r="BE47" s="31">
        <f>IF(BD47="Yes",10,0)</f>
        <v/>
      </c>
      <c r="BF47" s="31" t="inlineStr">
        <is>
          <t>Yes</t>
        </is>
      </c>
      <c r="BG47" s="31">
        <f>IF(BF47="Yes",10,0)</f>
        <v/>
      </c>
      <c r="BH47" s="31" t="inlineStr">
        <is>
          <t>Yes</t>
        </is>
      </c>
      <c r="BI47" s="31">
        <f>IF(BH47="Yes",10,0)</f>
        <v/>
      </c>
      <c r="BJ47" s="31" t="inlineStr">
        <is>
          <t>P/BV less than 2.5x and Growth less than 20%</t>
        </is>
      </c>
      <c r="BK47" s="31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1" t="inlineStr">
        <is>
          <t>0 to 20</t>
        </is>
      </c>
      <c r="BM47" s="31">
        <f>IF(BL47="Above 40",20,IF(BL47="20 to 40",10,IF(BL47="0 to 20",-5,0)))</f>
        <v/>
      </c>
      <c r="BN47" s="31" t="inlineStr">
        <is>
          <t>Between 50 to 75</t>
        </is>
      </c>
      <c r="BO47" s="31">
        <f>IF(BN47="Between 50 to 75",10,IF(BN47="Above 75",0,0))</f>
        <v/>
      </c>
      <c r="BP47" s="31" t="inlineStr">
        <is>
          <t>Stage 1</t>
        </is>
      </c>
      <c r="BQ47" s="31">
        <f>IF(BP47="Stage 2",20,IF(BP47="Stage 1",0,IF(BP47="Stage 3",5,IF(BP47="Stage 4",-5,0))))</f>
        <v/>
      </c>
      <c r="BR47" s="31" t="inlineStr">
        <is>
          <t>Negative Trend</t>
        </is>
      </c>
      <c r="BS47" s="31">
        <f>IF(BR47="Positive Trend",20,IF(BR47="Negative Trend",-10,0))</f>
        <v/>
      </c>
      <c r="BT47" s="31" t="inlineStr">
        <is>
          <t>Uptrend</t>
        </is>
      </c>
      <c r="BU47" s="31">
        <f>IF(BT47="Uptrend",10,IF(BT47="Sideways",5,0))</f>
        <v/>
      </c>
      <c r="BV47" s="31" t="inlineStr">
        <is>
          <t>Uptrend</t>
        </is>
      </c>
      <c r="BW47" s="31">
        <f>IF(BV47="Uptrend",10,IF(BV47="Sideways",5,0))</f>
        <v/>
      </c>
      <c r="BX47" s="31" t="inlineStr">
        <is>
          <t>Close to 52 week high or retracement</t>
        </is>
      </c>
      <c r="BY47" s="31">
        <f>IF(BX47="Overhead supply in last 2 years in last 2 years",-5,IF(BX47="Close to 52 week high or retracement",5,IF(BX47="Blue sky scenario",10,IF(BX47="Long term Downtrend",-10,0))))</f>
        <v/>
      </c>
      <c r="BZ47" s="31" t="inlineStr">
        <is>
          <t>Yes</t>
        </is>
      </c>
      <c r="CA47" s="31">
        <f>IF(BZ47="Yes",10,0)</f>
        <v/>
      </c>
    </row>
  </sheetData>
  <autoFilter ref="A1:CA47"/>
  <conditionalFormatting sqref="B2:B4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7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47">
    <cfRule type="cellIs" priority="34" operator="equal" dxfId="3" stopIfTrue="1">
      <formula>"Underperforming"</formula>
    </cfRule>
  </conditionalFormatting>
  <conditionalFormatting sqref="N2:N47">
    <cfRule type="cellIs" priority="35" operator="equal" dxfId="3" stopIfTrue="1">
      <formula>-5</formula>
    </cfRule>
  </conditionalFormatting>
  <conditionalFormatting sqref="Q2:Q47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47" showDropDown="0" showInputMessage="0" showErrorMessage="0" allowBlank="1" type="list">
      <formula1>"Growing Industry,Stagnant Industry,Cyclical in an Upturn"</formula1>
    </dataValidation>
    <dataValidation sqref="Z2:Z47" showDropDown="0" showInputMessage="0" showErrorMessage="0" allowBlank="1" type="list">
      <formula1>"Fragmented with Low ROE,Fragmented with High ROE,Highly Cyclical"</formula1>
    </dataValidation>
    <dataValidation sqref="AB2:AB47" showDropDown="0" showInputMessage="0" showErrorMessage="0" allowBlank="1" type="list">
      <formula1>"Yes,No"</formula1>
    </dataValidation>
    <dataValidation sqref="AD2:AD47" showDropDown="0" showInputMessage="0" showErrorMessage="0" allowBlank="1" type="list">
      <formula1>"Tailwind,Headwind"</formula1>
    </dataValidation>
    <dataValidation sqref="AF2:AF4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47" showDropDown="0" showInputMessage="0" showErrorMessage="0" allowBlank="1" type="list">
      <formula1>"Yes,No"</formula1>
    </dataValidation>
    <dataValidation sqref="AJ2:AJ47" showDropDown="0" showInputMessage="0" showErrorMessage="0" allowBlank="1" type="list">
      <formula1>"Yes,No,Not Applicable"</formula1>
    </dataValidation>
    <dataValidation sqref="AL2:AL47" showDropDown="0" showInputMessage="0" showErrorMessage="0" allowBlank="1" type="list">
      <formula1>"Yes,No"</formula1>
    </dataValidation>
    <dataValidation sqref="AN2:AN47" showDropDown="0" showInputMessage="0" showErrorMessage="0" allowBlank="1" type="list">
      <formula1>"Yes,No"</formula1>
    </dataValidation>
    <dataValidation sqref="AP2:AP47" showDropDown="0" showInputMessage="0" showErrorMessage="0" allowBlank="1" type="list">
      <formula1>"Yes,No"</formula1>
    </dataValidation>
    <dataValidation sqref="AR2:AR47" showDropDown="0" showInputMessage="0" showErrorMessage="0" allowBlank="1" type="list">
      <formula1>"Yes,No"</formula1>
    </dataValidation>
    <dataValidation sqref="AT2:AT47" showDropDown="0" showInputMessage="0" showErrorMessage="0" allowBlank="1" type="list">
      <formula1>"No,Yes"</formula1>
    </dataValidation>
    <dataValidation sqref="AV2:AV47" showDropDown="0" showInputMessage="0" showErrorMessage="0" allowBlank="1" type="list">
      <formula1>"No,Yes"</formula1>
    </dataValidation>
    <dataValidation sqref="AX2:AX47" showDropDown="0" showInputMessage="0" showErrorMessage="0" allowBlank="1" type="list">
      <formula1>"No,Yes CEO Resignation,Yes CEO Retirement"</formula1>
    </dataValidation>
    <dataValidation sqref="AZ2:AZ47" showDropDown="0" showInputMessage="0" showErrorMessage="0" allowBlank="1" type="list">
      <formula1>"No,Yes"</formula1>
    </dataValidation>
    <dataValidation sqref="BB2:BB47" showDropDown="0" showInputMessage="0" showErrorMessage="0" allowBlank="1" type="list">
      <formula1>"No,Yes"</formula1>
    </dataValidation>
    <dataValidation sqref="BD2:BD47" showDropDown="0" showInputMessage="0" showErrorMessage="0" allowBlank="1" type="list">
      <formula1>"Yes,No"</formula1>
    </dataValidation>
    <dataValidation sqref="BF2:BF47" showDropDown="0" showInputMessage="0" showErrorMessage="0" allowBlank="1" type="list">
      <formula1>"Yes,No"</formula1>
    </dataValidation>
    <dataValidation sqref="BH2:BH47" showDropDown="0" showInputMessage="0" showErrorMessage="0" allowBlank="1" type="list">
      <formula1>"Yes,No"</formula1>
    </dataValidation>
    <dataValidation sqref="BJ2:BJ4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47" showDropDown="0" showInputMessage="0" showErrorMessage="0" allowBlank="1" type="list">
      <formula1>"Above 40,20 to 40,0 to 20"</formula1>
    </dataValidation>
    <dataValidation sqref="BN2:BN47" showDropDown="0" showInputMessage="0" showErrorMessage="0" allowBlank="1" type="list">
      <formula1>"Between 50 to 75,Above 75,Below 45"</formula1>
    </dataValidation>
    <dataValidation sqref="BP2:BP47" showDropDown="0" showInputMessage="0" showErrorMessage="0" allowBlank="1" type="list">
      <formula1>"Stage 1,Stage 2,Stage 3,Stage 4"</formula1>
    </dataValidation>
    <dataValidation sqref="BR2:BR47" showDropDown="0" showInputMessage="0" showErrorMessage="0" allowBlank="1" type="list">
      <formula1>"Positive Trend,Negative Trend"</formula1>
    </dataValidation>
    <dataValidation sqref="BT2:BT47" showDropDown="0" showInputMessage="0" showErrorMessage="0" allowBlank="1" type="list">
      <formula1>"Uptrend,Sideways,Downtrend"</formula1>
    </dataValidation>
    <dataValidation sqref="BV2:BV47" showDropDown="0" showInputMessage="0" showErrorMessage="0" allowBlank="1" type="list">
      <formula1>"Uptrend,Sideways,Downtrend"</formula1>
    </dataValidation>
    <dataValidation sqref="BX2:BX4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4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IF(B2=0,"",RANK(B2,$B$2:$B$22,0))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139.4</v>
      </c>
      <c r="E2" s="32" t="inlineStr">
        <is>
          <t>5%</t>
        </is>
      </c>
      <c r="F2" s="32" t="n">
        <v>50000</v>
      </c>
      <c r="G2" s="32" t="n">
        <v>359</v>
      </c>
      <c r="H2" s="31" t="inlineStr">
        <is>
          <t>BLUSPRING</t>
        </is>
      </c>
      <c r="I2" s="31" t="inlineStr">
        <is>
          <t>Bluspring Enterprises Ltd</t>
        </is>
      </c>
      <c r="J2" s="31" t="inlineStr">
        <is>
          <t>miscellaneous</t>
        </is>
      </c>
      <c r="K2" s="31" t="inlineStr">
        <is>
          <t>diversified - large</t>
        </is>
      </c>
      <c r="L2" s="31" t="inlineStr">
        <is>
          <t>smallcap</t>
        </is>
      </c>
      <c r="M2" s="32" t="n">
        <v>2006.25</v>
      </c>
      <c r="N2" s="32" t="n">
        <v>138.96</v>
      </c>
      <c r="O2" s="32" t="n">
        <v>3.51</v>
      </c>
      <c r="P2" s="32" t="n">
        <v>605059</v>
      </c>
      <c r="Q2" s="31" t="n">
        <v>83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74.16</v>
      </c>
      <c r="U2" s="32" t="n">
        <v>64.41</v>
      </c>
      <c r="V2" s="32" t="n">
        <v>96.81999999999999</v>
      </c>
      <c r="W2" s="31" t="inlineStr">
        <is>
          <t>Near 52W High Breakout</t>
        </is>
      </c>
      <c r="X2" s="31" t="inlineStr">
        <is>
          <t>Nifty 50</t>
        </is>
      </c>
      <c r="Y2" s="32" t="n">
        <v>-3.41</v>
      </c>
      <c r="Z2" s="32" t="n">
        <v>72.48999999999999</v>
      </c>
      <c r="AA2" s="32" t="n">
        <v>78.58</v>
      </c>
      <c r="AB2" s="32" t="n">
        <v>27.6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IF(B3=0,"",RANK(B3,$B$2:$B$22,0))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139.2</v>
      </c>
      <c r="E3" s="32" t="inlineStr">
        <is>
          <t>5%</t>
        </is>
      </c>
      <c r="F3" s="32" t="n">
        <v>50000</v>
      </c>
      <c r="G3" s="32" t="n">
        <v>155</v>
      </c>
      <c r="H3" s="31" t="inlineStr">
        <is>
          <t>MENONBE</t>
        </is>
      </c>
      <c r="I3" s="31" t="inlineStr">
        <is>
          <t>Menon Bearings Limited</t>
        </is>
      </c>
      <c r="J3" s="31" t="inlineStr">
        <is>
          <t>auto</t>
        </is>
      </c>
      <c r="K3" s="31" t="inlineStr">
        <is>
          <t>auto ancillaries</t>
        </is>
      </c>
      <c r="L3" s="31" t="inlineStr">
        <is>
          <t>smallcap</t>
        </is>
      </c>
      <c r="M3" s="32" t="n">
        <v>1729.11</v>
      </c>
      <c r="N3" s="32" t="n">
        <v>321.4</v>
      </c>
      <c r="O3" s="32" t="n">
        <v>4.16</v>
      </c>
      <c r="P3" s="32" t="n">
        <v>202288</v>
      </c>
      <c r="Q3" s="31" t="n">
        <v>98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85.87</v>
      </c>
      <c r="U3" s="32" t="n">
        <v>60.37</v>
      </c>
      <c r="V3" s="32" t="n">
        <v>244.85</v>
      </c>
      <c r="W3" s="31" t="inlineStr">
        <is>
          <t>Near 52W High Breakout</t>
        </is>
      </c>
      <c r="X3" s="31" t="inlineStr">
        <is>
          <t>Nifty Auto</t>
        </is>
      </c>
      <c r="Y3" s="32" t="n">
        <v>16.52</v>
      </c>
      <c r="Z3" s="32" t="n">
        <v>152.89</v>
      </c>
      <c r="AA3" s="32" t="n">
        <v>117.03</v>
      </c>
      <c r="AB3" s="32" t="n">
        <v>67.75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IF(B4=0,"",RANK(B4,$B$2:$B$22,0))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140</v>
      </c>
      <c r="E4" s="32" t="inlineStr">
        <is>
          <t>5%</t>
        </is>
      </c>
      <c r="F4" s="32" t="n">
        <v>50000</v>
      </c>
      <c r="G4" s="32" t="n">
        <v>132</v>
      </c>
      <c r="H4" s="31" t="inlineStr">
        <is>
          <t>BIRLACABLE</t>
        </is>
      </c>
      <c r="I4" s="31" t="inlineStr">
        <is>
          <t>Birla Cable Limited</t>
        </is>
      </c>
      <c r="J4" s="31" t="inlineStr">
        <is>
          <t>industrials</t>
        </is>
      </c>
      <c r="K4" s="31" t="inlineStr">
        <is>
          <t>cables - telephone</t>
        </is>
      </c>
      <c r="L4" s="31" t="inlineStr">
        <is>
          <t>smallcap</t>
        </is>
      </c>
      <c r="M4" s="32" t="n">
        <v>1075.95</v>
      </c>
      <c r="N4" s="32" t="n">
        <v>376.55</v>
      </c>
      <c r="O4" s="32" t="n">
        <v>4.99</v>
      </c>
      <c r="P4" s="32" t="n">
        <v>174752</v>
      </c>
      <c r="Q4" s="31" t="n">
        <v>97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79.56999999999999</v>
      </c>
      <c r="U4" s="32" t="n">
        <v>50.32</v>
      </c>
      <c r="V4" s="32" t="n">
        <v>281.57</v>
      </c>
      <c r="W4" s="31" t="inlineStr">
        <is>
          <t>Volume Spike &amp; Near 52W High Breakout</t>
        </is>
      </c>
      <c r="X4" s="31" t="inlineStr">
        <is>
          <t>Nifty Infra</t>
        </is>
      </c>
      <c r="Y4" s="32" t="n">
        <v>1.45</v>
      </c>
      <c r="Z4" s="32" t="n">
        <v>121.32</v>
      </c>
      <c r="AA4" s="32" t="n">
        <v>118.16</v>
      </c>
      <c r="AB4" s="32" t="n">
        <v>56.14</v>
      </c>
      <c r="AC4" s="31" t="inlineStr">
        <is>
          <t>Cyclical in an Upturn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IF(B5=0,"",RANK(B5,$B$2:$B$22,0))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139.1</v>
      </c>
      <c r="E5" s="32" t="inlineStr">
        <is>
          <t>5%</t>
        </is>
      </c>
      <c r="F5" s="32" t="n">
        <v>50000</v>
      </c>
      <c r="G5" s="32" t="n">
        <v>119</v>
      </c>
      <c r="H5" s="31" t="inlineStr">
        <is>
          <t>ORIENTBELL</t>
        </is>
      </c>
      <c r="I5" s="31" t="inlineStr">
        <is>
          <t>Orient Bell Limited</t>
        </is>
      </c>
      <c r="J5" s="31" t="inlineStr">
        <is>
          <t>building materials</t>
        </is>
      </c>
      <c r="K5" s="31" t="inlineStr">
        <is>
          <t>ceramics - tiles / sanitaryware</t>
        </is>
      </c>
      <c r="L5" s="31" t="inlineStr">
        <is>
          <t>smallcap</t>
        </is>
      </c>
      <c r="M5" s="32" t="n">
        <v>607.03</v>
      </c>
      <c r="N5" s="32" t="n">
        <v>420.1</v>
      </c>
      <c r="O5" s="32" t="n">
        <v>1.81</v>
      </c>
      <c r="P5" s="32" t="n">
        <v>69026</v>
      </c>
      <c r="Q5" s="31" t="n">
        <v>64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74.28</v>
      </c>
      <c r="U5" s="32" t="n">
        <v>40.66</v>
      </c>
      <c r="V5" s="32" t="n">
        <v>322.52</v>
      </c>
      <c r="W5" s="31" t="inlineStr">
        <is>
          <t>Volume Spike &amp; Near 52W High Breakout</t>
        </is>
      </c>
      <c r="X5" s="31" t="inlineStr">
        <is>
          <t>Nifty Infra</t>
        </is>
      </c>
      <c r="Y5" s="32" t="n">
        <v>1.45</v>
      </c>
      <c r="Z5" s="32" t="n">
        <v>37.41</v>
      </c>
      <c r="AA5" s="32" t="n">
        <v>35.45</v>
      </c>
      <c r="AB5" s="32" t="n">
        <v>18.45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Between 50 to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IF(B6=0,"",RANK(B6,$B$2:$B$22,0))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140</v>
      </c>
      <c r="E6" s="32" t="inlineStr">
        <is>
          <t>5%</t>
        </is>
      </c>
      <c r="F6" s="32" t="n">
        <v>50000</v>
      </c>
      <c r="G6" s="32" t="n">
        <v>103</v>
      </c>
      <c r="H6" s="31" t="inlineStr">
        <is>
          <t>TBZ</t>
        </is>
      </c>
      <c r="I6" s="31" t="inlineStr">
        <is>
          <t>Tribhovandas Bhimji Zaveri Limited</t>
        </is>
      </c>
      <c r="J6" s="31" t="inlineStr">
        <is>
          <t>consumer discretionary</t>
        </is>
      </c>
      <c r="K6" s="31" t="inlineStr">
        <is>
          <t>diamond cutting / jewellery</t>
        </is>
      </c>
      <c r="L6" s="31" t="inlineStr">
        <is>
          <t>smallcap</t>
        </is>
      </c>
      <c r="M6" s="32" t="n">
        <v>2917.13</v>
      </c>
      <c r="N6" s="32" t="n">
        <v>480.85</v>
      </c>
      <c r="O6" s="32" t="n">
        <v>10</v>
      </c>
      <c r="P6" s="32" t="n">
        <v>3486401</v>
      </c>
      <c r="Q6" s="31" t="n">
        <v>99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88.53</v>
      </c>
      <c r="U6" s="32" t="n">
        <v>49.1</v>
      </c>
      <c r="V6" s="32" t="n">
        <v>361.26</v>
      </c>
      <c r="W6" s="31" t="inlineStr">
        <is>
          <t>Volume Spike &amp; Near 52W High Breakout</t>
        </is>
      </c>
      <c r="X6" s="31" t="inlineStr">
        <is>
          <t>Nifty 50</t>
        </is>
      </c>
      <c r="Y6" s="32" t="n">
        <v>-3.41</v>
      </c>
      <c r="Z6" s="32" t="n">
        <v>163.8</v>
      </c>
      <c r="AA6" s="32" t="n">
        <v>173.11</v>
      </c>
      <c r="AB6" s="32" t="n">
        <v>74.81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No</t>
        </is>
      </c>
      <c r="BX6" s="31">
        <f>IF(BW6="NO",5,0)</f>
        <v/>
      </c>
      <c r="BY6" s="31" t="inlineStr">
        <is>
          <t>Less than 1.5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Between 0.7 to 1.2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IF(B7=0,"",RANK(B7,$B$2:$B$22,0))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139</v>
      </c>
      <c r="E7" s="32" t="inlineStr">
        <is>
          <t>5%</t>
        </is>
      </c>
      <c r="F7" s="32" t="n">
        <v>50000</v>
      </c>
      <c r="G7" s="32" t="n">
        <v>49</v>
      </c>
      <c r="H7" s="31" t="inlineStr">
        <is>
          <t>SAKAR</t>
        </is>
      </c>
      <c r="I7" s="31" t="inlineStr">
        <is>
          <t>Sakar Healthcare Ltd</t>
        </is>
      </c>
      <c r="J7" s="31" t="inlineStr">
        <is>
          <t>healthcare</t>
        </is>
      </c>
      <c r="K7" s="31" t="inlineStr">
        <is>
          <t>pharmaceuticals - indian - bulk drugs &amp; formln</t>
        </is>
      </c>
      <c r="L7" s="31" t="inlineStr">
        <is>
          <t>smallcap</t>
        </is>
      </c>
      <c r="M7" s="32" t="n">
        <v>2240.45</v>
      </c>
      <c r="N7" s="32" t="n">
        <v>1013.9</v>
      </c>
      <c r="O7" s="32" t="n">
        <v>0.6899999999999999</v>
      </c>
      <c r="P7" s="32" t="n">
        <v>87982</v>
      </c>
      <c r="Q7" s="31" t="n">
        <v>88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70.91</v>
      </c>
      <c r="U7" s="32" t="n">
        <v>52.04</v>
      </c>
      <c r="V7" s="32" t="n">
        <v>730.13</v>
      </c>
      <c r="W7" s="31" t="inlineStr">
        <is>
          <t>Volume Spike &amp; Near 52W High Breakout</t>
        </is>
      </c>
      <c r="X7" s="31" t="inlineStr">
        <is>
          <t>Nifty Pharma</t>
        </is>
      </c>
      <c r="Y7" s="32" t="n">
        <v>20.77</v>
      </c>
      <c r="Z7" s="32" t="n">
        <v>205.07</v>
      </c>
      <c r="AA7" s="32" t="n">
        <v>152.61</v>
      </c>
      <c r="AB7" s="32" t="n">
        <v>32.45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Yes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Annuity, Lower One Time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Between 50 to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IF(B8=0,"",RANK(B8,$B$2:$B$22,0))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139.6</v>
      </c>
      <c r="E8" s="32" t="inlineStr">
        <is>
          <t>5%</t>
        </is>
      </c>
      <c r="F8" s="32" t="n">
        <v>50000</v>
      </c>
      <c r="G8" s="32" t="n">
        <v>122</v>
      </c>
      <c r="H8" s="31" t="inlineStr">
        <is>
          <t>SETL</t>
        </is>
      </c>
      <c r="I8" s="31" t="inlineStr">
        <is>
          <t>Standard Enginnering Technology Ltd</t>
        </is>
      </c>
      <c r="J8" s="31" t="inlineStr">
        <is>
          <t>industrials</t>
        </is>
      </c>
      <c r="K8" s="31" t="inlineStr">
        <is>
          <t>engineering</t>
        </is>
      </c>
      <c r="L8" s="31" t="inlineStr">
        <is>
          <t>midcap</t>
        </is>
      </c>
      <c r="M8" s="32" t="n">
        <v>7803.12</v>
      </c>
      <c r="N8" s="32" t="n">
        <v>408.95</v>
      </c>
      <c r="O8" s="32" t="n">
        <v>4.55</v>
      </c>
      <c r="P8" s="32" t="n">
        <v>1430578</v>
      </c>
      <c r="Q8" s="31" t="n">
        <v>98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89.53</v>
      </c>
      <c r="U8" s="32" t="n">
        <v>63.12</v>
      </c>
      <c r="V8" s="32" t="n">
        <v>320.11</v>
      </c>
      <c r="W8" s="31" t="inlineStr">
        <is>
          <t>Near 52W High Breakout</t>
        </is>
      </c>
      <c r="X8" s="31" t="inlineStr">
        <is>
          <t>Nifty 50</t>
        </is>
      </c>
      <c r="Y8" s="32" t="n">
        <v>-3.41</v>
      </c>
      <c r="Z8" s="32" t="n">
        <v>121.51</v>
      </c>
      <c r="AA8" s="32" t="n">
        <v>129.33</v>
      </c>
      <c r="AB8" s="32" t="n">
        <v>63.66</v>
      </c>
      <c r="AC8" s="31" t="inlineStr">
        <is>
          <t>Cyclical in an Upturn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IF(B9=0,"",RANK(B9,$B$2:$B$22,0))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140</v>
      </c>
      <c r="E9" s="32" t="inlineStr">
        <is>
          <t>5%</t>
        </is>
      </c>
      <c r="F9" s="32" t="n">
        <v>50000</v>
      </c>
      <c r="G9" s="32" t="n">
        <v>74</v>
      </c>
      <c r="H9" s="31" t="inlineStr">
        <is>
          <t>BLISSGVS</t>
        </is>
      </c>
      <c r="I9" s="31" t="inlineStr">
        <is>
          <t>Bliss Gvs Pharma Limited</t>
        </is>
      </c>
      <c r="J9" s="31" t="inlineStr">
        <is>
          <t>healthcare</t>
        </is>
      </c>
      <c r="K9" s="31" t="inlineStr">
        <is>
          <t>pharmaceuticals - indian - formulations</t>
        </is>
      </c>
      <c r="L9" s="31" t="inlineStr">
        <is>
          <t>midcap</t>
        </is>
      </c>
      <c r="M9" s="32" t="n">
        <v>6780.7</v>
      </c>
      <c r="N9" s="32" t="n">
        <v>671</v>
      </c>
      <c r="O9" s="32" t="n">
        <v>4.95</v>
      </c>
      <c r="P9" s="32" t="n">
        <v>347698</v>
      </c>
      <c r="Q9" s="31" t="n">
        <v>95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86.77</v>
      </c>
      <c r="U9" s="32" t="n">
        <v>74.89</v>
      </c>
      <c r="V9" s="32" t="n">
        <v>518.34</v>
      </c>
      <c r="W9" s="31" t="inlineStr">
        <is>
          <t>Near 52W High Breakout</t>
        </is>
      </c>
      <c r="X9" s="31" t="inlineStr">
        <is>
          <t>Nifty Pharma</t>
        </is>
      </c>
      <c r="Y9" s="32" t="n">
        <v>20.77</v>
      </c>
      <c r="Z9" s="32" t="n">
        <v>332.18</v>
      </c>
      <c r="AA9" s="32" t="n">
        <v>257.86</v>
      </c>
      <c r="AB9" s="32" t="n">
        <v>49.34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Yes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Annuity, Lower One Time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Between 12 to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IF(B10=0,"",RANK(B10,$B$2:$B$22,0))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139</v>
      </c>
      <c r="E10" s="32" t="inlineStr">
        <is>
          <t>5%</t>
        </is>
      </c>
      <c r="F10" s="32" t="n">
        <v>50000</v>
      </c>
      <c r="G10" s="32" t="n">
        <v>51</v>
      </c>
      <c r="H10" s="31" t="inlineStr">
        <is>
          <t>SHILPAMED</t>
        </is>
      </c>
      <c r="I10" s="31" t="inlineStr">
        <is>
          <t>Shilpa Medicare Limited</t>
        </is>
      </c>
      <c r="J10" s="31" t="inlineStr">
        <is>
          <t>healthcare</t>
        </is>
      </c>
      <c r="K10" s="31" t="inlineStr">
        <is>
          <t>pharmaceuticals - indian - formulations</t>
        </is>
      </c>
      <c r="L10" s="31" t="inlineStr">
        <is>
          <t>midcap</t>
        </is>
      </c>
      <c r="M10" s="32" t="n">
        <v>18700.56</v>
      </c>
      <c r="N10" s="32" t="n">
        <v>964.15</v>
      </c>
      <c r="O10" s="32" t="n">
        <v>0.84</v>
      </c>
      <c r="P10" s="32" t="n">
        <v>652726</v>
      </c>
      <c r="Q10" s="31" t="n">
        <v>92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91.48</v>
      </c>
      <c r="U10" s="32" t="n">
        <v>77.81</v>
      </c>
      <c r="V10" s="32" t="n">
        <v>787.8099999999999</v>
      </c>
      <c r="W10" s="31" t="inlineStr">
        <is>
          <t>Near 52W High Breakout</t>
        </is>
      </c>
      <c r="X10" s="31" t="inlineStr">
        <is>
          <t>Nifty Pharma</t>
        </is>
      </c>
      <c r="Y10" s="32" t="n">
        <v>20.77</v>
      </c>
      <c r="Z10" s="32" t="n">
        <v>128.7</v>
      </c>
      <c r="AA10" s="32" t="n">
        <v>89.37</v>
      </c>
      <c r="AB10" s="32" t="n">
        <v>39.84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Yes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Annuity, Lower One Time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Above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IF(B11=0,"",RANK(B11,$B$2:$B$22,0))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139.7</v>
      </c>
      <c r="E11" s="32" t="inlineStr">
        <is>
          <t>5%</t>
        </is>
      </c>
      <c r="F11" s="32" t="n">
        <v>50000</v>
      </c>
      <c r="G11" s="32" t="n">
        <v>116</v>
      </c>
      <c r="H11" s="31" t="inlineStr">
        <is>
          <t>RUBYMILLS</t>
        </is>
      </c>
      <c r="I11" s="31" t="inlineStr">
        <is>
          <t>The Ruby Mills Limited</t>
        </is>
      </c>
      <c r="J11" s="31" t="inlineStr">
        <is>
          <t>textiles</t>
        </is>
      </c>
      <c r="K11" s="31" t="inlineStr">
        <is>
          <t>textiles - composite</t>
        </is>
      </c>
      <c r="L11" s="31" t="inlineStr">
        <is>
          <t>smallcap</t>
        </is>
      </c>
      <c r="M11" s="32" t="n">
        <v>1367.86</v>
      </c>
      <c r="N11" s="32" t="n">
        <v>428.3</v>
      </c>
      <c r="O11" s="32" t="n">
        <v>4.71</v>
      </c>
      <c r="P11" s="32" t="n">
        <v>23319</v>
      </c>
      <c r="Q11" s="31" t="n">
        <v>71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71.36</v>
      </c>
      <c r="U11" s="32" t="n">
        <v>55.12</v>
      </c>
      <c r="V11" s="32" t="n">
        <v>308.83</v>
      </c>
      <c r="W11" s="31" t="inlineStr">
        <is>
          <t>Near 52W High Breakout</t>
        </is>
      </c>
      <c r="X11" s="31" t="inlineStr">
        <is>
          <t>Nifty 50</t>
        </is>
      </c>
      <c r="Y11" s="32" t="n">
        <v>-3.41</v>
      </c>
      <c r="Z11" s="32" t="n">
        <v>91.42</v>
      </c>
      <c r="AA11" s="32" t="n">
        <v>98.17</v>
      </c>
      <c r="AB11" s="32" t="n">
        <v>21.38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Above 40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Less than 12%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No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IF(B12=0,"",RANK(B12,$B$2:$B$22,0))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139.3</v>
      </c>
      <c r="E12" s="32" t="inlineStr">
        <is>
          <t>5%</t>
        </is>
      </c>
      <c r="F12" s="32" t="n">
        <v>50000</v>
      </c>
      <c r="G12" s="32" t="n">
        <v>239</v>
      </c>
      <c r="H12" s="31" t="inlineStr">
        <is>
          <t>WELSPUNLIV</t>
        </is>
      </c>
      <c r="I12" s="31" t="inlineStr">
        <is>
          <t>Welspun Living Ltd</t>
        </is>
      </c>
      <c r="J12" s="31" t="inlineStr">
        <is>
          <t>textiles</t>
        </is>
      </c>
      <c r="K12" s="31" t="inlineStr">
        <is>
          <t>textiles - products</t>
        </is>
      </c>
      <c r="L12" s="31" t="inlineStr">
        <is>
          <t>midcap</t>
        </is>
      </c>
      <c r="M12" s="32" t="n">
        <v>18952.68</v>
      </c>
      <c r="N12" s="32" t="n">
        <v>208.51</v>
      </c>
      <c r="O12" s="32" t="n">
        <v>3.94</v>
      </c>
      <c r="P12" s="32" t="n">
        <v>7470859</v>
      </c>
      <c r="Q12" s="31" t="n">
        <v>76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78.84</v>
      </c>
      <c r="U12" s="32" t="n">
        <v>38.42</v>
      </c>
      <c r="V12" s="32" t="n">
        <v>166.35</v>
      </c>
      <c r="W12" s="31" t="inlineStr">
        <is>
          <t>Near 52W High Breakout</t>
        </is>
      </c>
      <c r="X12" s="31" t="inlineStr">
        <is>
          <t>Nifty 50</t>
        </is>
      </c>
      <c r="Y12" s="32" t="n">
        <v>-3.41</v>
      </c>
      <c r="Z12" s="32" t="n">
        <v>82.98</v>
      </c>
      <c r="AA12" s="32" t="n">
        <v>89.44</v>
      </c>
      <c r="AB12" s="32" t="n">
        <v>23.59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20 to 40</t>
        </is>
      </c>
      <c r="BD12" s="31">
        <f>IF(BC12="Above 40",20,IF(BC12="20 to 40",10,IF(BC12="0 to 20",-5,0)))</f>
        <v/>
      </c>
      <c r="BE12" s="31" t="inlineStr">
        <is>
          <t>Above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Less than 1.5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IF(B13=0,"",RANK(B13,$B$2:$B$22,0))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138.8</v>
      </c>
      <c r="E13" s="32" t="inlineStr">
        <is>
          <t>5%</t>
        </is>
      </c>
      <c r="F13" s="32" t="n">
        <v>50000</v>
      </c>
      <c r="G13" s="32" t="n">
        <v>4</v>
      </c>
      <c r="H13" s="31" t="inlineStr">
        <is>
          <t>CRAFTSMAN</t>
        </is>
      </c>
      <c r="I13" s="31" t="inlineStr">
        <is>
          <t>Craftsman Automation Ltd</t>
        </is>
      </c>
      <c r="J13" s="31" t="inlineStr">
        <is>
          <t>auto</t>
        </is>
      </c>
      <c r="K13" s="31" t="inlineStr">
        <is>
          <t>auto ancillaries</t>
        </is>
      </c>
      <c r="L13" s="31" t="inlineStr">
        <is>
          <t>largecap</t>
        </is>
      </c>
      <c r="M13" s="32" t="n">
        <v>29345.27</v>
      </c>
      <c r="N13" s="32" t="n">
        <v>11398</v>
      </c>
      <c r="O13" s="32" t="n">
        <v>1.59</v>
      </c>
      <c r="P13" s="32" t="n">
        <v>28595</v>
      </c>
      <c r="Q13" s="31" t="n">
        <v>78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74.45</v>
      </c>
      <c r="U13" s="32" t="n">
        <v>65.94</v>
      </c>
      <c r="V13" s="32" t="n">
        <v>9373.969999999999</v>
      </c>
      <c r="W13" s="31" t="inlineStr">
        <is>
          <t>Volume Spike &amp; Near 52W High Breakout</t>
        </is>
      </c>
      <c r="X13" s="31" t="inlineStr">
        <is>
          <t>Nifty Auto</t>
        </is>
      </c>
      <c r="Y13" s="32" t="n">
        <v>16.52</v>
      </c>
      <c r="Z13" s="32" t="n">
        <v>81.81999999999999</v>
      </c>
      <c r="AA13" s="32" t="n">
        <v>56.04</v>
      </c>
      <c r="AB13" s="32" t="n">
        <v>24.19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Between 50 to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Between 0.7 to 1.2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IF(B14=0,"",RANK(B14,$B$2:$B$22,0))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140</v>
      </c>
      <c r="E14" s="32" t="inlineStr">
        <is>
          <t>5%</t>
        </is>
      </c>
      <c r="F14" s="32" t="n">
        <v>50000</v>
      </c>
      <c r="G14" s="32" t="n">
        <v>164</v>
      </c>
      <c r="H14" s="31" t="inlineStr">
        <is>
          <t>BHAGERIA</t>
        </is>
      </c>
      <c r="I14" s="31" t="inlineStr">
        <is>
          <t>Bhageria Industries Limited</t>
        </is>
      </c>
      <c r="J14" s="31" t="inlineStr">
        <is>
          <t>chemicals</t>
        </is>
      </c>
      <c r="K14" s="31" t="inlineStr">
        <is>
          <t>dyes and pigments</t>
        </is>
      </c>
      <c r="L14" s="31" t="inlineStr">
        <is>
          <t>smallcap</t>
        </is>
      </c>
      <c r="M14" s="32" t="n">
        <v>1266.34</v>
      </c>
      <c r="N14" s="32" t="n">
        <v>304.65</v>
      </c>
      <c r="O14" s="32" t="n">
        <v>5</v>
      </c>
      <c r="P14" s="32" t="n">
        <v>218809</v>
      </c>
      <c r="Q14" s="31" t="n">
        <v>71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75.22</v>
      </c>
      <c r="U14" s="32" t="n">
        <v>34.83</v>
      </c>
      <c r="V14" s="32" t="n">
        <v>231.92</v>
      </c>
      <c r="W14" s="31" t="inlineStr">
        <is>
          <t>Volume Spike &amp; Near 52W High Breakout</t>
        </is>
      </c>
      <c r="X14" s="31" t="inlineStr">
        <is>
          <t>Nifty IT</t>
        </is>
      </c>
      <c r="Y14" s="32" t="n">
        <v>-11.38</v>
      </c>
      <c r="Z14" s="32" t="n">
        <v>54.84</v>
      </c>
      <c r="AA14" s="32" t="n">
        <v>74.72</v>
      </c>
      <c r="AB14" s="32" t="n">
        <v>21.39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20 to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No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IF(B15=0,"",RANK(B15,$B$2:$B$22,0))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139.4</v>
      </c>
      <c r="E15" s="32" t="inlineStr">
        <is>
          <t>5%</t>
        </is>
      </c>
      <c r="F15" s="32" t="n">
        <v>50000</v>
      </c>
      <c r="G15" s="32" t="n">
        <v>73</v>
      </c>
      <c r="H15" s="31" t="inlineStr">
        <is>
          <t>SHREEJISPG</t>
        </is>
      </c>
      <c r="I15" s="31" t="inlineStr">
        <is>
          <t>Shreeji Shipping Global Ltd</t>
        </is>
      </c>
      <c r="J15" s="31" t="inlineStr">
        <is>
          <t>transportation</t>
        </is>
      </c>
      <c r="K15" s="31" t="inlineStr">
        <is>
          <t>shipping</t>
        </is>
      </c>
      <c r="L15" s="31" t="inlineStr">
        <is>
          <t>midcap</t>
        </is>
      </c>
      <c r="M15" s="32" t="n">
        <v>10821.85</v>
      </c>
      <c r="N15" s="32" t="n">
        <v>680.15</v>
      </c>
      <c r="O15" s="32" t="n">
        <v>2.39</v>
      </c>
      <c r="P15" s="32" t="n">
        <v>2336669</v>
      </c>
      <c r="Q15" s="31" t="n">
        <v>87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77.27</v>
      </c>
      <c r="U15" s="32" t="n">
        <v>55.83</v>
      </c>
      <c r="V15" s="32" t="n">
        <v>555.99</v>
      </c>
      <c r="W15" s="31" t="inlineStr">
        <is>
          <t>Near 52W High Breakout</t>
        </is>
      </c>
      <c r="X15" s="31" t="inlineStr">
        <is>
          <t>Nifty 50</t>
        </is>
      </c>
      <c r="Y15" s="32" t="n">
        <v>-3.41</v>
      </c>
      <c r="Z15" s="32" t="n">
        <v>169.14</v>
      </c>
      <c r="AA15" s="32" t="n">
        <v>178.63</v>
      </c>
      <c r="AB15" s="32" t="n">
        <v>31.56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Above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Less than 12%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IF(B16=0,"",RANK(B16,$B$2:$B$22,0))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139.5</v>
      </c>
      <c r="E16" s="32" t="inlineStr">
        <is>
          <t>5%</t>
        </is>
      </c>
      <c r="F16" s="32" t="n">
        <v>50000</v>
      </c>
      <c r="G16" s="32" t="n">
        <v>33</v>
      </c>
      <c r="H16" s="31" t="inlineStr">
        <is>
          <t>QPOWER</t>
        </is>
      </c>
      <c r="I16" s="31" t="inlineStr">
        <is>
          <t>Quality Power Electrical Equipments Ltd</t>
        </is>
      </c>
      <c r="J16" s="31" t="inlineStr">
        <is>
          <t>industrials</t>
        </is>
      </c>
      <c r="K16" s="31" t="inlineStr">
        <is>
          <t>electric equipment</t>
        </is>
      </c>
      <c r="L16" s="31" t="inlineStr">
        <is>
          <t>midcap</t>
        </is>
      </c>
      <c r="M16" s="32" t="n">
        <v>11028.81</v>
      </c>
      <c r="N16" s="32" t="n">
        <v>1495.3</v>
      </c>
      <c r="O16" s="32" t="n">
        <v>5</v>
      </c>
      <c r="P16" s="32" t="n">
        <v>228191</v>
      </c>
      <c r="Q16" s="31" t="n">
        <v>70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67.77</v>
      </c>
      <c r="U16" s="32" t="n">
        <v>16.64</v>
      </c>
      <c r="V16" s="32" t="n">
        <v>1100.9</v>
      </c>
      <c r="W16" s="31" t="inlineStr">
        <is>
          <t>Volume Spike &amp; Near 52W High Breakout</t>
        </is>
      </c>
      <c r="X16" s="31" t="inlineStr">
        <is>
          <t>Nifty 50</t>
        </is>
      </c>
      <c r="Y16" s="32" t="n">
        <v>-3.41</v>
      </c>
      <c r="Z16" s="32" t="n">
        <v>64.79000000000001</v>
      </c>
      <c r="AA16" s="32" t="n">
        <v>70.59999999999999</v>
      </c>
      <c r="AB16" s="32" t="n">
        <v>20.58</v>
      </c>
      <c r="AC16" s="31" t="inlineStr">
        <is>
          <t>Cyclical in an Upturn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0 to 20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Between 1.5 to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IF(B17=0,"",RANK(B17,$B$2:$B$22,0))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138.8</v>
      </c>
      <c r="E17" s="32" t="inlineStr">
        <is>
          <t>5%</t>
        </is>
      </c>
      <c r="F17" s="32" t="n">
        <v>50000</v>
      </c>
      <c r="G17" s="32" t="n">
        <v>2</v>
      </c>
      <c r="H17" s="31" t="inlineStr">
        <is>
          <t>PTCIL</t>
        </is>
      </c>
      <c r="I17" s="31" t="inlineStr">
        <is>
          <t>PTC Industries Ltd</t>
        </is>
      </c>
      <c r="J17" s="31" t="inlineStr">
        <is>
          <t>industrials</t>
        </is>
      </c>
      <c r="K17" s="31" t="inlineStr">
        <is>
          <t>castings &amp; forgings</t>
        </is>
      </c>
      <c r="L17" s="31" t="inlineStr">
        <is>
          <t>largecap</t>
        </is>
      </c>
      <c r="M17" s="32" t="n">
        <v>35712.25</v>
      </c>
      <c r="N17" s="32" t="n">
        <v>23830</v>
      </c>
      <c r="O17" s="32" t="n">
        <v>0.04</v>
      </c>
      <c r="P17" s="32" t="n">
        <v>65344</v>
      </c>
      <c r="Q17" s="31" t="n">
        <v>65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78.33</v>
      </c>
      <c r="U17" s="32" t="n">
        <v>30.52</v>
      </c>
      <c r="V17" s="32" t="n">
        <v>19608.62</v>
      </c>
      <c r="W17" s="31" t="inlineStr">
        <is>
          <t>Volume Spike &amp; Near 52W High Breakout</t>
        </is>
      </c>
      <c r="X17" s="31" t="inlineStr">
        <is>
          <t>Nifty 50</t>
        </is>
      </c>
      <c r="Y17" s="32" t="n">
        <v>-3.41</v>
      </c>
      <c r="Z17" s="32" t="n">
        <v>75.44</v>
      </c>
      <c r="AA17" s="32" t="n">
        <v>81.63</v>
      </c>
      <c r="AB17" s="32" t="n">
        <v>18.93</v>
      </c>
      <c r="AC17" s="31" t="inlineStr">
        <is>
          <t>Cyclical in an Upturn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20 to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IF(B18=0,"",RANK(B18,$B$2:$B$22,0))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140</v>
      </c>
      <c r="E18" s="32" t="inlineStr">
        <is>
          <t>5%</t>
        </is>
      </c>
      <c r="F18" s="32" t="n">
        <v>50000</v>
      </c>
      <c r="G18" s="32" t="n">
        <v>7</v>
      </c>
      <c r="H18" s="31" t="inlineStr">
        <is>
          <t>SMLMAH</t>
        </is>
      </c>
      <c r="I18" s="31" t="inlineStr">
        <is>
          <t>SML Mahindra Ltd</t>
        </is>
      </c>
      <c r="J18" s="31" t="inlineStr">
        <is>
          <t>auto</t>
        </is>
      </c>
      <c r="K18" s="31" t="inlineStr">
        <is>
          <t>automobiles - lcvs / hcvs</t>
        </is>
      </c>
      <c r="L18" s="31" t="inlineStr">
        <is>
          <t>midcap</t>
        </is>
      </c>
      <c r="M18" s="32" t="n">
        <v>8286.459999999999</v>
      </c>
      <c r="N18" s="32" t="n">
        <v>6298.5</v>
      </c>
      <c r="O18" s="32" t="n">
        <v>10</v>
      </c>
      <c r="P18" s="32" t="n">
        <v>427607</v>
      </c>
      <c r="Q18" s="31" t="n">
        <v>82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70.5</v>
      </c>
      <c r="U18" s="32" t="n">
        <v>19.74</v>
      </c>
      <c r="V18" s="32" t="n">
        <v>4607.78</v>
      </c>
      <c r="W18" s="31" t="inlineStr">
        <is>
          <t>Near 52W High Breakout</t>
        </is>
      </c>
      <c r="X18" s="31" t="inlineStr">
        <is>
          <t>Nifty Auto</t>
        </is>
      </c>
      <c r="Y18" s="32" t="n">
        <v>16.52</v>
      </c>
      <c r="Z18" s="32" t="n">
        <v>66.75</v>
      </c>
      <c r="AA18" s="32" t="n">
        <v>43.11</v>
      </c>
      <c r="AB18" s="32" t="n">
        <v>27.03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0 to 20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Less than 12%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IF(B19=0,"",RANK(B19,$B$2:$B$22,0))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139.4</v>
      </c>
      <c r="E19" s="32" t="inlineStr">
        <is>
          <t>5%</t>
        </is>
      </c>
      <c r="F19" s="32" t="n">
        <v>50000</v>
      </c>
      <c r="G19" s="32" t="n">
        <v>27</v>
      </c>
      <c r="H19" s="31" t="inlineStr">
        <is>
          <t>SEAMECLTD</t>
        </is>
      </c>
      <c r="I19" s="31" t="inlineStr">
        <is>
          <t>Seamec Limited</t>
        </is>
      </c>
      <c r="J19" s="31" t="inlineStr">
        <is>
          <t>miscellaneous</t>
        </is>
      </c>
      <c r="K19" s="31" t="inlineStr">
        <is>
          <t>miscellaneous</t>
        </is>
      </c>
      <c r="L19" s="31" t="inlineStr">
        <is>
          <t>smallcap</t>
        </is>
      </c>
      <c r="M19" s="32" t="n">
        <v>4542.43</v>
      </c>
      <c r="N19" s="32" t="n">
        <v>1793.6</v>
      </c>
      <c r="O19" s="32" t="n">
        <v>0.39</v>
      </c>
      <c r="P19" s="32" t="n">
        <v>130765</v>
      </c>
      <c r="Q19" s="31" t="n">
        <v>60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71.54000000000001</v>
      </c>
      <c r="U19" s="32" t="n">
        <v>19.25</v>
      </c>
      <c r="V19" s="32" t="n">
        <v>1407.04</v>
      </c>
      <c r="W19" s="31" t="inlineStr">
        <is>
          <t>Near 52W High Breakout</t>
        </is>
      </c>
      <c r="X19" s="31" t="inlineStr">
        <is>
          <t>Nifty 50</t>
        </is>
      </c>
      <c r="Y19" s="32" t="n">
        <v>-3.41</v>
      </c>
      <c r="Z19" s="32" t="n">
        <v>93.86</v>
      </c>
      <c r="AA19" s="32" t="n">
        <v>100.7</v>
      </c>
      <c r="AB19" s="32" t="n">
        <v>17.31</v>
      </c>
      <c r="AC19" s="31" t="inlineStr">
        <is>
          <t>Growing Industry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0 to 20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Less than 12%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No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Less than 0.7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IF(B20=0,"",RANK(B20,$B$2:$B$22,0))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139.1</v>
      </c>
      <c r="E20" s="32" t="inlineStr">
        <is>
          <t>5%</t>
        </is>
      </c>
      <c r="F20" s="32" t="n">
        <v>50000</v>
      </c>
      <c r="G20" s="32" t="n">
        <v>63</v>
      </c>
      <c r="H20" s="31" t="inlineStr">
        <is>
          <t>DEEPINDS</t>
        </is>
      </c>
      <c r="I20" s="31" t="inlineStr">
        <is>
          <t>Deep Industries Ltd</t>
        </is>
      </c>
      <c r="J20" s="31" t="inlineStr">
        <is>
          <t>energy</t>
        </is>
      </c>
      <c r="K20" s="31" t="inlineStr">
        <is>
          <t>oil drilling / allied services</t>
        </is>
      </c>
      <c r="L20" s="31" t="inlineStr">
        <is>
          <t>smallcap</t>
        </is>
      </c>
      <c r="M20" s="32" t="n">
        <v>4767.04</v>
      </c>
      <c r="N20" s="32" t="n">
        <v>786.45</v>
      </c>
      <c r="O20" s="32" t="n">
        <v>5.59</v>
      </c>
      <c r="P20" s="32" t="n">
        <v>1324171</v>
      </c>
      <c r="Q20" s="31" t="n">
        <v>84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80.51000000000001</v>
      </c>
      <c r="U20" s="32" t="n">
        <v>30.15</v>
      </c>
      <c r="V20" s="32" t="n">
        <v>609.46</v>
      </c>
      <c r="W20" s="31" t="inlineStr">
        <is>
          <t>Near 52W High Breakout</t>
        </is>
      </c>
      <c r="X20" s="31" t="inlineStr">
        <is>
          <t>Nifty Energy</t>
        </is>
      </c>
      <c r="Y20" s="32" t="n">
        <v>7.99</v>
      </c>
      <c r="Z20" s="32" t="n">
        <v>76.06999999999999</v>
      </c>
      <c r="AA20" s="32" t="n">
        <v>63.04</v>
      </c>
      <c r="AB20" s="32" t="n">
        <v>28.16</v>
      </c>
      <c r="AC20" s="31" t="inlineStr">
        <is>
          <t>Cyclical in an Upturn</t>
        </is>
      </c>
      <c r="AD20" s="31">
        <f>IF(AC20="Growing Industry",10,IF(AC20="Cyclical in an Upturn",5,0))</f>
        <v/>
      </c>
      <c r="AE20" s="31" t="inlineStr">
        <is>
          <t>Oligopoly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Yes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Cyclical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Volatile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20 to 40</t>
        </is>
      </c>
      <c r="BD20" s="31">
        <f>IF(BC20="Above 40",20,IF(BC20="20 to 40",10,IF(BC20="0 to 20",-5,0)))</f>
        <v/>
      </c>
      <c r="BE20" s="31" t="inlineStr">
        <is>
          <t>Above 75</t>
        </is>
      </c>
      <c r="BF20" s="31">
        <f>IF(BE20="Between 50 to 75",10,IF(BE20="Above 75",0,0))</f>
        <v/>
      </c>
      <c r="BG20" s="31" t="inlineStr">
        <is>
          <t>Stage 2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Blue sky scenario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More than 20%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No</t>
        </is>
      </c>
      <c r="BX20" s="31">
        <f>IF(BW20="NO",5,0)</f>
        <v/>
      </c>
      <c r="BY20" s="31" t="inlineStr">
        <is>
          <t>Less than 1.5</t>
        </is>
      </c>
      <c r="BZ20" s="31">
        <f>IF(BY20="Above 2",0,IF(BY20="Between 1.5 to 2",5,IF(BY20="Less than 1.5",10,0)))</f>
        <v/>
      </c>
      <c r="CA20" s="31" t="inlineStr">
        <is>
          <t>Above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Less than 0.7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IF(B21=0,"",RANK(B21,$B$2:$B$22,0))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52W Breakout</t>
        </is>
      </c>
      <c r="D21" s="32" t="n">
        <v>138.9</v>
      </c>
      <c r="E21" s="32" t="inlineStr">
        <is>
          <t>5%</t>
        </is>
      </c>
      <c r="F21" s="32" t="n">
        <v>50000</v>
      </c>
      <c r="G21" s="32" t="n">
        <v>74</v>
      </c>
      <c r="H21" s="31" t="inlineStr">
        <is>
          <t>DOLPHIN</t>
        </is>
      </c>
      <c r="I21" s="31" t="inlineStr">
        <is>
          <t>Dolphin Offshore Enterprises (India) Ltd</t>
        </is>
      </c>
      <c r="J21" s="31" t="inlineStr">
        <is>
          <t>energy</t>
        </is>
      </c>
      <c r="K21" s="31" t="inlineStr">
        <is>
          <t>oil drilling / allied services</t>
        </is>
      </c>
      <c r="L21" s="31" t="inlineStr">
        <is>
          <t>smallcap</t>
        </is>
      </c>
      <c r="M21" s="32" t="n">
        <v>2478.68</v>
      </c>
      <c r="N21" s="32" t="n">
        <v>674</v>
      </c>
      <c r="O21" s="32" t="n">
        <v>8.779999999999999</v>
      </c>
      <c r="P21" s="32" t="n">
        <v>169333</v>
      </c>
      <c r="Q21" s="31" t="n">
        <v>78</v>
      </c>
      <c r="R21" s="31" t="inlineStr">
        <is>
          <t>Outperforming</t>
        </is>
      </c>
      <c r="S21" s="32">
        <f>IF(R21="Underperforming",-5,IF(Q21&gt;=95,15,IF(Q21&gt;=90,10,IF(Q21&gt;=80,5,0))))</f>
        <v/>
      </c>
      <c r="T21" s="32" t="n">
        <v>78.93000000000001</v>
      </c>
      <c r="U21" s="32" t="n">
        <v>34.47</v>
      </c>
      <c r="V21" s="32" t="n">
        <v>497.1</v>
      </c>
      <c r="W21" s="31" t="inlineStr">
        <is>
          <t>Near 52W High Breakout</t>
        </is>
      </c>
      <c r="X21" s="31" t="inlineStr">
        <is>
          <t>Nifty Energy</t>
        </is>
      </c>
      <c r="Y21" s="32" t="n">
        <v>7.99</v>
      </c>
      <c r="Z21" s="32" t="n">
        <v>52.54</v>
      </c>
      <c r="AA21" s="32" t="n">
        <v>41.25</v>
      </c>
      <c r="AB21" s="32" t="n">
        <v>24.38</v>
      </c>
      <c r="AC21" s="31" t="inlineStr">
        <is>
          <t>Cyclical in an Upturn</t>
        </is>
      </c>
      <c r="AD21" s="31">
        <f>IF(AC21="Growing Industry",10,IF(AC21="Cyclical in an Upturn",5,0))</f>
        <v/>
      </c>
      <c r="AE21" s="31" t="inlineStr">
        <is>
          <t>Oligopoly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Yes</t>
        </is>
      </c>
      <c r="AH21" s="31">
        <f>IF(AG21="No",5,0)</f>
        <v/>
      </c>
      <c r="AI21" s="31" t="inlineStr">
        <is>
          <t>Tailwind</t>
        </is>
      </c>
      <c r="AJ21" s="31">
        <f>IF(AI21="Tailwind",10,0)</f>
        <v/>
      </c>
      <c r="AK21" s="31" t="inlineStr">
        <is>
          <t>Cyclical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Volatile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Yes</t>
        </is>
      </c>
      <c r="AV21" s="31">
        <f>IF(AU21="Yes",10,0)</f>
        <v/>
      </c>
      <c r="AW21" s="31" t="inlineStr">
        <is>
          <t>Higher One Time, Lower Annuity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20 to 40</t>
        </is>
      </c>
      <c r="BD21" s="31">
        <f>IF(BC21="Above 40",20,IF(BC21="20 to 40",10,IF(BC21="0 to 20",-5,0)))</f>
        <v/>
      </c>
      <c r="BE21" s="31" t="inlineStr">
        <is>
          <t>Above 75</t>
        </is>
      </c>
      <c r="BF21" s="31">
        <f>IF(BE21="Between 50 to 75",10,IF(BE21="Above 75",0,0))</f>
        <v/>
      </c>
      <c r="BG21" s="31" t="inlineStr">
        <is>
          <t>Stage 2</t>
        </is>
      </c>
      <c r="BH21" s="31">
        <f>IF(BG21="Stage 2",20,IF(BG21="Stage 1",0,IF(BG21="Stage 3",5,IF(BG21="Stage 4",-5,0))))</f>
        <v/>
      </c>
      <c r="BI21" s="31" t="inlineStr">
        <is>
          <t>Positive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Blue sky scenario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More than 20%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No</t>
        </is>
      </c>
      <c r="BX21" s="31">
        <f>IF(BW21="NO",5,0)</f>
        <v/>
      </c>
      <c r="BY21" s="31" t="inlineStr">
        <is>
          <t>Less than 1.5</t>
        </is>
      </c>
      <c r="BZ21" s="31">
        <f>IF(BY21="Above 2",0,IF(BY21="Between 1.5 to 2",5,IF(BY21="Less than 1.5",10,0)))</f>
        <v/>
      </c>
      <c r="CA21" s="31" t="inlineStr">
        <is>
          <t>Above 70%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Less than 0.7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  <row r="22">
      <c r="A22" s="31">
        <f>IF(B22=0,"",RANK(B22,$B$2:$B$22,0))</f>
        <v/>
      </c>
      <c r="B22" s="32">
        <f>SUM(S22,AD22,AF22,AH22,AJ22,AL22,AN22,AP22,AR22,AT22,AV22,AX22,AZ22,BB22,BD22,BF22,BH22,BJ22,BL22,BN22,BP22,BR22,BT22,BV22,BX22,BZ22,CB22,CD22,CF22,CH22,CJ22)</f>
        <v/>
      </c>
      <c r="C22" s="31" t="inlineStr">
        <is>
          <t>52W Breakout</t>
        </is>
      </c>
      <c r="D22" s="32" t="n">
        <v>139</v>
      </c>
      <c r="E22" s="32" t="inlineStr">
        <is>
          <t>5%</t>
        </is>
      </c>
      <c r="F22" s="32" t="n">
        <v>50000</v>
      </c>
      <c r="G22" s="32" t="n">
        <v>19</v>
      </c>
      <c r="H22" s="31" t="inlineStr">
        <is>
          <t>BALAMINES</t>
        </is>
      </c>
      <c r="I22" s="31" t="inlineStr">
        <is>
          <t>Balaji Amines Limited</t>
        </is>
      </c>
      <c r="J22" s="31" t="inlineStr">
        <is>
          <t>chemicals</t>
        </is>
      </c>
      <c r="K22" s="31" t="inlineStr">
        <is>
          <t>chemicals</t>
        </is>
      </c>
      <c r="L22" s="31" t="inlineStr">
        <is>
          <t>midcap</t>
        </is>
      </c>
      <c r="M22" s="32" t="n">
        <v>7833.91</v>
      </c>
      <c r="N22" s="32" t="n">
        <v>2525.2</v>
      </c>
      <c r="O22" s="32" t="n">
        <v>4.44</v>
      </c>
      <c r="P22" s="32" t="n">
        <v>608894</v>
      </c>
      <c r="Q22" s="31" t="n">
        <v>74</v>
      </c>
      <c r="R22" s="31" t="inlineStr">
        <is>
          <t>Outperforming</t>
        </is>
      </c>
      <c r="S22" s="32">
        <f>IF(R22="Underperforming",-5,IF(Q22&gt;=95,15,IF(Q22&gt;=90,10,IF(Q22&gt;=80,5,0))))</f>
        <v/>
      </c>
      <c r="T22" s="32" t="n">
        <v>71.38</v>
      </c>
      <c r="U22" s="32" t="n">
        <v>58.52</v>
      </c>
      <c r="V22" s="32" t="n">
        <v>1850.61</v>
      </c>
      <c r="W22" s="31" t="inlineStr">
        <is>
          <t>Near 52W High Breakout</t>
        </is>
      </c>
      <c r="X22" s="31" t="inlineStr">
        <is>
          <t>Nifty 50</t>
        </is>
      </c>
      <c r="Y22" s="32" t="n">
        <v>-3.41</v>
      </c>
      <c r="Z22" s="32" t="n">
        <v>70.63</v>
      </c>
      <c r="AA22" s="32" t="n">
        <v>76.65000000000001</v>
      </c>
      <c r="AB22" s="32" t="n">
        <v>22.5</v>
      </c>
      <c r="AC22" s="31" t="inlineStr">
        <is>
          <t>Growing Industry</t>
        </is>
      </c>
      <c r="AD22" s="31">
        <f>IF(AC22="Growing Industry",10,IF(AC22="Cyclical in an Upturn",5,0))</f>
        <v/>
      </c>
      <c r="AE22" s="31" t="inlineStr">
        <is>
          <t>Duopoly That Cooperate</t>
        </is>
      </c>
      <c r="AF22" s="31">
        <f>IF(AE22="Monopoly",10,IF(AE22="Oligopoly",5,IF(AE22="Duopoly that cooperate",10,IF(AE22="Duopoly that compete",5,IF(AE22="Too many players with High ROCE",5,0)))))</f>
        <v/>
      </c>
      <c r="AG22" s="31" t="inlineStr">
        <is>
          <t>No</t>
        </is>
      </c>
      <c r="AH22" s="31">
        <f>IF(AG22="No",5,0)</f>
        <v/>
      </c>
      <c r="AI22" s="31" t="inlineStr">
        <is>
          <t>Headwind</t>
        </is>
      </c>
      <c r="AJ22" s="31">
        <f>IF(AI22="Tailwind",10,0)</f>
        <v/>
      </c>
      <c r="AK22" s="31" t="inlineStr">
        <is>
          <t>Shallow Cyclical (2 to 3 Years Growth)</t>
        </is>
      </c>
      <c r="AL22" s="31">
        <f>IF(AK22="Structural (10 Years Consistency)",10,IF(AK22="Shallow Cyclical (2 to 3 years growth)",5,0))</f>
        <v/>
      </c>
      <c r="AM22" s="31" t="inlineStr">
        <is>
          <t>No</t>
        </is>
      </c>
      <c r="AN22" s="31">
        <f>IF(AM22="Yes due to Product Mix change or Operating Leverage",10,IF(AM22="Yes, these are peak margins",-5,IF(AM22="No",5,0)))</f>
        <v/>
      </c>
      <c r="AO22" s="31" t="inlineStr">
        <is>
          <t>Stable</t>
        </is>
      </c>
      <c r="AP22" s="31">
        <f>IF(AO22="Stable",10,0)</f>
        <v/>
      </c>
      <c r="AQ22" s="31" t="inlineStr">
        <is>
          <t>Yes</t>
        </is>
      </c>
      <c r="AR22" s="31">
        <f>IF(AQ22="Yes",10,0)</f>
        <v/>
      </c>
      <c r="AS22" s="31" t="inlineStr">
        <is>
          <t>B2B</t>
        </is>
      </c>
      <c r="AT22" s="31">
        <f>IF(AS22="B2C",10,IF(AS22="B2B",5,0))</f>
        <v/>
      </c>
      <c r="AU22" s="31" t="inlineStr">
        <is>
          <t>Yes</t>
        </is>
      </c>
      <c r="AV22" s="31">
        <f>IF(AU22="Yes",10,0)</f>
        <v/>
      </c>
      <c r="AW22" s="31" t="inlineStr">
        <is>
          <t>Higher One Time, Lower Annuity</t>
        </is>
      </c>
      <c r="AX22" s="31">
        <f>IF(AW22="Fully Annuity",10,IF(AW22="Higher Annuity, Lower One Time",5,IF(AW22="Higher One Time, Lower Annuity",3,0)))</f>
        <v/>
      </c>
      <c r="AY22" s="31" t="inlineStr">
        <is>
          <t>Good</t>
        </is>
      </c>
      <c r="AZ22" s="31">
        <f>IF(AY22="Good",10,0)</f>
        <v/>
      </c>
      <c r="BA22" s="31" t="inlineStr">
        <is>
          <t>Yes for more than 2 years</t>
        </is>
      </c>
      <c r="BB22" s="31">
        <f>IF(BA22="Yes for more than 2 years",10,IF(BA22="Yes only for next 1 to 2 years",5,0))</f>
        <v/>
      </c>
      <c r="BC22" s="31" t="inlineStr">
        <is>
          <t>20 to 40</t>
        </is>
      </c>
      <c r="BD22" s="31">
        <f>IF(BC22="Above 40",20,IF(BC22="20 to 40",10,IF(BC22="0 to 20",-5,0)))</f>
        <v/>
      </c>
      <c r="BE22" s="31" t="inlineStr">
        <is>
          <t>Between 50 to 75</t>
        </is>
      </c>
      <c r="BF22" s="31">
        <f>IF(BE22="Between 50 to 75",10,IF(BE22="Above 75",0,0))</f>
        <v/>
      </c>
      <c r="BG22" s="31" t="inlineStr">
        <is>
          <t>Stage 4</t>
        </is>
      </c>
      <c r="BH22" s="31">
        <f>IF(BG22="Stage 2",20,IF(BG22="Stage 1",0,IF(BG22="Stage 3",5,IF(BG22="Stage 4",-5,0))))</f>
        <v/>
      </c>
      <c r="BI22" s="31" t="inlineStr">
        <is>
          <t>Negative Trend</t>
        </is>
      </c>
      <c r="BJ22" s="31">
        <f>IF(BI22="Positive Trend",20,IF(BI22="Negative Trend",-10,0))</f>
        <v/>
      </c>
      <c r="BK22" s="31" t="inlineStr">
        <is>
          <t>Downtrend</t>
        </is>
      </c>
      <c r="BL22" s="31">
        <f>IF(BK22="Uptrend",10,IF(BK22="Sideways",5,0))</f>
        <v/>
      </c>
      <c r="BM22" s="31" t="inlineStr">
        <is>
          <t>Uptrend</t>
        </is>
      </c>
      <c r="BN22" s="31">
        <f>IF(BM22="Uptrend",10,IF(BM22="Sideways",5,0))</f>
        <v/>
      </c>
      <c r="BO22" s="31" t="inlineStr">
        <is>
          <t>Overhead supply in last 2 years in last 2 years</t>
        </is>
      </c>
      <c r="BP22" s="31">
        <f>IF(BO22="Overhead supply in last 2 years in last 2 years",-5,IF(BO22="Close to 52 week high or retracement",5,IF(BO22="Blue sky scenario",10,IF(BO22="Long term Downtrend",-10,0))))</f>
        <v/>
      </c>
      <c r="BQ22" s="31" t="inlineStr">
        <is>
          <t>No</t>
        </is>
      </c>
      <c r="BR22" s="31">
        <f>IF(BQ22="Yes",10,0)</f>
        <v/>
      </c>
      <c r="BS22" s="31" t="inlineStr">
        <is>
          <t>More than 20%</t>
        </is>
      </c>
      <c r="BT22" s="31">
        <f>IF(BS22="More than 20%",10,IF(BS22="Between 12 to 20%",5,IF(BS22="Less than 12%",0,0)))</f>
        <v/>
      </c>
      <c r="BU22" s="31" t="inlineStr">
        <is>
          <t>No</t>
        </is>
      </c>
      <c r="BV22" s="31">
        <f>IF(BU22="No",10,0)</f>
        <v/>
      </c>
      <c r="BW22" s="31" t="inlineStr">
        <is>
          <t>No</t>
        </is>
      </c>
      <c r="BX22" s="31">
        <f>IF(BW22="NO",5,0)</f>
        <v/>
      </c>
      <c r="BY22" s="31" t="inlineStr">
        <is>
          <t>Less than 1.5</t>
        </is>
      </c>
      <c r="BZ22" s="31">
        <f>IF(BY22="Above 2",0,IF(BY22="Between 1.5 to 2",5,IF(BY22="Less than 1.5",10,0)))</f>
        <v/>
      </c>
      <c r="CA22" s="31" t="inlineStr">
        <is>
          <t>Above 70%</t>
        </is>
      </c>
      <c r="CB22" s="31">
        <f>IF(CA22="Above 70%",10,IF(CA22="Between 50% to 70%",5,IF(CA22="Less than 50%",0,IF(CA22="Negative",-10,IF(CA22="Less than 50% and Borrowings are increasing",-5,0)))))</f>
        <v/>
      </c>
      <c r="CC22" s="31" t="inlineStr">
        <is>
          <t>Less than 0.7</t>
        </is>
      </c>
      <c r="CD22" s="31">
        <f>IF(CC22="More than 1.2",-10,IF(CC22="Between 0.7 to 1.2",0,IF(CC22="Less than 0.7",10,0)))</f>
        <v/>
      </c>
      <c r="CE22" s="31" t="inlineStr">
        <is>
          <t>No</t>
        </is>
      </c>
      <c r="CF22" s="31">
        <f>IF(CE22="Yes",-10,0)</f>
        <v/>
      </c>
      <c r="CG22" s="31" t="inlineStr">
        <is>
          <t>Less than 15%</t>
        </is>
      </c>
      <c r="CH22" s="31">
        <f>IF(CG22="More than 15%",-10,IF(CG22="Less than 15%",10,0))</f>
        <v/>
      </c>
      <c r="CI22" s="31" t="inlineStr">
        <is>
          <t>No</t>
        </is>
      </c>
      <c r="CJ22" s="31">
        <f>IF(CI22="Yes, more than 10%",-10,IF(CI22="No",10,0))</f>
        <v/>
      </c>
    </row>
  </sheetData>
  <autoFilter ref="A1:CJ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2">
    <cfRule type="cellIs" priority="36" operator="equal" dxfId="3" stopIfTrue="1">
      <formula>"Underperforming"</formula>
    </cfRule>
  </conditionalFormatting>
  <conditionalFormatting sqref="S2:S22">
    <cfRule type="cellIs" priority="37" operator="equal" dxfId="3" stopIfTrue="1">
      <formula>-5</formula>
    </cfRule>
  </conditionalFormatting>
  <conditionalFormatting sqref="V2:V22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2" showDropDown="0" showInputMessage="0" showErrorMessage="0" allowBlank="1" type="list">
      <formula1>"Growing Industry,Stagnant Industry,Cyclical in an Upturn"</formula1>
    </dataValidation>
    <dataValidation sqref="AE2:AE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2" showDropDown="0" showInputMessage="0" showErrorMessage="0" allowBlank="1" type="list">
      <formula1>"Yes,No"</formula1>
    </dataValidation>
    <dataValidation sqref="AI2:AI22" showDropDown="0" showInputMessage="0" showErrorMessage="0" allowBlank="1" type="list">
      <formula1>"Tailwind,Headwind"</formula1>
    </dataValidation>
    <dataValidation sqref="AK2:AK22" showDropDown="0" showInputMessage="0" showErrorMessage="0" allowBlank="1" type="list">
      <formula1>"Structural (10 Years Consistency),Shallow Cyclical (2 to 3 Years Growth),Cyclical"</formula1>
    </dataValidation>
    <dataValidation sqref="AM2:AM22" showDropDown="0" showInputMessage="0" showErrorMessage="0" allowBlank="1" type="list">
      <formula1>"Yes due to Product Mix change or Operating Leverage,Yes, these are peak margins,No"</formula1>
    </dataValidation>
    <dataValidation sqref="AO2:AO22" showDropDown="0" showInputMessage="0" showErrorMessage="0" allowBlank="1" type="list">
      <formula1>"Stable,Volatile"</formula1>
    </dataValidation>
    <dataValidation sqref="AQ2:AQ22" showDropDown="0" showInputMessage="0" showErrorMessage="0" allowBlank="1" type="list">
      <formula1>"Yes,No"</formula1>
    </dataValidation>
    <dataValidation sqref="AS2:AS22" showDropDown="0" showInputMessage="0" showErrorMessage="0" allowBlank="1" type="list">
      <formula1>"B2C,B2B,B2G"</formula1>
    </dataValidation>
    <dataValidation sqref="AU2:AU22" showDropDown="0" showInputMessage="0" showErrorMessage="0" allowBlank="1" type="list">
      <formula1>"Yes,No"</formula1>
    </dataValidation>
    <dataValidation sqref="AW2:AW22" showDropDown="0" showInputMessage="0" showErrorMessage="0" allowBlank="1" type="list">
      <formula1>"Fully Annuity,Higher Annuity, Lower One time,Higher One Time, Lower Annuity,Fully One Time"</formula1>
    </dataValidation>
    <dataValidation sqref="AY2:AY22" showDropDown="0" showInputMessage="0" showErrorMessage="0" allowBlank="1" type="list">
      <formula1>"Good,Allocated capital in Non-core Areas"</formula1>
    </dataValidation>
    <dataValidation sqref="BA2:BA22" showDropDown="0" showInputMessage="0" showErrorMessage="0" allowBlank="1" type="list">
      <formula1>"Yes for more than 2 years,Yes only for next 1 to 2 years,No"</formula1>
    </dataValidation>
    <dataValidation sqref="BC2:BC22" showDropDown="0" showInputMessage="0" showErrorMessage="0" allowBlank="1" type="list">
      <formula1>"Above 40,20 to 40,0 to 20"</formula1>
    </dataValidation>
    <dataValidation sqref="BE2:BE22" showDropDown="0" showInputMessage="0" showErrorMessage="0" allowBlank="1" type="list">
      <formula1>"Between 50 to 75,Above 75,Below 45"</formula1>
    </dataValidation>
    <dataValidation sqref="BG2:BG22" showDropDown="0" showInputMessage="0" showErrorMessage="0" allowBlank="1" type="list">
      <formula1>"Stage 1,Stage 2,Stage 3,Stage 4"</formula1>
    </dataValidation>
    <dataValidation sqref="BI2:BI22" showDropDown="0" showInputMessage="0" showErrorMessage="0" allowBlank="1" type="list">
      <formula1>"Positive Trend,Negative Trend"</formula1>
    </dataValidation>
    <dataValidation sqref="BK2:BK22" showDropDown="0" showInputMessage="0" showErrorMessage="0" allowBlank="1" type="list">
      <formula1>"Uptrend,Sideways,Downtrend"</formula1>
    </dataValidation>
    <dataValidation sqref="BM2:BM22" showDropDown="0" showInputMessage="0" showErrorMessage="0" allowBlank="1" type="list">
      <formula1>"Uptrend,Sideways,Downtrend"</formula1>
    </dataValidation>
    <dataValidation sqref="BO2:BO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2" showDropDown="0" showInputMessage="0" showErrorMessage="0" allowBlank="1" type="list">
      <formula1>"Yes,No"</formula1>
    </dataValidation>
    <dataValidation sqref="BS2:BS22" showDropDown="0" showInputMessage="0" showErrorMessage="0" allowBlank="1" type="list">
      <formula1>"More than 20%,Between 12 to 20%,Less than 12%"</formula1>
    </dataValidation>
    <dataValidation sqref="BU2:BU22" showDropDown="0" showInputMessage="0" showErrorMessage="0" allowBlank="1" type="list">
      <formula1>"Yes,No"</formula1>
    </dataValidation>
    <dataValidation sqref="BW2:BW22" showDropDown="0" showInputMessage="0" showErrorMessage="0" allowBlank="1" type="list">
      <formula1>"Yes,No"</formula1>
    </dataValidation>
    <dataValidation sqref="BY2:BY22" showDropDown="0" showInputMessage="0" showErrorMessage="0" allowBlank="1" type="list">
      <formula1>"Above 2,Between 1.5 to 2,Less than 1.5"</formula1>
    </dataValidation>
    <dataValidation sqref="CA2:CA22" showDropDown="0" showInputMessage="0" showErrorMessage="0" allowBlank="1" type="list">
      <formula1>"Above 70%,Between 50% to 70%,Less than 50%,Less than 50% and Borrowings are increasing,Negative"</formula1>
    </dataValidation>
    <dataValidation sqref="CC2:CC22" showDropDown="0" showInputMessage="0" showErrorMessage="0" allowBlank="1" type="list">
      <formula1>"More than 1.2,Between 0.7 to 1.2,Less than 0.7"</formula1>
    </dataValidation>
    <dataValidation sqref="CE2:CE22" showDropDown="0" showInputMessage="0" showErrorMessage="0" allowBlank="1" type="list">
      <formula1>"Yes,No"</formula1>
    </dataValidation>
    <dataValidation sqref="CG2:CG22" showDropDown="0" showInputMessage="0" showErrorMessage="0" allowBlank="1" type="list">
      <formula1>"More than 15%,Less than 15%"</formula1>
    </dataValidation>
    <dataValidation sqref="CI2:CI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IF(B2=0,"",RANK(B2,$B$2:$B$2,0))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139.4</v>
      </c>
      <c r="E2" s="32" t="inlineStr">
        <is>
          <t>5%</t>
        </is>
      </c>
      <c r="F2" s="32" t="n">
        <v>50000</v>
      </c>
      <c r="G2" s="32" t="n">
        <v>120</v>
      </c>
      <c r="H2" s="31" t="inlineStr">
        <is>
          <t>RBLBANK</t>
        </is>
      </c>
      <c r="I2" s="31" t="inlineStr">
        <is>
          <t>Rbl Bank Limited</t>
        </is>
      </c>
      <c r="J2" s="31" t="inlineStr">
        <is>
          <t>bank</t>
        </is>
      </c>
      <c r="K2" s="31" t="inlineStr">
        <is>
          <t>banks - private sector</t>
        </is>
      </c>
      <c r="L2" s="31" t="inlineStr">
        <is>
          <t>largecap</t>
        </is>
      </c>
      <c r="M2" s="32" t="n">
        <v>63196.65</v>
      </c>
      <c r="N2" s="32" t="n">
        <v>414.35</v>
      </c>
      <c r="O2" s="32" t="n">
        <v>1.53</v>
      </c>
      <c r="P2" s="32" t="n">
        <v>7858699</v>
      </c>
      <c r="Q2" s="31" t="n">
        <v>46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68.23</v>
      </c>
      <c r="U2" s="32" t="n">
        <v>35.91</v>
      </c>
      <c r="V2" s="32" t="n">
        <v>350.72</v>
      </c>
      <c r="W2" s="31" t="inlineStr">
        <is>
          <t>Near 52W High Breakout</t>
        </is>
      </c>
      <c r="X2" s="31" t="inlineStr">
        <is>
          <t>Nifty Bank</t>
        </is>
      </c>
      <c r="Y2" s="32" t="n">
        <v>6.02</v>
      </c>
      <c r="Z2" s="32" t="n">
        <v>51.06</v>
      </c>
      <c r="AA2" s="32" t="n">
        <v>42.49</v>
      </c>
      <c r="AB2" s="32" t="n">
        <v>12.53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</sheetData>
  <autoFilter ref="A1:CF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">
    <cfRule type="cellIs" priority="34" operator="equal" dxfId="3" stopIfTrue="1">
      <formula>"Underperforming"</formula>
    </cfRule>
  </conditionalFormatting>
  <conditionalFormatting sqref="S2">
    <cfRule type="cellIs" priority="35" operator="equal" dxfId="3" stopIfTrue="1">
      <formula>-5</formula>
    </cfRule>
  </conditionalFormatting>
  <conditionalFormatting sqref="V2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"Fragmented with Low ROE,Fragmented with High ROE,Highly Cyclical"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" showDropDown="0" showInputMessage="0" showErrorMessage="0" allowBlank="1" type="list">
      <formula1>"Yes,No"</formula1>
    </dataValidation>
    <dataValidation sqref="AO2" showDropDown="0" showInputMessage="0" showErrorMessage="0" allowBlank="1" type="list">
      <formula1>"Yes,No,Not Applicable"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"Yes,No"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"Yes,No"</formula1>
    </dataValidation>
    <dataValidation sqref="AY2" showDropDown="0" showInputMessage="0" showErrorMessage="0" allowBlank="1" type="list">
      <formula1>"No,Yes"</formula1>
    </dataValidation>
    <dataValidation sqref="BA2" showDropDown="0" showInputMessage="0" showErrorMessage="0" allowBlank="1" type="list">
      <formula1>"No,Yes"</formula1>
    </dataValidation>
    <dataValidation sqref="BC2" showDropDown="0" showInputMessage="0" showErrorMessage="0" allowBlank="1" type="list">
      <formula1>"No,Yes CEO Resignation,Yes CEO Retirement"</formula1>
    </dataValidation>
    <dataValidation sqref="BE2" showDropDown="0" showInputMessage="0" showErrorMessage="0" allowBlank="1" type="list">
      <formula1>"No,Yes"</formula1>
    </dataValidation>
    <dataValidation sqref="BG2" showDropDown="0" showInputMessage="0" showErrorMessage="0" allowBlank="1" type="list">
      <formula1>"No,Yes"</formula1>
    </dataValidation>
    <dataValidation sqref="BI2" showDropDown="0" showInputMessage="0" showErrorMessage="0" allowBlank="1" type="list">
      <formula1>"Yes,No"</formula1>
    </dataValidation>
    <dataValidation sqref="BK2" showDropDown="0" showInputMessage="0" showErrorMessage="0" allowBlank="1" type="list">
      <formula1>"Yes,No"</formula1>
    </dataValidation>
    <dataValidation sqref="BM2" showDropDown="0" showInputMessage="0" showErrorMessage="0" allowBlank="1" type="list">
      <formula1>"Yes,No"</formula1>
    </dataValidation>
    <dataValidation sqref="BO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" showDropDown="0" showInputMessage="0" showErrorMessage="0" allowBlank="1" type="list">
      <formula1>"Above 40,20 to 40,0 to 20"</formula1>
    </dataValidation>
    <dataValidation sqref="BS2" showDropDown="0" showInputMessage="0" showErrorMessage="0" allowBlank="1" type="list">
      <formula1>"Between 50 to 75,Above 75,Below 45"</formula1>
    </dataValidation>
    <dataValidation sqref="BU2" showDropDown="0" showInputMessage="0" showErrorMessage="0" allowBlank="1" type="list">
      <formula1>"Stage 1,Stage 2,Stage 3,Stage 4"</formula1>
    </dataValidation>
    <dataValidation sqref="BW2" showDropDown="0" showInputMessage="0" showErrorMessage="0" allowBlank="1" type="list">
      <formula1>"Positive Trend,Negative Trend"</formula1>
    </dataValidation>
    <dataValidation sqref="BY2" showDropDown="0" showInputMessage="0" showErrorMessage="0" allowBlank="1" type="list">
      <formula1>"Uptrend,Sideways,Downtrend"</formula1>
    </dataValidation>
    <dataValidation sqref="CA2" showDropDown="0" showInputMessage="0" showErrorMessage="0" allowBlank="1" type="list">
      <formula1>"Uptrend,Sideways,Downtrend"</formula1>
    </dataValidation>
    <dataValidation sqref="CC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48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IF(B2=0,"",RANK(B2,$B$2:$B$94,0))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VADILALIND</t>
        </is>
      </c>
      <c r="D2" s="31" t="inlineStr">
        <is>
          <t>Vadilal Industries Ltd</t>
        </is>
      </c>
      <c r="E2" s="31" t="inlineStr">
        <is>
          <t>fmcg</t>
        </is>
      </c>
      <c r="F2" s="31" t="inlineStr">
        <is>
          <t>FMCG - Dairy Products</t>
        </is>
      </c>
      <c r="G2" s="31" t="inlineStr">
        <is>
          <t>midcap</t>
        </is>
      </c>
      <c r="H2" s="32" t="n">
        <v>5484.67</v>
      </c>
      <c r="I2" s="32" t="n">
        <v>7630.5</v>
      </c>
      <c r="J2" s="32" t="n">
        <v>0.2</v>
      </c>
      <c r="K2" s="32" t="n">
        <v>0</v>
      </c>
      <c r="L2" s="31" t="n">
        <v>81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72.31</v>
      </c>
      <c r="P2" s="32" t="n">
        <v>52.65</v>
      </c>
      <c r="Q2" s="32" t="n">
        <v>6242.21</v>
      </c>
      <c r="R2" s="31" t="inlineStr">
        <is>
          <t>Near 52W High Breakout</t>
        </is>
      </c>
      <c r="S2" s="31" t="inlineStr">
        <is>
          <t>Nifty FMCG</t>
        </is>
      </c>
      <c r="T2" s="32" t="n">
        <v>-15.92</v>
      </c>
      <c r="U2" s="32" t="n">
        <v>41.06</v>
      </c>
      <c r="V2" s="32" t="n">
        <v>67.76000000000001</v>
      </c>
      <c r="W2" s="32" t="n">
        <v>26.29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19</t>
        </is>
      </c>
      <c r="CG2" s="31">
        <f>IF(CF2&gt;20,10,IF(CF2&gt;=10,5,2))</f>
        <v/>
      </c>
    </row>
    <row r="3">
      <c r="A3" s="31">
        <f>IF(B3=0,"",RANK(B3,$B$2:$B$94,0))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MENONBE</t>
        </is>
      </c>
      <c r="D3" s="31" t="inlineStr">
        <is>
          <t>Menon Bearings Ltd</t>
        </is>
      </c>
      <c r="E3" s="31" t="inlineStr">
        <is>
          <t>auto</t>
        </is>
      </c>
      <c r="F3" s="31" t="inlineStr">
        <is>
          <t>Auto Ancillaries - Bearings</t>
        </is>
      </c>
      <c r="G3" s="31" t="inlineStr">
        <is>
          <t>smallcap</t>
        </is>
      </c>
      <c r="H3" s="32" t="n">
        <v>1793.28</v>
      </c>
      <c r="I3" s="32" t="n">
        <v>320</v>
      </c>
      <c r="J3" s="32" t="n">
        <v>3.71</v>
      </c>
      <c r="K3" s="32" t="n">
        <v>0</v>
      </c>
      <c r="L3" s="31" t="n">
        <v>98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85.87</v>
      </c>
      <c r="P3" s="32" t="n">
        <v>60.37</v>
      </c>
      <c r="Q3" s="32" t="n">
        <v>244.85</v>
      </c>
      <c r="R3" s="31" t="inlineStr">
        <is>
          <t>Near 52W High Breakout</t>
        </is>
      </c>
      <c r="S3" s="31" t="inlineStr">
        <is>
          <t>Nifty Auto</t>
        </is>
      </c>
      <c r="T3" s="32" t="n">
        <v>16.52</v>
      </c>
      <c r="U3" s="32" t="n">
        <v>152.89</v>
      </c>
      <c r="V3" s="32" t="n">
        <v>117.03</v>
      </c>
      <c r="W3" s="32" t="n">
        <v>67.75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22</t>
        </is>
      </c>
      <c r="CG3" s="31">
        <f>IF(CF3&gt;20,10,IF(CF3&gt;=10,5,2))</f>
        <v/>
      </c>
    </row>
    <row r="4">
      <c r="A4" s="31">
        <f>IF(B4=0,"",RANK(B4,$B$2:$B$94,0))</f>
        <v/>
      </c>
      <c r="B4" s="32">
        <f>SUM(N4,Y4,AA4,AC4,AE4,AG4,AI4,AK4,AM4,AO4,AQ4,AS4,AU4,AW4,AY4,BA4,BC4,BE4,BG4,BI4,BK4,BM4,BO4,BQ4,BS4,BU4,BW4,BY4,CA4,CC4,CE4,CG4)</f>
        <v/>
      </c>
      <c r="C4" s="34" t="inlineStr">
        <is>
          <t>PREMIERPOL</t>
        </is>
      </c>
      <c r="D4" s="34" t="inlineStr">
        <is>
          <t>Premier Polyfilm Ltd</t>
        </is>
      </c>
      <c r="E4" s="31" t="inlineStr">
        <is>
          <t>plastic products</t>
        </is>
      </c>
      <c r="F4" s="31" t="inlineStr">
        <is>
          <t>Plastics - Sheets/Films</t>
        </is>
      </c>
      <c r="G4" s="31" t="inlineStr">
        <is>
          <t>smallcap</t>
        </is>
      </c>
      <c r="H4" s="32" t="n">
        <v>1005.53</v>
      </c>
      <c r="I4" s="32" t="n">
        <v>96</v>
      </c>
      <c r="J4" s="32" t="n">
        <v>3.95</v>
      </c>
      <c r="K4" s="32" t="n">
        <v>0</v>
      </c>
      <c r="L4" s="31" t="n">
        <v>88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74.02</v>
      </c>
      <c r="P4" s="32" t="n">
        <v>55.79</v>
      </c>
      <c r="Q4" s="32" t="n">
        <v>66.40000000000001</v>
      </c>
      <c r="R4" s="31" t="inlineStr">
        <is>
          <t>Near 52W High Breakout</t>
        </is>
      </c>
      <c r="S4" s="31" t="inlineStr">
        <is>
          <t>Nifty 50</t>
        </is>
      </c>
      <c r="T4" s="32" t="n">
        <v>-3.41</v>
      </c>
      <c r="U4" s="32" t="n">
        <v>104.62</v>
      </c>
      <c r="V4" s="32" t="n">
        <v>111.84</v>
      </c>
      <c r="W4" s="32" t="n">
        <v>32.74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22</t>
        </is>
      </c>
      <c r="CG4" s="31">
        <f>IF(CF4&gt;20,10,IF(CF4&gt;=10,5,2))</f>
        <v/>
      </c>
    </row>
    <row r="5">
      <c r="A5" s="31">
        <f>IF(B5=0,"",RANK(B5,$B$2:$B$94,0))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TIMEX</t>
        </is>
      </c>
      <c r="D5" s="31" t="inlineStr">
        <is>
          <t>Timex Group India Ltd</t>
        </is>
      </c>
      <c r="E5" s="31" t="inlineStr">
        <is>
          <t>Consumer Cyclical</t>
        </is>
      </c>
      <c r="F5" s="31" t="inlineStr">
        <is>
          <t>Watches</t>
        </is>
      </c>
      <c r="G5" s="31" t="inlineStr">
        <is>
          <t>midcap</t>
        </is>
      </c>
      <c r="H5" s="32" t="n">
        <v>6779.3</v>
      </c>
      <c r="I5" s="32" t="n">
        <v>671.55</v>
      </c>
      <c r="J5" s="32" t="n">
        <v>3.33</v>
      </c>
      <c r="K5" s="32" t="n">
        <v>0</v>
      </c>
      <c r="L5" s="31" t="n">
        <v>86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73.34</v>
      </c>
      <c r="P5" s="32" t="n">
        <v>60.98</v>
      </c>
      <c r="Q5" s="32" t="n">
        <v>512.33</v>
      </c>
      <c r="R5" s="31" t="inlineStr">
        <is>
          <t>Near 52W High Breakout</t>
        </is>
      </c>
      <c r="S5" s="31" t="inlineStr">
        <is>
          <t>Nifty 50</t>
        </is>
      </c>
      <c r="T5" s="32" t="n">
        <v>-3.41</v>
      </c>
      <c r="U5" s="32" t="n">
        <v>115.49</v>
      </c>
      <c r="V5" s="32" t="n">
        <v>123.1</v>
      </c>
      <c r="W5" s="32" t="n">
        <v>31.49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Yes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20</t>
        </is>
      </c>
      <c r="CG5" s="31">
        <f>IF(CF5&gt;20,10,IF(CF5&gt;=10,5,2))</f>
        <v/>
      </c>
    </row>
    <row r="6">
      <c r="A6" s="31">
        <f>IF(B6=0,"",RANK(B6,$B$2:$B$94,0))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VINCOFE</t>
        </is>
      </c>
      <c r="D6" s="31" t="inlineStr">
        <is>
          <t>Vintage Coffee &amp; Beverages Ltd</t>
        </is>
      </c>
      <c r="E6" s="31" t="inlineStr">
        <is>
          <t>consumer discretionary</t>
        </is>
      </c>
      <c r="F6" s="31" t="inlineStr">
        <is>
          <t>FMCG - Coffee</t>
        </is>
      </c>
      <c r="G6" s="31" t="inlineStr">
        <is>
          <t>smallcap</t>
        </is>
      </c>
      <c r="H6" s="32" t="n">
        <v>2513.01</v>
      </c>
      <c r="I6" s="32" t="n">
        <v>171.55</v>
      </c>
      <c r="J6" s="32" t="n">
        <v>-2.45</v>
      </c>
      <c r="K6" s="32" t="n">
        <v>0</v>
      </c>
      <c r="L6" s="31" t="n">
        <v>27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61.41</v>
      </c>
      <c r="P6" s="32" t="n">
        <v>27.66</v>
      </c>
      <c r="Q6" s="32" t="n">
        <v>132.61</v>
      </c>
      <c r="R6" s="31" t="inlineStr">
        <is>
          <t>Volume Spike &amp; Near 52W High Breakout</t>
        </is>
      </c>
      <c r="S6" s="31" t="inlineStr">
        <is>
          <t>Nifty 50</t>
        </is>
      </c>
      <c r="T6" s="32" t="n">
        <v>-3.41</v>
      </c>
      <c r="U6" s="32" t="n">
        <v>16.99</v>
      </c>
      <c r="V6" s="32" t="n">
        <v>21.11</v>
      </c>
      <c r="W6" s="32" t="n">
        <v>7.03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20 to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24</t>
        </is>
      </c>
      <c r="CG6" s="31">
        <f>IF(CF6&gt;20,10,IF(CF6&gt;=10,5,2))</f>
        <v/>
      </c>
    </row>
    <row r="7">
      <c r="A7" s="31">
        <f>IF(B7=0,"",RANK(B7,$B$2:$B$94,0))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CUPID</t>
        </is>
      </c>
      <c r="D7" s="31" t="inlineStr">
        <is>
          <t>Cupid Ltd</t>
        </is>
      </c>
      <c r="E7" s="31" t="inlineStr">
        <is>
          <t>fmcg</t>
        </is>
      </c>
      <c r="F7" s="31" t="inlineStr">
        <is>
          <t>Contraceptives/Protectives</t>
        </is>
      </c>
      <c r="G7" s="31" t="inlineStr">
        <is>
          <t>largecap</t>
        </is>
      </c>
      <c r="H7" s="32" t="n">
        <v>38141.3</v>
      </c>
      <c r="I7" s="32" t="n">
        <v>283.65</v>
      </c>
      <c r="J7" s="32" t="n">
        <v>1.32</v>
      </c>
      <c r="K7" s="32" t="n">
        <v>0</v>
      </c>
      <c r="L7" s="31" t="n">
        <v>99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86.83</v>
      </c>
      <c r="P7" s="32" t="n">
        <v>73.11</v>
      </c>
      <c r="Q7" s="32" t="n">
        <v>227.71</v>
      </c>
      <c r="R7" s="31" t="inlineStr">
        <is>
          <t>Near 52W High Breakout</t>
        </is>
      </c>
      <c r="S7" s="31" t="inlineStr">
        <is>
          <t>Nifty FMCG</t>
        </is>
      </c>
      <c r="T7" s="32" t="n">
        <v>-15.92</v>
      </c>
      <c r="U7" s="32" t="n">
        <v>857.17</v>
      </c>
      <c r="V7" s="32" t="n">
        <v>1038.36</v>
      </c>
      <c r="W7" s="32" t="n">
        <v>94.2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B2C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Above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Above 2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21</t>
        </is>
      </c>
      <c r="CG7" s="31">
        <f>IF(CF7&gt;20,10,IF(CF7&gt;=10,5,2))</f>
        <v/>
      </c>
    </row>
    <row r="8">
      <c r="A8" s="31">
        <f>IF(B8=0,"",RANK(B8,$B$2:$B$94,0))</f>
        <v/>
      </c>
      <c r="B8" s="32">
        <f>SUM(N8,Y8,AA8,AC8,AE8,AG8,AI8,AK8,AM8,AO8,AQ8,AS8,AU8,AW8,AY8,BA8,BC8,BE8,BG8,BI8,BK8,BM8,BO8,BQ8,BS8,BU8,BW8,BY8,CA8,CC8,CE8,CG8)</f>
        <v/>
      </c>
      <c r="C8" s="34" t="inlineStr">
        <is>
          <t>BIRLACABLE</t>
        </is>
      </c>
      <c r="D8" s="34" t="inlineStr">
        <is>
          <t>Birla Cable Ltd</t>
        </is>
      </c>
      <c r="E8" s="31" t="inlineStr">
        <is>
          <t>industrials</t>
        </is>
      </c>
      <c r="F8" s="31" t="inlineStr">
        <is>
          <t>Cables - Telecom</t>
        </is>
      </c>
      <c r="G8" s="31" t="inlineStr">
        <is>
          <t>smallcap</t>
        </is>
      </c>
      <c r="H8" s="32" t="n">
        <v>1129.65</v>
      </c>
      <c r="I8" s="32" t="n">
        <v>376.55</v>
      </c>
      <c r="J8" s="32" t="n">
        <v>4.99</v>
      </c>
      <c r="K8" s="32" t="n">
        <v>0</v>
      </c>
      <c r="L8" s="31" t="n">
        <v>97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79.56999999999999</v>
      </c>
      <c r="P8" s="32" t="n">
        <v>50.32</v>
      </c>
      <c r="Q8" s="32" t="n">
        <v>281.57</v>
      </c>
      <c r="R8" s="31" t="inlineStr">
        <is>
          <t>Volume Spike &amp; Near 52W High Breakout</t>
        </is>
      </c>
      <c r="S8" s="31" t="inlineStr">
        <is>
          <t>Nifty Infra</t>
        </is>
      </c>
      <c r="T8" s="32" t="n">
        <v>1.45</v>
      </c>
      <c r="U8" s="32" t="n">
        <v>121.32</v>
      </c>
      <c r="V8" s="32" t="n">
        <v>118.16</v>
      </c>
      <c r="W8" s="32" t="n">
        <v>56.14</v>
      </c>
      <c r="X8" s="31" t="inlineStr">
        <is>
          <t>Cyclical in an Upturn</t>
        </is>
      </c>
      <c r="Y8" s="31">
        <f>IF(X8="Growing Industry",10,IF(X8="Cyclical in an Upturn",5,0))</f>
        <v/>
      </c>
      <c r="Z8" s="31" t="inlineStr">
        <is>
          <t>Oligopoly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29</t>
        </is>
      </c>
      <c r="CG8" s="31">
        <f>IF(CF8&gt;20,10,IF(CF8&gt;=10,5,2))</f>
        <v/>
      </c>
    </row>
    <row r="9">
      <c r="A9" s="31">
        <f>IF(B9=0,"",RANK(B9,$B$2:$B$94,0))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TBZ</t>
        </is>
      </c>
      <c r="D9" s="31" t="inlineStr">
        <is>
          <t>Tribhovandas Bhimji Zaveri Ltd</t>
        </is>
      </c>
      <c r="E9" s="31" t="inlineStr">
        <is>
          <t>consumer discretionary</t>
        </is>
      </c>
      <c r="F9" s="31" t="inlineStr">
        <is>
          <t>Diamond, Gems &amp; Jewellery</t>
        </is>
      </c>
      <c r="G9" s="31" t="inlineStr">
        <is>
          <t>smallcap</t>
        </is>
      </c>
      <c r="H9" s="32" t="n">
        <v>3208.74</v>
      </c>
      <c r="I9" s="32" t="n">
        <v>480.85</v>
      </c>
      <c r="J9" s="32" t="n">
        <v>10</v>
      </c>
      <c r="K9" s="32" t="n">
        <v>0</v>
      </c>
      <c r="L9" s="31" t="n">
        <v>99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88.53</v>
      </c>
      <c r="P9" s="32" t="n">
        <v>49.1</v>
      </c>
      <c r="Q9" s="32" t="n">
        <v>361.26</v>
      </c>
      <c r="R9" s="31" t="inlineStr">
        <is>
          <t>Volume Spike &amp; Near 52W High Breakout</t>
        </is>
      </c>
      <c r="S9" s="31" t="inlineStr">
        <is>
          <t>Nifty 50</t>
        </is>
      </c>
      <c r="T9" s="32" t="n">
        <v>-3.41</v>
      </c>
      <c r="U9" s="32" t="n">
        <v>163.8</v>
      </c>
      <c r="V9" s="32" t="n">
        <v>173.11</v>
      </c>
      <c r="W9" s="32" t="n">
        <v>74.81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Between 0.7 to 1.2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28</t>
        </is>
      </c>
      <c r="CG9" s="31">
        <f>IF(CF9&gt;20,10,IF(CF9&gt;=10,5,2))</f>
        <v/>
      </c>
    </row>
    <row r="10">
      <c r="A10" s="31">
        <f>IF(B10=0,"",RANK(B10,$B$2:$B$94,0))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4" t="inlineStr">
        <is>
          <t>RML</t>
        </is>
      </c>
      <c r="D10" s="34" t="inlineStr">
        <is>
          <t>Rane (Madras) Ltd</t>
        </is>
      </c>
      <c r="E10" s="31" t="inlineStr">
        <is>
          <t>auto</t>
        </is>
      </c>
      <c r="F10" s="31" t="inlineStr">
        <is>
          <t>Auto Ancillaries - Gears</t>
        </is>
      </c>
      <c r="G10" s="31" t="inlineStr">
        <is>
          <t>smallcap</t>
        </is>
      </c>
      <c r="H10" s="32" t="n">
        <v>3580.11</v>
      </c>
      <c r="I10" s="32" t="n">
        <v>1295.4</v>
      </c>
      <c r="J10" s="32" t="n">
        <v>14.9</v>
      </c>
      <c r="K10" s="32" t="n">
        <v>0</v>
      </c>
      <c r="L10" s="31" t="n">
        <v>83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67.02</v>
      </c>
      <c r="P10" s="32" t="n">
        <v>50.38</v>
      </c>
      <c r="Q10" s="32" t="n">
        <v>964.6799999999999</v>
      </c>
      <c r="R10" s="31" t="inlineStr">
        <is>
          <t>Volume Spike &amp; Near 52W High Breakout</t>
        </is>
      </c>
      <c r="S10" s="31" t="inlineStr">
        <is>
          <t>Nifty Auto</t>
        </is>
      </c>
      <c r="T10" s="32" t="n">
        <v>16.52</v>
      </c>
      <c r="U10" s="32" t="n">
        <v>55.63</v>
      </c>
      <c r="V10" s="32" t="n">
        <v>33.56</v>
      </c>
      <c r="W10" s="32" t="n">
        <v>28.02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Between 0.7 to 1.2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22</t>
        </is>
      </c>
      <c r="CG10" s="31">
        <f>IF(CF10&gt;20,10,IF(CF10&gt;=10,5,2))</f>
        <v/>
      </c>
    </row>
    <row r="11">
      <c r="A11" s="31">
        <f>IF(B11=0,"",RANK(B11,$B$2:$B$94,0))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RPEL</t>
        </is>
      </c>
      <c r="D11" s="31" t="inlineStr">
        <is>
          <t>Raghav Productivity Enhancers Ltd</t>
        </is>
      </c>
      <c r="E11" s="31" t="inlineStr">
        <is>
          <t>building materials</t>
        </is>
      </c>
      <c r="F11" s="31" t="inlineStr">
        <is>
          <t>Steel Products</t>
        </is>
      </c>
      <c r="G11" s="31" t="inlineStr">
        <is>
          <t>midcap</t>
        </is>
      </c>
      <c r="H11" s="32" t="n">
        <v>8265.950000000001</v>
      </c>
      <c r="I11" s="32" t="n">
        <v>1800</v>
      </c>
      <c r="J11" s="32" t="n">
        <v>-4.52</v>
      </c>
      <c r="K11" s="32" t="n">
        <v>0</v>
      </c>
      <c r="L11" s="31" t="n">
        <v>98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84.65000000000001</v>
      </c>
      <c r="P11" s="32" t="n">
        <v>62.42</v>
      </c>
      <c r="Q11" s="32" t="n">
        <v>1399.34</v>
      </c>
      <c r="R11" s="31" t="inlineStr">
        <is>
          <t>Near 52W High Breakout</t>
        </is>
      </c>
      <c r="S11" s="31" t="inlineStr">
        <is>
          <t>Nifty Infra</t>
        </is>
      </c>
      <c r="T11" s="32" t="n">
        <v>1.45</v>
      </c>
      <c r="U11" s="32" t="n">
        <v>173.7</v>
      </c>
      <c r="V11" s="32" t="n">
        <v>169.79</v>
      </c>
      <c r="W11" s="32" t="n">
        <v>67.08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Between 1.5 to 2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20</t>
        </is>
      </c>
      <c r="CG11" s="31">
        <f>IF(CF11&gt;20,10,IF(CF11&gt;=10,5,2))</f>
        <v/>
      </c>
    </row>
    <row r="12">
      <c r="A12" s="31">
        <f>IF(B12=0,"",RANK(B12,$B$2:$B$94,0))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INDOBORAX</t>
        </is>
      </c>
      <c r="D12" s="31" t="inlineStr">
        <is>
          <t>Indo Borax &amp; Chemicals Ltd</t>
        </is>
      </c>
      <c r="E12" s="31" t="inlineStr">
        <is>
          <t>chemicals</t>
        </is>
      </c>
      <c r="F12" s="31" t="inlineStr">
        <is>
          <t>Chemicals - Inorganic</t>
        </is>
      </c>
      <c r="G12" s="31" t="inlineStr">
        <is>
          <t>smallcap</t>
        </is>
      </c>
      <c r="H12" s="32" t="n">
        <v>1643.01</v>
      </c>
      <c r="I12" s="32" t="n">
        <v>512</v>
      </c>
      <c r="J12" s="32" t="n">
        <v>-0.16</v>
      </c>
      <c r="K12" s="32" t="n">
        <v>0</v>
      </c>
      <c r="L12" s="31" t="n">
        <v>87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78.12</v>
      </c>
      <c r="P12" s="32" t="n">
        <v>75.41</v>
      </c>
      <c r="Q12" s="32" t="n">
        <v>373.89</v>
      </c>
      <c r="R12" s="31" t="inlineStr">
        <is>
          <t>Near 52W High Breakout</t>
        </is>
      </c>
      <c r="S12" s="31" t="inlineStr">
        <is>
          <t>Nifty 50</t>
        </is>
      </c>
      <c r="T12" s="32" t="n">
        <v>-3.41</v>
      </c>
      <c r="U12" s="32" t="n">
        <v>134.95</v>
      </c>
      <c r="V12" s="32" t="n">
        <v>143.24</v>
      </c>
      <c r="W12" s="32" t="n">
        <v>31.62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20</t>
        </is>
      </c>
      <c r="CG12" s="31">
        <f>IF(CF12&gt;20,10,IF(CF12&gt;=10,5,2))</f>
        <v/>
      </c>
    </row>
    <row r="13">
      <c r="A13" s="31">
        <f>IF(B13=0,"",RANK(B13,$B$2:$B$94,0))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IOLCP</t>
        </is>
      </c>
      <c r="D13" s="31" t="inlineStr">
        <is>
          <t>IOL Chemicals &amp; Pharmaceuticals Ltd</t>
        </is>
      </c>
      <c r="E13" s="31" t="inlineStr">
        <is>
          <t>healthcare</t>
        </is>
      </c>
      <c r="F13" s="31" t="inlineStr">
        <is>
          <t>Pharma - API &amp; CRAMS</t>
        </is>
      </c>
      <c r="G13" s="31" t="inlineStr">
        <is>
          <t>midcap</t>
        </is>
      </c>
      <c r="H13" s="32" t="n">
        <v>5855.87</v>
      </c>
      <c r="I13" s="32" t="n">
        <v>199.5</v>
      </c>
      <c r="J13" s="32" t="n">
        <v>1.56</v>
      </c>
      <c r="K13" s="32" t="n">
        <v>0</v>
      </c>
      <c r="L13" s="31" t="n">
        <v>87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79.26000000000001</v>
      </c>
      <c r="P13" s="32" t="n">
        <v>80.59999999999999</v>
      </c>
      <c r="Q13" s="32" t="n">
        <v>147.79</v>
      </c>
      <c r="R13" s="31" t="inlineStr">
        <is>
          <t>Near 52W High Breakout</t>
        </is>
      </c>
      <c r="S13" s="31" t="inlineStr">
        <is>
          <t>Nifty Pharma</t>
        </is>
      </c>
      <c r="T13" s="32" t="n">
        <v>20.77</v>
      </c>
      <c r="U13" s="32" t="n">
        <v>109.12</v>
      </c>
      <c r="V13" s="32" t="n">
        <v>73.16</v>
      </c>
      <c r="W13" s="32" t="n">
        <v>31.52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23</t>
        </is>
      </c>
      <c r="CG13" s="31">
        <f>IF(CF13&gt;20,10,IF(CF13&gt;=10,5,2))</f>
        <v/>
      </c>
    </row>
    <row r="14">
      <c r="A14" s="31">
        <f>IF(B14=0,"",RANK(B14,$B$2:$B$94,0))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KPL</t>
        </is>
      </c>
      <c r="D14" s="31" t="inlineStr">
        <is>
          <t>Kwality Pharmaceuticals Ltd</t>
        </is>
      </c>
      <c r="E14" s="31" t="inlineStr">
        <is>
          <t>Healthcare</t>
        </is>
      </c>
      <c r="F14" s="31" t="inlineStr">
        <is>
          <t>Pharma - Formulators</t>
        </is>
      </c>
      <c r="G14" s="31" t="inlineStr">
        <is>
          <t>smallcap</t>
        </is>
      </c>
      <c r="H14" s="32" t="n">
        <v>3410.45</v>
      </c>
      <c r="I14" s="32" t="n">
        <v>3286.8</v>
      </c>
      <c r="J14" s="32" t="n">
        <v>-1.68</v>
      </c>
      <c r="K14" s="32" t="n">
        <v>0</v>
      </c>
      <c r="L14" s="31" t="n">
        <v>92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74.73</v>
      </c>
      <c r="P14" s="32" t="n">
        <v>70.23</v>
      </c>
      <c r="Q14" s="32" t="n">
        <v>2561.83</v>
      </c>
      <c r="R14" s="31" t="inlineStr">
        <is>
          <t>Near 52W High Breakout</t>
        </is>
      </c>
      <c r="S14" s="31" t="inlineStr">
        <is>
          <t>Nifty Pharma</t>
        </is>
      </c>
      <c r="T14" s="32" t="n">
        <v>20.77</v>
      </c>
      <c r="U14" s="32" t="n">
        <v>251.18</v>
      </c>
      <c r="V14" s="32" t="n">
        <v>190.79</v>
      </c>
      <c r="W14" s="32" t="n">
        <v>39.77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22</t>
        </is>
      </c>
      <c r="CG14" s="31">
        <f>IF(CF14&gt;20,10,IF(CF14&gt;=10,5,2))</f>
        <v/>
      </c>
    </row>
    <row r="15">
      <c r="A15" s="31">
        <f>IF(B15=0,"",RANK(B15,$B$2:$B$94,0))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UNIPARTS</t>
        </is>
      </c>
      <c r="D15" s="31" t="inlineStr">
        <is>
          <t>Uniparts India Ltd</t>
        </is>
      </c>
      <c r="E15" s="31" t="inlineStr">
        <is>
          <t>industrials</t>
        </is>
      </c>
      <c r="F15" s="31" t="inlineStr">
        <is>
          <t>Castings, Forgings &amp; Fastners</t>
        </is>
      </c>
      <c r="G15" s="31" t="inlineStr">
        <is>
          <t>smallcap</t>
        </is>
      </c>
      <c r="H15" s="32" t="n">
        <v>3974.17</v>
      </c>
      <c r="I15" s="32" t="n">
        <v>880</v>
      </c>
      <c r="J15" s="32" t="n">
        <v>-2.21</v>
      </c>
      <c r="K15" s="32" t="n">
        <v>0</v>
      </c>
      <c r="L15" s="31" t="n">
        <v>82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82.47</v>
      </c>
      <c r="P15" s="32" t="n">
        <v>68.06</v>
      </c>
      <c r="Q15" s="32" t="n">
        <v>706.15</v>
      </c>
      <c r="R15" s="31" t="inlineStr">
        <is>
          <t>Near 52W High Breakout</t>
        </is>
      </c>
      <c r="S15" s="31" t="inlineStr">
        <is>
          <t>Nifty 50</t>
        </is>
      </c>
      <c r="T15" s="32" t="n">
        <v>-3.41</v>
      </c>
      <c r="U15" s="32" t="n">
        <v>127.29</v>
      </c>
      <c r="V15" s="32" t="n">
        <v>135.31</v>
      </c>
      <c r="W15" s="32" t="n">
        <v>27.11</v>
      </c>
      <c r="X15" s="31" t="inlineStr">
        <is>
          <t>Cyclical in an Upturn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23</t>
        </is>
      </c>
      <c r="CG15" s="31">
        <f>IF(CF15&gt;20,10,IF(CF15&gt;=10,5,2))</f>
        <v/>
      </c>
    </row>
    <row r="16">
      <c r="A16" s="31">
        <f>IF(B16=0,"",RANK(B16,$B$2:$B$94,0))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4" t="inlineStr">
        <is>
          <t>WELCORP</t>
        </is>
      </c>
      <c r="D16" s="34" t="inlineStr">
        <is>
          <t>Welspun Corp Ltd</t>
        </is>
      </c>
      <c r="E16" s="31" t="inlineStr">
        <is>
          <t>industrials</t>
        </is>
      </c>
      <c r="F16" s="31" t="inlineStr">
        <is>
          <t>DI Pipes/Saw Pipes</t>
        </is>
      </c>
      <c r="G16" s="31" t="inlineStr">
        <is>
          <t>largecap</t>
        </is>
      </c>
      <c r="H16" s="32" t="n">
        <v>67904.99000000001</v>
      </c>
      <c r="I16" s="32" t="n">
        <v>2574.2</v>
      </c>
      <c r="J16" s="32" t="n">
        <v>-2.55</v>
      </c>
      <c r="K16" s="32" t="n">
        <v>0</v>
      </c>
      <c r="L16" s="31" t="n">
        <v>96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94.69</v>
      </c>
      <c r="P16" s="32" t="n">
        <v>75.43000000000001</v>
      </c>
      <c r="Q16" s="32" t="n">
        <v>2124</v>
      </c>
      <c r="R16" s="31" t="inlineStr">
        <is>
          <t>Near 52W High Breakout</t>
        </is>
      </c>
      <c r="S16" s="31" t="inlineStr">
        <is>
          <t>Nifty Metal</t>
        </is>
      </c>
      <c r="T16" s="32" t="n">
        <v>41.3</v>
      </c>
      <c r="U16" s="32" t="n">
        <v>193.07</v>
      </c>
      <c r="V16" s="32" t="n">
        <v>107.41</v>
      </c>
      <c r="W16" s="32" t="n">
        <v>55.49</v>
      </c>
      <c r="X16" s="31" t="inlineStr">
        <is>
          <t>Cyclical in an Upturn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20</t>
        </is>
      </c>
      <c r="CG16" s="31">
        <f>IF(CF16&gt;20,10,IF(CF16&gt;=10,5,2))</f>
        <v/>
      </c>
    </row>
    <row r="17">
      <c r="A17" s="31">
        <f>IF(B17=0,"",RANK(B17,$B$2:$B$94,0))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AVTNPL</t>
        </is>
      </c>
      <c r="D17" s="31" t="inlineStr">
        <is>
          <t>AVT Natural Products Ltd</t>
        </is>
      </c>
      <c r="E17" s="31" t="inlineStr">
        <is>
          <t>fmcg</t>
        </is>
      </c>
      <c r="F17" s="31" t="inlineStr">
        <is>
          <t>Agricultural Processing - Maize</t>
        </is>
      </c>
      <c r="G17" s="31" t="inlineStr">
        <is>
          <t>smallcap</t>
        </is>
      </c>
      <c r="H17" s="32" t="n">
        <v>1393.4</v>
      </c>
      <c r="I17" s="32" t="n">
        <v>91.5</v>
      </c>
      <c r="J17" s="32" t="n">
        <v>-0.15</v>
      </c>
      <c r="K17" s="32" t="n">
        <v>0</v>
      </c>
      <c r="L17" s="31" t="n">
        <v>45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75.81</v>
      </c>
      <c r="P17" s="32" t="n">
        <v>40.76</v>
      </c>
      <c r="Q17" s="32" t="n">
        <v>72.33</v>
      </c>
      <c r="R17" s="31" t="inlineStr">
        <is>
          <t>Volume Spike &amp; Near 52W High Breakout</t>
        </is>
      </c>
      <c r="S17" s="31" t="inlineStr">
        <is>
          <t>Nifty FMCG</t>
        </is>
      </c>
      <c r="T17" s="32" t="n">
        <v>-15.92</v>
      </c>
      <c r="U17" s="32" t="n">
        <v>21.13</v>
      </c>
      <c r="V17" s="32" t="n">
        <v>44.06</v>
      </c>
      <c r="W17" s="32" t="n">
        <v>12.37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B2C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24</t>
        </is>
      </c>
      <c r="CG17" s="31">
        <f>IF(CF17&gt;20,10,IF(CF17&gt;=10,5,2))</f>
        <v/>
      </c>
    </row>
    <row r="18">
      <c r="A18" s="31">
        <f>IF(B18=0,"",RANK(B18,$B$2:$B$94,0))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MOREPENLAB</t>
        </is>
      </c>
      <c r="D18" s="31" t="inlineStr">
        <is>
          <t>Morepen Laboratories Ltd</t>
        </is>
      </c>
      <c r="E18" s="31" t="inlineStr">
        <is>
          <t>healthcare</t>
        </is>
      </c>
      <c r="F18" s="31" t="inlineStr">
        <is>
          <t>Pharma - API &amp; CRAMS</t>
        </is>
      </c>
      <c r="G18" s="31" t="inlineStr">
        <is>
          <t>midcap</t>
        </is>
      </c>
      <c r="H18" s="32" t="n">
        <v>6224.75</v>
      </c>
      <c r="I18" s="32" t="n">
        <v>113.6</v>
      </c>
      <c r="J18" s="32" t="n">
        <v>-3.28</v>
      </c>
      <c r="K18" s="32" t="n">
        <v>0</v>
      </c>
      <c r="L18" s="31" t="n">
        <v>97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87.34</v>
      </c>
      <c r="P18" s="32" t="n">
        <v>48.45</v>
      </c>
      <c r="Q18" s="32" t="n">
        <v>86.70999999999999</v>
      </c>
      <c r="R18" s="31" t="inlineStr">
        <is>
          <t>Near 52W High Breakout</t>
        </is>
      </c>
      <c r="S18" s="31" t="inlineStr">
        <is>
          <t>Nifty Pharma</t>
        </is>
      </c>
      <c r="T18" s="32" t="n">
        <v>20.77</v>
      </c>
      <c r="U18" s="32" t="n">
        <v>130.66</v>
      </c>
      <c r="V18" s="32" t="n">
        <v>91</v>
      </c>
      <c r="W18" s="32" t="n">
        <v>61.94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24</t>
        </is>
      </c>
      <c r="CG18" s="31">
        <f>IF(CF18&gt;20,10,IF(CF18&gt;=10,5,2))</f>
        <v/>
      </c>
    </row>
    <row r="19">
      <c r="A19" s="31">
        <f>IF(B19=0,"",RANK(B19,$B$2:$B$94,0))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4" t="inlineStr">
        <is>
          <t>SAKAR</t>
        </is>
      </c>
      <c r="D19" s="34" t="inlineStr">
        <is>
          <t>Sakar Healthcare Ltd</t>
        </is>
      </c>
      <c r="E19" s="31" t="inlineStr">
        <is>
          <t>healthcare</t>
        </is>
      </c>
      <c r="F19" s="31" t="inlineStr">
        <is>
          <t>Hospitals</t>
        </is>
      </c>
      <c r="G19" s="31" t="inlineStr">
        <is>
          <t>smallcap</t>
        </is>
      </c>
      <c r="H19" s="32" t="n">
        <v>2251.69</v>
      </c>
      <c r="I19" s="32" t="n">
        <v>1012</v>
      </c>
      <c r="J19" s="32" t="n">
        <v>0.5</v>
      </c>
      <c r="K19" s="32" t="n">
        <v>0</v>
      </c>
      <c r="L19" s="31" t="n">
        <v>88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70.91</v>
      </c>
      <c r="P19" s="32" t="n">
        <v>52.04</v>
      </c>
      <c r="Q19" s="32" t="n">
        <v>730.13</v>
      </c>
      <c r="R19" s="31" t="inlineStr">
        <is>
          <t>Volume Spike &amp; Near 52W High Breakout</t>
        </is>
      </c>
      <c r="S19" s="31" t="inlineStr">
        <is>
          <t>Nifty Pharma</t>
        </is>
      </c>
      <c r="T19" s="32" t="n">
        <v>20.77</v>
      </c>
      <c r="U19" s="32" t="n">
        <v>205.07</v>
      </c>
      <c r="V19" s="32" t="n">
        <v>152.61</v>
      </c>
      <c r="W19" s="32" t="n">
        <v>32.45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23</t>
        </is>
      </c>
      <c r="CG19" s="31">
        <f>IF(CF19&gt;20,10,IF(CF19&gt;=10,5,2))</f>
        <v/>
      </c>
    </row>
    <row r="20">
      <c r="A20" s="31">
        <f>IF(B20=0,"",RANK(B20,$B$2:$B$94,0))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LENSKART</t>
        </is>
      </c>
      <c r="D20" s="31" t="inlineStr">
        <is>
          <t>Lenskart Solutions Ltd</t>
        </is>
      </c>
      <c r="E20" s="31" t="inlineStr">
        <is>
          <t>Healthcare</t>
        </is>
      </c>
      <c r="F20" s="31" t="inlineStr">
        <is>
          <t>New age - Platform - E-Retail</t>
        </is>
      </c>
      <c r="G20" s="31" t="inlineStr">
        <is>
          <t>largecap</t>
        </is>
      </c>
      <c r="H20" s="32" t="n">
        <v>118977.24</v>
      </c>
      <c r="I20" s="32" t="n">
        <v>684.05</v>
      </c>
      <c r="J20" s="32" t="n">
        <v>1.73</v>
      </c>
      <c r="K20" s="32" t="n">
        <v>0</v>
      </c>
      <c r="L20" s="31" t="n">
        <v>66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74.03</v>
      </c>
      <c r="P20" s="32" t="n">
        <v>44.79</v>
      </c>
      <c r="Q20" s="32" t="n">
        <v>555.67</v>
      </c>
      <c r="R20" s="31" t="inlineStr">
        <is>
          <t>Volume Spike &amp; Near 52W High Breakout</t>
        </is>
      </c>
      <c r="S20" s="31" t="inlineStr">
        <is>
          <t>Nifty Pharma</t>
        </is>
      </c>
      <c r="T20" s="32" t="n">
        <v>16.02</v>
      </c>
      <c r="U20" s="32" t="n">
        <v>67.44</v>
      </c>
      <c r="V20" s="32" t="n">
        <v>44.31</v>
      </c>
      <c r="W20" s="32" t="n">
        <v>19.43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B2C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21</t>
        </is>
      </c>
      <c r="CG20" s="31">
        <f>IF(CF20&gt;20,10,IF(CF20&gt;=10,5,2))</f>
        <v/>
      </c>
    </row>
    <row r="21">
      <c r="A21" s="31">
        <f>IF(B21=0,"",RANK(B21,$B$2:$B$94,0))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MARKSANS</t>
        </is>
      </c>
      <c r="D21" s="31" t="inlineStr">
        <is>
          <t>Marksans Pharma Ltd</t>
        </is>
      </c>
      <c r="E21" s="31" t="inlineStr">
        <is>
          <t>healthcare</t>
        </is>
      </c>
      <c r="F21" s="31" t="inlineStr">
        <is>
          <t>Pharma - Formulators</t>
        </is>
      </c>
      <c r="G21" s="31" t="inlineStr">
        <is>
          <t>midcap</t>
        </is>
      </c>
      <c r="H21" s="32" t="n">
        <v>14854.71</v>
      </c>
      <c r="I21" s="32" t="n">
        <v>327.8</v>
      </c>
      <c r="J21" s="32" t="n">
        <v>-1.32</v>
      </c>
      <c r="K21" s="32" t="n">
        <v>0</v>
      </c>
      <c r="L21" s="31" t="n">
        <v>77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73.34999999999999</v>
      </c>
      <c r="P21" s="32" t="n">
        <v>59</v>
      </c>
      <c r="Q21" s="32" t="n">
        <v>258.5</v>
      </c>
      <c r="R21" s="31" t="inlineStr">
        <is>
          <t>Near 52W High Breakout</t>
        </is>
      </c>
      <c r="S21" s="31" t="inlineStr">
        <is>
          <t>Nifty Pharma</t>
        </is>
      </c>
      <c r="T21" s="32" t="n">
        <v>20.77</v>
      </c>
      <c r="U21" s="32" t="n">
        <v>93.98</v>
      </c>
      <c r="V21" s="32" t="n">
        <v>60.62</v>
      </c>
      <c r="W21" s="32" t="n">
        <v>23.85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21</t>
        </is>
      </c>
      <c r="CG21" s="31">
        <f>IF(CF21&gt;20,10,IF(CF21&gt;=10,5,2))</f>
        <v/>
      </c>
    </row>
    <row r="22">
      <c r="A22" s="31">
        <f>IF(B22=0,"",RANK(B22,$B$2:$B$94,0))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INDSWFTLAB</t>
        </is>
      </c>
      <c r="D22" s="31" t="inlineStr">
        <is>
          <t>Ind-Swift Laboratories Ltd</t>
        </is>
      </c>
      <c r="E22" s="31" t="inlineStr">
        <is>
          <t>healthcare</t>
        </is>
      </c>
      <c r="F22" s="31" t="inlineStr">
        <is>
          <t>Pharma - API</t>
        </is>
      </c>
      <c r="G22" s="31" t="inlineStr">
        <is>
          <t>smallcap</t>
        </is>
      </c>
      <c r="H22" s="32" t="n">
        <v>3056.7</v>
      </c>
      <c r="I22" s="32" t="n">
        <v>351.5</v>
      </c>
      <c r="J22" s="32" t="n">
        <v>-5.69</v>
      </c>
      <c r="K22" s="32" t="n">
        <v>0</v>
      </c>
      <c r="L22" s="31" t="n">
        <v>97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86.27</v>
      </c>
      <c r="P22" s="32" t="n">
        <v>71.8</v>
      </c>
      <c r="Q22" s="32" t="n">
        <v>273.85</v>
      </c>
      <c r="R22" s="31" t="inlineStr">
        <is>
          <t>Near 52W High Breakout</t>
        </is>
      </c>
      <c r="S22" s="31" t="inlineStr">
        <is>
          <t>Nifty Pharma</t>
        </is>
      </c>
      <c r="T22" s="32" t="n">
        <v>20.77</v>
      </c>
      <c r="U22" s="32" t="n">
        <v>248.8</v>
      </c>
      <c r="V22" s="32" t="n">
        <v>188.82</v>
      </c>
      <c r="W22" s="32" t="n">
        <v>60.54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19</t>
        </is>
      </c>
      <c r="CG22" s="31">
        <f>IF(CF22&gt;20,10,IF(CF22&gt;=10,5,2))</f>
        <v/>
      </c>
    </row>
    <row r="23">
      <c r="A23" s="31">
        <f>IF(B23=0,"",RANK(B23,$B$2:$B$94,0))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MODISONLTD</t>
        </is>
      </c>
      <c r="D23" s="31" t="inlineStr">
        <is>
          <t>Modison Ltd</t>
        </is>
      </c>
      <c r="E23" s="31" t="inlineStr">
        <is>
          <t>industrials</t>
        </is>
      </c>
      <c r="F23" s="31" t="inlineStr">
        <is>
          <t>Capital Goods - Electric General</t>
        </is>
      </c>
      <c r="G23" s="31" t="inlineStr">
        <is>
          <t>smallcap</t>
        </is>
      </c>
      <c r="H23" s="32" t="n">
        <v>1524.99</v>
      </c>
      <c r="I23" s="32" t="n">
        <v>469.95</v>
      </c>
      <c r="J23" s="32" t="n">
        <v>-4.99</v>
      </c>
      <c r="K23" s="32" t="n">
        <v>0</v>
      </c>
      <c r="L23" s="31" t="n">
        <v>94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80.63</v>
      </c>
      <c r="P23" s="32" t="n">
        <v>59.72</v>
      </c>
      <c r="Q23" s="32" t="n">
        <v>340.48</v>
      </c>
      <c r="R23" s="31" t="inlineStr">
        <is>
          <t>Volume Spike &amp; Near 52W High Breakout</t>
        </is>
      </c>
      <c r="S23" s="31" t="inlineStr">
        <is>
          <t>Nifty 50</t>
        </is>
      </c>
      <c r="T23" s="32" t="n">
        <v>-3.41</v>
      </c>
      <c r="U23" s="32" t="n">
        <v>196.68</v>
      </c>
      <c r="V23" s="32" t="n">
        <v>207.15</v>
      </c>
      <c r="W23" s="32" t="n">
        <v>44.05</v>
      </c>
      <c r="X23" s="31" t="inlineStr">
        <is>
          <t>Cyclical in an Upturn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26</t>
        </is>
      </c>
      <c r="CG23" s="31">
        <f>IF(CF23&gt;20,10,IF(CF23&gt;=10,5,2))</f>
        <v/>
      </c>
    </row>
    <row r="24">
      <c r="A24" s="31">
        <f>IF(B24=0,"",RANK(B24,$B$2:$B$94,0))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KMEW</t>
        </is>
      </c>
      <c r="D24" s="31" t="inlineStr">
        <is>
          <t>Knowledge Marine &amp; Engineering Works Ltd</t>
        </is>
      </c>
      <c r="E24" s="31" t="inlineStr">
        <is>
          <t>transportation</t>
        </is>
      </c>
      <c r="F24" s="31" t="inlineStr">
        <is>
          <t>Shipping</t>
        </is>
      </c>
      <c r="G24" s="31" t="inlineStr">
        <is>
          <t>midcap</t>
        </is>
      </c>
      <c r="H24" s="32" t="n">
        <v>7680.32</v>
      </c>
      <c r="I24" s="32" t="n">
        <v>3028</v>
      </c>
      <c r="J24" s="32" t="n">
        <v>-3.92</v>
      </c>
      <c r="K24" s="32" t="n">
        <v>0</v>
      </c>
      <c r="L24" s="31" t="n">
        <v>94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80.93000000000001</v>
      </c>
      <c r="P24" s="32" t="n">
        <v>54.3</v>
      </c>
      <c r="Q24" s="32" t="n">
        <v>2241.99</v>
      </c>
      <c r="R24" s="31" t="inlineStr">
        <is>
          <t>Near 52W High Breakout</t>
        </is>
      </c>
      <c r="S24" s="31" t="inlineStr">
        <is>
          <t>Nifty 50</t>
        </is>
      </c>
      <c r="T24" s="32" t="n">
        <v>-3.41</v>
      </c>
      <c r="U24" s="32" t="n">
        <v>246.67</v>
      </c>
      <c r="V24" s="32" t="n">
        <v>258.91</v>
      </c>
      <c r="W24" s="32" t="n">
        <v>44.65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24</t>
        </is>
      </c>
      <c r="CG24" s="31">
        <f>IF(CF24&gt;20,10,IF(CF24&gt;=10,5,2))</f>
        <v/>
      </c>
    </row>
    <row r="25">
      <c r="A25" s="31">
        <f>IF(B25=0,"",RANK(B25,$B$2:$B$94,0))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IRISDOREME</t>
        </is>
      </c>
      <c r="D25" s="31" t="inlineStr">
        <is>
          <t>Iris Clothings Ltd</t>
        </is>
      </c>
      <c r="E25" s="31" t="inlineStr">
        <is>
          <t>consumer discretionary</t>
        </is>
      </c>
      <c r="F25" s="31" t="inlineStr">
        <is>
          <t>Textiles - Readymade Apparel</t>
        </is>
      </c>
      <c r="G25" s="31" t="inlineStr">
        <is>
          <t>smallcap</t>
        </is>
      </c>
      <c r="H25" s="32" t="n">
        <v>1214.31</v>
      </c>
      <c r="I25" s="32" t="n">
        <v>63.8</v>
      </c>
      <c r="J25" s="32" t="n">
        <v>6.37</v>
      </c>
      <c r="K25" s="32" t="n">
        <v>0</v>
      </c>
      <c r="L25" s="31" t="n">
        <v>87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85.8</v>
      </c>
      <c r="P25" s="32" t="n">
        <v>49.25</v>
      </c>
      <c r="Q25" s="32" t="n">
        <v>50.31</v>
      </c>
      <c r="R25" s="31" t="inlineStr">
        <is>
          <t>Near 52W High Breakout</t>
        </is>
      </c>
      <c r="S25" s="31" t="inlineStr">
        <is>
          <t>Nifty 50</t>
        </is>
      </c>
      <c r="T25" s="32" t="n">
        <v>-3.41</v>
      </c>
      <c r="U25" s="32" t="n">
        <v>98.63</v>
      </c>
      <c r="V25" s="32" t="n">
        <v>105.63</v>
      </c>
      <c r="W25" s="32" t="n">
        <v>32.31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22</t>
        </is>
      </c>
      <c r="CG25" s="31">
        <f>IF(CF25&gt;20,10,IF(CF25&gt;=10,5,2))</f>
        <v/>
      </c>
    </row>
    <row r="26">
      <c r="A26" s="31">
        <f>IF(B26=0,"",RANK(B26,$B$2:$B$94,0))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IGPL</t>
        </is>
      </c>
      <c r="D26" s="31" t="inlineStr">
        <is>
          <t>I G Petrochemicals Ltd</t>
        </is>
      </c>
      <c r="E26" s="31" t="inlineStr">
        <is>
          <t>chemicals</t>
        </is>
      </c>
      <c r="F26" s="31" t="inlineStr">
        <is>
          <t>Chemicals - Organic - Maleic Anhydride</t>
        </is>
      </c>
      <c r="G26" s="31" t="inlineStr">
        <is>
          <t>smallcap</t>
        </is>
      </c>
      <c r="H26" s="32" t="n">
        <v>1749.92</v>
      </c>
      <c r="I26" s="32" t="n">
        <v>568.25</v>
      </c>
      <c r="J26" s="32" t="n">
        <v>3.53</v>
      </c>
      <c r="K26" s="32" t="n">
        <v>0</v>
      </c>
      <c r="L26" s="31" t="n">
        <v>48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71.45999999999999</v>
      </c>
      <c r="P26" s="32" t="n">
        <v>26.49</v>
      </c>
      <c r="Q26" s="32" t="n">
        <v>447.78</v>
      </c>
      <c r="R26" s="31" t="inlineStr">
        <is>
          <t>Near 52W High Breakout</t>
        </is>
      </c>
      <c r="S26" s="31" t="inlineStr">
        <is>
          <t>Nifty 50</t>
        </is>
      </c>
      <c r="T26" s="32" t="n">
        <v>-3.41</v>
      </c>
      <c r="U26" s="32" t="n">
        <v>30.33</v>
      </c>
      <c r="V26" s="32" t="n">
        <v>34.93</v>
      </c>
      <c r="W26" s="32" t="n">
        <v>13.25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22</t>
        </is>
      </c>
      <c r="CG26" s="31">
        <f>IF(CF26&gt;20,10,IF(CF26&gt;=10,5,2))</f>
        <v/>
      </c>
    </row>
    <row r="27">
      <c r="A27" s="31">
        <f>IF(B27=0,"",RANK(B27,$B$2:$B$94,0))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4" t="inlineStr">
        <is>
          <t>SSWL</t>
        </is>
      </c>
      <c r="D27" s="34" t="inlineStr">
        <is>
          <t>Steel Strips Wheels Ltd</t>
        </is>
      </c>
      <c r="E27" s="31" t="inlineStr">
        <is>
          <t>auto</t>
        </is>
      </c>
      <c r="F27" s="31" t="inlineStr">
        <is>
          <t>Auto Ancillaries - Wheels</t>
        </is>
      </c>
      <c r="G27" s="31" t="inlineStr">
        <is>
          <t>midcap</t>
        </is>
      </c>
      <c r="H27" s="32" t="n">
        <v>5675.7</v>
      </c>
      <c r="I27" s="32" t="n">
        <v>360.9</v>
      </c>
      <c r="J27" s="32" t="n">
        <v>0.03</v>
      </c>
      <c r="K27" s="32" t="n">
        <v>0</v>
      </c>
      <c r="L27" s="31" t="n">
        <v>83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78.28</v>
      </c>
      <c r="P27" s="32" t="n">
        <v>37.9</v>
      </c>
      <c r="Q27" s="32" t="n">
        <v>286.59</v>
      </c>
      <c r="R27" s="31" t="inlineStr">
        <is>
          <t>Volume Spike &amp; Near 52W High Breakout</t>
        </is>
      </c>
      <c r="S27" s="31" t="inlineStr">
        <is>
          <t>Nifty Auto</t>
        </is>
      </c>
      <c r="T27" s="32" t="n">
        <v>16.52</v>
      </c>
      <c r="U27" s="32" t="n">
        <v>51.08</v>
      </c>
      <c r="V27" s="32" t="n">
        <v>29.66</v>
      </c>
      <c r="W27" s="32" t="n">
        <v>27.46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21</t>
        </is>
      </c>
      <c r="CG27" s="31">
        <f>IF(CF27&gt;20,10,IF(CF27&gt;=10,5,2))</f>
        <v/>
      </c>
    </row>
    <row r="28">
      <c r="A28" s="31">
        <f>IF(B28=0,"",RANK(B28,$B$2:$B$94,0))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4" t="inlineStr">
        <is>
          <t>MARINE</t>
        </is>
      </c>
      <c r="D28" s="34" t="inlineStr">
        <is>
          <t>Marine Electricals (India) Ltd</t>
        </is>
      </c>
      <c r="E28" s="31" t="inlineStr">
        <is>
          <t>industrials</t>
        </is>
      </c>
      <c r="F28" s="31" t="inlineStr">
        <is>
          <t>Shipping - Proxy</t>
        </is>
      </c>
      <c r="G28" s="31" t="inlineStr">
        <is>
          <t>midcap</t>
        </is>
      </c>
      <c r="H28" s="32" t="n">
        <v>6024.61</v>
      </c>
      <c r="I28" s="32" t="n">
        <v>430.5</v>
      </c>
      <c r="J28" s="32" t="n">
        <v>0.02</v>
      </c>
      <c r="K28" s="32" t="n">
        <v>0</v>
      </c>
      <c r="L28" s="31" t="n">
        <v>90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80.98999999999999</v>
      </c>
      <c r="P28" s="32" t="n">
        <v>43.62</v>
      </c>
      <c r="Q28" s="32" t="n">
        <v>325.3</v>
      </c>
      <c r="R28" s="31" t="inlineStr">
        <is>
          <t>Volume Spike &amp; Near 52W High Breakout</t>
        </is>
      </c>
      <c r="S28" s="31" t="inlineStr">
        <is>
          <t>Nifty 50</t>
        </is>
      </c>
      <c r="T28" s="32" t="n">
        <v>-3.41</v>
      </c>
      <c r="U28" s="32" t="n">
        <v>147.61</v>
      </c>
      <c r="V28" s="32" t="n">
        <v>156.35</v>
      </c>
      <c r="W28" s="32" t="n">
        <v>37.67</v>
      </c>
      <c r="X28" s="31" t="inlineStr">
        <is>
          <t>Cyclical in an Upturn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Between 1.5 to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21</t>
        </is>
      </c>
      <c r="CG28" s="31">
        <f>IF(CF28&gt;20,10,IF(CF28&gt;=10,5,2))</f>
        <v/>
      </c>
    </row>
    <row r="29">
      <c r="A29" s="31">
        <f>IF(B29=0,"",RANK(B29,$B$2:$B$94,0))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4" t="inlineStr">
        <is>
          <t>CENTENKA</t>
        </is>
      </c>
      <c r="D29" s="34" t="inlineStr">
        <is>
          <t>Century Enka Ltd</t>
        </is>
      </c>
      <c r="E29" s="31" t="inlineStr">
        <is>
          <t>textiles</t>
        </is>
      </c>
      <c r="F29" s="31" t="inlineStr">
        <is>
          <t>Textiles - Manmade Fibre - PFY/PSF</t>
        </is>
      </c>
      <c r="G29" s="31" t="inlineStr">
        <is>
          <t>smallcap</t>
        </is>
      </c>
      <c r="H29" s="32" t="n">
        <v>1329.28</v>
      </c>
      <c r="I29" s="32" t="n">
        <v>608.35</v>
      </c>
      <c r="J29" s="32" t="n">
        <v>-1.35</v>
      </c>
      <c r="K29" s="32" t="n">
        <v>0</v>
      </c>
      <c r="L29" s="31" t="n">
        <v>35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66.59999999999999</v>
      </c>
      <c r="P29" s="32" t="n">
        <v>64.11</v>
      </c>
      <c r="Q29" s="32" t="n">
        <v>464.79</v>
      </c>
      <c r="R29" s="31" t="inlineStr">
        <is>
          <t>Volume Spike &amp; Near 52W High Breakout</t>
        </is>
      </c>
      <c r="S29" s="31" t="inlineStr">
        <is>
          <t>Nifty 50</t>
        </is>
      </c>
      <c r="T29" s="32" t="n">
        <v>-3.41</v>
      </c>
      <c r="U29" s="32" t="n">
        <v>22.3</v>
      </c>
      <c r="V29" s="32" t="n">
        <v>26.62</v>
      </c>
      <c r="W29" s="32" t="n">
        <v>9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21</t>
        </is>
      </c>
      <c r="CG29" s="31">
        <f>IF(CF29&gt;20,10,IF(CF29&gt;=10,5,2))</f>
        <v/>
      </c>
    </row>
    <row r="30">
      <c r="A30" s="31">
        <f>IF(B30=0,"",RANK(B30,$B$2:$B$94,0))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KABRAEXTRU</t>
        </is>
      </c>
      <c r="D30" s="31" t="inlineStr">
        <is>
          <t>Kabra Extrusion Technik Ltd</t>
        </is>
      </c>
      <c r="E30" s="31" t="inlineStr">
        <is>
          <t>industrials</t>
        </is>
      </c>
      <c r="F30" s="31" t="inlineStr">
        <is>
          <t>Capital Goods - Engineering Heavy</t>
        </is>
      </c>
      <c r="G30" s="31" t="inlineStr">
        <is>
          <t>smallcap</t>
        </is>
      </c>
      <c r="H30" s="32" t="n">
        <v>2028.42</v>
      </c>
      <c r="I30" s="32" t="n">
        <v>580</v>
      </c>
      <c r="J30" s="32" t="n">
        <v>2.69</v>
      </c>
      <c r="K30" s="32" t="n">
        <v>0</v>
      </c>
      <c r="L30" s="31" t="n">
        <v>97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83.76000000000001</v>
      </c>
      <c r="P30" s="32" t="n">
        <v>50.49</v>
      </c>
      <c r="Q30" s="32" t="n">
        <v>467.57</v>
      </c>
      <c r="R30" s="31" t="inlineStr">
        <is>
          <t>Near 52W High Breakout</t>
        </is>
      </c>
      <c r="S30" s="31" t="inlineStr">
        <is>
          <t>Nifty 50</t>
        </is>
      </c>
      <c r="T30" s="32" t="n">
        <v>-3.41</v>
      </c>
      <c r="U30" s="32" t="n">
        <v>112.1</v>
      </c>
      <c r="V30" s="32" t="n">
        <v>119.59</v>
      </c>
      <c r="W30" s="32" t="n">
        <v>55.72</v>
      </c>
      <c r="X30" s="31" t="inlineStr">
        <is>
          <t>Cyclical in an Upturn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20</t>
        </is>
      </c>
      <c r="CG30" s="31">
        <f>IF(CF30&gt;20,10,IF(CF30&gt;=10,5,2))</f>
        <v/>
      </c>
    </row>
    <row r="31">
      <c r="A31" s="31">
        <f>IF(B31=0,"",RANK(B31,$B$2:$B$94,0))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SHILPAMED</t>
        </is>
      </c>
      <c r="D31" s="31" t="inlineStr">
        <is>
          <t>Shilpa Medicare Ltd</t>
        </is>
      </c>
      <c r="E31" s="31" t="inlineStr">
        <is>
          <t>healthcare</t>
        </is>
      </c>
      <c r="F31" s="31" t="inlineStr">
        <is>
          <t>Pharma - API &amp; CRAMS</t>
        </is>
      </c>
      <c r="G31" s="31" t="inlineStr">
        <is>
          <t>midcap</t>
        </is>
      </c>
      <c r="H31" s="32" t="n">
        <v>18736.74</v>
      </c>
      <c r="I31" s="32" t="n">
        <v>958</v>
      </c>
      <c r="J31" s="32" t="n">
        <v>0.19</v>
      </c>
      <c r="K31" s="32" t="n">
        <v>0</v>
      </c>
      <c r="L31" s="31" t="n">
        <v>92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91.48</v>
      </c>
      <c r="P31" s="32" t="n">
        <v>77.81</v>
      </c>
      <c r="Q31" s="32" t="n">
        <v>787.8099999999999</v>
      </c>
      <c r="R31" s="31" t="inlineStr">
        <is>
          <t>Near 52W High Breakout</t>
        </is>
      </c>
      <c r="S31" s="31" t="inlineStr">
        <is>
          <t>Nifty Pharma</t>
        </is>
      </c>
      <c r="T31" s="32" t="n">
        <v>20.77</v>
      </c>
      <c r="U31" s="32" t="n">
        <v>128.7</v>
      </c>
      <c r="V31" s="32" t="n">
        <v>89.37</v>
      </c>
      <c r="W31" s="32" t="n">
        <v>39.84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22</t>
        </is>
      </c>
      <c r="CG31" s="31">
        <f>IF(CF31&gt;20,10,IF(CF31&gt;=10,5,2))</f>
        <v/>
      </c>
    </row>
    <row r="32">
      <c r="A32" s="31">
        <f>IF(B32=0,"",RANK(B32,$B$2:$B$94,0))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4" t="inlineStr">
        <is>
          <t>INNOVACAP</t>
        </is>
      </c>
      <c r="D32" s="34" t="inlineStr">
        <is>
          <t>Innova Captab Ltd</t>
        </is>
      </c>
      <c r="E32" s="31" t="inlineStr">
        <is>
          <t>healthcare</t>
        </is>
      </c>
      <c r="F32" s="31" t="inlineStr">
        <is>
          <t>Pharma - API</t>
        </is>
      </c>
      <c r="G32" s="31" t="inlineStr">
        <is>
          <t>midcap</t>
        </is>
      </c>
      <c r="H32" s="32" t="n">
        <v>6746.25</v>
      </c>
      <c r="I32" s="32" t="n">
        <v>1178.9</v>
      </c>
      <c r="J32" s="32" t="n">
        <v>4.75</v>
      </c>
      <c r="K32" s="32" t="n">
        <v>0</v>
      </c>
      <c r="L32" s="31" t="n">
        <v>52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75.87</v>
      </c>
      <c r="P32" s="32" t="n">
        <v>62.12</v>
      </c>
      <c r="Q32" s="32" t="n">
        <v>924.26</v>
      </c>
      <c r="R32" s="31" t="inlineStr">
        <is>
          <t>Volume Spike &amp; Near 52W High Breakout</t>
        </is>
      </c>
      <c r="S32" s="31" t="inlineStr">
        <is>
          <t>Nifty Pharma</t>
        </is>
      </c>
      <c r="T32" s="32" t="n">
        <v>20.77</v>
      </c>
      <c r="U32" s="32" t="n">
        <v>29.7</v>
      </c>
      <c r="V32" s="32" t="n">
        <v>7.4</v>
      </c>
      <c r="W32" s="32" t="n">
        <v>14.56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20</t>
        </is>
      </c>
      <c r="CG32" s="31">
        <f>IF(CF32&gt;20,10,IF(CF32&gt;=10,5,2))</f>
        <v/>
      </c>
    </row>
    <row r="33">
      <c r="A33" s="31">
        <f>IF(B33=0,"",RANK(B33,$B$2:$B$94,0))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KMCSHIL</t>
        </is>
      </c>
      <c r="D33" s="31" t="inlineStr">
        <is>
          <t>KMC Speciality Hospitals (India) Ltd</t>
        </is>
      </c>
      <c r="E33" s="31" t="inlineStr">
        <is>
          <t>Healthcare</t>
        </is>
      </c>
      <c r="F33" s="31" t="inlineStr">
        <is>
          <t>Hospitals</t>
        </is>
      </c>
      <c r="G33" s="31" t="inlineStr">
        <is>
          <t>smallcap</t>
        </is>
      </c>
      <c r="H33" s="32" t="n">
        <v>2257.1</v>
      </c>
      <c r="I33" s="32" t="n">
        <v>138.4</v>
      </c>
      <c r="J33" s="32" t="n">
        <v>0.4</v>
      </c>
      <c r="K33" s="32" t="n">
        <v>0</v>
      </c>
      <c r="L33" s="31" t="n">
        <v>68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69.94</v>
      </c>
      <c r="P33" s="32" t="n">
        <v>60.73</v>
      </c>
      <c r="Q33" s="32" t="n">
        <v>109.64</v>
      </c>
      <c r="R33" s="31" t="inlineStr">
        <is>
          <t>Near 52W High Breakout</t>
        </is>
      </c>
      <c r="S33" s="31" t="inlineStr">
        <is>
          <t>Nifty Pharma</t>
        </is>
      </c>
      <c r="T33" s="32" t="n">
        <v>20.77</v>
      </c>
      <c r="U33" s="32" t="n">
        <v>103.37</v>
      </c>
      <c r="V33" s="32" t="n">
        <v>68.40000000000001</v>
      </c>
      <c r="W33" s="32" t="n">
        <v>20.09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20</t>
        </is>
      </c>
      <c r="CG33" s="31">
        <f>IF(CF33&gt;20,10,IF(CF33&gt;=10,5,2))</f>
        <v/>
      </c>
    </row>
    <row r="34">
      <c r="A34" s="31">
        <f>IF(B34=0,"",RANK(B34,$B$2:$B$94,0))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SKYGOLD</t>
        </is>
      </c>
      <c r="D34" s="31" t="inlineStr">
        <is>
          <t>Sky Gold &amp; Diamonds Ltd</t>
        </is>
      </c>
      <c r="E34" s="31" t="inlineStr">
        <is>
          <t>Consumer Cyclical</t>
        </is>
      </c>
      <c r="F34" s="31" t="inlineStr">
        <is>
          <t>Diamond, Gems &amp; Jewellery</t>
        </is>
      </c>
      <c r="G34" s="31" t="inlineStr">
        <is>
          <t>midcap</t>
        </is>
      </c>
      <c r="H34" s="32" t="n">
        <v>12157.6</v>
      </c>
      <c r="I34" s="32" t="n">
        <v>785</v>
      </c>
      <c r="J34" s="32" t="n">
        <v>5.8</v>
      </c>
      <c r="K34" s="32" t="n">
        <v>0</v>
      </c>
      <c r="L34" s="31" t="n">
        <v>89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76.04000000000001</v>
      </c>
      <c r="P34" s="32" t="n">
        <v>66.08</v>
      </c>
      <c r="Q34" s="32" t="n">
        <v>614.0700000000001</v>
      </c>
      <c r="R34" s="31" t="inlineStr">
        <is>
          <t>Near 52W High Breakout</t>
        </is>
      </c>
      <c r="S34" s="31" t="inlineStr">
        <is>
          <t>Nifty 50</t>
        </is>
      </c>
      <c r="T34" s="32" t="n">
        <v>-3.41</v>
      </c>
      <c r="U34" s="32" t="n">
        <v>180.14</v>
      </c>
      <c r="V34" s="32" t="n">
        <v>190.03</v>
      </c>
      <c r="W34" s="32" t="n">
        <v>34.61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B2C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Between 0.7 to 1.2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27</t>
        </is>
      </c>
      <c r="CG34" s="31">
        <f>IF(CF34&gt;20,10,IF(CF34&gt;=10,5,2))</f>
        <v/>
      </c>
    </row>
    <row r="35">
      <c r="A35" s="31">
        <f>IF(B35=0,"",RANK(B35,$B$2:$B$94,0))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KENNAMET</t>
        </is>
      </c>
      <c r="D35" s="31" t="inlineStr">
        <is>
          <t>Kennametal India Ltd</t>
        </is>
      </c>
      <c r="E35" s="31" t="inlineStr">
        <is>
          <t>industrials</t>
        </is>
      </c>
      <c r="F35" s="31" t="inlineStr">
        <is>
          <t>Castings, Forgings &amp; Fastners</t>
        </is>
      </c>
      <c r="G35" s="31" t="inlineStr">
        <is>
          <t>midcap</t>
        </is>
      </c>
      <c r="H35" s="32" t="n">
        <v>10318.78</v>
      </c>
      <c r="I35" s="32" t="n">
        <v>4695</v>
      </c>
      <c r="J35" s="32" t="n">
        <v>3.59</v>
      </c>
      <c r="K35" s="32" t="n">
        <v>0</v>
      </c>
      <c r="L35" s="31" t="n">
        <v>91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85.26000000000001</v>
      </c>
      <c r="P35" s="32" t="n">
        <v>47.04</v>
      </c>
      <c r="Q35" s="32" t="n">
        <v>3693.31</v>
      </c>
      <c r="R35" s="31" t="inlineStr">
        <is>
          <t>Near 52W High Breakout</t>
        </is>
      </c>
      <c r="S35" s="31" t="inlineStr">
        <is>
          <t>Nifty Infra</t>
        </is>
      </c>
      <c r="T35" s="32" t="n">
        <v>1.45</v>
      </c>
      <c r="U35" s="32" t="n">
        <v>107.3</v>
      </c>
      <c r="V35" s="32" t="n">
        <v>104.34</v>
      </c>
      <c r="W35" s="32" t="n">
        <v>38.82</v>
      </c>
      <c r="X35" s="31" t="inlineStr">
        <is>
          <t>Cyclical in an Upturn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25</t>
        </is>
      </c>
      <c r="CG35" s="31">
        <f>IF(CF35&gt;20,10,IF(CF35&gt;=10,5,2))</f>
        <v/>
      </c>
    </row>
    <row r="36">
      <c r="A36" s="31">
        <f>IF(B36=0,"",RANK(B36,$B$2:$B$94,0))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DYCL</t>
        </is>
      </c>
      <c r="D36" s="31" t="inlineStr">
        <is>
          <t>Dynamic Cables Ltd</t>
        </is>
      </c>
      <c r="E36" s="31" t="inlineStr">
        <is>
          <t>industrials</t>
        </is>
      </c>
      <c r="F36" s="31" t="inlineStr">
        <is>
          <t>Cables - Power</t>
        </is>
      </c>
      <c r="G36" s="31" t="inlineStr">
        <is>
          <t>smallcap</t>
        </is>
      </c>
      <c r="H36" s="32" t="n">
        <v>2364.78</v>
      </c>
      <c r="I36" s="32" t="n">
        <v>488</v>
      </c>
      <c r="J36" s="32" t="n">
        <v>-10.34</v>
      </c>
      <c r="K36" s="32" t="n">
        <v>0</v>
      </c>
      <c r="L36" s="31" t="n">
        <v>50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71.15000000000001</v>
      </c>
      <c r="P36" s="32" t="n">
        <v>32.63</v>
      </c>
      <c r="Q36" s="32" t="n">
        <v>345.16</v>
      </c>
      <c r="R36" s="31" t="inlineStr">
        <is>
          <t>Volume Spike &amp; Near 52W High Breakout</t>
        </is>
      </c>
      <c r="S36" s="31" t="inlineStr">
        <is>
          <t>Nifty Energy</t>
        </is>
      </c>
      <c r="T36" s="32" t="n">
        <v>7.99</v>
      </c>
      <c r="U36" s="32" t="n">
        <v>19.5</v>
      </c>
      <c r="V36" s="32" t="n">
        <v>10.66</v>
      </c>
      <c r="W36" s="32" t="n">
        <v>14.06</v>
      </c>
      <c r="X36" s="31" t="inlineStr">
        <is>
          <t>Cyclical in an Upturn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24</t>
        </is>
      </c>
      <c r="CG36" s="31">
        <f>IF(CF36&gt;20,10,IF(CF36&gt;=10,5,2))</f>
        <v/>
      </c>
    </row>
    <row r="37">
      <c r="A37" s="31">
        <f>IF(B37=0,"",RANK(B37,$B$2:$B$94,0))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FCL</t>
        </is>
      </c>
      <c r="D37" s="31" t="inlineStr">
        <is>
          <t>Fineotex Chemical Ltd</t>
        </is>
      </c>
      <c r="E37" s="31" t="inlineStr">
        <is>
          <t>chemicals</t>
        </is>
      </c>
      <c r="F37" s="31" t="inlineStr">
        <is>
          <t>Speciality Chemicals</t>
        </is>
      </c>
      <c r="G37" s="31" t="inlineStr">
        <is>
          <t>midcap</t>
        </is>
      </c>
      <c r="H37" s="32" t="n">
        <v>6020.47</v>
      </c>
      <c r="I37" s="32" t="n">
        <v>51.7</v>
      </c>
      <c r="J37" s="32" t="n">
        <v>6.8</v>
      </c>
      <c r="K37" s="32" t="n">
        <v>0</v>
      </c>
      <c r="L37" s="31" t="n">
        <v>81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76.98999999999999</v>
      </c>
      <c r="P37" s="32" t="n">
        <v>49.12</v>
      </c>
      <c r="Q37" s="32" t="n">
        <v>38.56</v>
      </c>
      <c r="R37" s="31" t="inlineStr">
        <is>
          <t>Near 52W High Breakout</t>
        </is>
      </c>
      <c r="S37" s="31" t="inlineStr">
        <is>
          <t>Nifty 50</t>
        </is>
      </c>
      <c r="T37" s="32" t="n">
        <v>-3.41</v>
      </c>
      <c r="U37" s="32" t="n">
        <v>118.77</v>
      </c>
      <c r="V37" s="32" t="n">
        <v>126.49</v>
      </c>
      <c r="W37" s="32" t="n">
        <v>26.63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24</t>
        </is>
      </c>
      <c r="CG37" s="31">
        <f>IF(CF37&gt;20,10,IF(CF37&gt;=10,5,2))</f>
        <v/>
      </c>
    </row>
    <row r="38">
      <c r="A38" s="31">
        <f>IF(B38=0,"",RANK(B38,$B$2:$B$94,0))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PVP</t>
        </is>
      </c>
      <c r="D38" s="31" t="inlineStr">
        <is>
          <t>PVP Ventures Ltd</t>
        </is>
      </c>
      <c r="E38" s="31" t="inlineStr">
        <is>
          <t>realty</t>
        </is>
      </c>
      <c r="F38" s="31" t="inlineStr">
        <is>
          <t>Realty - Construction &amp; Contracting</t>
        </is>
      </c>
      <c r="G38" s="31" t="inlineStr">
        <is>
          <t>smallcap</t>
        </is>
      </c>
      <c r="H38" s="32" t="n">
        <v>1774.39</v>
      </c>
      <c r="I38" s="32" t="n">
        <v>68.14</v>
      </c>
      <c r="J38" s="32" t="n">
        <v>4.99</v>
      </c>
      <c r="K38" s="32" t="n">
        <v>0</v>
      </c>
      <c r="L38" s="31" t="n">
        <v>96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83.3</v>
      </c>
      <c r="P38" s="32" t="n">
        <v>24.81</v>
      </c>
      <c r="Q38" s="32" t="n">
        <v>49.76</v>
      </c>
      <c r="R38" s="31" t="inlineStr">
        <is>
          <t>Volume Spike &amp; Near 52W High Breakout</t>
        </is>
      </c>
      <c r="S38" s="31" t="inlineStr">
        <is>
          <t>Nifty Realty</t>
        </is>
      </c>
      <c r="T38" s="32" t="n">
        <v>-4.49</v>
      </c>
      <c r="U38" s="32" t="n">
        <v>221.69</v>
      </c>
      <c r="V38" s="32" t="n">
        <v>236.81</v>
      </c>
      <c r="W38" s="32" t="n">
        <v>53.52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23</t>
        </is>
      </c>
      <c r="CG38" s="31">
        <f>IF(CF38&gt;20,10,IF(CF38&gt;=10,5,2))</f>
        <v/>
      </c>
    </row>
    <row r="39">
      <c r="A39" s="31">
        <f>IF(B39=0,"",RANK(B39,$B$2:$B$94,0))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4" t="inlineStr">
        <is>
          <t>AFCOM</t>
        </is>
      </c>
      <c r="D39" s="34" t="inlineStr">
        <is>
          <t>Afcom Holdings Ltd</t>
        </is>
      </c>
      <c r="E39" s="31" t="inlineStr">
        <is>
          <t>Industrials</t>
        </is>
      </c>
      <c r="F39" s="31" t="inlineStr">
        <is>
          <t>Air Transport Service</t>
        </is>
      </c>
      <c r="G39" s="31" t="inlineStr">
        <is>
          <t>smallcap</t>
        </is>
      </c>
      <c r="H39" s="32" t="n">
        <v>4701.5</v>
      </c>
      <c r="I39" s="32" t="n">
        <v>1626.05</v>
      </c>
      <c r="J39" s="32" t="n">
        <v>-1.59</v>
      </c>
      <c r="K39" s="32" t="n">
        <v>0</v>
      </c>
      <c r="L39" s="31" t="n">
        <v>87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75.17</v>
      </c>
      <c r="P39" s="32" t="n">
        <v>45.99</v>
      </c>
      <c r="Q39" s="32" t="n">
        <v>1214.87</v>
      </c>
      <c r="R39" s="31" t="inlineStr">
        <is>
          <t>Near 52W High Breakout</t>
        </is>
      </c>
      <c r="S39" s="31" t="inlineStr">
        <is>
          <t>Nifty 50</t>
        </is>
      </c>
      <c r="T39" s="32" t="n">
        <v>-3.41</v>
      </c>
      <c r="U39" s="32" t="n">
        <v>77.15000000000001</v>
      </c>
      <c r="V39" s="32" t="n">
        <v>83.40000000000001</v>
      </c>
      <c r="W39" s="32" t="n">
        <v>32.4</v>
      </c>
      <c r="X39" s="31" t="inlineStr">
        <is>
          <t>Cyclical in an Upturn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Less than 50%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22</t>
        </is>
      </c>
      <c r="CG39" s="31">
        <f>IF(CF39&gt;20,10,IF(CF39&gt;=10,5,2))</f>
        <v/>
      </c>
    </row>
    <row r="40">
      <c r="A40" s="31">
        <f>IF(B40=0,"",RANK(B40,$B$2:$B$94,0))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OMAXE</t>
        </is>
      </c>
      <c r="D40" s="31" t="inlineStr">
        <is>
          <t>Omaxe Ltd</t>
        </is>
      </c>
      <c r="E40" s="31" t="inlineStr">
        <is>
          <t>realty</t>
        </is>
      </c>
      <c r="F40" s="31" t="inlineStr">
        <is>
          <t>Realty - Construction &amp; Contracting</t>
        </is>
      </c>
      <c r="G40" s="31" t="inlineStr">
        <is>
          <t>smallcap</t>
        </is>
      </c>
      <c r="H40" s="32" t="n">
        <v>2487.45</v>
      </c>
      <c r="I40" s="32" t="n">
        <v>136</v>
      </c>
      <c r="J40" s="32" t="n">
        <v>6.84</v>
      </c>
      <c r="K40" s="32" t="n">
        <v>0</v>
      </c>
      <c r="L40" s="31" t="n">
        <v>76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81.22</v>
      </c>
      <c r="P40" s="32" t="n">
        <v>35.54</v>
      </c>
      <c r="Q40" s="32" t="n">
        <v>97.29000000000001</v>
      </c>
      <c r="R40" s="31" t="inlineStr">
        <is>
          <t>Volume Spike &amp; Near 52W High Breakout</t>
        </is>
      </c>
      <c r="S40" s="31" t="inlineStr">
        <is>
          <t>Nifty Realty</t>
        </is>
      </c>
      <c r="T40" s="32" t="n">
        <v>-4.49</v>
      </c>
      <c r="U40" s="32" t="n">
        <v>44.82</v>
      </c>
      <c r="V40" s="32" t="n">
        <v>51.63</v>
      </c>
      <c r="W40" s="32" t="n">
        <v>23.51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22</t>
        </is>
      </c>
      <c r="CG40" s="31">
        <f>IF(CF40&gt;20,10,IF(CF40&gt;=10,5,2))</f>
        <v/>
      </c>
    </row>
    <row r="41">
      <c r="A41" s="31">
        <f>IF(B41=0,"",RANK(B41,$B$2:$B$94,0))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AVALON</t>
        </is>
      </c>
      <c r="D41" s="31" t="inlineStr">
        <is>
          <t>Avalon Technologies Ltd</t>
        </is>
      </c>
      <c r="E41" s="31" t="inlineStr">
        <is>
          <t>consumer discretionary</t>
        </is>
      </c>
      <c r="F41" s="31" t="inlineStr">
        <is>
          <t>Consumer Electronics - EMS</t>
        </is>
      </c>
      <c r="G41" s="31" t="inlineStr">
        <is>
          <t>midcap</t>
        </is>
      </c>
      <c r="H41" s="32" t="n">
        <v>14599.7</v>
      </c>
      <c r="I41" s="32" t="n">
        <v>2185.2</v>
      </c>
      <c r="J41" s="32" t="n">
        <v>-2.82</v>
      </c>
      <c r="K41" s="32" t="n">
        <v>0</v>
      </c>
      <c r="L41" s="31" t="n">
        <v>85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80.55</v>
      </c>
      <c r="P41" s="32" t="n">
        <v>59.79</v>
      </c>
      <c r="Q41" s="32" t="n">
        <v>1685.24</v>
      </c>
      <c r="R41" s="31" t="inlineStr">
        <is>
          <t>Near 52W High Breakout</t>
        </is>
      </c>
      <c r="S41" s="31" t="inlineStr">
        <is>
          <t>Nifty 50</t>
        </is>
      </c>
      <c r="T41" s="32" t="n">
        <v>-3.41</v>
      </c>
      <c r="U41" s="32" t="n">
        <v>138</v>
      </c>
      <c r="V41" s="32" t="n">
        <v>146.4</v>
      </c>
      <c r="W41" s="32" t="n">
        <v>29.47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21</t>
        </is>
      </c>
      <c r="CG41" s="31">
        <f>IF(CF41&gt;20,10,IF(CF41&gt;=10,5,2))</f>
        <v/>
      </c>
    </row>
    <row r="42">
      <c r="A42" s="31">
        <f>IF(B42=0,"",RANK(B42,$B$2:$B$94,0))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4" t="inlineStr">
        <is>
          <t>FOSECOC</t>
        </is>
      </c>
      <c r="D42" s="34" t="inlineStr">
        <is>
          <t>Foseco Crucible (India) Ltd</t>
        </is>
      </c>
      <c r="E42" s="31" t="inlineStr">
        <is>
          <t>Industrials</t>
        </is>
      </c>
      <c r="F42" s="31" t="inlineStr">
        <is>
          <t>Refractories</t>
        </is>
      </c>
      <c r="G42" s="31" t="inlineStr">
        <is>
          <t>smallcap</t>
        </is>
      </c>
      <c r="H42" s="32" t="n">
        <v>1013.6</v>
      </c>
      <c r="I42" s="32" t="n">
        <v>1810</v>
      </c>
      <c r="J42" s="32" t="n">
        <v>-1.03</v>
      </c>
      <c r="K42" s="32" t="n">
        <v>0</v>
      </c>
      <c r="L42" s="31" t="n">
        <v>52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69.7</v>
      </c>
      <c r="P42" s="32" t="n">
        <v>21.3</v>
      </c>
      <c r="Q42" s="32" t="n">
        <v>1423.83</v>
      </c>
      <c r="R42" s="31" t="inlineStr">
        <is>
          <t>Volume Spike &amp; Near 52W High Breakout</t>
        </is>
      </c>
      <c r="S42" s="31" t="inlineStr">
        <is>
          <t>Nifty 50</t>
        </is>
      </c>
      <c r="T42" s="32" t="n">
        <v>-3.41</v>
      </c>
      <c r="U42" s="32" t="n">
        <v>8.970000000000001</v>
      </c>
      <c r="V42" s="32" t="n">
        <v>12.82</v>
      </c>
      <c r="W42" s="32" t="n">
        <v>14.5</v>
      </c>
      <c r="X42" s="31" t="inlineStr">
        <is>
          <t>Cyclical in an Upturn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20</t>
        </is>
      </c>
      <c r="CG42" s="31">
        <f>IF(CF42&gt;20,10,IF(CF42&gt;=10,5,2))</f>
        <v/>
      </c>
    </row>
    <row r="43">
      <c r="A43" s="31">
        <f>IF(B43=0,"",RANK(B43,$B$2:$B$94,0))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4" t="inlineStr">
        <is>
          <t>SPORTKING</t>
        </is>
      </c>
      <c r="D43" s="34" t="inlineStr">
        <is>
          <t>Sportking India Ltd</t>
        </is>
      </c>
      <c r="E43" s="31" t="inlineStr">
        <is>
          <t>textiles</t>
        </is>
      </c>
      <c r="F43" s="31" t="inlineStr">
        <is>
          <t>Textiles - Spinning</t>
        </is>
      </c>
      <c r="G43" s="31" t="inlineStr">
        <is>
          <t>smallcap</t>
        </is>
      </c>
      <c r="H43" s="32" t="n">
        <v>2900.93</v>
      </c>
      <c r="I43" s="32" t="n">
        <v>228.29</v>
      </c>
      <c r="J43" s="32" t="n">
        <v>-1</v>
      </c>
      <c r="K43" s="32" t="n">
        <v>0</v>
      </c>
      <c r="L43" s="31" t="n">
        <v>79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75.01000000000001</v>
      </c>
      <c r="P43" s="32" t="n">
        <v>73.13</v>
      </c>
      <c r="Q43" s="32" t="n">
        <v>169.24</v>
      </c>
      <c r="R43" s="31" t="inlineStr">
        <is>
          <t>Near 52W High Breakout</t>
        </is>
      </c>
      <c r="S43" s="31" t="inlineStr">
        <is>
          <t>Nifty 50</t>
        </is>
      </c>
      <c r="T43" s="32" t="n">
        <v>-3.41</v>
      </c>
      <c r="U43" s="32" t="n">
        <v>111.75</v>
      </c>
      <c r="V43" s="32" t="n">
        <v>119.23</v>
      </c>
      <c r="W43" s="32" t="n">
        <v>24.85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19</t>
        </is>
      </c>
      <c r="CG43" s="31">
        <f>IF(CF43&gt;20,10,IF(CF43&gt;=10,5,2))</f>
        <v/>
      </c>
    </row>
    <row r="44">
      <c r="A44" s="31">
        <f>IF(B44=0,"",RANK(B44,$B$2:$B$94,0))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GHCLTEXTIL</t>
        </is>
      </c>
      <c r="D44" s="31" t="inlineStr">
        <is>
          <t>GHCL Textiles Ltd</t>
        </is>
      </c>
      <c r="E44" s="31" t="inlineStr">
        <is>
          <t>textiles</t>
        </is>
      </c>
      <c r="F44" s="31" t="inlineStr">
        <is>
          <t>Textiles - General</t>
        </is>
      </c>
      <c r="G44" s="31" t="inlineStr">
        <is>
          <t>smallcap</t>
        </is>
      </c>
      <c r="H44" s="32" t="n">
        <v>1306.75</v>
      </c>
      <c r="I44" s="32" t="n">
        <v>136.71</v>
      </c>
      <c r="J44" s="32" t="n">
        <v>-0.95</v>
      </c>
      <c r="K44" s="32" t="n">
        <v>0</v>
      </c>
      <c r="L44" s="31" t="n">
        <v>73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77.22</v>
      </c>
      <c r="P44" s="32" t="n">
        <v>42.9</v>
      </c>
      <c r="Q44" s="32" t="n">
        <v>106.58</v>
      </c>
      <c r="R44" s="31" t="inlineStr">
        <is>
          <t>Near 52W High Breakout</t>
        </is>
      </c>
      <c r="S44" s="31" t="inlineStr">
        <is>
          <t>Nifty 50</t>
        </is>
      </c>
      <c r="T44" s="32" t="n">
        <v>-3.41</v>
      </c>
      <c r="U44" s="32" t="n">
        <v>79.70999999999999</v>
      </c>
      <c r="V44" s="32" t="n">
        <v>86.06</v>
      </c>
      <c r="W44" s="32" t="n">
        <v>21.92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19</t>
        </is>
      </c>
      <c r="CG44" s="31">
        <f>IF(CF44&gt;20,10,IF(CF44&gt;=10,5,2))</f>
        <v/>
      </c>
    </row>
    <row r="45">
      <c r="A45" s="31">
        <f>IF(B45=0,"",RANK(B45,$B$2:$B$94,0))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HFCL</t>
        </is>
      </c>
      <c r="D45" s="31" t="inlineStr">
        <is>
          <t>HFCL Ltd</t>
        </is>
      </c>
      <c r="E45" s="31" t="inlineStr">
        <is>
          <t>Technology</t>
        </is>
      </c>
      <c r="F45" s="31" t="inlineStr">
        <is>
          <t>Telecom Services</t>
        </is>
      </c>
      <c r="G45" s="31" t="inlineStr">
        <is>
          <t>largecap</t>
        </is>
      </c>
      <c r="H45" s="32" t="n">
        <v>35424.26</v>
      </c>
      <c r="I45" s="32" t="n">
        <v>231.44</v>
      </c>
      <c r="J45" s="32" t="n">
        <v>5</v>
      </c>
      <c r="K45" s="32" t="n">
        <v>0</v>
      </c>
      <c r="L45" s="31" t="n">
        <v>94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70.37</v>
      </c>
      <c r="P45" s="32" t="n">
        <v>61.25</v>
      </c>
      <c r="Q45" s="32" t="n">
        <v>187.69</v>
      </c>
      <c r="R45" s="31" t="inlineStr">
        <is>
          <t>Earnings / Momentum Support</t>
        </is>
      </c>
      <c r="S45" s="31" t="inlineStr">
        <is>
          <t>Nifty 50</t>
        </is>
      </c>
      <c r="T45" s="32" t="n">
        <v>-3.41</v>
      </c>
      <c r="U45" s="32" t="n">
        <v>231.86</v>
      </c>
      <c r="V45" s="32" t="n">
        <v>243.57</v>
      </c>
      <c r="W45" s="32" t="n">
        <v>43.19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Oligopoly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22</t>
        </is>
      </c>
      <c r="CG45" s="31">
        <f>IF(CF45&gt;20,10,IF(CF45&gt;=10,5,2))</f>
        <v/>
      </c>
    </row>
    <row r="46">
      <c r="A46" s="31">
        <f>IF(B46=0,"",RANK(B46,$B$2:$B$94,0))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BODALCHEM</t>
        </is>
      </c>
      <c r="D46" s="31" t="inlineStr">
        <is>
          <t>Bodal Chemicals Ltd</t>
        </is>
      </c>
      <c r="E46" s="31" t="inlineStr">
        <is>
          <t>chemicals</t>
        </is>
      </c>
      <c r="F46" s="31" t="inlineStr">
        <is>
          <t>Dyes &amp; Pigments</t>
        </is>
      </c>
      <c r="G46" s="31" t="inlineStr">
        <is>
          <t>smallcap</t>
        </is>
      </c>
      <c r="H46" s="32" t="n">
        <v>1954.65</v>
      </c>
      <c r="I46" s="32" t="n">
        <v>155.2</v>
      </c>
      <c r="J46" s="32" t="n">
        <v>2.95</v>
      </c>
      <c r="K46" s="32" t="n">
        <v>0</v>
      </c>
      <c r="L46" s="31" t="n">
        <v>95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87.13</v>
      </c>
      <c r="P46" s="32" t="n">
        <v>36.18</v>
      </c>
      <c r="Q46" s="32" t="n">
        <v>120.87</v>
      </c>
      <c r="R46" s="31" t="inlineStr">
        <is>
          <t>Volume Spike &amp; Near 52W High Breakout</t>
        </is>
      </c>
      <c r="S46" s="31" t="inlineStr">
        <is>
          <t>Nifty IT</t>
        </is>
      </c>
      <c r="T46" s="32" t="n">
        <v>-11.38</v>
      </c>
      <c r="U46" s="32" t="n">
        <v>138.9</v>
      </c>
      <c r="V46" s="32" t="n">
        <v>169.57</v>
      </c>
      <c r="W46" s="32" t="n">
        <v>52.41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Between 0.7 to 1.2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27</t>
        </is>
      </c>
      <c r="CG46" s="31">
        <f>IF(CF46&gt;20,10,IF(CF46&gt;=10,5,2))</f>
        <v/>
      </c>
    </row>
    <row r="47">
      <c r="A47" s="31">
        <f>IF(B47=0,"",RANK(B47,$B$2:$B$94,0))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4" t="inlineStr">
        <is>
          <t>RGL</t>
        </is>
      </c>
      <c r="D47" s="34" t="inlineStr">
        <is>
          <t>Renaissance Global Ltd</t>
        </is>
      </c>
      <c r="E47" s="31" t="inlineStr">
        <is>
          <t>consumer discretionary</t>
        </is>
      </c>
      <c r="F47" s="31" t="inlineStr">
        <is>
          <t>Lab Grown Diamonds</t>
        </is>
      </c>
      <c r="G47" s="31" t="inlineStr">
        <is>
          <t>smallcap</t>
        </is>
      </c>
      <c r="H47" s="32" t="n">
        <v>1603.55</v>
      </c>
      <c r="I47" s="32" t="n">
        <v>149.35</v>
      </c>
      <c r="J47" s="32" t="n">
        <v>8.92</v>
      </c>
      <c r="K47" s="32" t="n">
        <v>0</v>
      </c>
      <c r="L47" s="31" t="n">
        <v>59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72.29000000000001</v>
      </c>
      <c r="P47" s="32" t="n">
        <v>21.48</v>
      </c>
      <c r="Q47" s="32" t="n">
        <v>110.78</v>
      </c>
      <c r="R47" s="31" t="inlineStr">
        <is>
          <t>Near 52W High Breakout</t>
        </is>
      </c>
      <c r="S47" s="31" t="inlineStr">
        <is>
          <t>Nifty 50</t>
        </is>
      </c>
      <c r="T47" s="32" t="n">
        <v>-3.41</v>
      </c>
      <c r="U47" s="32" t="n">
        <v>31.88</v>
      </c>
      <c r="V47" s="32" t="n">
        <v>36.53</v>
      </c>
      <c r="W47" s="32" t="n">
        <v>17.21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23</t>
        </is>
      </c>
      <c r="CG47" s="31">
        <f>IF(CF47&gt;20,10,IF(CF47&gt;=10,5,2))</f>
        <v/>
      </c>
    </row>
    <row r="48">
      <c r="A48" s="31">
        <f>IF(B48=0,"",RANK(B48,$B$2:$B$94,0))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TVSSRICHAK</t>
        </is>
      </c>
      <c r="D48" s="31" t="inlineStr">
        <is>
          <t>TVS Srichakra Ltd</t>
        </is>
      </c>
      <c r="E48" s="31" t="inlineStr">
        <is>
          <t>auto</t>
        </is>
      </c>
      <c r="F48" s="31" t="inlineStr">
        <is>
          <t>Tyres &amp; Tubes</t>
        </is>
      </c>
      <c r="G48" s="31" t="inlineStr">
        <is>
          <t>smallcap</t>
        </is>
      </c>
      <c r="H48" s="32" t="n">
        <v>3996.98</v>
      </c>
      <c r="I48" s="32" t="n">
        <v>5220</v>
      </c>
      <c r="J48" s="32" t="n">
        <v>-0.55</v>
      </c>
      <c r="K48" s="32" t="n">
        <v>0</v>
      </c>
      <c r="L48" s="31" t="n">
        <v>70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73.2</v>
      </c>
      <c r="P48" s="32" t="n">
        <v>29.36</v>
      </c>
      <c r="Q48" s="32" t="n">
        <v>4151.43</v>
      </c>
      <c r="R48" s="31" t="inlineStr">
        <is>
          <t>Near 52W High Breakout</t>
        </is>
      </c>
      <c r="S48" s="31" t="inlineStr">
        <is>
          <t>Nifty Auto</t>
        </is>
      </c>
      <c r="T48" s="32" t="n">
        <v>16.52</v>
      </c>
      <c r="U48" s="32" t="n">
        <v>75.77</v>
      </c>
      <c r="V48" s="32" t="n">
        <v>50.84</v>
      </c>
      <c r="W48" s="32" t="n">
        <v>21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23</t>
        </is>
      </c>
      <c r="CG48" s="31">
        <f>IF(CF48&gt;20,10,IF(CF48&gt;=10,5,2))</f>
        <v/>
      </c>
    </row>
    <row r="49">
      <c r="A49" s="31">
        <f>IF(B49=0,"",RANK(B49,$B$2:$B$94,0))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CHENNPETRO</t>
        </is>
      </c>
      <c r="D49" s="31" t="inlineStr">
        <is>
          <t>Chennai Petroleum Corporation Ltd</t>
        </is>
      </c>
      <c r="E49" s="31" t="inlineStr">
        <is>
          <t>energy</t>
        </is>
      </c>
      <c r="F49" s="31" t="inlineStr">
        <is>
          <t>Refineries</t>
        </is>
      </c>
      <c r="G49" s="31" t="inlineStr">
        <is>
          <t>largecap</t>
        </is>
      </c>
      <c r="H49" s="32" t="n">
        <v>21592.15</v>
      </c>
      <c r="I49" s="32" t="n">
        <v>1450</v>
      </c>
      <c r="J49" s="32" t="n">
        <v>0.6899999999999999</v>
      </c>
      <c r="K49" s="32" t="n">
        <v>0</v>
      </c>
      <c r="L49" s="31" t="n">
        <v>83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74.12</v>
      </c>
      <c r="P49" s="32" t="n">
        <v>56.62</v>
      </c>
      <c r="Q49" s="32" t="n">
        <v>1081.14</v>
      </c>
      <c r="R49" s="31" t="inlineStr">
        <is>
          <t>Near 52W High Breakout</t>
        </is>
      </c>
      <c r="S49" s="31" t="inlineStr">
        <is>
          <t>Nifty Energy</t>
        </is>
      </c>
      <c r="T49" s="32" t="n">
        <v>7.99</v>
      </c>
      <c r="U49" s="32" t="n">
        <v>123.79</v>
      </c>
      <c r="V49" s="32" t="n">
        <v>107.23</v>
      </c>
      <c r="W49" s="32" t="n">
        <v>27.78</v>
      </c>
      <c r="X49" s="31" t="inlineStr">
        <is>
          <t>Cyclical in an Upturn</t>
        </is>
      </c>
      <c r="Y49" s="31">
        <f>IF(X49="Growing Industry",10,IF(X49="Cyclical in an Upturn",5,0))</f>
        <v/>
      </c>
      <c r="Z49" s="31" t="inlineStr">
        <is>
          <t>Oligopoly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Cyclical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Volatile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23</t>
        </is>
      </c>
      <c r="CG49" s="31">
        <f>IF(CF49&gt;20,10,IF(CF49&gt;=10,5,2))</f>
        <v/>
      </c>
    </row>
    <row r="50">
      <c r="A50" s="31">
        <f>IF(B50=0,"",RANK(B50,$B$2:$B$94,0))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CRAFTSMAN</t>
        </is>
      </c>
      <c r="D50" s="31" t="inlineStr">
        <is>
          <t>Craftsman Automation Ltd</t>
        </is>
      </c>
      <c r="E50" s="31" t="inlineStr">
        <is>
          <t>auto</t>
        </is>
      </c>
      <c r="F50" s="31" t="inlineStr">
        <is>
          <t>Auto &amp; Auto Ancl - CV</t>
        </is>
      </c>
      <c r="G50" s="31" t="inlineStr">
        <is>
          <t>largecap</t>
        </is>
      </c>
      <c r="H50" s="32" t="n">
        <v>29711.44</v>
      </c>
      <c r="I50" s="32" t="n">
        <v>11360</v>
      </c>
      <c r="J50" s="32" t="n">
        <v>1.25</v>
      </c>
      <c r="K50" s="32" t="n">
        <v>0</v>
      </c>
      <c r="L50" s="31" t="n">
        <v>78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74.45</v>
      </c>
      <c r="P50" s="32" t="n">
        <v>65.94</v>
      </c>
      <c r="Q50" s="32" t="n">
        <v>9373.969999999999</v>
      </c>
      <c r="R50" s="31" t="inlineStr">
        <is>
          <t>Volume Spike &amp; Near 52W High Breakout</t>
        </is>
      </c>
      <c r="S50" s="31" t="inlineStr">
        <is>
          <t>Nifty Auto</t>
        </is>
      </c>
      <c r="T50" s="32" t="n">
        <v>16.52</v>
      </c>
      <c r="U50" s="32" t="n">
        <v>81.81999999999999</v>
      </c>
      <c r="V50" s="32" t="n">
        <v>56.04</v>
      </c>
      <c r="W50" s="32" t="n">
        <v>24.19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Between 0.7 to 1.2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23</t>
        </is>
      </c>
      <c r="CG50" s="31">
        <f>IF(CF50&gt;20,10,IF(CF50&gt;=10,5,2))</f>
        <v/>
      </c>
    </row>
    <row r="51">
      <c r="A51" s="31">
        <f>IF(B51=0,"",RANK(B51,$B$2:$B$94,0))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MACPOWER</t>
        </is>
      </c>
      <c r="D51" s="31" t="inlineStr">
        <is>
          <t>Macpower CNC Machines Ltd</t>
        </is>
      </c>
      <c r="E51" s="31" t="inlineStr">
        <is>
          <t>industrials</t>
        </is>
      </c>
      <c r="F51" s="31" t="inlineStr">
        <is>
          <t>CNC - Machines</t>
        </is>
      </c>
      <c r="G51" s="31" t="inlineStr">
        <is>
          <t>smallcap</t>
        </is>
      </c>
      <c r="H51" s="32" t="n">
        <v>1906.79</v>
      </c>
      <c r="I51" s="32" t="n">
        <v>1906</v>
      </c>
      <c r="J51" s="32" t="n">
        <v>-1.96</v>
      </c>
      <c r="K51" s="32" t="n">
        <v>0</v>
      </c>
      <c r="L51" s="31" t="n">
        <v>92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73.56</v>
      </c>
      <c r="P51" s="32" t="n">
        <v>40.15</v>
      </c>
      <c r="Q51" s="32" t="n">
        <v>1469.25</v>
      </c>
      <c r="R51" s="31" t="inlineStr">
        <is>
          <t>Earnings / Momentum Support</t>
        </is>
      </c>
      <c r="S51" s="31" t="inlineStr">
        <is>
          <t>Nifty 50</t>
        </is>
      </c>
      <c r="T51" s="32" t="n">
        <v>-3.41</v>
      </c>
      <c r="U51" s="32" t="n">
        <v>134.17</v>
      </c>
      <c r="V51" s="32" t="n">
        <v>142.43</v>
      </c>
      <c r="W51" s="32" t="n">
        <v>40.25</v>
      </c>
      <c r="X51" s="31" t="inlineStr">
        <is>
          <t>Cyclical in an Upturn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22</t>
        </is>
      </c>
      <c r="CG51" s="31">
        <f>IF(CF51&gt;20,10,IF(CF51&gt;=10,5,2))</f>
        <v/>
      </c>
    </row>
    <row r="52">
      <c r="A52" s="31">
        <f>IF(B52=0,"",RANK(B52,$B$2:$B$94,0))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THELEELA</t>
        </is>
      </c>
      <c r="D52" s="31" t="inlineStr">
        <is>
          <t>Leela Palaces Hotels &amp; Resorts Ltd</t>
        </is>
      </c>
      <c r="E52" s="31" t="inlineStr">
        <is>
          <t>services</t>
        </is>
      </c>
      <c r="F52" s="31" t="inlineStr">
        <is>
          <t>Hotels</t>
        </is>
      </c>
      <c r="G52" s="31" t="inlineStr">
        <is>
          <t>midcap</t>
        </is>
      </c>
      <c r="H52" s="32" t="n">
        <v>18568.06</v>
      </c>
      <c r="I52" s="32" t="n">
        <v>556</v>
      </c>
      <c r="J52" s="32" t="n">
        <v>-1.78</v>
      </c>
      <c r="K52" s="32" t="n">
        <v>0</v>
      </c>
      <c r="L52" s="31" t="n">
        <v>49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68.47</v>
      </c>
      <c r="P52" s="32" t="n">
        <v>37.61</v>
      </c>
      <c r="Q52" s="32" t="n">
        <v>457.49</v>
      </c>
      <c r="R52" s="31" t="inlineStr">
        <is>
          <t>Near 52W High Breakout</t>
        </is>
      </c>
      <c r="S52" s="31" t="inlineStr">
        <is>
          <t>Nifty 50</t>
        </is>
      </c>
      <c r="T52" s="32" t="n">
        <v>-3.41</v>
      </c>
      <c r="U52" s="32" t="n">
        <v>34.87</v>
      </c>
      <c r="V52" s="32" t="n">
        <v>39.63</v>
      </c>
      <c r="W52" s="32" t="n">
        <v>13.36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21</t>
        </is>
      </c>
      <c r="CG52" s="31">
        <f>IF(CF52&gt;20,10,IF(CF52&gt;=10,5,2))</f>
        <v/>
      </c>
    </row>
    <row r="53">
      <c r="A53" s="31">
        <f>IF(B53=0,"",RANK(B53,$B$2:$B$94,0))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BHEL</t>
        </is>
      </c>
      <c r="D53" s="31" t="inlineStr">
        <is>
          <t>Bharat Heavy Electricals Ltd</t>
        </is>
      </c>
      <c r="E53" s="31" t="inlineStr">
        <is>
          <t>industrials</t>
        </is>
      </c>
      <c r="F53" s="31" t="inlineStr">
        <is>
          <t>Capital Goods - Engineering Heavy</t>
        </is>
      </c>
      <c r="G53" s="31" t="inlineStr">
        <is>
          <t>largecap</t>
        </is>
      </c>
      <c r="H53" s="32" t="n">
        <v>150111.75</v>
      </c>
      <c r="I53" s="32" t="n">
        <v>431.1</v>
      </c>
      <c r="J53" s="32" t="n">
        <v>-0.16</v>
      </c>
      <c r="K53" s="32" t="n">
        <v>0</v>
      </c>
      <c r="L53" s="31" t="n">
        <v>66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66.12</v>
      </c>
      <c r="P53" s="32" t="n">
        <v>37</v>
      </c>
      <c r="Q53" s="32" t="n">
        <v>346.79</v>
      </c>
      <c r="R53" s="31" t="inlineStr">
        <is>
          <t>Near 52W High Breakout</t>
        </is>
      </c>
      <c r="S53" s="31" t="inlineStr">
        <is>
          <t>Nifty 50</t>
        </is>
      </c>
      <c r="T53" s="32" t="n">
        <v>-3.41</v>
      </c>
      <c r="U53" s="32" t="n">
        <v>103.66</v>
      </c>
      <c r="V53" s="32" t="n">
        <v>110.85</v>
      </c>
      <c r="W53" s="32" t="n">
        <v>19.4</v>
      </c>
      <c r="X53" s="31" t="inlineStr">
        <is>
          <t>Cyclical in an Upturn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Between 1.5 to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21</t>
        </is>
      </c>
      <c r="CG53" s="31">
        <f>IF(CF53&gt;20,10,IF(CF53&gt;=10,5,2))</f>
        <v/>
      </c>
    </row>
    <row r="54">
      <c r="A54" s="31">
        <f>IF(B54=0,"",RANK(B54,$B$2:$B$94,0))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GANDHAR</t>
        </is>
      </c>
      <c r="D54" s="31" t="inlineStr">
        <is>
          <t>Gandhar Oil Refinery (India) Ltd</t>
        </is>
      </c>
      <c r="E54" s="31" t="inlineStr">
        <is>
          <t>energy</t>
        </is>
      </c>
      <c r="F54" s="31" t="inlineStr">
        <is>
          <t>Refineries</t>
        </is>
      </c>
      <c r="G54" s="31" t="inlineStr">
        <is>
          <t>smallcap</t>
        </is>
      </c>
      <c r="H54" s="32" t="n">
        <v>2623.17</v>
      </c>
      <c r="I54" s="32" t="n">
        <v>268</v>
      </c>
      <c r="J54" s="32" t="n">
        <v>0.22</v>
      </c>
      <c r="K54" s="32" t="n">
        <v>0</v>
      </c>
      <c r="L54" s="31" t="n">
        <v>89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69.98999999999999</v>
      </c>
      <c r="P54" s="32" t="n">
        <v>70.70999999999999</v>
      </c>
      <c r="Q54" s="32" t="n">
        <v>213.36</v>
      </c>
      <c r="R54" s="31" t="inlineStr">
        <is>
          <t>Near 52W High Breakout</t>
        </is>
      </c>
      <c r="S54" s="31" t="inlineStr">
        <is>
          <t>Nifty Energy</t>
        </is>
      </c>
      <c r="T54" s="32" t="n">
        <v>7.99</v>
      </c>
      <c r="U54" s="32" t="n">
        <v>62.61</v>
      </c>
      <c r="V54" s="32" t="n">
        <v>50.58</v>
      </c>
      <c r="W54" s="32" t="n">
        <v>35.89</v>
      </c>
      <c r="X54" s="31" t="inlineStr">
        <is>
          <t>Cyclical in an Upturn</t>
        </is>
      </c>
      <c r="Y54" s="31">
        <f>IF(X54="Growing Industry",10,IF(X54="Cyclical in an Upturn",5,0))</f>
        <v/>
      </c>
      <c r="Z54" s="31" t="inlineStr">
        <is>
          <t>Oligopoly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Cyclical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Volatile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20</t>
        </is>
      </c>
      <c r="CG54" s="31">
        <f>IF(CF54&gt;20,10,IF(CF54&gt;=10,5,2))</f>
        <v/>
      </c>
    </row>
    <row r="55">
      <c r="A55" s="31">
        <f>IF(B55=0,"",RANK(B55,$B$2:$B$94,0))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ACMESOLAR</t>
        </is>
      </c>
      <c r="D55" s="31" t="inlineStr">
        <is>
          <t>ACME Solar Holdings Ltd</t>
        </is>
      </c>
      <c r="E55" s="31" t="inlineStr">
        <is>
          <t>realty</t>
        </is>
      </c>
      <c r="F55" s="31" t="inlineStr">
        <is>
          <t>Engineering - Turnkey Services</t>
        </is>
      </c>
      <c r="G55" s="31" t="inlineStr">
        <is>
          <t>largecap</t>
        </is>
      </c>
      <c r="H55" s="32" t="n">
        <v>29618.03</v>
      </c>
      <c r="I55" s="32" t="n">
        <v>419</v>
      </c>
      <c r="J55" s="32" t="n">
        <v>4.25</v>
      </c>
      <c r="K55" s="32" t="n">
        <v>0</v>
      </c>
      <c r="L55" s="31" t="n">
        <v>69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71.67</v>
      </c>
      <c r="P55" s="32" t="n">
        <v>46.88</v>
      </c>
      <c r="Q55" s="32" t="n">
        <v>324.62</v>
      </c>
      <c r="R55" s="31" t="inlineStr">
        <is>
          <t>Near 52W High Breakout</t>
        </is>
      </c>
      <c r="S55" s="31" t="inlineStr">
        <is>
          <t>Nifty Realty</t>
        </is>
      </c>
      <c r="T55" s="32" t="n">
        <v>-4.49</v>
      </c>
      <c r="U55" s="32" t="n">
        <v>54.69</v>
      </c>
      <c r="V55" s="32" t="n">
        <v>61.97</v>
      </c>
      <c r="W55" s="32" t="n">
        <v>20.47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More than 1.2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20</t>
        </is>
      </c>
      <c r="CG55" s="31">
        <f>IF(CF55&gt;20,10,IF(CF55&gt;=10,5,2))</f>
        <v/>
      </c>
    </row>
    <row r="56">
      <c r="A56" s="31">
        <f>IF(B56=0,"",RANK(B56,$B$2:$B$94,0))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WELSPUNLIV</t>
        </is>
      </c>
      <c r="D56" s="31" t="inlineStr">
        <is>
          <t>Welspun Living Ltd</t>
        </is>
      </c>
      <c r="E56" s="31" t="inlineStr">
        <is>
          <t>textiles</t>
        </is>
      </c>
      <c r="F56" s="31" t="inlineStr">
        <is>
          <t>Textiles - Home Textile</t>
        </is>
      </c>
      <c r="G56" s="31" t="inlineStr">
        <is>
          <t>midcap</t>
        </is>
      </c>
      <c r="H56" s="32" t="n">
        <v>19792.57</v>
      </c>
      <c r="I56" s="32" t="n">
        <v>209.5</v>
      </c>
      <c r="J56" s="32" t="n">
        <v>4.43</v>
      </c>
      <c r="K56" s="32" t="n">
        <v>0</v>
      </c>
      <c r="L56" s="31" t="n">
        <v>76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78.84</v>
      </c>
      <c r="P56" s="32" t="n">
        <v>38.42</v>
      </c>
      <c r="Q56" s="32" t="n">
        <v>166.35</v>
      </c>
      <c r="R56" s="31" t="inlineStr">
        <is>
          <t>Near 52W High Breakout</t>
        </is>
      </c>
      <c r="S56" s="31" t="inlineStr">
        <is>
          <t>Nifty 50</t>
        </is>
      </c>
      <c r="T56" s="32" t="n">
        <v>-3.41</v>
      </c>
      <c r="U56" s="32" t="n">
        <v>82.98</v>
      </c>
      <c r="V56" s="32" t="n">
        <v>89.44</v>
      </c>
      <c r="W56" s="32" t="n">
        <v>23.59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20</t>
        </is>
      </c>
      <c r="CG56" s="31">
        <f>IF(CF56&gt;20,10,IF(CF56&gt;=10,5,2))</f>
        <v/>
      </c>
    </row>
    <row r="57">
      <c r="A57" s="31">
        <f>IF(B57=0,"",RANK(B57,$B$2:$B$94,0))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COFORGE</t>
        </is>
      </c>
      <c r="D57" s="31" t="inlineStr">
        <is>
          <t>Coforge Ltd</t>
        </is>
      </c>
      <c r="E57" s="31" t="inlineStr">
        <is>
          <t>i.t</t>
        </is>
      </c>
      <c r="F57" s="31" t="inlineStr">
        <is>
          <t>IT - Software</t>
        </is>
      </c>
      <c r="G57" s="31" t="inlineStr">
        <is>
          <t>largecap</t>
        </is>
      </c>
      <c r="H57" s="32" t="n">
        <v>87379.35000000001</v>
      </c>
      <c r="I57" s="32" t="n">
        <v>1972.8</v>
      </c>
      <c r="J57" s="32" t="n">
        <v>0.05</v>
      </c>
      <c r="K57" s="32" t="n">
        <v>0</v>
      </c>
      <c r="L57" s="31" t="n">
        <v>55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71.03</v>
      </c>
      <c r="P57" s="32" t="n">
        <v>19.67</v>
      </c>
      <c r="Q57" s="32" t="n">
        <v>1638.91</v>
      </c>
      <c r="R57" s="31" t="inlineStr">
        <is>
          <t>Near 52W High Breakout</t>
        </is>
      </c>
      <c r="S57" s="31" t="inlineStr">
        <is>
          <t>Nifty IT</t>
        </is>
      </c>
      <c r="T57" s="32" t="n">
        <v>-11.38</v>
      </c>
      <c r="U57" s="32" t="n">
        <v>20.07</v>
      </c>
      <c r="V57" s="32" t="n">
        <v>35.48</v>
      </c>
      <c r="W57" s="32" t="n">
        <v>15.61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0 to 20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20</t>
        </is>
      </c>
      <c r="CG57" s="31">
        <f>IF(CF57&gt;20,10,IF(CF57&gt;=10,5,2))</f>
        <v/>
      </c>
    </row>
    <row r="58">
      <c r="A58" s="31">
        <f>IF(B58=0,"",RANK(B58,$B$2:$B$94,0))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BHAGERIA</t>
        </is>
      </c>
      <c r="D58" s="31" t="inlineStr">
        <is>
          <t>Bhageria Industries Ltd</t>
        </is>
      </c>
      <c r="E58" s="31" t="inlineStr">
        <is>
          <t>chemicals</t>
        </is>
      </c>
      <c r="F58" s="31" t="inlineStr">
        <is>
          <t>Dyes &amp; Pigments</t>
        </is>
      </c>
      <c r="G58" s="31" t="inlineStr">
        <is>
          <t>smallcap</t>
        </is>
      </c>
      <c r="H58" s="32" t="n">
        <v>1329.62</v>
      </c>
      <c r="I58" s="32" t="n">
        <v>304.65</v>
      </c>
      <c r="J58" s="32" t="n">
        <v>5</v>
      </c>
      <c r="K58" s="32" t="n">
        <v>0</v>
      </c>
      <c r="L58" s="31" t="n">
        <v>71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75.22</v>
      </c>
      <c r="P58" s="32" t="n">
        <v>34.83</v>
      </c>
      <c r="Q58" s="32" t="n">
        <v>231.92</v>
      </c>
      <c r="R58" s="31" t="inlineStr">
        <is>
          <t>Volume Spike &amp; Near 52W High Breakout</t>
        </is>
      </c>
      <c r="S58" s="31" t="inlineStr">
        <is>
          <t>Nifty IT</t>
        </is>
      </c>
      <c r="T58" s="32" t="n">
        <v>-11.38</v>
      </c>
      <c r="U58" s="32" t="n">
        <v>54.84</v>
      </c>
      <c r="V58" s="32" t="n">
        <v>74.72</v>
      </c>
      <c r="W58" s="32" t="n">
        <v>21.39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27</t>
        </is>
      </c>
      <c r="CG58" s="31">
        <f>IF(CF58&gt;20,10,IF(CF58&gt;=10,5,2))</f>
        <v/>
      </c>
    </row>
    <row r="59">
      <c r="A59" s="31">
        <f>IF(B59=0,"",RANK(B59,$B$2:$B$94,0))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3" t="inlineStr">
        <is>
          <t>AEROENTER</t>
        </is>
      </c>
      <c r="D59" s="33" t="inlineStr">
        <is>
          <t>Aeroflex Enterprises Ltd</t>
        </is>
      </c>
      <c r="E59" s="31" t="inlineStr">
        <is>
          <t>metals &amp; mining</t>
        </is>
      </c>
      <c r="F59" s="31" t="inlineStr">
        <is>
          <t>Miscellaneous</t>
        </is>
      </c>
      <c r="G59" s="31" t="inlineStr">
        <is>
          <t>smallcap</t>
        </is>
      </c>
      <c r="H59" s="32" t="n">
        <v>1629.56</v>
      </c>
      <c r="I59" s="32" t="n">
        <v>144</v>
      </c>
      <c r="J59" s="32" t="n">
        <v>0.8</v>
      </c>
      <c r="K59" s="32" t="n">
        <v>0</v>
      </c>
      <c r="L59" s="31" t="n">
        <v>69</v>
      </c>
      <c r="M59" s="31" t="inlineStr">
        <is>
          <t>Underperforming</t>
        </is>
      </c>
      <c r="N59" s="32">
        <f>IF(M59="Underperforming",-5,IF(L59&gt;=95,15,IF(L59&gt;=90,10,IF(L59&gt;=80,5,0))))</f>
        <v/>
      </c>
      <c r="O59" s="32" t="n">
        <v>66.15000000000001</v>
      </c>
      <c r="P59" s="32" t="n">
        <v>53.16</v>
      </c>
      <c r="Q59" s="32" t="n">
        <v>106.2</v>
      </c>
      <c r="R59" s="31" t="inlineStr">
        <is>
          <t>Near 52W High Breakout</t>
        </is>
      </c>
      <c r="S59" s="31" t="inlineStr">
        <is>
          <t>Nifty Metal</t>
        </is>
      </c>
      <c r="T59" s="32" t="n">
        <v>41.3</v>
      </c>
      <c r="U59" s="32" t="n">
        <v>38.56</v>
      </c>
      <c r="V59" s="32" t="n">
        <v>-1.94</v>
      </c>
      <c r="W59" s="32" t="n">
        <v>20.14</v>
      </c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Cyclical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Volatile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25</t>
        </is>
      </c>
      <c r="CG59" s="31">
        <f>IF(CF59&gt;20,10,IF(CF59&gt;=10,5,2))</f>
        <v/>
      </c>
    </row>
    <row r="60">
      <c r="A60" s="31">
        <f>IF(B60=0,"",RANK(B60,$B$2:$B$94,0))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STLTECH</t>
        </is>
      </c>
      <c r="D60" s="31" t="inlineStr">
        <is>
          <t>Sterlite Technologies Ltd</t>
        </is>
      </c>
      <c r="E60" s="31" t="inlineStr">
        <is>
          <t>industrials</t>
        </is>
      </c>
      <c r="F60" s="31" t="inlineStr">
        <is>
          <t>Cables - Telecom</t>
        </is>
      </c>
      <c r="G60" s="31" t="inlineStr">
        <is>
          <t>largecap</t>
        </is>
      </c>
      <c r="H60" s="32" t="n">
        <v>38486.81</v>
      </c>
      <c r="I60" s="32" t="n">
        <v>748.9</v>
      </c>
      <c r="J60" s="32" t="n">
        <v>5</v>
      </c>
      <c r="K60" s="32" t="n">
        <v>0</v>
      </c>
      <c r="L60" s="31" t="n">
        <v>99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77.5</v>
      </c>
      <c r="P60" s="32" t="n">
        <v>75.63</v>
      </c>
      <c r="Q60" s="32" t="n">
        <v>534.5</v>
      </c>
      <c r="R60" s="31" t="inlineStr">
        <is>
          <t>Near 52W High Breakout</t>
        </is>
      </c>
      <c r="S60" s="31" t="inlineStr">
        <is>
          <t>Nifty Infra</t>
        </is>
      </c>
      <c r="T60" s="32" t="n">
        <v>1.45</v>
      </c>
      <c r="U60" s="32" t="n">
        <v>538.5</v>
      </c>
      <c r="V60" s="32" t="n">
        <v>529.39</v>
      </c>
      <c r="W60" s="32" t="n">
        <v>107.91</v>
      </c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Oligopoly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Between 0.7 to 1.2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22</t>
        </is>
      </c>
      <c r="CG60" s="31">
        <f>IF(CF60&gt;20,10,IF(CF60&gt;=10,5,2))</f>
        <v/>
      </c>
    </row>
    <row r="61">
      <c r="A61" s="31">
        <f>IF(B61=0,"",RANK(B61,$B$2:$B$94,0))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BOSCH-HCIL</t>
        </is>
      </c>
      <c r="D61" s="31" t="inlineStr">
        <is>
          <t>Bosch Home Comfort India Ltd</t>
        </is>
      </c>
      <c r="E61" s="31" t="inlineStr">
        <is>
          <t>consumer discretionary</t>
        </is>
      </c>
      <c r="F61" s="31" t="inlineStr">
        <is>
          <t>Consumer Electronics</t>
        </is>
      </c>
      <c r="G61" s="31" t="inlineStr">
        <is>
          <t>smallcap</t>
        </is>
      </c>
      <c r="H61" s="32" t="n">
        <v>4984.09</v>
      </c>
      <c r="I61" s="32" t="n">
        <v>1833</v>
      </c>
      <c r="J61" s="32" t="n">
        <v>3.11</v>
      </c>
      <c r="K61" s="32" t="n">
        <v>0</v>
      </c>
      <c r="L61" s="31" t="n">
        <v>34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71.68000000000001</v>
      </c>
      <c r="P61" s="32" t="n">
        <v>24.5</v>
      </c>
      <c r="Q61" s="32" t="n">
        <v>1468.12</v>
      </c>
      <c r="R61" s="31" t="inlineStr">
        <is>
          <t>Near 52W High Breakout</t>
        </is>
      </c>
      <c r="S61" s="31" t="inlineStr">
        <is>
          <t>Nifty 50</t>
        </is>
      </c>
      <c r="T61" s="32" t="n">
        <v>-3.41</v>
      </c>
      <c r="U61" s="32" t="n">
        <v>5.17</v>
      </c>
      <c r="V61" s="32" t="n">
        <v>8.880000000000001</v>
      </c>
      <c r="W61" s="32" t="n">
        <v>8.710000000000001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21</t>
        </is>
      </c>
      <c r="CG61" s="31">
        <f>IF(CF61&gt;20,10,IF(CF61&gt;=10,5,2))</f>
        <v/>
      </c>
    </row>
    <row r="62">
      <c r="A62" s="31">
        <f>IF(B62=0,"",RANK(B62,$B$2:$B$94,0))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4" t="inlineStr">
        <is>
          <t>NRAIL</t>
        </is>
      </c>
      <c r="D62" s="34" t="inlineStr">
        <is>
          <t>N R Agarwal Industries Ltd</t>
        </is>
      </c>
      <c r="E62" s="31" t="inlineStr">
        <is>
          <t>building materials</t>
        </is>
      </c>
      <c r="F62" s="31" t="inlineStr">
        <is>
          <t>Paper</t>
        </is>
      </c>
      <c r="G62" s="31" t="inlineStr">
        <is>
          <t>smallcap</t>
        </is>
      </c>
      <c r="H62" s="32" t="n">
        <v>1012.64</v>
      </c>
      <c r="I62" s="32" t="n">
        <v>595</v>
      </c>
      <c r="J62" s="32" t="n">
        <v>19.95</v>
      </c>
      <c r="K62" s="32" t="n">
        <v>0</v>
      </c>
      <c r="L62" s="31" t="n">
        <v>60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65.39</v>
      </c>
      <c r="P62" s="32" t="n">
        <v>29.32</v>
      </c>
      <c r="Q62" s="32" t="n">
        <v>423.24</v>
      </c>
      <c r="R62" s="31" t="inlineStr">
        <is>
          <t>Volume Spike &amp; Near 52W High Breakout</t>
        </is>
      </c>
      <c r="S62" s="31" t="inlineStr">
        <is>
          <t>Nifty Infra</t>
        </is>
      </c>
      <c r="T62" s="32" t="n">
        <v>1.45</v>
      </c>
      <c r="U62" s="32" t="n">
        <v>70.3</v>
      </c>
      <c r="V62" s="32" t="n">
        <v>67.87</v>
      </c>
      <c r="W62" s="32" t="n">
        <v>17.26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Between 0.7 to 1.2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21</t>
        </is>
      </c>
      <c r="CG62" s="31">
        <f>IF(CF62&gt;20,10,IF(CF62&gt;=10,5,2))</f>
        <v/>
      </c>
    </row>
    <row r="63">
      <c r="A63" s="31">
        <f>IF(B63=0,"",RANK(B63,$B$2:$B$94,0))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PRECWIRE</t>
        </is>
      </c>
      <c r="D63" s="31" t="inlineStr">
        <is>
          <t>Precision Wires India Ltd</t>
        </is>
      </c>
      <c r="E63" s="31" t="inlineStr">
        <is>
          <t>metals &amp; mining</t>
        </is>
      </c>
      <c r="F63" s="31" t="inlineStr">
        <is>
          <t>Copper Wires</t>
        </is>
      </c>
      <c r="G63" s="31" t="inlineStr">
        <is>
          <t>midcap</t>
        </is>
      </c>
      <c r="H63" s="32" t="n">
        <v>8628.540000000001</v>
      </c>
      <c r="I63" s="32" t="n">
        <v>472</v>
      </c>
      <c r="J63" s="32" t="n">
        <v>-3.25</v>
      </c>
      <c r="K63" s="32" t="n">
        <v>0</v>
      </c>
      <c r="L63" s="31" t="n">
        <v>84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63.66</v>
      </c>
      <c r="P63" s="32" t="n">
        <v>41.9</v>
      </c>
      <c r="Q63" s="32" t="n">
        <v>370.83</v>
      </c>
      <c r="R63" s="31" t="inlineStr">
        <is>
          <t>Volume Spike / Accumulation</t>
        </is>
      </c>
      <c r="S63" s="31" t="inlineStr">
        <is>
          <t>Nifty Metal</t>
        </is>
      </c>
      <c r="T63" s="32" t="n">
        <v>41.3</v>
      </c>
      <c r="U63" s="32" t="n">
        <v>160.96</v>
      </c>
      <c r="V63" s="32" t="n">
        <v>84.69</v>
      </c>
      <c r="W63" s="32" t="n">
        <v>28.42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Cyclical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Volatile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20</t>
        </is>
      </c>
      <c r="CG63" s="31">
        <f>IF(CF63&gt;20,10,IF(CF63&gt;=10,5,2))</f>
        <v/>
      </c>
    </row>
    <row r="64">
      <c r="A64" s="31">
        <f>IF(B64=0,"",RANK(B64,$B$2:$B$94,0))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AEROFLEX</t>
        </is>
      </c>
      <c r="D64" s="31" t="inlineStr">
        <is>
          <t>Aeroflex Industries Ltd</t>
        </is>
      </c>
      <c r="E64" s="31" t="inlineStr">
        <is>
          <t>metals &amp; mining</t>
        </is>
      </c>
      <c r="F64" s="31" t="inlineStr">
        <is>
          <t>Stainless Steel</t>
        </is>
      </c>
      <c r="G64" s="31" t="inlineStr">
        <is>
          <t>midcap</t>
        </is>
      </c>
      <c r="H64" s="32" t="n">
        <v>7145.2</v>
      </c>
      <c r="I64" s="32" t="n">
        <v>539.95</v>
      </c>
      <c r="J64" s="32" t="n">
        <v>-0.41</v>
      </c>
      <c r="K64" s="32" t="n">
        <v>0</v>
      </c>
      <c r="L64" s="31" t="n">
        <v>94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71.39</v>
      </c>
      <c r="P64" s="32" t="n">
        <v>62.21</v>
      </c>
      <c r="Q64" s="32" t="n">
        <v>389.61</v>
      </c>
      <c r="R64" s="31" t="inlineStr">
        <is>
          <t>Near 52W High Breakout</t>
        </is>
      </c>
      <c r="S64" s="31" t="inlineStr">
        <is>
          <t>Nifty Metal</t>
        </is>
      </c>
      <c r="T64" s="32" t="n">
        <v>41.3</v>
      </c>
      <c r="U64" s="32" t="n">
        <v>161.62</v>
      </c>
      <c r="V64" s="32" t="n">
        <v>85.15000000000001</v>
      </c>
      <c r="W64" s="32" t="n">
        <v>47.63</v>
      </c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Cyclical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Volatile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19</t>
        </is>
      </c>
      <c r="CG64" s="31">
        <f>IF(CF64&gt;20,10,IF(CF64&gt;=10,5,2))</f>
        <v/>
      </c>
    </row>
    <row r="65">
      <c r="A65" s="31">
        <f>IF(B65=0,"",RANK(B65,$B$2:$B$94,0))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ENTERO</t>
        </is>
      </c>
      <c r="D65" s="31" t="inlineStr">
        <is>
          <t>Entero Healthcare Solutions Ltd</t>
        </is>
      </c>
      <c r="E65" s="31" t="inlineStr">
        <is>
          <t>healthcare</t>
        </is>
      </c>
      <c r="F65" s="31" t="inlineStr">
        <is>
          <t>Pharmacy Distribution</t>
        </is>
      </c>
      <c r="G65" s="31" t="inlineStr">
        <is>
          <t>midcap</t>
        </is>
      </c>
      <c r="H65" s="32" t="n">
        <v>7942.09</v>
      </c>
      <c r="I65" s="32" t="n">
        <v>1824.8</v>
      </c>
      <c r="J65" s="32" t="n">
        <v>-1.26</v>
      </c>
      <c r="K65" s="32" t="n">
        <v>0</v>
      </c>
      <c r="L65" s="31" t="n">
        <v>78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78.33</v>
      </c>
      <c r="P65" s="32" t="n">
        <v>33.27</v>
      </c>
      <c r="Q65" s="32" t="n">
        <v>1440.32</v>
      </c>
      <c r="R65" s="31" t="inlineStr">
        <is>
          <t>Near 52W High Breakout</t>
        </is>
      </c>
      <c r="S65" s="31" t="inlineStr">
        <is>
          <t>Nifty Pharma</t>
        </is>
      </c>
      <c r="T65" s="32" t="n">
        <v>20.77</v>
      </c>
      <c r="U65" s="32" t="n">
        <v>51.88</v>
      </c>
      <c r="V65" s="32" t="n">
        <v>25.76</v>
      </c>
      <c r="W65" s="32" t="n">
        <v>24.35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Annuity, Lower One Time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Between 1.5 to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28</t>
        </is>
      </c>
      <c r="CG65" s="31">
        <f>IF(CF65&gt;20,10,IF(CF65&gt;=10,5,2))</f>
        <v/>
      </c>
    </row>
    <row r="66">
      <c r="A66" s="31">
        <f>IF(B66=0,"",RANK(B66,$B$2:$B$94,0))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3" t="inlineStr">
        <is>
          <t>SYNCOMF</t>
        </is>
      </c>
      <c r="D66" s="33" t="inlineStr">
        <is>
          <t>Syncom Formulations (India) Ltd</t>
        </is>
      </c>
      <c r="E66" s="31" t="inlineStr">
        <is>
          <t>healthcare</t>
        </is>
      </c>
      <c r="F66" s="31" t="inlineStr">
        <is>
          <t>Pharma - Others</t>
        </is>
      </c>
      <c r="G66" s="31" t="inlineStr">
        <is>
          <t>smallcap</t>
        </is>
      </c>
      <c r="H66" s="32" t="n">
        <v>1918.54</v>
      </c>
      <c r="I66" s="32" t="n">
        <v>20.41</v>
      </c>
      <c r="J66" s="32" t="n">
        <v>-4.45</v>
      </c>
      <c r="K66" s="32" t="n">
        <v>0</v>
      </c>
      <c r="L66" s="31" t="n">
        <v>52</v>
      </c>
      <c r="M66" s="31" t="inlineStr">
        <is>
          <t>Underperforming</t>
        </is>
      </c>
      <c r="N66" s="32">
        <f>IF(M66="Underperforming",-5,IF(L66&gt;=95,15,IF(L66&gt;=90,10,IF(L66&gt;=80,5,0))))</f>
        <v/>
      </c>
      <c r="O66" s="32" t="n">
        <v>76.81999999999999</v>
      </c>
      <c r="P66" s="32" t="n">
        <v>23.41</v>
      </c>
      <c r="Q66" s="32" t="n">
        <v>15.49</v>
      </c>
      <c r="R66" s="31" t="inlineStr">
        <is>
          <t>Volume Spike &amp; Near 52W High Breakout</t>
        </is>
      </c>
      <c r="S66" s="31" t="inlineStr">
        <is>
          <t>Nifty Pharma</t>
        </is>
      </c>
      <c r="T66" s="32" t="n">
        <v>20.77</v>
      </c>
      <c r="U66" s="32" t="n">
        <v>19.58</v>
      </c>
      <c r="V66" s="32" t="n">
        <v>-0.98</v>
      </c>
      <c r="W66" s="32" t="n">
        <v>14.41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Annuity, Lower One Time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20</t>
        </is>
      </c>
      <c r="CG66" s="31">
        <f>IF(CF66&gt;20,10,IF(CF66&gt;=10,5,2))</f>
        <v/>
      </c>
    </row>
    <row r="67">
      <c r="A67" s="31">
        <f>IF(B67=0,"",RANK(B67,$B$2:$B$94,0))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4" t="inlineStr">
        <is>
          <t>ENGINERSIN</t>
        </is>
      </c>
      <c r="D67" s="34" t="inlineStr">
        <is>
          <t>Engineers India Ltd</t>
        </is>
      </c>
      <c r="E67" s="31" t="inlineStr">
        <is>
          <t>realty</t>
        </is>
      </c>
      <c r="F67" s="31" t="inlineStr">
        <is>
          <t>Infra - Engineering - General</t>
        </is>
      </c>
      <c r="G67" s="31" t="inlineStr">
        <is>
          <t>midcap</t>
        </is>
      </c>
      <c r="H67" s="32" t="n">
        <v>15737.19</v>
      </c>
      <c r="I67" s="32" t="n">
        <v>280</v>
      </c>
      <c r="J67" s="32" t="n">
        <v>-0.6899999999999999</v>
      </c>
      <c r="K67" s="32" t="n">
        <v>0</v>
      </c>
      <c r="L67" s="31" t="n">
        <v>39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68.13</v>
      </c>
      <c r="P67" s="32" t="n">
        <v>13.63</v>
      </c>
      <c r="Q67" s="32" t="n">
        <v>221.23</v>
      </c>
      <c r="R67" s="31" t="inlineStr">
        <is>
          <t>Volume Spike &amp; Near 52W High Breakout</t>
        </is>
      </c>
      <c r="S67" s="31" t="inlineStr">
        <is>
          <t>Nifty Realty</t>
        </is>
      </c>
      <c r="T67" s="32" t="n">
        <v>-4.49</v>
      </c>
      <c r="U67" s="32" t="n">
        <v>24.59</v>
      </c>
      <c r="V67" s="32" t="n">
        <v>30.45</v>
      </c>
      <c r="W67" s="32" t="n">
        <v>9.710000000000001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0 to 20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22</t>
        </is>
      </c>
      <c r="CG67" s="31">
        <f>IF(CF67&gt;20,10,IF(CF67&gt;=10,5,2))</f>
        <v/>
      </c>
    </row>
    <row r="68">
      <c r="A68" s="31">
        <f>IF(B68=0,"",RANK(B68,$B$2:$B$94,0))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MMP</t>
        </is>
      </c>
      <c r="D68" s="31" t="inlineStr">
        <is>
          <t>MMP Industries Ltd</t>
        </is>
      </c>
      <c r="E68" s="31" t="inlineStr">
        <is>
          <t>metals &amp; mining</t>
        </is>
      </c>
      <c r="F68" s="31" t="inlineStr">
        <is>
          <t>Aluminium Products</t>
        </is>
      </c>
      <c r="G68" s="31" t="inlineStr">
        <is>
          <t>smallcap</t>
        </is>
      </c>
      <c r="H68" s="32" t="n">
        <v>1016.1</v>
      </c>
      <c r="I68" s="32" t="n">
        <v>400</v>
      </c>
      <c r="J68" s="32" t="n">
        <v>1.02</v>
      </c>
      <c r="K68" s="32" t="n">
        <v>0</v>
      </c>
      <c r="L68" s="31" t="n">
        <v>75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79.45</v>
      </c>
      <c r="P68" s="32" t="n">
        <v>45.69</v>
      </c>
      <c r="Q68" s="32" t="n">
        <v>302.87</v>
      </c>
      <c r="R68" s="31" t="inlineStr">
        <is>
          <t>Near 52W High Breakout</t>
        </is>
      </c>
      <c r="S68" s="31" t="inlineStr">
        <is>
          <t>Nifty Metal</t>
        </is>
      </c>
      <c r="T68" s="32" t="n">
        <v>41.3</v>
      </c>
      <c r="U68" s="32" t="n">
        <v>50.17</v>
      </c>
      <c r="V68" s="32" t="n">
        <v>6.28</v>
      </c>
      <c r="W68" s="32" t="n">
        <v>23.37</v>
      </c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Cyclical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Volatile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20</t>
        </is>
      </c>
      <c r="CG68" s="31">
        <f>IF(CF68&gt;20,10,IF(CF68&gt;=10,5,2))</f>
        <v/>
      </c>
    </row>
    <row r="69">
      <c r="A69" s="31">
        <f>IF(B69=0,"",RANK(B69,$B$2:$B$94,0))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4" t="inlineStr">
        <is>
          <t>RPTECH</t>
        </is>
      </c>
      <c r="D69" s="34" t="inlineStr">
        <is>
          <t>Rashi Peripherals Ltd</t>
        </is>
      </c>
      <c r="E69" s="31" t="inlineStr">
        <is>
          <t>Technology</t>
        </is>
      </c>
      <c r="F69" s="31" t="inlineStr">
        <is>
          <t>Trading</t>
        </is>
      </c>
      <c r="G69" s="31" t="inlineStr">
        <is>
          <t>midcap</t>
        </is>
      </c>
      <c r="H69" s="32" t="n">
        <v>5477.15</v>
      </c>
      <c r="I69" s="32" t="n">
        <v>824.8</v>
      </c>
      <c r="J69" s="32" t="n">
        <v>1.12</v>
      </c>
      <c r="K69" s="32" t="n">
        <v>0</v>
      </c>
      <c r="L69" s="31" t="n">
        <v>89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68.11</v>
      </c>
      <c r="P69" s="32" t="n">
        <v>76.19</v>
      </c>
      <c r="Q69" s="32" t="n">
        <v>669.95</v>
      </c>
      <c r="R69" s="31" t="inlineStr">
        <is>
          <t>Earnings / Momentum Support</t>
        </is>
      </c>
      <c r="S69" s="31" t="inlineStr">
        <is>
          <t>Nifty 50</t>
        </is>
      </c>
      <c r="T69" s="32" t="n">
        <v>-3.41</v>
      </c>
      <c r="U69" s="32" t="n">
        <v>178.9</v>
      </c>
      <c r="V69" s="32" t="n">
        <v>188.74</v>
      </c>
      <c r="W69" s="32" t="n">
        <v>35.12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Annuity, Lower One Time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20</t>
        </is>
      </c>
      <c r="CG69" s="31">
        <f>IF(CF69&gt;20,10,IF(CF69&gt;=10,5,2))</f>
        <v/>
      </c>
    </row>
    <row r="70">
      <c r="A70" s="31">
        <f>IF(B70=0,"",RANK(B70,$B$2:$B$94,0))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4" t="inlineStr">
        <is>
          <t>ANTELOPUS</t>
        </is>
      </c>
      <c r="D70" s="34" t="inlineStr">
        <is>
          <t>Antelopus Selan Energy Ltd</t>
        </is>
      </c>
      <c r="E70" s="31" t="inlineStr">
        <is>
          <t>energy</t>
        </is>
      </c>
      <c r="F70" s="31" t="inlineStr">
        <is>
          <t>Oil Drilling &amp; Exploration</t>
        </is>
      </c>
      <c r="G70" s="31" t="inlineStr">
        <is>
          <t>smallcap</t>
        </is>
      </c>
      <c r="H70" s="32" t="n">
        <v>3336.91</v>
      </c>
      <c r="I70" s="32" t="n">
        <v>949</v>
      </c>
      <c r="J70" s="32" t="n">
        <v>-6.35</v>
      </c>
      <c r="K70" s="32" t="n">
        <v>0</v>
      </c>
      <c r="L70" s="31" t="n">
        <v>74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66.73999999999999</v>
      </c>
      <c r="P70" s="32" t="n">
        <v>45.52</v>
      </c>
      <c r="Q70" s="32" t="n">
        <v>654.5700000000001</v>
      </c>
      <c r="R70" s="31" t="inlineStr">
        <is>
          <t>Volume Spike &amp; Near 52W High Breakout</t>
        </is>
      </c>
      <c r="S70" s="31" t="inlineStr">
        <is>
          <t>Nifty Energy</t>
        </is>
      </c>
      <c r="T70" s="32" t="n">
        <v>7.99</v>
      </c>
      <c r="U70" s="32" t="n">
        <v>53.52</v>
      </c>
      <c r="V70" s="32" t="n">
        <v>42.16</v>
      </c>
      <c r="W70" s="32" t="n">
        <v>22.47</v>
      </c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Oligopoly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Yes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Cyclical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Volatile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27</t>
        </is>
      </c>
      <c r="CG70" s="31">
        <f>IF(CF70&gt;20,10,IF(CF70&gt;=10,5,2))</f>
        <v/>
      </c>
    </row>
    <row r="71">
      <c r="A71" s="31">
        <f>IF(B71=0,"",RANK(B71,$B$2:$B$94,0))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PTCIL</t>
        </is>
      </c>
      <c r="D71" s="31" t="inlineStr">
        <is>
          <t>PTC Industries Ltd</t>
        </is>
      </c>
      <c r="E71" s="31" t="inlineStr">
        <is>
          <t>industrials</t>
        </is>
      </c>
      <c r="F71" s="31" t="inlineStr">
        <is>
          <t>Castings - Steel/Alloy</t>
        </is>
      </c>
      <c r="G71" s="31" t="inlineStr">
        <is>
          <t>largecap</t>
        </is>
      </c>
      <c r="H71" s="32" t="n">
        <v>35502.36</v>
      </c>
      <c r="I71" s="32" t="n">
        <v>23680</v>
      </c>
      <c r="J71" s="32" t="n">
        <v>-0.59</v>
      </c>
      <c r="K71" s="32" t="n">
        <v>0</v>
      </c>
      <c r="L71" s="31" t="n">
        <v>65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78.33</v>
      </c>
      <c r="P71" s="32" t="n">
        <v>30.52</v>
      </c>
      <c r="Q71" s="32" t="n">
        <v>19608.62</v>
      </c>
      <c r="R71" s="31" t="inlineStr">
        <is>
          <t>Volume Spike &amp; Near 52W High Breakout</t>
        </is>
      </c>
      <c r="S71" s="31" t="inlineStr">
        <is>
          <t>Nifty 50</t>
        </is>
      </c>
      <c r="T71" s="32" t="n">
        <v>-3.41</v>
      </c>
      <c r="U71" s="32" t="n">
        <v>75.44</v>
      </c>
      <c r="V71" s="32" t="n">
        <v>81.63</v>
      </c>
      <c r="W71" s="32" t="n">
        <v>18.93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24</t>
        </is>
      </c>
      <c r="CG71" s="31">
        <f>IF(CF71&gt;20,10,IF(CF71&gt;=10,5,2))</f>
        <v/>
      </c>
    </row>
    <row r="72">
      <c r="A72" s="31">
        <f>IF(B72=0,"",RANK(B72,$B$2:$B$94,0))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MANINDS</t>
        </is>
      </c>
      <c r="D72" s="31" t="inlineStr">
        <is>
          <t>Man Industries (India) Ltd</t>
        </is>
      </c>
      <c r="E72" s="31" t="inlineStr">
        <is>
          <t>metals &amp; mining</t>
        </is>
      </c>
      <c r="F72" s="31" t="inlineStr">
        <is>
          <t>Steel - Tubes/Pipes</t>
        </is>
      </c>
      <c r="G72" s="31" t="inlineStr">
        <is>
          <t>midcap</t>
        </is>
      </c>
      <c r="H72" s="32" t="n">
        <v>5892</v>
      </c>
      <c r="I72" s="32" t="n">
        <v>785.5</v>
      </c>
      <c r="J72" s="32" t="n">
        <v>-1</v>
      </c>
      <c r="K72" s="32" t="n">
        <v>0</v>
      </c>
      <c r="L72" s="31" t="n">
        <v>82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76.23</v>
      </c>
      <c r="P72" s="32" t="n">
        <v>32.45</v>
      </c>
      <c r="Q72" s="32" t="n">
        <v>600.47</v>
      </c>
      <c r="R72" s="31" t="inlineStr">
        <is>
          <t>Near 52W High Breakout</t>
        </is>
      </c>
      <c r="S72" s="31" t="inlineStr">
        <is>
          <t>Nifty Metal</t>
        </is>
      </c>
      <c r="T72" s="32" t="n">
        <v>41.3</v>
      </c>
      <c r="U72" s="32" t="n">
        <v>85.08</v>
      </c>
      <c r="V72" s="32" t="n">
        <v>30.99</v>
      </c>
      <c r="W72" s="32" t="n">
        <v>26.88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Cyclical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Volatile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23</t>
        </is>
      </c>
      <c r="CG72" s="31">
        <f>IF(CF72&gt;20,10,IF(CF72&gt;=10,5,2))</f>
        <v/>
      </c>
    </row>
    <row r="73">
      <c r="A73" s="31">
        <f>IF(B73=0,"",RANK(B73,$B$2:$B$94,0))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PGIL</t>
        </is>
      </c>
      <c r="D73" s="31" t="inlineStr">
        <is>
          <t>Pearl Global Industries Ltd</t>
        </is>
      </c>
      <c r="E73" s="31" t="inlineStr">
        <is>
          <t>Consumer Cyclical</t>
        </is>
      </c>
      <c r="F73" s="31" t="inlineStr">
        <is>
          <t>Textiles - Readymade Apparel</t>
        </is>
      </c>
      <c r="G73" s="31" t="inlineStr">
        <is>
          <t>midcap</t>
        </is>
      </c>
      <c r="H73" s="32" t="n">
        <v>10517.59</v>
      </c>
      <c r="I73" s="32" t="n">
        <v>2277</v>
      </c>
      <c r="J73" s="32" t="n">
        <v>-2.23</v>
      </c>
      <c r="K73" s="32" t="n">
        <v>0</v>
      </c>
      <c r="L73" s="31" t="n">
        <v>74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64.98999999999999</v>
      </c>
      <c r="P73" s="32" t="n">
        <v>57.93</v>
      </c>
      <c r="Q73" s="32" t="n">
        <v>1931.26</v>
      </c>
      <c r="R73" s="31" t="inlineStr">
        <is>
          <t>Earnings / Momentum Support</t>
        </is>
      </c>
      <c r="S73" s="31" t="inlineStr">
        <is>
          <t>Nifty 50</t>
        </is>
      </c>
      <c r="T73" s="32" t="n">
        <v>-3.41</v>
      </c>
      <c r="U73" s="32" t="n">
        <v>90.94</v>
      </c>
      <c r="V73" s="32" t="n">
        <v>97.68000000000001</v>
      </c>
      <c r="W73" s="32" t="n">
        <v>22.42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B2C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20</t>
        </is>
      </c>
      <c r="CG73" s="31">
        <f>IF(CF73&gt;20,10,IF(CF73&gt;=10,5,2))</f>
        <v/>
      </c>
    </row>
    <row r="74">
      <c r="A74" s="31">
        <f>IF(B74=0,"",RANK(B74,$B$2:$B$94,0))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3" t="inlineStr">
        <is>
          <t>SAMBHV</t>
        </is>
      </c>
      <c r="D74" s="33" t="inlineStr">
        <is>
          <t>Sambhv Steel Tubes Ltd</t>
        </is>
      </c>
      <c r="E74" s="31" t="inlineStr">
        <is>
          <t>metals &amp; mining</t>
        </is>
      </c>
      <c r="F74" s="31" t="inlineStr">
        <is>
          <t>Steel - Tubes/Pipes</t>
        </is>
      </c>
      <c r="G74" s="31" t="inlineStr">
        <is>
          <t>smallcap</t>
        </is>
      </c>
      <c r="H74" s="32" t="n">
        <v>3802.73</v>
      </c>
      <c r="I74" s="32" t="n">
        <v>129.05</v>
      </c>
      <c r="J74" s="32" t="n">
        <v>-0.46</v>
      </c>
      <c r="K74" s="32" t="n">
        <v>0</v>
      </c>
      <c r="L74" s="31" t="n">
        <v>13</v>
      </c>
      <c r="M74" s="31" t="inlineStr">
        <is>
          <t>Underperforming</t>
        </is>
      </c>
      <c r="N74" s="32">
        <f>IF(M74="Underperforming",-5,IF(L74&gt;=95,15,IF(L74&gt;=90,10,IF(L74&gt;=80,5,0))))</f>
        <v/>
      </c>
      <c r="O74" s="32" t="n">
        <v>65.22</v>
      </c>
      <c r="P74" s="32" t="n">
        <v>31.11</v>
      </c>
      <c r="Q74" s="32" t="n">
        <v>98.63</v>
      </c>
      <c r="R74" s="31" t="inlineStr">
        <is>
          <t>Near 52W High Breakout</t>
        </is>
      </c>
      <c r="S74" s="31" t="inlineStr">
        <is>
          <t>Nifty Metal</t>
        </is>
      </c>
      <c r="T74" s="32" t="n">
        <v>41.3</v>
      </c>
      <c r="U74" s="32" t="n">
        <v>-2.98</v>
      </c>
      <c r="V74" s="32" t="n">
        <v>-31.34</v>
      </c>
      <c r="W74" s="32" t="n">
        <v>3.25</v>
      </c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Cyclical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Volatile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19</t>
        </is>
      </c>
      <c r="CG74" s="31">
        <f>IF(CF74&gt;20,10,IF(CF74&gt;=10,5,2))</f>
        <v/>
      </c>
    </row>
    <row r="75">
      <c r="A75" s="31">
        <f>IF(B75=0,"",RANK(B75,$B$2:$B$94,0))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3" t="inlineStr">
        <is>
          <t>GLENMARK</t>
        </is>
      </c>
      <c r="D75" s="33" t="inlineStr">
        <is>
          <t>Glenmark Pharmaceuticals Ltd</t>
        </is>
      </c>
      <c r="E75" s="31" t="inlineStr">
        <is>
          <t>healthcare</t>
        </is>
      </c>
      <c r="F75" s="31" t="inlineStr">
        <is>
          <t>Pharma - Formulators</t>
        </is>
      </c>
      <c r="G75" s="31" t="inlineStr">
        <is>
          <t>largecap</t>
        </is>
      </c>
      <c r="H75" s="32" t="n">
        <v>68783.8</v>
      </c>
      <c r="I75" s="32" t="n">
        <v>2437.2</v>
      </c>
      <c r="J75" s="32" t="n">
        <v>-0.89</v>
      </c>
      <c r="K75" s="32" t="n">
        <v>0</v>
      </c>
      <c r="L75" s="31" t="n">
        <v>23</v>
      </c>
      <c r="M75" s="31" t="inlineStr">
        <is>
          <t>Underperforming</t>
        </is>
      </c>
      <c r="N75" s="32">
        <f>IF(M75="Underperforming",-5,IF(L75&gt;=95,15,IF(L75&gt;=90,10,IF(L75&gt;=80,5,0))))</f>
        <v/>
      </c>
      <c r="O75" s="32" t="n">
        <v>63.25</v>
      </c>
      <c r="P75" s="32" t="n">
        <v>17.77</v>
      </c>
      <c r="Q75" s="32" t="n">
        <v>2120.62</v>
      </c>
      <c r="R75" s="31" t="inlineStr">
        <is>
          <t>Near 52W High Breakout</t>
        </is>
      </c>
      <c r="S75" s="31" t="inlineStr">
        <is>
          <t>Nifty Pharma</t>
        </is>
      </c>
      <c r="T75" s="32" t="n">
        <v>20.77</v>
      </c>
      <c r="U75" s="32" t="n">
        <v>19.19</v>
      </c>
      <c r="V75" s="32" t="n">
        <v>-1.31</v>
      </c>
      <c r="W75" s="32" t="n">
        <v>6.26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Yes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Annuity, Lower One Time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0 to 20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19</t>
        </is>
      </c>
      <c r="CG75" s="31">
        <f>IF(CF75&gt;20,10,IF(CF75&gt;=10,5,2))</f>
        <v/>
      </c>
    </row>
    <row r="76">
      <c r="A76" s="31">
        <f>IF(B76=0,"",RANK(B76,$B$2:$B$94,0))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DEEPINDS</t>
        </is>
      </c>
      <c r="D76" s="31" t="inlineStr">
        <is>
          <t>Deep Industries Ltd</t>
        </is>
      </c>
      <c r="E76" s="31" t="inlineStr">
        <is>
          <t>energy</t>
        </is>
      </c>
      <c r="F76" s="31" t="inlineStr">
        <is>
          <t>Oil Drilling &amp; Exploration</t>
        </is>
      </c>
      <c r="G76" s="31" t="inlineStr">
        <is>
          <t>midcap</t>
        </is>
      </c>
      <c r="H76" s="32" t="n">
        <v>5011.2</v>
      </c>
      <c r="I76" s="32" t="n">
        <v>783</v>
      </c>
      <c r="J76" s="32" t="n">
        <v>5.12</v>
      </c>
      <c r="K76" s="32" t="n">
        <v>0</v>
      </c>
      <c r="L76" s="31" t="n">
        <v>84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80.51000000000001</v>
      </c>
      <c r="P76" s="32" t="n">
        <v>30.15</v>
      </c>
      <c r="Q76" s="32" t="n">
        <v>609.46</v>
      </c>
      <c r="R76" s="31" t="inlineStr">
        <is>
          <t>Near 52W High Breakout</t>
        </is>
      </c>
      <c r="S76" s="31" t="inlineStr">
        <is>
          <t>Nifty Energy</t>
        </is>
      </c>
      <c r="T76" s="32" t="n">
        <v>7.99</v>
      </c>
      <c r="U76" s="32" t="n">
        <v>76.06999999999999</v>
      </c>
      <c r="V76" s="32" t="n">
        <v>63.04</v>
      </c>
      <c r="W76" s="32" t="n">
        <v>28.16</v>
      </c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Oligopoly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Cyclical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Volatile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21</t>
        </is>
      </c>
      <c r="CG76" s="31">
        <f>IF(CF76&gt;20,10,IF(CF76&gt;=10,5,2))</f>
        <v/>
      </c>
    </row>
    <row r="77">
      <c r="A77" s="31">
        <f>IF(B77=0,"",RANK(B77,$B$2:$B$94,0))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3" t="inlineStr">
        <is>
          <t>JGCHEM</t>
        </is>
      </c>
      <c r="D77" s="33" t="inlineStr">
        <is>
          <t>JGChemicals Ltd</t>
        </is>
      </c>
      <c r="E77" s="31" t="inlineStr">
        <is>
          <t>Basic Materials</t>
        </is>
      </c>
      <c r="F77" s="31" t="inlineStr">
        <is>
          <t>Chemicals - Inorganic</t>
        </is>
      </c>
      <c r="G77" s="31" t="inlineStr">
        <is>
          <t>smallcap</t>
        </is>
      </c>
      <c r="H77" s="32" t="n">
        <v>2351.16</v>
      </c>
      <c r="I77" s="32" t="n">
        <v>600</v>
      </c>
      <c r="J77" s="32" t="n">
        <v>-1.99</v>
      </c>
      <c r="K77" s="32" t="n">
        <v>0</v>
      </c>
      <c r="L77" s="31" t="n">
        <v>63</v>
      </c>
      <c r="M77" s="31" t="inlineStr">
        <is>
          <t>Underperforming</t>
        </is>
      </c>
      <c r="N77" s="32">
        <f>IF(M77="Underperforming",-5,IF(L77&gt;=95,15,IF(L77&gt;=90,10,IF(L77&gt;=80,5,0))))</f>
        <v/>
      </c>
      <c r="O77" s="32" t="n">
        <v>68.58</v>
      </c>
      <c r="P77" s="32" t="n">
        <v>40.91</v>
      </c>
      <c r="Q77" s="32" t="n">
        <v>494.6</v>
      </c>
      <c r="R77" s="31" t="inlineStr">
        <is>
          <t>Earnings / Momentum Support</t>
        </is>
      </c>
      <c r="S77" s="31" t="inlineStr">
        <is>
          <t>Nifty Metal</t>
        </is>
      </c>
      <c r="T77" s="32" t="n">
        <v>41.3</v>
      </c>
      <c r="U77" s="32" t="n">
        <v>26.21</v>
      </c>
      <c r="V77" s="32" t="n">
        <v>-10.68</v>
      </c>
      <c r="W77" s="32" t="n">
        <v>18.35</v>
      </c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Cyclical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Volatile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20</t>
        </is>
      </c>
      <c r="CG77" s="31">
        <f>IF(CF77&gt;20,10,IF(CF77&gt;=10,5,2))</f>
        <v/>
      </c>
    </row>
    <row r="78">
      <c r="A78" s="31">
        <f>IF(B78=0,"",RANK(B78,$B$2:$B$94,0))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4" t="inlineStr">
        <is>
          <t>SBC</t>
        </is>
      </c>
      <c r="D78" s="34" t="inlineStr">
        <is>
          <t>SBC Exports Ltd</t>
        </is>
      </c>
      <c r="E78" s="31" t="inlineStr">
        <is>
          <t>textiles</t>
        </is>
      </c>
      <c r="F78" s="31" t="inlineStr">
        <is>
          <t>Textiles - Readymade Apparel</t>
        </is>
      </c>
      <c r="G78" s="31" t="inlineStr">
        <is>
          <t>smallcap</t>
        </is>
      </c>
      <c r="H78" s="32" t="n">
        <v>2188.09</v>
      </c>
      <c r="I78" s="32" t="n">
        <v>45.95</v>
      </c>
      <c r="J78" s="32" t="n">
        <v>6.24</v>
      </c>
      <c r="K78" s="32" t="n">
        <v>0</v>
      </c>
      <c r="L78" s="31" t="n">
        <v>74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71.84999999999999</v>
      </c>
      <c r="P78" s="32" t="n">
        <v>33.86</v>
      </c>
      <c r="Q78" s="32" t="n">
        <v>37.11</v>
      </c>
      <c r="R78" s="31" t="inlineStr">
        <is>
          <t>Near 52W High Breakout</t>
        </is>
      </c>
      <c r="S78" s="31" t="inlineStr">
        <is>
          <t>Nifty 50</t>
        </is>
      </c>
      <c r="T78" s="32" t="n">
        <v>-3.41</v>
      </c>
      <c r="U78" s="32" t="n">
        <v>123.98</v>
      </c>
      <c r="V78" s="32" t="n">
        <v>131.89</v>
      </c>
      <c r="W78" s="32" t="n">
        <v>22.72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More than 1.2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20</t>
        </is>
      </c>
      <c r="CG78" s="31">
        <f>IF(CF78&gt;20,10,IF(CF78&gt;=10,5,2))</f>
        <v/>
      </c>
    </row>
    <row r="79">
      <c r="A79" s="31">
        <f>IF(B79=0,"",RANK(B79,$B$2:$B$94,0))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4" t="inlineStr">
        <is>
          <t>BIL</t>
        </is>
      </c>
      <c r="D79" s="34" t="inlineStr">
        <is>
          <t>Bhartiya International Ltd</t>
        </is>
      </c>
      <c r="E79" s="31" t="inlineStr">
        <is>
          <t>consumer discretionary</t>
        </is>
      </c>
      <c r="F79" s="31" t="inlineStr">
        <is>
          <t>Textiles</t>
        </is>
      </c>
      <c r="G79" s="31" t="inlineStr">
        <is>
          <t>smallcap</t>
        </is>
      </c>
      <c r="H79" s="32" t="n">
        <v>1225.38</v>
      </c>
      <c r="I79" s="32" t="n">
        <v>913.75</v>
      </c>
      <c r="J79" s="32" t="n">
        <v>-0.23</v>
      </c>
      <c r="K79" s="32" t="n">
        <v>0</v>
      </c>
      <c r="L79" s="31" t="n">
        <v>32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65.19</v>
      </c>
      <c r="P79" s="32" t="n">
        <v>18.14</v>
      </c>
      <c r="Q79" s="32" t="n">
        <v>665.66</v>
      </c>
      <c r="R79" s="31" t="inlineStr">
        <is>
          <t>Volume Spike &amp; Near 52W High Breakout</t>
        </is>
      </c>
      <c r="S79" s="31" t="inlineStr">
        <is>
          <t>Nifty 50</t>
        </is>
      </c>
      <c r="T79" s="32" t="n">
        <v>-3.41</v>
      </c>
      <c r="U79" s="32" t="n">
        <v>6.34</v>
      </c>
      <c r="V79" s="32" t="n">
        <v>10.09</v>
      </c>
      <c r="W79" s="32" t="n">
        <v>8.210000000000001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0 to 20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Between 0.7 to 1.2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24</t>
        </is>
      </c>
      <c r="CG79" s="31">
        <f>IF(CF79&gt;20,10,IF(CF79&gt;=10,5,2))</f>
        <v/>
      </c>
    </row>
    <row r="80">
      <c r="A80" s="31">
        <f>IF(B80=0,"",RANK(B80,$B$2:$B$94,0))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UFLEX</t>
        </is>
      </c>
      <c r="D80" s="31" t="inlineStr">
        <is>
          <t>Uflex Ltd</t>
        </is>
      </c>
      <c r="E80" s="31" t="inlineStr">
        <is>
          <t>industrials</t>
        </is>
      </c>
      <c r="F80" s="31" t="inlineStr">
        <is>
          <t>Packaging - BOPP</t>
        </is>
      </c>
      <c r="G80" s="31" t="inlineStr">
        <is>
          <t>smallcap</t>
        </is>
      </c>
      <c r="H80" s="32" t="n">
        <v>4888.72</v>
      </c>
      <c r="I80" s="32" t="n">
        <v>677</v>
      </c>
      <c r="J80" s="32" t="n">
        <v>-1.41</v>
      </c>
      <c r="K80" s="32" t="n">
        <v>0</v>
      </c>
      <c r="L80" s="31" t="n">
        <v>65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79.65000000000001</v>
      </c>
      <c r="P80" s="32" t="n">
        <v>26.19</v>
      </c>
      <c r="Q80" s="32" t="n">
        <v>532.6</v>
      </c>
      <c r="R80" s="31" t="inlineStr">
        <is>
          <t>Near 52W High Breakout</t>
        </is>
      </c>
      <c r="S80" s="31" t="inlineStr">
        <is>
          <t>Nifty 50</t>
        </is>
      </c>
      <c r="T80" s="32" t="n">
        <v>-3.41</v>
      </c>
      <c r="U80" s="32" t="n">
        <v>23.48</v>
      </c>
      <c r="V80" s="32" t="n">
        <v>27.84</v>
      </c>
      <c r="W80" s="32" t="n">
        <v>18.95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More than 1.2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21</t>
        </is>
      </c>
      <c r="CG80" s="31">
        <f>IF(CF80&gt;20,10,IF(CF80&gt;=10,5,2))</f>
        <v/>
      </c>
    </row>
    <row r="81">
      <c r="A81" s="31">
        <f>IF(B81=0,"",RANK(B81,$B$2:$B$94,0))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4" t="inlineStr">
        <is>
          <t>SHANTIGEAR</t>
        </is>
      </c>
      <c r="D81" s="34" t="inlineStr">
        <is>
          <t>Shanthi Gears Ltd</t>
        </is>
      </c>
      <c r="E81" s="31" t="inlineStr">
        <is>
          <t>industrials</t>
        </is>
      </c>
      <c r="F81" s="31" t="inlineStr">
        <is>
          <t>Auto Ancillaries - Gears</t>
        </is>
      </c>
      <c r="G81" s="31" t="inlineStr">
        <is>
          <t>smallcap</t>
        </is>
      </c>
      <c r="H81" s="32" t="n">
        <v>4733.37</v>
      </c>
      <c r="I81" s="32" t="n">
        <v>617</v>
      </c>
      <c r="J81" s="32" t="n">
        <v>5.87</v>
      </c>
      <c r="K81" s="32" t="n">
        <v>0</v>
      </c>
      <c r="L81" s="31" t="n">
        <v>38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78.90000000000001</v>
      </c>
      <c r="P81" s="32" t="n">
        <v>22.09</v>
      </c>
      <c r="Q81" s="32" t="n">
        <v>500.07</v>
      </c>
      <c r="R81" s="31" t="inlineStr">
        <is>
          <t>Near 52W High Breakout</t>
        </is>
      </c>
      <c r="S81" s="31" t="inlineStr">
        <is>
          <t>Nifty Infra</t>
        </is>
      </c>
      <c r="T81" s="32" t="n">
        <v>1.45</v>
      </c>
      <c r="U81" s="32" t="n">
        <v>8.619999999999999</v>
      </c>
      <c r="V81" s="32" t="n">
        <v>7.07</v>
      </c>
      <c r="W81" s="32" t="n">
        <v>9.52</v>
      </c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Less than 12%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21</t>
        </is>
      </c>
      <c r="CG81" s="31">
        <f>IF(CF81&gt;20,10,IF(CF81&gt;=10,5,2))</f>
        <v/>
      </c>
    </row>
    <row r="82">
      <c r="A82" s="31">
        <f>IF(B82=0,"",RANK(B82,$B$2:$B$94,0))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4" t="inlineStr">
        <is>
          <t>DOLPHIN</t>
        </is>
      </c>
      <c r="D82" s="34" t="inlineStr">
        <is>
          <t>Dolphin Offshore Enterprises (India) Ltd</t>
        </is>
      </c>
      <c r="E82" s="31" t="inlineStr">
        <is>
          <t>energy</t>
        </is>
      </c>
      <c r="F82" s="31" t="inlineStr">
        <is>
          <t>Oil Drilling &amp; Exploration</t>
        </is>
      </c>
      <c r="G82" s="31" t="inlineStr">
        <is>
          <t>smallcap</t>
        </is>
      </c>
      <c r="H82" s="32" t="n">
        <v>2708.31</v>
      </c>
      <c r="I82" s="32" t="n">
        <v>677</v>
      </c>
      <c r="J82" s="32" t="n">
        <v>9.26</v>
      </c>
      <c r="K82" s="32" t="n">
        <v>0</v>
      </c>
      <c r="L82" s="31" t="n">
        <v>78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78.93000000000001</v>
      </c>
      <c r="P82" s="32" t="n">
        <v>34.47</v>
      </c>
      <c r="Q82" s="32" t="n">
        <v>497.1</v>
      </c>
      <c r="R82" s="31" t="inlineStr">
        <is>
          <t>Near 52W High Breakout</t>
        </is>
      </c>
      <c r="S82" s="31" t="inlineStr">
        <is>
          <t>Nifty Energy</t>
        </is>
      </c>
      <c r="T82" s="32" t="n">
        <v>7.99</v>
      </c>
      <c r="U82" s="32" t="n">
        <v>52.54</v>
      </c>
      <c r="V82" s="32" t="n">
        <v>41.25</v>
      </c>
      <c r="W82" s="32" t="n">
        <v>24.38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Oligopoly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Yes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Cyclical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Volatile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20</t>
        </is>
      </c>
      <c r="CG82" s="31">
        <f>IF(CF82&gt;20,10,IF(CF82&gt;=10,5,2))</f>
        <v/>
      </c>
    </row>
    <row r="83">
      <c r="A83" s="31">
        <f>IF(B83=0,"",RANK(B83,$B$2:$B$94,0))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LAURUSLABS</t>
        </is>
      </c>
      <c r="D83" s="31" t="inlineStr">
        <is>
          <t>Laurus Labs Ltd</t>
        </is>
      </c>
      <c r="E83" s="31" t="inlineStr">
        <is>
          <t>Healthcare</t>
        </is>
      </c>
      <c r="F83" s="31" t="inlineStr">
        <is>
          <t>Pharma - API &amp; CRAMS</t>
        </is>
      </c>
      <c r="G83" s="31" t="inlineStr">
        <is>
          <t>largecap</t>
        </is>
      </c>
      <c r="H83" s="32" t="n">
        <v>99417.45</v>
      </c>
      <c r="I83" s="32" t="n">
        <v>1840</v>
      </c>
      <c r="J83" s="32" t="n">
        <v>-1.53</v>
      </c>
      <c r="K83" s="32" t="n">
        <v>0</v>
      </c>
      <c r="L83" s="31" t="n">
        <v>74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73.59999999999999</v>
      </c>
      <c r="P83" s="32" t="n">
        <v>69.89</v>
      </c>
      <c r="Q83" s="32" t="n">
        <v>1656.14</v>
      </c>
      <c r="R83" s="31" t="inlineStr">
        <is>
          <t>Volume Spike / Accumulation</t>
        </is>
      </c>
      <c r="S83" s="31" t="inlineStr">
        <is>
          <t>Nifty Pharma</t>
        </is>
      </c>
      <c r="T83" s="32" t="n">
        <v>20.77</v>
      </c>
      <c r="U83" s="32" t="n">
        <v>109.32</v>
      </c>
      <c r="V83" s="32" t="n">
        <v>73.31999999999999</v>
      </c>
      <c r="W83" s="32" t="n">
        <v>22.42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Yes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Annuity, Lower One Time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22</t>
        </is>
      </c>
      <c r="CG83" s="31">
        <f>IF(CF83&gt;20,10,IF(CF83&gt;=10,5,2))</f>
        <v/>
      </c>
    </row>
    <row r="84">
      <c r="A84" s="31">
        <f>IF(B84=0,"",RANK(B84,$B$2:$B$94,0))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4" t="inlineStr">
        <is>
          <t>NAVINFLUOR</t>
        </is>
      </c>
      <c r="D84" s="34" t="inlineStr">
        <is>
          <t>Navin Fluorine International Ltd</t>
        </is>
      </c>
      <c r="E84" s="31" t="inlineStr">
        <is>
          <t>chemicals</t>
        </is>
      </c>
      <c r="F84" s="31" t="inlineStr">
        <is>
          <t>Chemicals - Flourine</t>
        </is>
      </c>
      <c r="G84" s="31" t="inlineStr">
        <is>
          <t>largecap</t>
        </is>
      </c>
      <c r="H84" s="32" t="n">
        <v>43889.39</v>
      </c>
      <c r="I84" s="32" t="n">
        <v>8553</v>
      </c>
      <c r="J84" s="32" t="n">
        <v>-1.66</v>
      </c>
      <c r="K84" s="32" t="n">
        <v>0</v>
      </c>
      <c r="L84" s="31" t="n">
        <v>62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78.05</v>
      </c>
      <c r="P84" s="32" t="n">
        <v>59.24</v>
      </c>
      <c r="Q84" s="32" t="n">
        <v>7141.34</v>
      </c>
      <c r="R84" s="31" t="inlineStr">
        <is>
          <t>Near 52W High Breakout</t>
        </is>
      </c>
      <c r="S84" s="31" t="inlineStr">
        <is>
          <t>Nifty 50</t>
        </is>
      </c>
      <c r="T84" s="32" t="n">
        <v>-3.41</v>
      </c>
      <c r="U84" s="32" t="n">
        <v>83.92</v>
      </c>
      <c r="V84" s="32" t="n">
        <v>90.41</v>
      </c>
      <c r="W84" s="32" t="n">
        <v>17.69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Oligopoly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Shallow Cyclical (2 to 3 Years Growth)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3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Between 50% to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19</t>
        </is>
      </c>
      <c r="CG84" s="31">
        <f>IF(CF84&gt;20,10,IF(CF84&gt;=10,5,2))</f>
        <v/>
      </c>
    </row>
    <row r="85">
      <c r="A85" s="31">
        <f>IF(B85=0,"",RANK(B85,$B$2:$B$94,0))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4" t="inlineStr">
        <is>
          <t>SOTL</t>
        </is>
      </c>
      <c r="D85" s="34" t="inlineStr">
        <is>
          <t>Savita Oil Technologies Ltd</t>
        </is>
      </c>
      <c r="E85" s="31" t="inlineStr">
        <is>
          <t>energy</t>
        </is>
      </c>
      <c r="F85" s="31" t="inlineStr">
        <is>
          <t>Petrochem - Others</t>
        </is>
      </c>
      <c r="G85" s="31" t="inlineStr">
        <is>
          <t>midcap</t>
        </is>
      </c>
      <c r="H85" s="32" t="n">
        <v>5090.61</v>
      </c>
      <c r="I85" s="32" t="n">
        <v>742.5</v>
      </c>
      <c r="J85" s="32" t="n">
        <v>0.7</v>
      </c>
      <c r="K85" s="32" t="n">
        <v>0</v>
      </c>
      <c r="L85" s="31" t="n">
        <v>92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68.37</v>
      </c>
      <c r="P85" s="32" t="n">
        <v>57.07</v>
      </c>
      <c r="Q85" s="32" t="n">
        <v>539.03</v>
      </c>
      <c r="R85" s="31" t="inlineStr">
        <is>
          <t>Volume Spike &amp; Near 52W High Breakout</t>
        </is>
      </c>
      <c r="S85" s="31" t="inlineStr">
        <is>
          <t>Nifty Energy</t>
        </is>
      </c>
      <c r="T85" s="32" t="n">
        <v>7.99</v>
      </c>
      <c r="U85" s="32" t="n">
        <v>86.53</v>
      </c>
      <c r="V85" s="32" t="n">
        <v>72.72</v>
      </c>
      <c r="W85" s="32" t="n">
        <v>40.09</v>
      </c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Oligopoly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Yes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Cyclical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Volatile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26</t>
        </is>
      </c>
      <c r="CG85" s="31">
        <f>IF(CF85&gt;20,10,IF(CF85&gt;=10,5,2))</f>
        <v/>
      </c>
    </row>
    <row r="86">
      <c r="A86" s="31">
        <f>IF(B86=0,"",RANK(B86,$B$2:$B$94,0))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TNPETRO</t>
        </is>
      </c>
      <c r="D86" s="31" t="inlineStr">
        <is>
          <t>Tamil Nadu Petro Products Ltd</t>
        </is>
      </c>
      <c r="E86" s="31" t="inlineStr">
        <is>
          <t>energy</t>
        </is>
      </c>
      <c r="F86" s="31" t="inlineStr">
        <is>
          <t>Petrochem - Others</t>
        </is>
      </c>
      <c r="G86" s="31" t="inlineStr">
        <is>
          <t>smallcap</t>
        </is>
      </c>
      <c r="H86" s="32" t="n">
        <v>1196.62</v>
      </c>
      <c r="I86" s="32" t="n">
        <v>133</v>
      </c>
      <c r="J86" s="32" t="n">
        <v>-3.49</v>
      </c>
      <c r="K86" s="32" t="n">
        <v>0</v>
      </c>
      <c r="L86" s="31" t="n">
        <v>63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78.13</v>
      </c>
      <c r="P86" s="32" t="n">
        <v>32.39</v>
      </c>
      <c r="Q86" s="32" t="n">
        <v>102.83</v>
      </c>
      <c r="R86" s="31" t="inlineStr">
        <is>
          <t>Volume Spike &amp; Near 52W High Breakout</t>
        </is>
      </c>
      <c r="S86" s="31" t="inlineStr">
        <is>
          <t>Nifty Energy</t>
        </is>
      </c>
      <c r="T86" s="32" t="n">
        <v>7.99</v>
      </c>
      <c r="U86" s="32" t="n">
        <v>31.01</v>
      </c>
      <c r="V86" s="32" t="n">
        <v>21.32</v>
      </c>
      <c r="W86" s="32" t="n">
        <v>18.16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Oligopoly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Cyclical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Volatile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24</t>
        </is>
      </c>
      <c r="CG86" s="31">
        <f>IF(CF86&gt;20,10,IF(CF86&gt;=10,5,2))</f>
        <v/>
      </c>
    </row>
    <row r="87">
      <c r="A87" s="31">
        <f>IF(B87=0,"",RANK(B87,$B$2:$B$94,0))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RAMRAT</t>
        </is>
      </c>
      <c r="D87" s="31" t="inlineStr">
        <is>
          <t>Ram Ratna Wires Ltd</t>
        </is>
      </c>
      <c r="E87" s="31" t="inlineStr">
        <is>
          <t>metals &amp; mining</t>
        </is>
      </c>
      <c r="F87" s="31" t="inlineStr">
        <is>
          <t>Copper Wires</t>
        </is>
      </c>
      <c r="G87" s="31" t="inlineStr">
        <is>
          <t>midcap</t>
        </is>
      </c>
      <c r="H87" s="32" t="n">
        <v>5239.22</v>
      </c>
      <c r="I87" s="32" t="n">
        <v>561.25</v>
      </c>
      <c r="J87" s="32" t="n">
        <v>0.08</v>
      </c>
      <c r="K87" s="32" t="n">
        <v>0</v>
      </c>
      <c r="L87" s="31" t="n">
        <v>72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73.09</v>
      </c>
      <c r="P87" s="32" t="n">
        <v>44</v>
      </c>
      <c r="Q87" s="32" t="n">
        <v>448.55</v>
      </c>
      <c r="R87" s="31" t="inlineStr">
        <is>
          <t>Earnings / Momentum Support</t>
        </is>
      </c>
      <c r="S87" s="31" t="inlineStr">
        <is>
          <t>Nifty Metal</t>
        </is>
      </c>
      <c r="T87" s="32" t="n">
        <v>41.3</v>
      </c>
      <c r="U87" s="32" t="n">
        <v>61.13</v>
      </c>
      <c r="V87" s="32" t="n">
        <v>14.03</v>
      </c>
      <c r="W87" s="32" t="n">
        <v>21.62</v>
      </c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Cyclical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Volatile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Between 0.7 to 1.2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21</t>
        </is>
      </c>
      <c r="CG87" s="31">
        <f>IF(CF87&gt;20,10,IF(CF87&gt;=10,5,2))</f>
        <v/>
      </c>
    </row>
    <row r="88">
      <c r="A88" s="31">
        <f>IF(B88=0,"",RANK(B88,$B$2:$B$94,0))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MANALIPETC</t>
        </is>
      </c>
      <c r="D88" s="31" t="inlineStr">
        <is>
          <t>Manali Petrochemicals Ltd</t>
        </is>
      </c>
      <c r="E88" s="31" t="inlineStr">
        <is>
          <t>energy</t>
        </is>
      </c>
      <c r="F88" s="31" t="inlineStr">
        <is>
          <t>Petrochem - Polymers</t>
        </is>
      </c>
      <c r="G88" s="31" t="inlineStr">
        <is>
          <t>smallcap</t>
        </is>
      </c>
      <c r="H88" s="32" t="n">
        <v>1488.65</v>
      </c>
      <c r="I88" s="32" t="n">
        <v>86.55</v>
      </c>
      <c r="J88" s="32" t="n">
        <v>-3.54</v>
      </c>
      <c r="K88" s="32" t="n">
        <v>0</v>
      </c>
      <c r="L88" s="31" t="n">
        <v>68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76.06999999999999</v>
      </c>
      <c r="P88" s="32" t="n">
        <v>38.78</v>
      </c>
      <c r="Q88" s="32" t="n">
        <v>64.94</v>
      </c>
      <c r="R88" s="31" t="inlineStr">
        <is>
          <t>Volume Spike &amp; Near 52W High Breakout</t>
        </is>
      </c>
      <c r="S88" s="31" t="inlineStr">
        <is>
          <t>Nifty Energy</t>
        </is>
      </c>
      <c r="T88" s="32" t="n">
        <v>7.99</v>
      </c>
      <c r="U88" s="32" t="n">
        <v>19.84</v>
      </c>
      <c r="V88" s="32" t="n">
        <v>10.97</v>
      </c>
      <c r="W88" s="32" t="n">
        <v>20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Oligopoly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Yes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Cyclical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Volatile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19</t>
        </is>
      </c>
      <c r="CG88" s="31">
        <f>IF(CF88&gt;20,10,IF(CF88&gt;=10,5,2))</f>
        <v/>
      </c>
    </row>
    <row r="89">
      <c r="A89" s="31">
        <f>IF(B89=0,"",RANK(B89,$B$2:$B$94,0))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4" t="inlineStr">
        <is>
          <t>PRABHA</t>
        </is>
      </c>
      <c r="D89" s="34" t="inlineStr">
        <is>
          <t>Prabha Energy Ltd</t>
        </is>
      </c>
      <c r="E89" s="31" t="inlineStr">
        <is>
          <t>energy</t>
        </is>
      </c>
      <c r="F89" s="31" t="inlineStr">
        <is>
          <t>Oil Exploration/Allied Services</t>
        </is>
      </c>
      <c r="G89" s="31" t="inlineStr">
        <is>
          <t>smallcap</t>
        </is>
      </c>
      <c r="H89" s="32" t="n">
        <v>3203.59</v>
      </c>
      <c r="I89" s="32" t="n">
        <v>234</v>
      </c>
      <c r="J89" s="32" t="n">
        <v>5.9</v>
      </c>
      <c r="K89" s="32" t="n">
        <v>0</v>
      </c>
      <c r="L89" s="31" t="n">
        <v>34</v>
      </c>
      <c r="M89" s="31" t="inlineStr">
        <is>
          <t>Underperforming</t>
        </is>
      </c>
      <c r="N89" s="32">
        <f>IF(M89="Underperforming",-5,IF(L89&gt;=95,15,IF(L89&gt;=90,10,IF(L89&gt;=80,5,0))))</f>
        <v/>
      </c>
      <c r="O89" s="32" t="n">
        <v>70.81</v>
      </c>
      <c r="P89" s="32" t="n">
        <v>21.12</v>
      </c>
      <c r="Q89" s="32" t="n">
        <v>166.24</v>
      </c>
      <c r="R89" s="31" t="inlineStr">
        <is>
          <t>Volume Spike &amp; Near 52W High Breakout</t>
        </is>
      </c>
      <c r="S89" s="31" t="inlineStr">
        <is>
          <t>Nifty Energy</t>
        </is>
      </c>
      <c r="T89" s="32" t="n">
        <v>7.99</v>
      </c>
      <c r="U89" s="32" t="n">
        <v>-12.09</v>
      </c>
      <c r="V89" s="32" t="n">
        <v>-18.59</v>
      </c>
      <c r="W89" s="32" t="n">
        <v>8.85</v>
      </c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Oligopoly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Yes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Cyclical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Volatile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24</t>
        </is>
      </c>
      <c r="CG89" s="31">
        <f>IF(CF89&gt;20,10,IF(CF89&gt;=10,5,2))</f>
        <v/>
      </c>
    </row>
    <row r="90">
      <c r="A90" s="31">
        <f>IF(B90=0,"",RANK(B90,$B$2:$B$94,0))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4" t="inlineStr">
        <is>
          <t>MAHSEAMLES</t>
        </is>
      </c>
      <c r="D90" s="34" t="inlineStr">
        <is>
          <t>Maharashtra Seamless Ltd</t>
        </is>
      </c>
      <c r="E90" s="31" t="inlineStr">
        <is>
          <t>metals &amp; mining</t>
        </is>
      </c>
      <c r="F90" s="31" t="inlineStr">
        <is>
          <t>Steel - Tubes/Pipes</t>
        </is>
      </c>
      <c r="G90" s="31" t="inlineStr">
        <is>
          <t>midcap</t>
        </is>
      </c>
      <c r="H90" s="32" t="n">
        <v>9218.629999999999</v>
      </c>
      <c r="I90" s="32" t="n">
        <v>688</v>
      </c>
      <c r="J90" s="32" t="n">
        <v>5.28</v>
      </c>
      <c r="K90" s="32" t="n">
        <v>0</v>
      </c>
      <c r="L90" s="31" t="n">
        <v>12</v>
      </c>
      <c r="M90" s="31" t="inlineStr">
        <is>
          <t>Underperforming</t>
        </is>
      </c>
      <c r="N90" s="32">
        <f>IF(M90="Underperforming",-5,IF(L90&gt;=95,15,IF(L90&gt;=90,10,IF(L90&gt;=80,5,0))))</f>
        <v/>
      </c>
      <c r="O90" s="32" t="n">
        <v>70.44</v>
      </c>
      <c r="P90" s="32" t="n">
        <v>18.59</v>
      </c>
      <c r="Q90" s="32" t="n">
        <v>578.99</v>
      </c>
      <c r="R90" s="31" t="inlineStr">
        <is>
          <t>Volume Spike &amp; Near 52W High Breakout</t>
        </is>
      </c>
      <c r="S90" s="31" t="inlineStr">
        <is>
          <t>Nifty Metal</t>
        </is>
      </c>
      <c r="T90" s="32" t="n">
        <v>41.3</v>
      </c>
      <c r="U90" s="32" t="n">
        <v>0.42</v>
      </c>
      <c r="V90" s="32" t="n">
        <v>-28.93</v>
      </c>
      <c r="W90" s="32" t="n">
        <v>2.99</v>
      </c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Cyclical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Volatile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0 to 20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Between 12 to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21</t>
        </is>
      </c>
      <c r="CG90" s="31">
        <f>IF(CF90&gt;20,10,IF(CF90&gt;=10,5,2))</f>
        <v/>
      </c>
    </row>
    <row r="91">
      <c r="A91" s="31">
        <f>IF(B91=0,"",RANK(B91,$B$2:$B$94,0))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3" t="inlineStr">
        <is>
          <t>JTLIND</t>
        </is>
      </c>
      <c r="D91" s="33" t="inlineStr">
        <is>
          <t>JTL Industries Ltd</t>
        </is>
      </c>
      <c r="E91" s="31" t="inlineStr">
        <is>
          <t>metals &amp; mining</t>
        </is>
      </c>
      <c r="F91" s="31" t="inlineStr">
        <is>
          <t>Steel - Tubes/Pipes</t>
        </is>
      </c>
      <c r="G91" s="31" t="inlineStr">
        <is>
          <t>smallcap</t>
        </is>
      </c>
      <c r="H91" s="32" t="n">
        <v>3493.77</v>
      </c>
      <c r="I91" s="32" t="n">
        <v>91.45</v>
      </c>
      <c r="J91" s="32" t="n">
        <v>1.99</v>
      </c>
      <c r="K91" s="32" t="n">
        <v>0</v>
      </c>
      <c r="L91" s="31" t="n">
        <v>24</v>
      </c>
      <c r="M91" s="31" t="inlineStr">
        <is>
          <t>Underperforming</t>
        </is>
      </c>
      <c r="N91" s="32">
        <f>IF(M91="Underperforming",-5,IF(L91&gt;=95,15,IF(L91&gt;=90,10,IF(L91&gt;=80,5,0))))</f>
        <v/>
      </c>
      <c r="O91" s="32" t="n">
        <v>65.56</v>
      </c>
      <c r="P91" s="32" t="n">
        <v>12.94</v>
      </c>
      <c r="Q91" s="32" t="n">
        <v>66.86</v>
      </c>
      <c r="R91" s="31" t="inlineStr">
        <is>
          <t>Volume Spike &amp; Near 52W High Breakout</t>
        </is>
      </c>
      <c r="S91" s="31" t="inlineStr">
        <is>
          <t>Nifty Metal</t>
        </is>
      </c>
      <c r="T91" s="32" t="n">
        <v>41.3</v>
      </c>
      <c r="U91" s="32" t="n">
        <v>19.29</v>
      </c>
      <c r="V91" s="32" t="n">
        <v>-15.58</v>
      </c>
      <c r="W91" s="32" t="n">
        <v>6.53</v>
      </c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Cyclical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Volatile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0 to 20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23</t>
        </is>
      </c>
      <c r="CG91" s="31">
        <f>IF(CF91&gt;20,10,IF(CF91&gt;=10,5,2))</f>
        <v/>
      </c>
    </row>
    <row r="92">
      <c r="A92" s="31">
        <f>IF(B92=0,"",RANK(B92,$B$2:$B$94,0))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4" t="inlineStr">
        <is>
          <t>BALAMINES</t>
        </is>
      </c>
      <c r="D92" s="34" t="inlineStr">
        <is>
          <t>Balaji Amines Ltd</t>
        </is>
      </c>
      <c r="E92" s="31" t="inlineStr">
        <is>
          <t>chemicals</t>
        </is>
      </c>
      <c r="F92" s="31" t="inlineStr">
        <is>
          <t>Speciality Chemicals</t>
        </is>
      </c>
      <c r="G92" s="31" t="inlineStr">
        <is>
          <t>midcap</t>
        </is>
      </c>
      <c r="H92" s="32" t="n">
        <v>8132.65</v>
      </c>
      <c r="I92" s="32" t="n">
        <v>2510</v>
      </c>
      <c r="J92" s="32" t="n">
        <v>3.81</v>
      </c>
      <c r="K92" s="32" t="n">
        <v>0</v>
      </c>
      <c r="L92" s="31" t="n">
        <v>74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71.38</v>
      </c>
      <c r="P92" s="32" t="n">
        <v>58.52</v>
      </c>
      <c r="Q92" s="32" t="n">
        <v>1850.61</v>
      </c>
      <c r="R92" s="31" t="inlineStr">
        <is>
          <t>Near 52W High Breakout</t>
        </is>
      </c>
      <c r="S92" s="31" t="inlineStr">
        <is>
          <t>Nifty 50</t>
        </is>
      </c>
      <c r="T92" s="32" t="n">
        <v>-3.41</v>
      </c>
      <c r="U92" s="32" t="n">
        <v>70.63</v>
      </c>
      <c r="V92" s="32" t="n">
        <v>76.65000000000001</v>
      </c>
      <c r="W92" s="32" t="n">
        <v>22.5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Duopoly That Cooperate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Headwind</t>
        </is>
      </c>
      <c r="AE92" s="31">
        <f>IF(AD92="Tailwind",10,0)</f>
        <v/>
      </c>
      <c r="AF92" s="31" t="inlineStr">
        <is>
          <t>Shallow Cyclical (2 to 3 Years Growth)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4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Downtrend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Overhead supply in last 2 years in last 2 years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No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21</t>
        </is>
      </c>
      <c r="CG92" s="31">
        <f>IF(CF92&gt;20,10,IF(CF92&gt;=10,5,2))</f>
        <v/>
      </c>
    </row>
    <row r="93">
      <c r="A93" s="31">
        <f>IF(B93=0,"",RANK(B93,$B$2:$B$94,0))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1" t="inlineStr">
        <is>
          <t>GIPCL</t>
        </is>
      </c>
      <c r="D93" s="31" t="inlineStr">
        <is>
          <t>Gujarat Industries Power Co Ltd</t>
        </is>
      </c>
      <c r="E93" s="31" t="inlineStr">
        <is>
          <t>power &amp; utilities</t>
        </is>
      </c>
      <c r="F93" s="31" t="inlineStr">
        <is>
          <t>Power - Generation/Distribution</t>
        </is>
      </c>
      <c r="G93" s="31" t="inlineStr">
        <is>
          <t>smallcap</t>
        </is>
      </c>
      <c r="H93" s="32" t="n">
        <v>3189.84</v>
      </c>
      <c r="I93" s="32" t="n">
        <v>205.51</v>
      </c>
      <c r="J93" s="32" t="n">
        <v>-1.22</v>
      </c>
      <c r="K93" s="32" t="n">
        <v>0</v>
      </c>
      <c r="L93" s="31" t="n">
        <v>27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71.81999999999999</v>
      </c>
      <c r="P93" s="32" t="n">
        <v>19.27</v>
      </c>
      <c r="Q93" s="32" t="n">
        <v>166.16</v>
      </c>
      <c r="R93" s="31" t="inlineStr">
        <is>
          <t>Near 52W High Breakout</t>
        </is>
      </c>
      <c r="S93" s="31" t="inlineStr">
        <is>
          <t>Nifty IT</t>
        </is>
      </c>
      <c r="T93" s="32" t="n">
        <v>-11.38</v>
      </c>
      <c r="U93" s="32" t="n">
        <v>7.79</v>
      </c>
      <c r="V93" s="32" t="n">
        <v>21.62</v>
      </c>
      <c r="W93" s="32" t="n">
        <v>7.14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Oligopoly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Shallow Cyclical (2 to 3 Years Growth)</t>
        </is>
      </c>
      <c r="AG93" s="31">
        <f>IF(AF93="Structural (10 Years Consistency)",10,IF(AF93="Shallow Cyclical (2 to 3 years growth)",5,0))</f>
        <v/>
      </c>
      <c r="AH93" s="31" t="inlineStr">
        <is>
          <t>Yes due to Product Mix change or Operating Leverage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Volatile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Allocated capital in Non-core Areas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3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Sideways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Overhead supply in last 2 years in last 2 years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More than 15%</t>
        </is>
      </c>
      <c r="CC93" s="31">
        <f>IF(CB93="More than 15%",-10,IF(CB93="Less than 15%",10,0))</f>
        <v/>
      </c>
      <c r="CD93" s="31" t="inlineStr">
        <is>
          <t>Yes Upto 10%</t>
        </is>
      </c>
      <c r="CE93" s="31">
        <f>IF(CD93="Yes, more than 10%",-10,IF(CD93="No",10,0))</f>
        <v/>
      </c>
      <c r="CF93" s="31" t="inlineStr">
        <is>
          <t>23</t>
        </is>
      </c>
      <c r="CG93" s="31">
        <f>IF(CF93&gt;20,10,IF(CF93&gt;=10,5,2))</f>
        <v/>
      </c>
    </row>
    <row r="94">
      <c r="A94" s="31">
        <f>IF(B94=0,"",RANK(B94,$B$2:$B$94,0))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1" t="inlineStr">
        <is>
          <t>KHAZANCHI</t>
        </is>
      </c>
      <c r="D94" s="31" t="inlineStr">
        <is>
          <t>Khazanchi Jewellers Ltd</t>
        </is>
      </c>
      <c r="E94" s="31" t="inlineStr">
        <is>
          <t>unknown</t>
        </is>
      </c>
      <c r="F94" s="31" t="inlineStr">
        <is>
          <t>Diamond, Gems &amp; Jewellery</t>
        </is>
      </c>
      <c r="G94" s="31" t="inlineStr">
        <is>
          <t>smallcap</t>
        </is>
      </c>
      <c r="H94" s="32" t="n">
        <v>1891.9</v>
      </c>
      <c r="I94" s="32" t="n">
        <v>764.5</v>
      </c>
      <c r="J94" s="32" t="n">
        <v>1.39</v>
      </c>
      <c r="K94" s="32" t="n">
        <v>0</v>
      </c>
      <c r="L94" s="31" t="inlineStr"/>
      <c r="M94" s="31" t="inlineStr"/>
      <c r="N94" s="32">
        <f>IF(M94="Underperforming",-5,IF(L94&gt;=95,15,IF(L94&gt;=90,10,IF(L94&gt;=80,5,0))))</f>
        <v/>
      </c>
      <c r="O94" s="32" t="inlineStr"/>
      <c r="P94" s="32" t="inlineStr"/>
      <c r="Q94" s="32" t="inlineStr"/>
      <c r="R94" s="31" t="inlineStr"/>
      <c r="S94" s="31" t="inlineStr"/>
      <c r="T94" s="32" t="inlineStr"/>
      <c r="U94" s="32" t="inlineStr"/>
      <c r="V94" s="32" t="inlineStr"/>
      <c r="W94" s="32" t="inlineStr"/>
      <c r="X94" s="31" t="n"/>
      <c r="Y94" s="31">
        <f>IF(X94="Growing Industry",10,IF(X94="Cyclical in an Upturn",5,0))</f>
        <v/>
      </c>
      <c r="Z94" s="31" t="n"/>
      <c r="AA94" s="31">
        <f>IF(Z94="Monopoly",10,IF(Z94="Oligopoly",5,IF(Z94="Duopoly that cooperate",10,IF(Z94="Duopoly that compete",5,IF(Z94="Too many players with High ROCE",5,0)))))</f>
        <v/>
      </c>
      <c r="AB94" s="31" t="n"/>
      <c r="AC94" s="31">
        <f>IF(AB94="No",5,0)</f>
        <v/>
      </c>
      <c r="AD94" s="31" t="n"/>
      <c r="AE94" s="31">
        <f>IF(AD94="Tailwind",10,0)</f>
        <v/>
      </c>
      <c r="AF94" s="31" t="n"/>
      <c r="AG94" s="31">
        <f>IF(AF94="Structural (10 Years Consistency)",10,IF(AF94="Shallow Cyclical (2 to 3 years growth)",5,0))</f>
        <v/>
      </c>
      <c r="AH94" s="31" t="n"/>
      <c r="AI94" s="31">
        <f>IF(AH94="Yes due to Product Mix change or Operating Leverage",10,IF(AH94="Yes, these are peak margins",-5,IF(AH94="No",5,0)))</f>
        <v/>
      </c>
      <c r="AJ94" s="31" t="n"/>
      <c r="AK94" s="31">
        <f>IF(AJ94="Stable",10,0)</f>
        <v/>
      </c>
      <c r="AL94" s="31" t="n"/>
      <c r="AM94" s="31">
        <f>IF(AL94="Yes",10,0)</f>
        <v/>
      </c>
      <c r="AN94" s="31" t="n"/>
      <c r="AO94" s="31">
        <f>IF(AN94="B2C",10,IF(AN94="B2B",5,0))</f>
        <v/>
      </c>
      <c r="AP94" s="31" t="n"/>
      <c r="AQ94" s="31">
        <f>IF(AP94="Yes",10,0)</f>
        <v/>
      </c>
      <c r="AR94" s="31" t="n"/>
      <c r="AS94" s="31">
        <f>IF(AR94="Fully Annuity",10,IF(AR94="Higher Annuity, Lower One Time",5,IF(AR94="Higher One Time, Lower Annuity",3,0)))</f>
        <v/>
      </c>
      <c r="AT94" s="31" t="n"/>
      <c r="AU94" s="31">
        <f>IF(AT94="Good",10,0)</f>
        <v/>
      </c>
      <c r="AV94" s="31" t="n"/>
      <c r="AW94" s="31">
        <f>IF(AV94="Yes for more than 2 years",10,IF(AV94="Yes only for next 1 to 2 years",5,0))</f>
        <v/>
      </c>
      <c r="AX94" s="31" t="n"/>
      <c r="AY94" s="31">
        <f>IF(AX94="Above 40",20,IF(AX94="20 to 40",10,IF(AX94="0 to 20",-5,0)))</f>
        <v/>
      </c>
      <c r="AZ94" s="31" t="n"/>
      <c r="BA94" s="31">
        <f>IF(AZ94="Between 50 to 75",10,IF(AZ94="Above 75",0,0))</f>
        <v/>
      </c>
      <c r="BB94" s="31" t="n"/>
      <c r="BC94" s="31">
        <f>IF(BB94="Stage 2",20,IF(BB94="Stage 1",0,IF(BB94="Stage 3",5,IF(BB94="Stage 4",-5,0))))</f>
        <v/>
      </c>
      <c r="BD94" s="31" t="n"/>
      <c r="BE94" s="31">
        <f>IF(BD94="Positive Trend",20,IF(BD94="Negative Trend",-10,0))</f>
        <v/>
      </c>
      <c r="BF94" s="31" t="n"/>
      <c r="BG94" s="31">
        <f>IF(BF94="Uptrend",10,IF(BF94="Sideways",5,0))</f>
        <v/>
      </c>
      <c r="BH94" s="31" t="n"/>
      <c r="BI94" s="31">
        <f>IF(BH94="Uptrend",10,IF(BH94="Sideways",5,0))</f>
        <v/>
      </c>
      <c r="BJ94" s="31" t="n"/>
      <c r="BK94" s="31">
        <f>IF(BJ94="Overhead supply in last 2 years in last 2 years",-5,IF(BJ94="Close to 52 week high or retracement",5,IF(BJ94="Blue sky scenario",10,IF(BJ94="Long term Downtrend",-10,0))))</f>
        <v/>
      </c>
      <c r="BL94" s="31" t="n"/>
      <c r="BM94" s="31">
        <f>IF(BL94="Yes",10,0)</f>
        <v/>
      </c>
      <c r="BN94" s="31" t="n"/>
      <c r="BO94" s="31">
        <f>IF(BN94="More than 20%",10,IF(BN94="Between 12 to 20%",5,IF(BN94="Less than 12%",0,0)))</f>
        <v/>
      </c>
      <c r="BP94" s="31" t="n"/>
      <c r="BQ94" s="31">
        <f>IF(BP94="No",10,0)</f>
        <v/>
      </c>
      <c r="BR94" s="31" t="n"/>
      <c r="BS94" s="31">
        <f>IF(BR94="NO",5,0)</f>
        <v/>
      </c>
      <c r="BT94" s="31" t="n"/>
      <c r="BU94" s="31">
        <f>IF(BT94="Above 2",0,IF(BT94="Between 1.5 to 2",5,IF(BT94="Less than 1.5",10,0)))</f>
        <v/>
      </c>
      <c r="BV94" s="31" t="n"/>
      <c r="BW94" s="31">
        <f>IF(BV94="Above 70%",10,IF(BV94="Between 50% to 70%",5,IF(BV94="Less than 50%",0,IF(BV94="Negative",-10,IF(BV94="Less than 50% and Borrowings are increasing",-5,0)))))</f>
        <v/>
      </c>
      <c r="BX94" s="31" t="n"/>
      <c r="BY94" s="31">
        <f>IF(BX94="More than 1.2",-10,IF(BX94="Between 0.7 to 1.2",0,IF(BX94="Less than 0.7",10,0)))</f>
        <v/>
      </c>
      <c r="BZ94" s="31" t="n"/>
      <c r="CA94" s="31">
        <f>IF(BZ94="Yes",-10,0)</f>
        <v/>
      </c>
      <c r="CB94" s="31" t="n"/>
      <c r="CC94" s="31">
        <f>IF(CB94="More than 15%",-10,IF(CB94="Less than 15%",10,0))</f>
        <v/>
      </c>
      <c r="CD94" s="31" t="n"/>
      <c r="CE94" s="31">
        <f>IF(CD94="Yes, more than 10%",-10,IF(CD94="No",10,0))</f>
        <v/>
      </c>
      <c r="CF94" s="31" t="n"/>
      <c r="CG94" s="31">
        <f>IF(CF94&gt;20,10,IF(CF94&gt;=10,5,2))</f>
        <v/>
      </c>
    </row>
    <row r="98">
      <c r="A98" s="25" t="inlineStr">
        <is>
          <t>❌ REMOVED SCAN MATCH STOCKS (THIS WEEK)</t>
        </is>
      </c>
    </row>
    <row r="99">
      <c r="A99" s="35" t="inlineStr">
        <is>
          <t>Symbol</t>
        </is>
      </c>
      <c r="B99" s="35" t="inlineStr">
        <is>
          <t>Company Name</t>
        </is>
      </c>
      <c r="C99" s="35" t="inlineStr">
        <is>
          <t>Sector</t>
        </is>
      </c>
      <c r="D99" s="35" t="inlineStr">
        <is>
          <t>Date of Removal</t>
        </is>
      </c>
    </row>
    <row r="100">
      <c r="A100" s="36" t="inlineStr">
        <is>
          <t>ACCENTMIC</t>
        </is>
      </c>
      <c r="B100" s="37" t="inlineStr">
        <is>
          <t>ACCENTMIC</t>
        </is>
      </c>
      <c r="C100" s="37" t="inlineStr">
        <is>
          <t>unknown</t>
        </is>
      </c>
      <c r="D100" s="38" t="inlineStr">
        <is>
          <t>2026-09-02</t>
        </is>
      </c>
    </row>
    <row r="101">
      <c r="A101" s="36" t="inlineStr">
        <is>
          <t>ADOR</t>
        </is>
      </c>
      <c r="B101" s="37" t="inlineStr">
        <is>
          <t>Ador Welding Limited</t>
        </is>
      </c>
      <c r="C101" s="37" t="inlineStr">
        <is>
          <t>Industrials</t>
        </is>
      </c>
      <c r="D101" s="38" t="inlineStr">
        <is>
          <t>2026-09-04</t>
        </is>
      </c>
    </row>
    <row r="102">
      <c r="A102" s="36" t="inlineStr">
        <is>
          <t>AEGISLOG</t>
        </is>
      </c>
      <c r="B102" s="37" t="inlineStr">
        <is>
          <t>AEGISLOG</t>
        </is>
      </c>
      <c r="C102" s="37" t="inlineStr">
        <is>
          <t>unknown</t>
        </is>
      </c>
      <c r="D102" s="38" t="inlineStr">
        <is>
          <t>2026-09-04</t>
        </is>
      </c>
    </row>
    <row r="103">
      <c r="A103" s="36" t="inlineStr">
        <is>
          <t>AEROFLEX</t>
        </is>
      </c>
      <c r="B103" s="37" t="inlineStr">
        <is>
          <t>Aeroflex Industries Limited</t>
        </is>
      </c>
      <c r="C103" s="37" t="inlineStr">
        <is>
          <t>Industrials</t>
        </is>
      </c>
      <c r="D103" s="38" t="inlineStr">
        <is>
          <t>2026-09-04</t>
        </is>
      </c>
    </row>
    <row r="104">
      <c r="A104" s="36" t="inlineStr">
        <is>
          <t>ALEMBICLTD</t>
        </is>
      </c>
      <c r="B104" s="37" t="inlineStr">
        <is>
          <t>Alembic Limited</t>
        </is>
      </c>
      <c r="C104" s="37" t="inlineStr">
        <is>
          <t>Real Estate</t>
        </is>
      </c>
      <c r="D104" s="38" t="inlineStr">
        <is>
          <t>2026-09-04</t>
        </is>
      </c>
    </row>
    <row r="105">
      <c r="A105" s="36" t="inlineStr">
        <is>
          <t>ASIANENE</t>
        </is>
      </c>
      <c r="B105" s="37" t="inlineStr">
        <is>
          <t>Asian Energy Services Limited</t>
        </is>
      </c>
      <c r="C105" s="37" t="inlineStr">
        <is>
          <t>Energy</t>
        </is>
      </c>
      <c r="D105" s="38" t="inlineStr">
        <is>
          <t>2026-09-03</t>
        </is>
      </c>
    </row>
    <row r="106">
      <c r="A106" s="36" t="inlineStr">
        <is>
          <t>ATHERENERG</t>
        </is>
      </c>
      <c r="B106" s="37" t="inlineStr">
        <is>
          <t>Ather Energy Limited</t>
        </is>
      </c>
      <c r="C106" s="37" t="inlineStr">
        <is>
          <t>Consumer Cyclical</t>
        </is>
      </c>
      <c r="D106" s="38" t="inlineStr">
        <is>
          <t>2026-09-03</t>
        </is>
      </c>
    </row>
    <row r="107">
      <c r="A107" s="36" t="inlineStr">
        <is>
          <t>AURUM</t>
        </is>
      </c>
      <c r="B107" s="37" t="inlineStr">
        <is>
          <t>AURUM</t>
        </is>
      </c>
      <c r="C107" s="37" t="inlineStr">
        <is>
          <t>unknown</t>
        </is>
      </c>
      <c r="D107" s="38" t="inlineStr">
        <is>
          <t>2026-09-02</t>
        </is>
      </c>
    </row>
    <row r="108">
      <c r="A108" s="36" t="inlineStr">
        <is>
          <t>CAPLIPOINT</t>
        </is>
      </c>
      <c r="B108" s="37" t="inlineStr">
        <is>
          <t>Caplin Point Laboratories Limited</t>
        </is>
      </c>
      <c r="C108" s="37" t="inlineStr">
        <is>
          <t>Healthcare</t>
        </is>
      </c>
      <c r="D108" s="38" t="inlineStr">
        <is>
          <t>2026-09-04</t>
        </is>
      </c>
    </row>
    <row r="109">
      <c r="A109" s="36" t="inlineStr">
        <is>
          <t>CNL</t>
        </is>
      </c>
      <c r="B109" s="37" t="inlineStr">
        <is>
          <t>CNL</t>
        </is>
      </c>
      <c r="C109" s="37" t="inlineStr">
        <is>
          <t>unknown</t>
        </is>
      </c>
      <c r="D109" s="38" t="inlineStr">
        <is>
          <t>2026-09-03</t>
        </is>
      </c>
    </row>
    <row r="110">
      <c r="A110" s="36" t="inlineStr">
        <is>
          <t>CYIENTDLM</t>
        </is>
      </c>
      <c r="B110" s="37" t="inlineStr">
        <is>
          <t>Cyient DLM Limited</t>
        </is>
      </c>
      <c r="C110" s="37" t="inlineStr">
        <is>
          <t>Industrials</t>
        </is>
      </c>
      <c r="D110" s="38" t="inlineStr">
        <is>
          <t>2026-09-03</t>
        </is>
      </c>
    </row>
    <row r="111">
      <c r="A111" s="36" t="inlineStr">
        <is>
          <t>DIFFNKG</t>
        </is>
      </c>
      <c r="B111" s="37" t="inlineStr">
        <is>
          <t>Diffusion Engineers Limited</t>
        </is>
      </c>
      <c r="C111" s="37" t="inlineStr">
        <is>
          <t>Industrials</t>
        </is>
      </c>
      <c r="D111" s="38" t="inlineStr">
        <is>
          <t>2026-09-04</t>
        </is>
      </c>
    </row>
    <row r="112">
      <c r="A112" s="36" t="inlineStr">
        <is>
          <t>EMIL</t>
        </is>
      </c>
      <c r="B112" s="37" t="inlineStr">
        <is>
          <t>EMIL</t>
        </is>
      </c>
      <c r="C112" s="37" t="inlineStr">
        <is>
          <t>unknown</t>
        </is>
      </c>
      <c r="D112" s="38" t="inlineStr">
        <is>
          <t>2026-09-02</t>
        </is>
      </c>
    </row>
    <row r="113">
      <c r="A113" s="36" t="inlineStr">
        <is>
          <t>GAYAPROJ</t>
        </is>
      </c>
      <c r="B113" s="37" t="inlineStr">
        <is>
          <t>GAYAPROJ</t>
        </is>
      </c>
      <c r="C113" s="37" t="inlineStr">
        <is>
          <t>unknown</t>
        </is>
      </c>
      <c r="D113" s="38" t="inlineStr">
        <is>
          <t>2026-09-04</t>
        </is>
      </c>
    </row>
    <row r="114">
      <c r="A114" s="36" t="inlineStr">
        <is>
          <t>GENUSPOWER</t>
        </is>
      </c>
      <c r="B114" s="37" t="inlineStr">
        <is>
          <t>Genus Power Infrastructures Limited</t>
        </is>
      </c>
      <c r="C114" s="37" t="inlineStr">
        <is>
          <t>Industrials</t>
        </is>
      </c>
      <c r="D114" s="38" t="inlineStr">
        <is>
          <t>2026-09-03</t>
        </is>
      </c>
    </row>
    <row r="115">
      <c r="A115" s="36" t="inlineStr">
        <is>
          <t>GLENMARK</t>
        </is>
      </c>
      <c r="B115" s="37" t="inlineStr">
        <is>
          <t>Glenmark Pharmaceuticals Limited</t>
        </is>
      </c>
      <c r="C115" s="37" t="inlineStr">
        <is>
          <t>Healthcare</t>
        </is>
      </c>
      <c r="D115" s="38" t="inlineStr">
        <is>
          <t>2026-09-04</t>
        </is>
      </c>
    </row>
    <row r="116">
      <c r="A116" s="36" t="inlineStr">
        <is>
          <t>HATSUN</t>
        </is>
      </c>
      <c r="B116" s="37" t="inlineStr">
        <is>
          <t>Hatsun Agro Product Limited</t>
        </is>
      </c>
      <c r="C116" s="37" t="inlineStr">
        <is>
          <t>Consumer Defensive</t>
        </is>
      </c>
      <c r="D116" s="38" t="inlineStr">
        <is>
          <t>2026-09-03</t>
        </is>
      </c>
    </row>
    <row r="117">
      <c r="A117" s="36" t="inlineStr">
        <is>
          <t>HONASA</t>
        </is>
      </c>
      <c r="B117" s="37" t="inlineStr">
        <is>
          <t>HONASA</t>
        </is>
      </c>
      <c r="C117" s="37" t="inlineStr">
        <is>
          <t>unknown</t>
        </is>
      </c>
      <c r="D117" s="38" t="inlineStr">
        <is>
          <t>2026-09-01</t>
        </is>
      </c>
    </row>
    <row r="118">
      <c r="A118" s="36" t="inlineStr">
        <is>
          <t>ICIL</t>
        </is>
      </c>
      <c r="B118" s="37" t="inlineStr">
        <is>
          <t>Indo Count Industries Limited</t>
        </is>
      </c>
      <c r="C118" s="37" t="inlineStr">
        <is>
          <t>Consumer Cyclical</t>
        </is>
      </c>
      <c r="D118" s="38" t="inlineStr">
        <is>
          <t>2026-09-01</t>
        </is>
      </c>
    </row>
    <row r="119">
      <c r="A119" s="36" t="inlineStr">
        <is>
          <t>INDOTECH</t>
        </is>
      </c>
      <c r="B119" s="37" t="inlineStr">
        <is>
          <t>INDOTECH</t>
        </is>
      </c>
      <c r="C119" s="37" t="inlineStr">
        <is>
          <t>unknown</t>
        </is>
      </c>
      <c r="D119" s="38" t="inlineStr">
        <is>
          <t>2026-09-02</t>
        </is>
      </c>
    </row>
    <row r="120">
      <c r="A120" s="36" t="inlineStr">
        <is>
          <t>INDSWFTLAB</t>
        </is>
      </c>
      <c r="B120" s="37" t="inlineStr">
        <is>
          <t>Ind-Swift Laboratories Limited</t>
        </is>
      </c>
      <c r="C120" s="37" t="inlineStr">
        <is>
          <t>Healthcare</t>
        </is>
      </c>
      <c r="D120" s="38" t="inlineStr">
        <is>
          <t>2026-09-04</t>
        </is>
      </c>
    </row>
    <row r="121">
      <c r="A121" s="36" t="inlineStr">
        <is>
          <t>INOVSYNTH</t>
        </is>
      </c>
      <c r="B121" s="37" t="inlineStr">
        <is>
          <t>INOVSYNTH</t>
        </is>
      </c>
      <c r="C121" s="37" t="inlineStr">
        <is>
          <t>unknown</t>
        </is>
      </c>
      <c r="D121" s="38" t="inlineStr">
        <is>
          <t>2026-09-03</t>
        </is>
      </c>
    </row>
    <row r="122">
      <c r="A122" s="36" t="inlineStr">
        <is>
          <t>KAPSTON</t>
        </is>
      </c>
      <c r="B122" s="37" t="inlineStr">
        <is>
          <t>Kapston Services Limited</t>
        </is>
      </c>
      <c r="C122" s="37" t="inlineStr">
        <is>
          <t>Industrials</t>
        </is>
      </c>
      <c r="D122" s="38" t="inlineStr">
        <is>
          <t>2026-09-01</t>
        </is>
      </c>
    </row>
    <row r="123">
      <c r="A123" s="36" t="inlineStr">
        <is>
          <t>KDDL</t>
        </is>
      </c>
      <c r="B123" s="37" t="inlineStr">
        <is>
          <t>KDDL Limited</t>
        </is>
      </c>
      <c r="C123" s="37" t="inlineStr">
        <is>
          <t>Consumer Cyclical</t>
        </is>
      </c>
      <c r="D123" s="38" t="inlineStr">
        <is>
          <t>2026-09-04</t>
        </is>
      </c>
    </row>
    <row r="124">
      <c r="A124" s="36" t="inlineStr">
        <is>
          <t>KHAZANCHI</t>
        </is>
      </c>
      <c r="B124" s="37" t="inlineStr">
        <is>
          <t>KHAZANCHI</t>
        </is>
      </c>
      <c r="C124" s="37" t="inlineStr">
        <is>
          <t>unknown</t>
        </is>
      </c>
      <c r="D124" s="38" t="inlineStr">
        <is>
          <t>2026-09-04</t>
        </is>
      </c>
    </row>
    <row r="125">
      <c r="A125" s="36" t="inlineStr">
        <is>
          <t>KRISHANA</t>
        </is>
      </c>
      <c r="B125" s="37" t="inlineStr">
        <is>
          <t>KRISHANA</t>
        </is>
      </c>
      <c r="C125" s="37" t="inlineStr">
        <is>
          <t>unknown</t>
        </is>
      </c>
      <c r="D125" s="38" t="inlineStr">
        <is>
          <t>2026-09-04</t>
        </is>
      </c>
    </row>
    <row r="126">
      <c r="A126" s="36" t="inlineStr">
        <is>
          <t>KRN</t>
        </is>
      </c>
      <c r="B126" s="37" t="inlineStr">
        <is>
          <t>KRN Heat Exchanger and Refrigeration Limited</t>
        </is>
      </c>
      <c r="C126" s="37" t="inlineStr">
        <is>
          <t>Technology</t>
        </is>
      </c>
      <c r="D126" s="38" t="inlineStr">
        <is>
          <t>2026-09-04</t>
        </is>
      </c>
    </row>
    <row r="127">
      <c r="A127" s="36" t="inlineStr">
        <is>
          <t>LUMAXTECH</t>
        </is>
      </c>
      <c r="B127" s="37" t="inlineStr">
        <is>
          <t>Lumax Auto Technologies Limited</t>
        </is>
      </c>
      <c r="C127" s="37" t="inlineStr">
        <is>
          <t>Consumer Cyclical</t>
        </is>
      </c>
      <c r="D127" s="38" t="inlineStr">
        <is>
          <t>2026-09-02</t>
        </is>
      </c>
    </row>
    <row r="128">
      <c r="A128" s="36" t="inlineStr">
        <is>
          <t>MANALIPETC</t>
        </is>
      </c>
      <c r="B128" s="37" t="inlineStr">
        <is>
          <t>Manali Petrochemicals Limited</t>
        </is>
      </c>
      <c r="C128" s="37" t="inlineStr">
        <is>
          <t>Basic Materials</t>
        </is>
      </c>
      <c r="D128" s="38" t="inlineStr">
        <is>
          <t>2026-09-04</t>
        </is>
      </c>
    </row>
    <row r="129">
      <c r="A129" s="36" t="inlineStr">
        <is>
          <t>MANORAMA</t>
        </is>
      </c>
      <c r="B129" s="37" t="inlineStr">
        <is>
          <t>Manorama Industries Limited</t>
        </is>
      </c>
      <c r="C129" s="37" t="inlineStr">
        <is>
          <t>Consumer Defensive</t>
        </is>
      </c>
      <c r="D129" s="38" t="inlineStr">
        <is>
          <t>2026-09-04</t>
        </is>
      </c>
    </row>
    <row r="130">
      <c r="A130" s="36" t="inlineStr">
        <is>
          <t>MSTCLTD</t>
        </is>
      </c>
      <c r="B130" s="37" t="inlineStr">
        <is>
          <t>MSTC Limited</t>
        </is>
      </c>
      <c r="C130" s="37" t="inlineStr">
        <is>
          <t>Industrials</t>
        </is>
      </c>
      <c r="D130" s="38" t="inlineStr">
        <is>
          <t>2026-09-01</t>
        </is>
      </c>
    </row>
    <row r="131">
      <c r="A131" s="36" t="inlineStr">
        <is>
          <t>NETWEB</t>
        </is>
      </c>
      <c r="B131" s="37" t="inlineStr">
        <is>
          <t>NETWEB</t>
        </is>
      </c>
      <c r="C131" s="37" t="inlineStr">
        <is>
          <t>unknown</t>
        </is>
      </c>
      <c r="D131" s="38" t="inlineStr">
        <is>
          <t>2026-09-04</t>
        </is>
      </c>
    </row>
    <row r="132">
      <c r="A132" s="36" t="inlineStr">
        <is>
          <t>NEULANDLAB</t>
        </is>
      </c>
      <c r="B132" s="37" t="inlineStr">
        <is>
          <t>Neuland Laboratories Limited</t>
        </is>
      </c>
      <c r="C132" s="37" t="inlineStr">
        <is>
          <t>Healthcare</t>
        </is>
      </c>
      <c r="D132" s="38" t="inlineStr">
        <is>
          <t>2026-09-04</t>
        </is>
      </c>
    </row>
    <row r="133">
      <c r="A133" s="36" t="inlineStr">
        <is>
          <t>NYKAA</t>
        </is>
      </c>
      <c r="B133" s="37" t="inlineStr">
        <is>
          <t>NYKAA</t>
        </is>
      </c>
      <c r="C133" s="37" t="inlineStr">
        <is>
          <t>unknown</t>
        </is>
      </c>
      <c r="D133" s="38" t="inlineStr">
        <is>
          <t>2026-09-01</t>
        </is>
      </c>
    </row>
    <row r="134">
      <c r="A134" s="36" t="inlineStr">
        <is>
          <t>PARAS</t>
        </is>
      </c>
      <c r="B134" s="37" t="inlineStr">
        <is>
          <t>PARAS</t>
        </is>
      </c>
      <c r="C134" s="37" t="inlineStr">
        <is>
          <t>unknown</t>
        </is>
      </c>
      <c r="D134" s="38" t="inlineStr">
        <is>
          <t>2026-09-01</t>
        </is>
      </c>
    </row>
    <row r="135">
      <c r="A135" s="36" t="inlineStr">
        <is>
          <t>PAYTM</t>
        </is>
      </c>
      <c r="B135" s="37" t="inlineStr">
        <is>
          <t>One97 Communications Limited</t>
        </is>
      </c>
      <c r="C135" s="37" t="inlineStr">
        <is>
          <t>Technology</t>
        </is>
      </c>
      <c r="D135" s="38" t="inlineStr">
        <is>
          <t>2026-09-01</t>
        </is>
      </c>
    </row>
    <row r="136">
      <c r="A136" s="36" t="inlineStr">
        <is>
          <t>PRICOLLTD</t>
        </is>
      </c>
      <c r="B136" s="37" t="inlineStr">
        <is>
          <t>PRICOLLTD</t>
        </is>
      </c>
      <c r="C136" s="37" t="inlineStr">
        <is>
          <t>unknown</t>
        </is>
      </c>
      <c r="D136" s="38" t="inlineStr">
        <is>
          <t>2026-09-02</t>
        </is>
      </c>
    </row>
    <row r="137">
      <c r="A137" s="36" t="inlineStr">
        <is>
          <t>QUESS</t>
        </is>
      </c>
      <c r="B137" s="37" t="inlineStr">
        <is>
          <t>Quess Corp Limited</t>
        </is>
      </c>
      <c r="C137" s="37" t="inlineStr">
        <is>
          <t>Industrials</t>
        </is>
      </c>
      <c r="D137" s="38" t="inlineStr">
        <is>
          <t>2026-09-01</t>
        </is>
      </c>
    </row>
    <row r="138">
      <c r="A138" s="36" t="inlineStr">
        <is>
          <t>RATNAVEER</t>
        </is>
      </c>
      <c r="B138" s="37" t="inlineStr">
        <is>
          <t>Ratnaveer Precision Engineering Limited</t>
        </is>
      </c>
      <c r="C138" s="37" t="inlineStr">
        <is>
          <t>Basic Materials</t>
        </is>
      </c>
      <c r="D138" s="38" t="inlineStr">
        <is>
          <t>2026-09-03</t>
        </is>
      </c>
    </row>
    <row r="139">
      <c r="A139" s="36" t="inlineStr">
        <is>
          <t>REDINGTON</t>
        </is>
      </c>
      <c r="B139" s="37" t="inlineStr">
        <is>
          <t>Redington Limited</t>
        </is>
      </c>
      <c r="C139" s="37" t="inlineStr">
        <is>
          <t>Technology</t>
        </is>
      </c>
      <c r="D139" s="38" t="inlineStr">
        <is>
          <t>2026-09-03</t>
        </is>
      </c>
    </row>
    <row r="140">
      <c r="A140" s="36" t="inlineStr">
        <is>
          <t>RRKABEL</t>
        </is>
      </c>
      <c r="B140" s="37" t="inlineStr">
        <is>
          <t>RRKABEL</t>
        </is>
      </c>
      <c r="C140" s="37" t="inlineStr">
        <is>
          <t>unknown</t>
        </is>
      </c>
      <c r="D140" s="38" t="inlineStr">
        <is>
          <t>2026-09-02</t>
        </is>
      </c>
    </row>
    <row r="141">
      <c r="A141" s="36" t="inlineStr">
        <is>
          <t>SAMBHV</t>
        </is>
      </c>
      <c r="B141" s="37" t="inlineStr">
        <is>
          <t>Sambhv Steel Tubes Limited</t>
        </is>
      </c>
      <c r="C141" s="37" t="inlineStr">
        <is>
          <t>Basic Materials</t>
        </is>
      </c>
      <c r="D141" s="38" t="inlineStr">
        <is>
          <t>2026-09-04</t>
        </is>
      </c>
    </row>
    <row r="142">
      <c r="A142" s="36" t="inlineStr">
        <is>
          <t>SHUKRAPHAR</t>
        </is>
      </c>
      <c r="B142" s="37" t="inlineStr">
        <is>
          <t>SHUKRAPHAR</t>
        </is>
      </c>
      <c r="C142" s="37" t="inlineStr">
        <is>
          <t>unknown</t>
        </is>
      </c>
      <c r="D142" s="38" t="inlineStr">
        <is>
          <t>2026-09-04</t>
        </is>
      </c>
    </row>
    <row r="143">
      <c r="A143" s="36" t="inlineStr">
        <is>
          <t>SJS</t>
        </is>
      </c>
      <c r="B143" s="37" t="inlineStr">
        <is>
          <t>SJS</t>
        </is>
      </c>
      <c r="C143" s="37" t="inlineStr">
        <is>
          <t>unknown</t>
        </is>
      </c>
      <c r="D143" s="38" t="inlineStr">
        <is>
          <t>2026-09-02</t>
        </is>
      </c>
    </row>
    <row r="144">
      <c r="A144" s="36" t="inlineStr">
        <is>
          <t>SUNRAKSHAK</t>
        </is>
      </c>
      <c r="B144" s="37" t="inlineStr">
        <is>
          <t>SUNRAKSHAK</t>
        </is>
      </c>
      <c r="C144" s="37" t="inlineStr">
        <is>
          <t>unknown</t>
        </is>
      </c>
      <c r="D144" s="38" t="inlineStr">
        <is>
          <t>2026-09-04</t>
        </is>
      </c>
    </row>
    <row r="145">
      <c r="A145" s="36" t="inlineStr">
        <is>
          <t>VENKEYS</t>
        </is>
      </c>
      <c r="B145" s="37" t="inlineStr">
        <is>
          <t>Venky's (India) Limited</t>
        </is>
      </c>
      <c r="C145" s="37" t="inlineStr">
        <is>
          <t>Consumer Defensive</t>
        </is>
      </c>
      <c r="D145" s="38" t="inlineStr">
        <is>
          <t>2026-09-04</t>
        </is>
      </c>
    </row>
    <row r="146">
      <c r="A146" s="36" t="inlineStr">
        <is>
          <t>VOEPL</t>
        </is>
      </c>
      <c r="B146" s="37" t="inlineStr">
        <is>
          <t>VOEPL</t>
        </is>
      </c>
      <c r="C146" s="37" t="inlineStr">
        <is>
          <t>unknown</t>
        </is>
      </c>
      <c r="D146" s="38" t="inlineStr">
        <is>
          <t>2026-09-02</t>
        </is>
      </c>
    </row>
    <row r="147">
      <c r="A147" s="36" t="inlineStr">
        <is>
          <t>WHEELS</t>
        </is>
      </c>
      <c r="B147" s="37" t="inlineStr">
        <is>
          <t>Wheels India Limited</t>
        </is>
      </c>
      <c r="C147" s="37" t="inlineStr">
        <is>
          <t>Consumer Cyclical</t>
        </is>
      </c>
      <c r="D147" s="38" t="inlineStr">
        <is>
          <t>2026-09-04</t>
        </is>
      </c>
    </row>
    <row r="148">
      <c r="A148" s="36" t="inlineStr">
        <is>
          <t>YASHO</t>
        </is>
      </c>
      <c r="B148" s="37" t="inlineStr">
        <is>
          <t>YASHO</t>
        </is>
      </c>
      <c r="C148" s="37" t="inlineStr">
        <is>
          <t>unknown</t>
        </is>
      </c>
      <c r="D148" s="38" t="inlineStr">
        <is>
          <t>2026-09-01</t>
        </is>
      </c>
    </row>
  </sheetData>
  <autoFilter ref="A1:CG94"/>
  <conditionalFormatting sqref="B2:B9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4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4">
    <cfRule type="cellIs" priority="37" operator="equal" dxfId="3" stopIfTrue="1">
      <formula>"Underperforming"</formula>
    </cfRule>
  </conditionalFormatting>
  <conditionalFormatting sqref="N2:N94">
    <cfRule type="cellIs" priority="38" operator="equal" dxfId="3" stopIfTrue="1">
      <formula>-5</formula>
    </cfRule>
  </conditionalFormatting>
  <conditionalFormatting sqref="Q2:Q94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4" showDropDown="0" showInputMessage="0" showErrorMessage="0" allowBlank="1" type="list">
      <formula1>"Growing Industry,Stagnant Industry,Cyclical in an Upturn"</formula1>
    </dataValidation>
    <dataValidation sqref="Z2:Z94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4" showDropDown="0" showInputMessage="0" showErrorMessage="0" allowBlank="1" type="list">
      <formula1>"Yes,No"</formula1>
    </dataValidation>
    <dataValidation sqref="AD2:AD94" showDropDown="0" showInputMessage="0" showErrorMessage="0" allowBlank="1" type="list">
      <formula1>"Tailwind,Headwind"</formula1>
    </dataValidation>
    <dataValidation sqref="AF2:AF94" showDropDown="0" showInputMessage="0" showErrorMessage="0" allowBlank="1" type="list">
      <formula1>"Structural (10 Years Consistency),Shallow Cyclical (2 to 3 Years Growth),Cyclical"</formula1>
    </dataValidation>
    <dataValidation sqref="AH2:AH94" showDropDown="0" showInputMessage="0" showErrorMessage="0" allowBlank="1" type="list">
      <formula1>"Yes due to Product Mix change or Operating Leverage,Yes, these are peak margins,No"</formula1>
    </dataValidation>
    <dataValidation sqref="AJ2:AJ94" showDropDown="0" showInputMessage="0" showErrorMessage="0" allowBlank="1" type="list">
      <formula1>"Stable,Volatile"</formula1>
    </dataValidation>
    <dataValidation sqref="AL2:AL94" showDropDown="0" showInputMessage="0" showErrorMessage="0" allowBlank="1" type="list">
      <formula1>"Yes,No"</formula1>
    </dataValidation>
    <dataValidation sqref="AN2:AN94" showDropDown="0" showInputMessage="0" showErrorMessage="0" allowBlank="1" type="list">
      <formula1>"B2C,B2B,B2G"</formula1>
    </dataValidation>
    <dataValidation sqref="AP2:AP94" showDropDown="0" showInputMessage="0" showErrorMessage="0" allowBlank="1" type="list">
      <formula1>"Yes,No"</formula1>
    </dataValidation>
    <dataValidation sqref="AR2:AR94" showDropDown="0" showInputMessage="0" showErrorMessage="0" allowBlank="1" type="list">
      <formula1>"Fully Annuity,Higher Annuity, Lower One time,Higher One Time, Lower Annuity,Fully One Time"</formula1>
    </dataValidation>
    <dataValidation sqref="AT2:AT94" showDropDown="0" showInputMessage="0" showErrorMessage="0" allowBlank="1" type="list">
      <formula1>"Good,Allocated capital in Non-core Areas"</formula1>
    </dataValidation>
    <dataValidation sqref="AV2:AV94" showDropDown="0" showInputMessage="0" showErrorMessage="0" allowBlank="1" type="list">
      <formula1>"Yes for more than 2 years,Yes only for next 1 to 2 years,No"</formula1>
    </dataValidation>
    <dataValidation sqref="AX2:AX94" showDropDown="0" showInputMessage="0" showErrorMessage="0" allowBlank="1" type="list">
      <formula1>"Above 40,20 to 40,0 to 20"</formula1>
    </dataValidation>
    <dataValidation sqref="AZ2:AZ94" showDropDown="0" showInputMessage="0" showErrorMessage="0" allowBlank="1" type="list">
      <formula1>"Between 50 to 75,Above 75,Below 45"</formula1>
    </dataValidation>
    <dataValidation sqref="BB2:BB94" showDropDown="0" showInputMessage="0" showErrorMessage="0" allowBlank="1" type="list">
      <formula1>"Stage 1,Stage 2,Stage 3,Stage 4"</formula1>
    </dataValidation>
    <dataValidation sqref="BD2:BD94" showDropDown="0" showInputMessage="0" showErrorMessage="0" allowBlank="1" type="list">
      <formula1>"Positive Trend,Negative Trend"</formula1>
    </dataValidation>
    <dataValidation sqref="BF2:BF94" showDropDown="0" showInputMessage="0" showErrorMessage="0" allowBlank="1" type="list">
      <formula1>"Uptrend,Sideways,Downtrend"</formula1>
    </dataValidation>
    <dataValidation sqref="BH2:BH94" showDropDown="0" showInputMessage="0" showErrorMessage="0" allowBlank="1" type="list">
      <formula1>"Uptrend,Sideways,Downtrend"</formula1>
    </dataValidation>
    <dataValidation sqref="BJ2:BJ9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4" showDropDown="0" showInputMessage="0" showErrorMessage="0" allowBlank="1" type="list">
      <formula1>"Yes,No"</formula1>
    </dataValidation>
    <dataValidation sqref="BN2:BN94" showDropDown="0" showInputMessage="0" showErrorMessage="0" allowBlank="1" type="list">
      <formula1>"More than 20%,Between 12 to 20%,Less than 12%"</formula1>
    </dataValidation>
    <dataValidation sqref="BP2:BP94" showDropDown="0" showInputMessage="0" showErrorMessage="0" allowBlank="1" type="list">
      <formula1>"Yes,No"</formula1>
    </dataValidation>
    <dataValidation sqref="BR2:BR94" showDropDown="0" showInputMessage="0" showErrorMessage="0" allowBlank="1" type="list">
      <formula1>"Yes,No"</formula1>
    </dataValidation>
    <dataValidation sqref="BT2:BT94" showDropDown="0" showInputMessage="0" showErrorMessage="0" allowBlank="1" type="list">
      <formula1>"Above 2,Between 1.5 to 2,Less than 1.5"</formula1>
    </dataValidation>
    <dataValidation sqref="BV2:BV94" showDropDown="0" showInputMessage="0" showErrorMessage="0" allowBlank="1" type="list">
      <formula1>"Above 70%,Between 50% to 70%,Less than 50%,Less than 50% and Borrowings are increasing,Negative"</formula1>
    </dataValidation>
    <dataValidation sqref="BX2:BX94" showDropDown="0" showInputMessage="0" showErrorMessage="0" allowBlank="1" type="list">
      <formula1>"More than 1.2,Between 0.7 to 1.2,Less than 0.7"</formula1>
    </dataValidation>
    <dataValidation sqref="BZ2:BZ94" showDropDown="0" showInputMessage="0" showErrorMessage="0" allowBlank="1" type="list">
      <formula1>"Yes,No"</formula1>
    </dataValidation>
    <dataValidation sqref="CB2:CB94" showDropDown="0" showInputMessage="0" showErrorMessage="0" allowBlank="1" type="list">
      <formula1>"More than 15%,Less than 15%"</formula1>
    </dataValidation>
    <dataValidation sqref="CD2:CD94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IF(B2=0,"",RANK(B2,$B$2:$B$8,0))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IIFL</t>
        </is>
      </c>
      <c r="D2" s="31" t="inlineStr">
        <is>
          <t>IIFL Finance Ltd</t>
        </is>
      </c>
      <c r="E2" s="31" t="inlineStr">
        <is>
          <t>financials</t>
        </is>
      </c>
      <c r="F2" s="31" t="inlineStr">
        <is>
          <t>Finance &amp; Investments - Gold Loan</t>
        </is>
      </c>
      <c r="G2" s="31" t="inlineStr">
        <is>
          <t>largecap</t>
        </is>
      </c>
      <c r="H2" s="32" t="n">
        <v>27673.16</v>
      </c>
      <c r="I2" s="32" t="n">
        <v>650.55</v>
      </c>
      <c r="J2" s="32" t="n">
        <v>1.11</v>
      </c>
      <c r="K2" s="32" t="n">
        <v>0</v>
      </c>
      <c r="L2" s="31" t="n">
        <v>54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68.65000000000001</v>
      </c>
      <c r="P2" s="32" t="n">
        <v>29.07</v>
      </c>
      <c r="Q2" s="32" t="n">
        <v>541.1799999999999</v>
      </c>
      <c r="R2" s="31" t="inlineStr">
        <is>
          <t>Near 52W High Breakout</t>
        </is>
      </c>
      <c r="S2" s="31" t="inlineStr">
        <is>
          <t>Nifty Bank</t>
        </is>
      </c>
      <c r="T2" s="32" t="n">
        <v>6.02</v>
      </c>
      <c r="U2" s="32" t="n">
        <v>50.8</v>
      </c>
      <c r="V2" s="32" t="n">
        <v>42.24</v>
      </c>
      <c r="W2" s="32" t="n">
        <v>15.04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20</t>
        </is>
      </c>
      <c r="CC2" s="31">
        <f>IF(CB2&gt;20,10,IF(CB2&gt;=10,5,2))</f>
        <v/>
      </c>
    </row>
    <row r="3">
      <c r="A3" s="31">
        <f>IF(B3=0,"",RANK(B3,$B$2:$B$8,0))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CGCL</t>
        </is>
      </c>
      <c r="D3" s="31" t="inlineStr">
        <is>
          <t>Capri Global Capital Ltd</t>
        </is>
      </c>
      <c r="E3" s="31" t="inlineStr">
        <is>
          <t>financials</t>
        </is>
      </c>
      <c r="F3" s="31" t="inlineStr">
        <is>
          <t>Finance &amp; Investments - Gold Loan</t>
        </is>
      </c>
      <c r="G3" s="31" t="inlineStr">
        <is>
          <t>largecap</t>
        </is>
      </c>
      <c r="H3" s="32" t="n">
        <v>27055.77</v>
      </c>
      <c r="I3" s="32" t="n">
        <v>281.2</v>
      </c>
      <c r="J3" s="32" t="n">
        <v>3.5</v>
      </c>
      <c r="K3" s="32" t="n">
        <v>0</v>
      </c>
      <c r="L3" s="31" t="n">
        <v>62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74.18000000000001</v>
      </c>
      <c r="P3" s="32" t="n">
        <v>39.64</v>
      </c>
      <c r="Q3" s="32" t="n">
        <v>219.97</v>
      </c>
      <c r="R3" s="31" t="inlineStr">
        <is>
          <t>Near 52W High Breakout</t>
        </is>
      </c>
      <c r="S3" s="31" t="inlineStr">
        <is>
          <t>Nifty Bank</t>
        </is>
      </c>
      <c r="T3" s="32" t="n">
        <v>6.02</v>
      </c>
      <c r="U3" s="32" t="n">
        <v>52</v>
      </c>
      <c r="V3" s="32" t="n">
        <v>43.37</v>
      </c>
      <c r="W3" s="32" t="n">
        <v>17.98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33</t>
        </is>
      </c>
      <c r="CC3" s="31">
        <f>IF(CB3&gt;20,10,IF(CB3&gt;=10,5,2))</f>
        <v/>
      </c>
    </row>
    <row r="4">
      <c r="A4" s="31">
        <f>IF(B4=0,"",RANK(B4,$B$2:$B$8,0))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TFCILTD</t>
        </is>
      </c>
      <c r="D4" s="31" t="inlineStr">
        <is>
          <t>Tourism Finance Corporation of India Ltd</t>
        </is>
      </c>
      <c r="E4" s="31" t="inlineStr">
        <is>
          <t>financials</t>
        </is>
      </c>
      <c r="F4" s="31" t="inlineStr">
        <is>
          <t>Finance - PSU Lending</t>
        </is>
      </c>
      <c r="G4" s="31" t="inlineStr">
        <is>
          <t>midcap</t>
        </is>
      </c>
      <c r="H4" s="32" t="n">
        <v>6627.98</v>
      </c>
      <c r="I4" s="32" t="n">
        <v>143.16</v>
      </c>
      <c r="J4" s="32" t="n">
        <v>-2.42</v>
      </c>
      <c r="K4" s="32" t="n">
        <v>0</v>
      </c>
      <c r="L4" s="31" t="n">
        <v>91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86.04000000000001</v>
      </c>
      <c r="P4" s="32" t="n">
        <v>62.45</v>
      </c>
      <c r="Q4" s="32" t="n">
        <v>114.08</v>
      </c>
      <c r="R4" s="31" t="inlineStr">
        <is>
          <t>Near 52W High Breakout</t>
        </is>
      </c>
      <c r="S4" s="31" t="inlineStr">
        <is>
          <t>Nifty Bank</t>
        </is>
      </c>
      <c r="T4" s="32" t="n">
        <v>6.02</v>
      </c>
      <c r="U4" s="32" t="n">
        <v>108.08</v>
      </c>
      <c r="V4" s="32" t="n">
        <v>96.27</v>
      </c>
      <c r="W4" s="32" t="n">
        <v>38.42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above 5x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21</t>
        </is>
      </c>
      <c r="CC4" s="31">
        <f>IF(CB4&gt;20,10,IF(CB4&gt;=10,5,2))</f>
        <v/>
      </c>
    </row>
    <row r="5">
      <c r="A5" s="31">
        <f>IF(B5=0,"",RANK(B5,$B$2:$B$8,0))</f>
        <v/>
      </c>
      <c r="B5" s="32">
        <f>SUM(N5,Y5,AA5,AC5,AE5,AG5,AI5,AK5,AM5,AO5,AQ5,AS5,AU5,AW5,AY5,BA5,BC5,BE5,BG5,BI5,BK5,BM5,BO5,BQ5,BS5,BU5,BW5,BY5,CA5,CC5)</f>
        <v/>
      </c>
      <c r="C5" s="34" t="inlineStr">
        <is>
          <t>IFCI</t>
        </is>
      </c>
      <c r="D5" s="34" t="inlineStr">
        <is>
          <t>IFCI Ltd</t>
        </is>
      </c>
      <c r="E5" s="31" t="inlineStr">
        <is>
          <t>financials</t>
        </is>
      </c>
      <c r="F5" s="31" t="inlineStr">
        <is>
          <t>Finance - PSU Lending</t>
        </is>
      </c>
      <c r="G5" s="31" t="inlineStr">
        <is>
          <t>largecap</t>
        </is>
      </c>
      <c r="H5" s="32" t="n">
        <v>27576.31</v>
      </c>
      <c r="I5" s="32" t="n">
        <v>102.35</v>
      </c>
      <c r="J5" s="32" t="n">
        <v>6.71</v>
      </c>
      <c r="K5" s="32" t="n">
        <v>0</v>
      </c>
      <c r="L5" s="31" t="n">
        <v>71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73.53</v>
      </c>
      <c r="P5" s="32" t="n">
        <v>47.29</v>
      </c>
      <c r="Q5" s="32" t="n">
        <v>75.45</v>
      </c>
      <c r="R5" s="31" t="inlineStr">
        <is>
          <t>Volume Spike &amp; Near 52W High Breakout</t>
        </is>
      </c>
      <c r="S5" s="31" t="inlineStr">
        <is>
          <t>Nifty Bank</t>
        </is>
      </c>
      <c r="T5" s="32" t="n">
        <v>6.02</v>
      </c>
      <c r="U5" s="32" t="n">
        <v>93.36</v>
      </c>
      <c r="V5" s="32" t="n">
        <v>82.39</v>
      </c>
      <c r="W5" s="32" t="n">
        <v>21.05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less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20</t>
        </is>
      </c>
      <c r="CC5" s="31">
        <f>IF(CB5&gt;20,10,IF(CB5&gt;=10,5,2))</f>
        <v/>
      </c>
    </row>
    <row r="6">
      <c r="A6" s="31">
        <f>IF(B6=0,"",RANK(B6,$B$2:$B$8,0))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OFSS</t>
        </is>
      </c>
      <c r="D6" s="31" t="inlineStr">
        <is>
          <t>Oracle Financial Services Software Ltd</t>
        </is>
      </c>
      <c r="E6" s="31" t="inlineStr">
        <is>
          <t>i.t</t>
        </is>
      </c>
      <c r="F6" s="31" t="inlineStr">
        <is>
          <t>IT Product Companies</t>
        </is>
      </c>
      <c r="G6" s="31" t="inlineStr">
        <is>
          <t>largecap</t>
        </is>
      </c>
      <c r="H6" s="32" t="n">
        <v>105004.83</v>
      </c>
      <c r="I6" s="32" t="n">
        <v>12058</v>
      </c>
      <c r="J6" s="32" t="n">
        <v>-0.75</v>
      </c>
      <c r="K6" s="32" t="n">
        <v>0</v>
      </c>
      <c r="L6" s="31" t="n">
        <v>55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68.87</v>
      </c>
      <c r="P6" s="32" t="n">
        <v>29.34</v>
      </c>
      <c r="Q6" s="32" t="n">
        <v>9860.85</v>
      </c>
      <c r="R6" s="31" t="inlineStr">
        <is>
          <t>Near 52W High Breakout</t>
        </is>
      </c>
      <c r="S6" s="31" t="inlineStr">
        <is>
          <t>Nifty IT</t>
        </is>
      </c>
      <c r="T6" s="32" t="n">
        <v>-11.38</v>
      </c>
      <c r="U6" s="32" t="n">
        <v>52.12</v>
      </c>
      <c r="V6" s="32" t="n">
        <v>71.65000000000001</v>
      </c>
      <c r="W6" s="32" t="n">
        <v>15.48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above 5x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22</t>
        </is>
      </c>
      <c r="CC6" s="31">
        <f>IF(CB6&gt;20,10,IF(CB6&gt;=10,5,2))</f>
        <v/>
      </c>
    </row>
    <row r="7">
      <c r="A7" s="31">
        <f>IF(B7=0,"",RANK(B7,$B$2:$B$8,0))</f>
        <v/>
      </c>
      <c r="B7" s="32">
        <f>SUM(N7,Y7,AA7,AC7,AE7,AG7,AI7,AK7,AM7,AO7,AQ7,AS7,AU7,AW7,AY7,BA7,BC7,BE7,BG7,BI7,BK7,BM7,BO7,BQ7,BS7,BU7,BW7,BY7,CA7,CC7)</f>
        <v/>
      </c>
      <c r="C7" s="34" t="inlineStr">
        <is>
          <t>GCSL</t>
        </is>
      </c>
      <c r="D7" s="34" t="inlineStr">
        <is>
          <t>Gretex Corporate Services Ltd</t>
        </is>
      </c>
      <c r="E7" s="31" t="inlineStr">
        <is>
          <t>Financial Services</t>
        </is>
      </c>
      <c r="F7" s="31" t="inlineStr">
        <is>
          <t>Finance &amp; Investments - Others</t>
        </is>
      </c>
      <c r="G7" s="31" t="inlineStr">
        <is>
          <t>smallcap</t>
        </is>
      </c>
      <c r="H7" s="32" t="n">
        <v>1441.59</v>
      </c>
      <c r="I7" s="32" t="n">
        <v>596.7</v>
      </c>
      <c r="J7" s="32" t="n">
        <v>1.76</v>
      </c>
      <c r="K7" s="32" t="n">
        <v>0</v>
      </c>
      <c r="L7" s="31" t="n">
        <v>76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73.90000000000001</v>
      </c>
      <c r="P7" s="32" t="n">
        <v>33.23</v>
      </c>
      <c r="Q7" s="32" t="n">
        <v>455.81</v>
      </c>
      <c r="R7" s="31" t="inlineStr">
        <is>
          <t>Near 52W High Breakout</t>
        </is>
      </c>
      <c r="S7" s="31" t="inlineStr">
        <is>
          <t>Nifty Bank</t>
        </is>
      </c>
      <c r="T7" s="32" t="n">
        <v>6.02</v>
      </c>
      <c r="U7" s="32" t="n">
        <v>98.26000000000001</v>
      </c>
      <c r="V7" s="32" t="n">
        <v>87.01000000000001</v>
      </c>
      <c r="W7" s="32" t="n">
        <v>23.54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above 5x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20</t>
        </is>
      </c>
      <c r="CC7" s="31">
        <f>IF(CB7&gt;20,10,IF(CB7&gt;=10,5,2))</f>
        <v/>
      </c>
    </row>
    <row r="8">
      <c r="A8" s="31">
        <f>IF(B8=0,"",RANK(B8,$B$2:$B$8,0))</f>
        <v/>
      </c>
      <c r="B8" s="32">
        <f>SUM(N8,Y8,AA8,AC8,AE8,AG8,AI8,AK8,AM8,AO8,AQ8,AS8,AU8,AW8,AY8,BA8,BC8,BE8,BG8,BI8,BK8,BM8,BO8,BQ8,BS8,BU8,BW8,BY8,CA8,CC8)</f>
        <v/>
      </c>
      <c r="C8" s="31" t="inlineStr">
        <is>
          <t>ALEMBICLTD</t>
        </is>
      </c>
      <c r="D8" s="31" t="inlineStr">
        <is>
          <t>Alembic Ltd</t>
        </is>
      </c>
      <c r="E8" s="31" t="inlineStr">
        <is>
          <t>realty</t>
        </is>
      </c>
      <c r="F8" s="31" t="inlineStr">
        <is>
          <t>Finance - Holding Company</t>
        </is>
      </c>
      <c r="G8" s="31" t="inlineStr">
        <is>
          <t>smallcap</t>
        </is>
      </c>
      <c r="H8" s="32" t="n">
        <v>2868.25</v>
      </c>
      <c r="I8" s="32" t="n">
        <v>111.7</v>
      </c>
      <c r="J8" s="32" t="n">
        <v>2</v>
      </c>
      <c r="K8" s="32" t="n">
        <v>0</v>
      </c>
      <c r="L8" s="31" t="n">
        <v>22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72.37</v>
      </c>
      <c r="P8" s="32" t="n">
        <v>13.68</v>
      </c>
      <c r="Q8" s="32" t="n">
        <v>90.31</v>
      </c>
      <c r="R8" s="31" t="inlineStr">
        <is>
          <t>Volume Spike &amp; Near 52W High Breakout</t>
        </is>
      </c>
      <c r="S8" s="31" t="inlineStr">
        <is>
          <t>Nifty Realty</t>
        </is>
      </c>
      <c r="T8" s="32" t="n">
        <v>-4.49</v>
      </c>
      <c r="U8" s="32" t="n">
        <v>1.61</v>
      </c>
      <c r="V8" s="32" t="n">
        <v>6.39</v>
      </c>
      <c r="W8" s="32" t="n">
        <v>6.09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less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0 to 20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19</t>
        </is>
      </c>
      <c r="CC8" s="31">
        <f>IF(CB8&gt;20,10,IF(CB8&gt;=10,5,2))</f>
        <v/>
      </c>
    </row>
    <row r="12">
      <c r="A12" s="25" t="inlineStr">
        <is>
          <t>❌ REMOVED SCAN MATCH STOCKS (THIS WEEK)</t>
        </is>
      </c>
    </row>
    <row r="13">
      <c r="A13" s="35" t="inlineStr">
        <is>
          <t>Symbol</t>
        </is>
      </c>
      <c r="B13" s="35" t="inlineStr">
        <is>
          <t>Company Name</t>
        </is>
      </c>
      <c r="C13" s="35" t="inlineStr">
        <is>
          <t>Sector</t>
        </is>
      </c>
      <c r="D13" s="35" t="inlineStr">
        <is>
          <t>Date of Removal</t>
        </is>
      </c>
    </row>
    <row r="14">
      <c r="A14" s="36" t="inlineStr">
        <is>
          <t>POLICYBZR</t>
        </is>
      </c>
      <c r="B14" s="37" t="inlineStr">
        <is>
          <t>PB Fintech Limited</t>
        </is>
      </c>
      <c r="C14" s="37" t="inlineStr">
        <is>
          <t>Financial Services</t>
        </is>
      </c>
      <c r="D14" s="38" t="inlineStr">
        <is>
          <t>2026-09-01</t>
        </is>
      </c>
    </row>
  </sheetData>
  <autoFilter ref="A1:CC8"/>
  <conditionalFormatting sqref="B2:B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8">
    <cfRule type="cellIs" priority="35" operator="equal" dxfId="3" stopIfTrue="1">
      <formula>"Underperforming"</formula>
    </cfRule>
  </conditionalFormatting>
  <conditionalFormatting sqref="N2:N8">
    <cfRule type="cellIs" priority="36" operator="equal" dxfId="3" stopIfTrue="1">
      <formula>-5</formula>
    </cfRule>
  </conditionalFormatting>
  <conditionalFormatting sqref="Q2:Q8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8" showDropDown="0" showInputMessage="0" showErrorMessage="0" allowBlank="1" type="list">
      <formula1>"Growing Industry,Stagnant Industry,Cyclical in an Upturn"</formula1>
    </dataValidation>
    <dataValidation sqref="Z2:Z8" showDropDown="0" showInputMessage="0" showErrorMessage="0" allowBlank="1" type="list">
      <formula1>"Fragmented with Low ROE,Fragmented with High ROE,Highly Cyclical"</formula1>
    </dataValidation>
    <dataValidation sqref="AB2:AB8" showDropDown="0" showInputMessage="0" showErrorMessage="0" allowBlank="1" type="list">
      <formula1>"Yes,No"</formula1>
    </dataValidation>
    <dataValidation sqref="AD2:AD8" showDropDown="0" showInputMessage="0" showErrorMessage="0" allowBlank="1" type="list">
      <formula1>"Tailwind,Headwind"</formula1>
    </dataValidation>
    <dataValidation sqref="AF2:AF8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8" showDropDown="0" showInputMessage="0" showErrorMessage="0" allowBlank="1" type="list">
      <formula1>"Yes,No"</formula1>
    </dataValidation>
    <dataValidation sqref="AJ2:AJ8" showDropDown="0" showInputMessage="0" showErrorMessage="0" allowBlank="1" type="list">
      <formula1>"Yes,No,Not Applicable"</formula1>
    </dataValidation>
    <dataValidation sqref="AL2:AL8" showDropDown="0" showInputMessage="0" showErrorMessage="0" allowBlank="1" type="list">
      <formula1>"Yes,No"</formula1>
    </dataValidation>
    <dataValidation sqref="AN2:AN8" showDropDown="0" showInputMessage="0" showErrorMessage="0" allowBlank="1" type="list">
      <formula1>"Yes,No"</formula1>
    </dataValidation>
    <dataValidation sqref="AP2:AP8" showDropDown="0" showInputMessage="0" showErrorMessage="0" allowBlank="1" type="list">
      <formula1>"Yes,No"</formula1>
    </dataValidation>
    <dataValidation sqref="AR2:AR8" showDropDown="0" showInputMessage="0" showErrorMessage="0" allowBlank="1" type="list">
      <formula1>"Yes,No"</formula1>
    </dataValidation>
    <dataValidation sqref="AT2:AT8" showDropDown="0" showInputMessage="0" showErrorMessage="0" allowBlank="1" type="list">
      <formula1>"No,Yes"</formula1>
    </dataValidation>
    <dataValidation sqref="AV2:AV8" showDropDown="0" showInputMessage="0" showErrorMessage="0" allowBlank="1" type="list">
      <formula1>"No,Yes"</formula1>
    </dataValidation>
    <dataValidation sqref="AX2:AX8" showDropDown="0" showInputMessage="0" showErrorMessage="0" allowBlank="1" type="list">
      <formula1>"No,Yes CEO Resignation,Yes CEO Retirement"</formula1>
    </dataValidation>
    <dataValidation sqref="AZ2:AZ8" showDropDown="0" showInputMessage="0" showErrorMessage="0" allowBlank="1" type="list">
      <formula1>"No,Yes"</formula1>
    </dataValidation>
    <dataValidation sqref="BB2:BB8" showDropDown="0" showInputMessage="0" showErrorMessage="0" allowBlank="1" type="list">
      <formula1>"No,Yes"</formula1>
    </dataValidation>
    <dataValidation sqref="BD2:BD8" showDropDown="0" showInputMessage="0" showErrorMessage="0" allowBlank="1" type="list">
      <formula1>"Yes,No"</formula1>
    </dataValidation>
    <dataValidation sqref="BF2:BF8" showDropDown="0" showInputMessage="0" showErrorMessage="0" allowBlank="1" type="list">
      <formula1>"Yes,No"</formula1>
    </dataValidation>
    <dataValidation sqref="BH2:BH8" showDropDown="0" showInputMessage="0" showErrorMessage="0" allowBlank="1" type="list">
      <formula1>"Yes,No"</formula1>
    </dataValidation>
    <dataValidation sqref="BJ2:BJ8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8" showDropDown="0" showInputMessage="0" showErrorMessage="0" allowBlank="1" type="list">
      <formula1>"Above 40,20 to 40,0 to 20"</formula1>
    </dataValidation>
    <dataValidation sqref="BN2:BN8" showDropDown="0" showInputMessage="0" showErrorMessage="0" allowBlank="1" type="list">
      <formula1>"Between 50 to 75,Above 75,Below 45"</formula1>
    </dataValidation>
    <dataValidation sqref="BP2:BP8" showDropDown="0" showInputMessage="0" showErrorMessage="0" allowBlank="1" type="list">
      <formula1>"Stage 1,Stage 2,Stage 3,Stage 4"</formula1>
    </dataValidation>
    <dataValidation sqref="BR2:BR8" showDropDown="0" showInputMessage="0" showErrorMessage="0" allowBlank="1" type="list">
      <formula1>"Positive Trend,Negative Trend"</formula1>
    </dataValidation>
    <dataValidation sqref="BT2:BT8" showDropDown="0" showInputMessage="0" showErrorMessage="0" allowBlank="1" type="list">
      <formula1>"Uptrend,Sideways,Downtrend"</formula1>
    </dataValidation>
    <dataValidation sqref="BV2:BV8" showDropDown="0" showInputMessage="0" showErrorMessage="0" allowBlank="1" type="list">
      <formula1>"Uptrend,Sideways,Downtrend"</formula1>
    </dataValidation>
    <dataValidation sqref="BX2:BX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2026-09-04T14:26:02Z</dcterms:created>
  <dcterms:modified xmlns:dcterms="http://purl.org/dc/terms/" xmlns:xsi="http://www.w3.org/2001/XMLSchema-instance" xsi:type="dcterms:W3CDTF">2026-09-04T14:28:00Z</dcterms:modified>
</cp:coreProperties>
</file>