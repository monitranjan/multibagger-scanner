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Universe'!$A$1:$J$415</definedName>
    <definedName name="_xlnm._FilterDatabase" localSheetId="3" hidden="1">'Confluence Overlap'!$A$1:$K$101</definedName>
    <definedName name="_xlnm._FilterDatabase" localSheetId="4" hidden="1">'Monit Non Financial'!$A$1:$CE$374</definedName>
    <definedName name="_xlnm._FilterDatabase" localSheetId="5" hidden="1">'Monit Banks NBFC'!$A$1:$CA$42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8" borderId="6" applyAlignment="1" pivotButton="0" quotePrefix="0" xfId="0">
      <alignment horizontal="center"/>
    </xf>
    <xf numFmtId="0" fontId="18" fillId="9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3" fillId="6" borderId="6" applyAlignment="1" pivotButton="0" quotePrefix="0" xfId="0">
      <alignment horizontal="center" vertical="center"/>
    </xf>
    <xf numFmtId="0" fontId="14" fillId="7" borderId="6" applyAlignment="1" pivotButton="0" quotePrefix="0" xfId="0">
      <alignment horizontal="center"/>
    </xf>
    <xf numFmtId="0" fontId="0" fillId="7" borderId="6" pivotButton="0" quotePrefix="0" xfId="0"/>
    <xf numFmtId="0" fontId="0" fillId="7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31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17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666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96</v>
      </c>
      <c r="G6" s="19" t="n">
        <v>62618.62</v>
      </c>
      <c r="H6" s="18" t="inlineStr">
        <is>
          <t>Potential Leader</t>
        </is>
      </c>
      <c r="J6" s="18" t="inlineStr">
        <is>
          <t>telecom</t>
        </is>
      </c>
      <c r="K6" s="16" t="n">
        <v>8</v>
      </c>
      <c r="L6" s="16" t="n">
        <v>6</v>
      </c>
      <c r="M6" s="20" t="inlineStr">
        <is>
          <t>33.3%</t>
        </is>
      </c>
    </row>
    <row r="7">
      <c r="A7" s="16" t="n">
        <v>2</v>
      </c>
      <c r="B7" s="17" t="n">
        <v>558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78</v>
      </c>
      <c r="G7" s="19" t="n">
        <v>2964.19</v>
      </c>
      <c r="H7" s="18" t="inlineStr">
        <is>
          <t>Potential Leader</t>
        </is>
      </c>
      <c r="J7" s="18" t="inlineStr">
        <is>
          <t>metals &amp; mining</t>
        </is>
      </c>
      <c r="K7" s="16" t="n">
        <v>129</v>
      </c>
      <c r="L7" s="16" t="n">
        <v>106</v>
      </c>
      <c r="M7" s="20" t="inlineStr">
        <is>
          <t>21.7%</t>
        </is>
      </c>
    </row>
    <row r="8">
      <c r="A8" s="16" t="n">
        <v>3</v>
      </c>
      <c r="B8" s="17" t="n">
        <v>552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77</v>
      </c>
      <c r="G8" s="19" t="n">
        <v>104727.38</v>
      </c>
      <c r="H8" s="18" t="inlineStr">
        <is>
          <t>Potential Leader</t>
        </is>
      </c>
      <c r="J8" s="18" t="inlineStr">
        <is>
          <t>media</t>
        </is>
      </c>
      <c r="K8" s="16" t="n">
        <v>13</v>
      </c>
      <c r="L8" s="16" t="n">
        <v>11</v>
      </c>
      <c r="M8" s="20" t="inlineStr">
        <is>
          <t>18.2%</t>
        </is>
      </c>
    </row>
    <row r="9">
      <c r="A9" s="16" t="n">
        <v>4</v>
      </c>
      <c r="B9" s="17" t="n">
        <v>480</v>
      </c>
      <c r="C9" s="17" t="inlineStr">
        <is>
          <t>CUPID</t>
        </is>
      </c>
      <c r="D9" s="18" t="inlineStr">
        <is>
          <t>Cupid Limited</t>
        </is>
      </c>
      <c r="E9" s="18" t="inlineStr">
        <is>
          <t>fmcg</t>
        </is>
      </c>
      <c r="F9" s="16" t="n">
        <v>65</v>
      </c>
      <c r="G9" s="19" t="n">
        <v>37963.81</v>
      </c>
      <c r="H9" s="18" t="inlineStr">
        <is>
          <t>Potential Leader</t>
        </is>
      </c>
      <c r="J9" s="18" t="inlineStr">
        <is>
          <t>realty</t>
        </is>
      </c>
      <c r="K9" s="16" t="n">
        <v>105</v>
      </c>
      <c r="L9" s="16" t="n">
        <v>89</v>
      </c>
      <c r="M9" s="20" t="inlineStr">
        <is>
          <t>18.0%</t>
        </is>
      </c>
    </row>
    <row r="10">
      <c r="A10" s="16" t="n">
        <v>5</v>
      </c>
      <c r="B10" s="17" t="n">
        <v>420</v>
      </c>
      <c r="C10" s="17" t="inlineStr">
        <is>
          <t>VADILALIND</t>
        </is>
      </c>
      <c r="D10" s="18" t="inlineStr">
        <is>
          <t>Vadilal Industries Limited</t>
        </is>
      </c>
      <c r="E10" s="18" t="inlineStr">
        <is>
          <t>fmcg</t>
        </is>
      </c>
      <c r="F10" s="16" t="n">
        <v>55</v>
      </c>
      <c r="G10" s="19" t="n">
        <v>5678.39</v>
      </c>
      <c r="H10" s="18" t="inlineStr">
        <is>
          <t>Potential Leader</t>
        </is>
      </c>
      <c r="J10" s="18" t="inlineStr">
        <is>
          <t>textiles</t>
        </is>
      </c>
      <c r="K10" s="16" t="n">
        <v>58</v>
      </c>
      <c r="L10" s="16" t="n">
        <v>51</v>
      </c>
      <c r="M10" s="20" t="inlineStr">
        <is>
          <t>13.7%</t>
        </is>
      </c>
    </row>
    <row r="11">
      <c r="A11" s="16" t="n">
        <v>6</v>
      </c>
      <c r="B11" s="17" t="n">
        <v>402</v>
      </c>
      <c r="C11" s="17" t="inlineStr">
        <is>
          <t>HITECHCORP</t>
        </is>
      </c>
      <c r="D11" s="18" t="inlineStr">
        <is>
          <t>Hitech Corporation</t>
        </is>
      </c>
      <c r="E11" s="18" t="inlineStr">
        <is>
          <t>industrials</t>
        </is>
      </c>
      <c r="F11" s="16" t="n">
        <v>52</v>
      </c>
      <c r="G11" s="19" t="n">
        <v>571.95</v>
      </c>
      <c r="H11" s="18" t="inlineStr">
        <is>
          <t>Potential Leader</t>
        </is>
      </c>
      <c r="J11" s="18" t="inlineStr">
        <is>
          <t>consumer discretionary</t>
        </is>
      </c>
      <c r="K11" s="16" t="n">
        <v>132</v>
      </c>
      <c r="L11" s="16" t="n">
        <v>120</v>
      </c>
      <c r="M11" s="20" t="inlineStr">
        <is>
          <t>10.0%</t>
        </is>
      </c>
    </row>
    <row r="12">
      <c r="A12" s="16" t="n">
        <v>7</v>
      </c>
      <c r="B12" s="17" t="n">
        <v>354</v>
      </c>
      <c r="C12" s="17" t="inlineStr">
        <is>
          <t>CYIENTDLM</t>
        </is>
      </c>
      <c r="D12" s="18" t="inlineStr">
        <is>
          <t>Cyient DLM Ltd</t>
        </is>
      </c>
      <c r="E12" s="18" t="inlineStr">
        <is>
          <t>aerospace &amp; defence</t>
        </is>
      </c>
      <c r="F12" s="16" t="n">
        <v>44</v>
      </c>
      <c r="G12" s="19" t="n">
        <v>6502.29</v>
      </c>
      <c r="H12" s="18" t="inlineStr">
        <is>
          <t>Potential Leader</t>
        </is>
      </c>
      <c r="J12" s="18" t="inlineStr">
        <is>
          <t>healthcare</t>
        </is>
      </c>
      <c r="K12" s="16" t="n">
        <v>231</v>
      </c>
      <c r="L12" s="16" t="n">
        <v>213</v>
      </c>
      <c r="M12" s="20" t="inlineStr">
        <is>
          <t>8.5%</t>
        </is>
      </c>
    </row>
    <row r="13">
      <c r="A13" s="16" t="n">
        <v>8</v>
      </c>
      <c r="B13" s="17" t="n">
        <v>354</v>
      </c>
      <c r="C13" s="17" t="inlineStr">
        <is>
          <t>IRISDOREME</t>
        </is>
      </c>
      <c r="D13" s="18" t="inlineStr">
        <is>
          <t>Iris Clothings Ltd</t>
        </is>
      </c>
      <c r="E13" s="18" t="inlineStr">
        <is>
          <t>consumer discretionary</t>
        </is>
      </c>
      <c r="F13" s="16" t="n">
        <v>44</v>
      </c>
      <c r="G13" s="19" t="n">
        <v>1117.25</v>
      </c>
      <c r="H13" s="18" t="inlineStr">
        <is>
          <t>Potential Leader</t>
        </is>
      </c>
      <c r="J13" s="18" t="inlineStr">
        <is>
          <t>chemicals</t>
        </is>
      </c>
      <c r="K13" s="16" t="n">
        <v>164</v>
      </c>
      <c r="L13" s="16" t="n">
        <v>153</v>
      </c>
      <c r="M13" s="20" t="inlineStr">
        <is>
          <t>7.2%</t>
        </is>
      </c>
    </row>
    <row r="14">
      <c r="A14" s="16" t="n">
        <v>9</v>
      </c>
      <c r="B14" s="17" t="n">
        <v>348</v>
      </c>
      <c r="C14" s="17" t="inlineStr">
        <is>
          <t>SETL</t>
        </is>
      </c>
      <c r="D14" s="18" t="inlineStr">
        <is>
          <t>Standard Enginnering Technology Ltd</t>
        </is>
      </c>
      <c r="E14" s="18" t="inlineStr">
        <is>
          <t>industrials</t>
        </is>
      </c>
      <c r="F14" s="16" t="n">
        <v>43</v>
      </c>
      <c r="G14" s="19" t="n">
        <v>7265.49</v>
      </c>
      <c r="H14" s="18" t="inlineStr">
        <is>
          <t>Potential Leader</t>
        </is>
      </c>
      <c r="J14" s="18" t="inlineStr">
        <is>
          <t>i.t</t>
        </is>
      </c>
      <c r="K14" s="16" t="n">
        <v>100</v>
      </c>
      <c r="L14" s="16" t="n">
        <v>94</v>
      </c>
      <c r="M14" s="20" t="inlineStr">
        <is>
          <t>6.4%</t>
        </is>
      </c>
    </row>
    <row r="15">
      <c r="A15" s="16" t="n">
        <v>10</v>
      </c>
      <c r="B15" s="17" t="n">
        <v>336</v>
      </c>
      <c r="C15" s="17" t="inlineStr">
        <is>
          <t>HAPPYFORGE</t>
        </is>
      </c>
      <c r="D15" s="18" t="inlineStr">
        <is>
          <t>Happy Forgings Ltd</t>
        </is>
      </c>
      <c r="E15" s="18" t="inlineStr">
        <is>
          <t>industrials</t>
        </is>
      </c>
      <c r="F15" s="16" t="n">
        <v>41</v>
      </c>
      <c r="G15" s="19" t="n">
        <v>21773.17</v>
      </c>
      <c r="H15" s="18" t="inlineStr">
        <is>
          <t>Potential Leader</t>
        </is>
      </c>
      <c r="J15" s="18" t="inlineStr">
        <is>
          <t>plastic products</t>
        </is>
      </c>
      <c r="K15" s="16" t="n">
        <v>32</v>
      </c>
      <c r="L15" s="16" t="n">
        <v>31</v>
      </c>
      <c r="M15" s="20" t="inlineStr">
        <is>
          <t>3.2%</t>
        </is>
      </c>
    </row>
    <row r="16">
      <c r="A16" s="16" t="n">
        <v>11</v>
      </c>
      <c r="B16" s="17" t="n">
        <v>330</v>
      </c>
      <c r="C16" s="17" t="inlineStr">
        <is>
          <t>SONACOMS</t>
        </is>
      </c>
      <c r="D16" s="18" t="inlineStr">
        <is>
          <t>Sona BLW Precision Forgings Ltd</t>
        </is>
      </c>
      <c r="E16" s="18" t="inlineStr">
        <is>
          <t>auto</t>
        </is>
      </c>
      <c r="F16" s="16" t="n">
        <v>40</v>
      </c>
      <c r="G16" s="19" t="n">
        <v>50695.84</v>
      </c>
      <c r="H16" s="18" t="inlineStr">
        <is>
          <t>Potential Leader</t>
        </is>
      </c>
      <c r="J16" s="18" t="inlineStr">
        <is>
          <t>telecom-service</t>
        </is>
      </c>
      <c r="K16" s="16" t="n">
        <v>5</v>
      </c>
      <c r="L16" s="16" t="n">
        <v>5</v>
      </c>
      <c r="M16" s="20" t="inlineStr">
        <is>
          <t>0.0%</t>
        </is>
      </c>
    </row>
    <row r="17">
      <c r="A17" s="16" t="n">
        <v>12</v>
      </c>
      <c r="B17" s="17" t="n">
        <v>324</v>
      </c>
      <c r="C17" s="17" t="inlineStr">
        <is>
          <t>AETHER</t>
        </is>
      </c>
      <c r="D17" s="18" t="inlineStr">
        <is>
          <t>Aether Industries Ltd</t>
        </is>
      </c>
      <c r="E17" s="18" t="inlineStr">
        <is>
          <t>chemicals</t>
        </is>
      </c>
      <c r="F17" s="16" t="n">
        <v>39</v>
      </c>
      <c r="G17" s="19" t="n">
        <v>22518.67</v>
      </c>
      <c r="H17" s="18" t="inlineStr">
        <is>
          <t>Potential Leader</t>
        </is>
      </c>
      <c r="J17" s="18" t="inlineStr">
        <is>
          <t>co-working</t>
        </is>
      </c>
      <c r="K17" s="16" t="n">
        <v>5</v>
      </c>
      <c r="L17" s="16" t="n">
        <v>5</v>
      </c>
      <c r="M17" s="20" t="inlineStr">
        <is>
          <t>0.0%</t>
        </is>
      </c>
    </row>
    <row r="18">
      <c r="A18" s="16" t="n">
        <v>13</v>
      </c>
      <c r="B18" s="17" t="n">
        <v>306</v>
      </c>
      <c r="C18" s="17" t="inlineStr">
        <is>
          <t>DIACABS</t>
        </is>
      </c>
      <c r="D18" s="18" t="inlineStr">
        <is>
          <t>Diamond Power Infrastructure Ltd</t>
        </is>
      </c>
      <c r="E18" s="18" t="inlineStr">
        <is>
          <t>industrials</t>
        </is>
      </c>
      <c r="F18" s="16" t="n">
        <v>36</v>
      </c>
      <c r="G18" s="19" t="n">
        <v>20896.6</v>
      </c>
      <c r="H18" s="18" t="inlineStr">
        <is>
          <t>Potential Leader</t>
        </is>
      </c>
      <c r="J18" s="18" t="inlineStr">
        <is>
          <t>fmcg</t>
        </is>
      </c>
      <c r="K18" s="16" t="n">
        <v>147</v>
      </c>
      <c r="L18" s="16" t="n">
        <v>150</v>
      </c>
      <c r="M18" s="21" t="inlineStr">
        <is>
          <t>-2.0%</t>
        </is>
      </c>
    </row>
    <row r="19">
      <c r="A19" s="16" t="n">
        <v>14</v>
      </c>
      <c r="B19" s="17" t="n">
        <v>306</v>
      </c>
      <c r="C19" s="17" t="inlineStr">
        <is>
          <t>SUNDRMFAST</t>
        </is>
      </c>
      <c r="D19" s="18" t="inlineStr">
        <is>
          <t>Sundram Fasteners Limited</t>
        </is>
      </c>
      <c r="E19" s="18" t="inlineStr">
        <is>
          <t>auto</t>
        </is>
      </c>
      <c r="F19" s="16" t="n">
        <v>36</v>
      </c>
      <c r="G19" s="19" t="n">
        <v>25215.4</v>
      </c>
      <c r="H19" s="18" t="inlineStr">
        <is>
          <t>Potential Leader</t>
        </is>
      </c>
      <c r="J19" s="18" t="inlineStr">
        <is>
          <t>financials</t>
        </is>
      </c>
      <c r="K19" s="16" t="n">
        <v>132</v>
      </c>
      <c r="L19" s="16" t="n">
        <v>137</v>
      </c>
      <c r="M19" s="21" t="inlineStr">
        <is>
          <t>-3.6%</t>
        </is>
      </c>
    </row>
    <row r="20">
      <c r="A20" s="16" t="n">
        <v>15</v>
      </c>
      <c r="B20" s="17" t="n">
        <v>282</v>
      </c>
      <c r="C20" s="17" t="inlineStr">
        <is>
          <t>KABRAEXTRU</t>
        </is>
      </c>
      <c r="D20" s="18" t="inlineStr">
        <is>
          <t>Kabra Extrusion Technik Limited</t>
        </is>
      </c>
      <c r="E20" s="18" t="inlineStr">
        <is>
          <t>industrials</t>
        </is>
      </c>
      <c r="F20" s="16" t="n">
        <v>32</v>
      </c>
      <c r="G20" s="19" t="n">
        <v>2110.61</v>
      </c>
      <c r="H20" s="18" t="inlineStr">
        <is>
          <t>Potential Leader</t>
        </is>
      </c>
      <c r="J20" s="18" t="inlineStr">
        <is>
          <t>services</t>
        </is>
      </c>
      <c r="K20" s="16" t="n">
        <v>43</v>
      </c>
      <c r="L20" s="16" t="n">
        <v>45</v>
      </c>
      <c r="M20" s="21" t="inlineStr">
        <is>
          <t>-4.4%</t>
        </is>
      </c>
    </row>
    <row r="21">
      <c r="A21" s="16" t="n">
        <v>16</v>
      </c>
      <c r="B21" s="17" t="n">
        <v>282</v>
      </c>
      <c r="C21" s="17" t="inlineStr">
        <is>
          <t>QUESS</t>
        </is>
      </c>
      <c r="D21" s="18" t="inlineStr">
        <is>
          <t>Quess Corp Limited</t>
        </is>
      </c>
      <c r="E21" s="18" t="inlineStr">
        <is>
          <t>miscellaneous</t>
        </is>
      </c>
      <c r="F21" s="16" t="n">
        <v>32</v>
      </c>
      <c r="G21" s="19" t="n">
        <v>5559.92</v>
      </c>
      <c r="H21" s="18" t="inlineStr">
        <is>
          <t>Potential Leader</t>
        </is>
      </c>
    </row>
    <row r="22">
      <c r="A22" s="16" t="n">
        <v>17</v>
      </c>
      <c r="B22" s="17" t="n">
        <v>282</v>
      </c>
      <c r="C22" s="17" t="inlineStr">
        <is>
          <t>SKYGOLD</t>
        </is>
      </c>
      <c r="D22" s="18" t="inlineStr">
        <is>
          <t>Sky Gold Ltd</t>
        </is>
      </c>
      <c r="E22" s="18" t="inlineStr">
        <is>
          <t>consumer discretionary</t>
        </is>
      </c>
      <c r="F22" s="16" t="n">
        <v>32</v>
      </c>
      <c r="G22" s="19" t="n">
        <v>12566.47</v>
      </c>
      <c r="H22" s="18" t="inlineStr">
        <is>
          <t>Potential Leader</t>
        </is>
      </c>
    </row>
    <row r="23">
      <c r="A23" s="16" t="n">
        <v>18</v>
      </c>
      <c r="B23" s="17" t="n">
        <v>282</v>
      </c>
      <c r="C23" s="17" t="inlineStr">
        <is>
          <t>TITAN</t>
        </is>
      </c>
      <c r="D23" s="18" t="inlineStr">
        <is>
          <t>Titan Company Limited</t>
        </is>
      </c>
      <c r="E23" s="18" t="inlineStr">
        <is>
          <t>consumer discretionary</t>
        </is>
      </c>
      <c r="F23" s="16" t="n">
        <v>32</v>
      </c>
      <c r="G23" s="19" t="n">
        <v>458914.42</v>
      </c>
      <c r="H23" s="18" t="inlineStr">
        <is>
          <t>Potential Leader</t>
        </is>
      </c>
    </row>
    <row r="24">
      <c r="A24" s="16" t="n">
        <v>19</v>
      </c>
      <c r="B24" s="17" t="n">
        <v>270</v>
      </c>
      <c r="C24" s="17" t="inlineStr">
        <is>
          <t>BAJAJ-AUTO</t>
        </is>
      </c>
      <c r="D24" s="18" t="inlineStr">
        <is>
          <t>Bajaj Auto Limited</t>
        </is>
      </c>
      <c r="E24" s="18" t="inlineStr">
        <is>
          <t>auto</t>
        </is>
      </c>
      <c r="F24" s="16" t="n">
        <v>30</v>
      </c>
      <c r="G24" s="19" t="n">
        <v>332881.93</v>
      </c>
      <c r="H24" s="18" t="inlineStr">
        <is>
          <t>Potential Leader</t>
        </is>
      </c>
    </row>
    <row r="25">
      <c r="A25" s="16" t="n">
        <v>20</v>
      </c>
      <c r="B25" s="17" t="n">
        <v>270</v>
      </c>
      <c r="C25" s="17" t="inlineStr">
        <is>
          <t>DIVISLAB</t>
        </is>
      </c>
      <c r="D25" s="18" t="inlineStr">
        <is>
          <t>Divi's Laboratories Limited</t>
        </is>
      </c>
      <c r="E25" s="18" t="inlineStr">
        <is>
          <t>healthcare</t>
        </is>
      </c>
      <c r="F25" s="16" t="n">
        <v>30</v>
      </c>
      <c r="G25" s="19" t="n">
        <v>245266.42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GPPL</t>
        </is>
      </c>
      <c r="B30" s="18" t="inlineStr">
        <is>
          <t>Gujarat Pipavav Port Limited</t>
        </is>
      </c>
      <c r="C30" s="18" t="inlineStr">
        <is>
          <t>transportation</t>
        </is>
      </c>
      <c r="D30" s="16" t="n">
        <v>10</v>
      </c>
      <c r="E30" s="16" t="n">
        <v>0</v>
      </c>
      <c r="F30" s="19" t="n">
        <v>8158.05</v>
      </c>
      <c r="J30" s="17" t="inlineStr">
        <is>
          <t>SBCL</t>
        </is>
      </c>
      <c r="K30" s="18" t="inlineStr">
        <is>
          <t>metals &amp; mining</t>
        </is>
      </c>
      <c r="L30" s="19" t="n">
        <v>245</v>
      </c>
      <c r="M30" s="19" t="n">
        <v>6043.83</v>
      </c>
      <c r="N30" s="16" t="n">
        <v>23</v>
      </c>
    </row>
    <row r="31">
      <c r="A31" s="17" t="inlineStr">
        <is>
          <t>TASTYBITE</t>
        </is>
      </c>
      <c r="B31" s="18" t="inlineStr">
        <is>
          <t>Tasty Bite Eatables Ltd</t>
        </is>
      </c>
      <c r="C31" s="18" t="inlineStr">
        <is>
          <t>fmcg</t>
        </is>
      </c>
      <c r="D31" s="16" t="n">
        <v>10</v>
      </c>
      <c r="E31" s="16" t="n">
        <v>2</v>
      </c>
      <c r="F31" s="19" t="n">
        <v>2584.73</v>
      </c>
      <c r="J31" s="17" t="inlineStr">
        <is>
          <t>APOLLOPIPE</t>
        </is>
      </c>
      <c r="K31" s="18" t="inlineStr">
        <is>
          <t>plastic products</t>
        </is>
      </c>
      <c r="L31" s="19" t="n">
        <v>240</v>
      </c>
      <c r="M31" s="19" t="n">
        <v>2779.44</v>
      </c>
      <c r="N31" s="16" t="n">
        <v>18</v>
      </c>
    </row>
    <row r="32">
      <c r="A32" s="17" t="inlineStr">
        <is>
          <t>EIMCOELECO</t>
        </is>
      </c>
      <c r="B32" s="18" t="inlineStr">
        <is>
          <t>Eimco Elecon (india) Limited</t>
        </is>
      </c>
      <c r="C32" s="18" t="inlineStr">
        <is>
          <t>industrials</t>
        </is>
      </c>
      <c r="D32" s="16" t="n">
        <v>10</v>
      </c>
      <c r="E32" s="16" t="n">
        <v>2</v>
      </c>
      <c r="F32" s="19" t="n">
        <v>1266.8</v>
      </c>
      <c r="J32" s="17" t="inlineStr">
        <is>
          <t>TMB</t>
        </is>
      </c>
      <c r="K32" s="18" t="inlineStr">
        <is>
          <t>bank</t>
        </is>
      </c>
      <c r="L32" s="19" t="n">
        <v>230</v>
      </c>
      <c r="M32" s="19" t="n">
        <v>14030.73</v>
      </c>
      <c r="N32" s="16" t="n">
        <v>25</v>
      </c>
    </row>
    <row r="33">
      <c r="A33" s="17" t="inlineStr">
        <is>
          <t>ARIES</t>
        </is>
      </c>
      <c r="B33" s="18" t="inlineStr">
        <is>
          <t>Aries Agro Limited</t>
        </is>
      </c>
      <c r="C33" s="18" t="inlineStr">
        <is>
          <t>chemicals</t>
        </is>
      </c>
      <c r="D33" s="16" t="n">
        <v>10</v>
      </c>
      <c r="E33" s="16" t="n">
        <v>2</v>
      </c>
      <c r="F33" s="19" t="n">
        <v>629.8</v>
      </c>
      <c r="J33" s="17" t="inlineStr">
        <is>
          <t>APCOTEXIND</t>
        </is>
      </c>
      <c r="K33" s="18" t="inlineStr">
        <is>
          <t>chemicals</t>
        </is>
      </c>
      <c r="L33" s="19" t="n">
        <v>230</v>
      </c>
      <c r="M33" s="19" t="n">
        <v>3241.61</v>
      </c>
      <c r="N33" s="16" t="n">
        <v>24</v>
      </c>
    </row>
    <row r="34">
      <c r="A34" s="17" t="inlineStr">
        <is>
          <t>DICIND</t>
        </is>
      </c>
      <c r="B34" s="18" t="inlineStr">
        <is>
          <t>Dic India Limited</t>
        </is>
      </c>
      <c r="C34" s="18" t="inlineStr">
        <is>
          <t>chemicals</t>
        </is>
      </c>
      <c r="D34" s="16" t="n">
        <v>10</v>
      </c>
      <c r="E34" s="16" t="n">
        <v>2</v>
      </c>
      <c r="F34" s="19" t="n">
        <v>555.88</v>
      </c>
      <c r="J34" s="17" t="inlineStr">
        <is>
          <t>PREMIERPOL</t>
        </is>
      </c>
      <c r="K34" s="18" t="inlineStr">
        <is>
          <t>plastic products</t>
        </is>
      </c>
      <c r="L34" s="19" t="n">
        <v>228</v>
      </c>
      <c r="M34" s="19" t="n">
        <v>983.11</v>
      </c>
      <c r="N34" s="16" t="n">
        <v>21</v>
      </c>
    </row>
    <row r="35">
      <c r="A35" s="17" t="inlineStr">
        <is>
          <t>YUKEN</t>
        </is>
      </c>
      <c r="B35" s="18" t="inlineStr">
        <is>
          <t>Yuken India Ltd</t>
        </is>
      </c>
      <c r="C35" s="18" t="inlineStr">
        <is>
          <t>industrials</t>
        </is>
      </c>
      <c r="D35" s="16" t="n">
        <v>10</v>
      </c>
      <c r="E35" s="16" t="n">
        <v>2</v>
      </c>
      <c r="F35" s="19" t="n">
        <v>1349.43</v>
      </c>
      <c r="J35" s="17" t="inlineStr">
        <is>
          <t>PRICOLLTD</t>
        </is>
      </c>
      <c r="K35" s="18" t="inlineStr">
        <is>
          <t>auto</t>
        </is>
      </c>
      <c r="L35" s="19" t="n">
        <v>227</v>
      </c>
      <c r="M35" s="19" t="n">
        <v>9392.799999999999</v>
      </c>
      <c r="N35" s="16" t="n">
        <v>28</v>
      </c>
    </row>
    <row r="36">
      <c r="A36" s="17" t="inlineStr">
        <is>
          <t>SMARTWORKS</t>
        </is>
      </c>
      <c r="B36" s="18" t="inlineStr">
        <is>
          <t>Smartworks Coworking Spaces Ltd</t>
        </is>
      </c>
      <c r="C36" s="18" t="inlineStr">
        <is>
          <t>co-working</t>
        </is>
      </c>
      <c r="D36" s="16" t="n">
        <v>10</v>
      </c>
      <c r="E36" s="16" t="n">
        <v>1</v>
      </c>
      <c r="F36" s="19" t="n">
        <v>6155.87</v>
      </c>
      <c r="J36" s="17" t="inlineStr">
        <is>
          <t>ALIVUS</t>
        </is>
      </c>
      <c r="K36" s="18" t="inlineStr">
        <is>
          <t>healthcare</t>
        </is>
      </c>
      <c r="L36" s="19" t="n">
        <v>225</v>
      </c>
      <c r="M36" s="19" t="n">
        <v>16571.86</v>
      </c>
      <c r="N36" s="16" t="n">
        <v>24</v>
      </c>
    </row>
    <row r="37">
      <c r="A37" s="17" t="inlineStr">
        <is>
          <t>BAJAJHIND</t>
        </is>
      </c>
      <c r="B37" s="18" t="inlineStr">
        <is>
          <t>Bajaj Hindusthan Sugar Limited</t>
        </is>
      </c>
      <c r="C37" s="18" t="inlineStr">
        <is>
          <t>fmcg</t>
        </is>
      </c>
      <c r="D37" s="16" t="n">
        <v>9</v>
      </c>
      <c r="E37" s="16" t="n">
        <v>0</v>
      </c>
      <c r="F37" s="19" t="n">
        <v>5180.57</v>
      </c>
      <c r="J37" s="17" t="inlineStr">
        <is>
          <t>PGIL</t>
        </is>
      </c>
      <c r="K37" s="18" t="inlineStr">
        <is>
          <t>consumer discretionary</t>
        </is>
      </c>
      <c r="L37" s="19" t="n">
        <v>225</v>
      </c>
      <c r="M37" s="19" t="n">
        <v>10688.39</v>
      </c>
      <c r="N37" s="16" t="n">
        <v>25</v>
      </c>
    </row>
    <row r="38">
      <c r="A38" s="17" t="inlineStr">
        <is>
          <t>BANARISUG</t>
        </is>
      </c>
      <c r="B38" s="18" t="inlineStr">
        <is>
          <t>Bannari Amman Sugars Limited</t>
        </is>
      </c>
      <c r="C38" s="18" t="inlineStr">
        <is>
          <t>fmcg</t>
        </is>
      </c>
      <c r="D38" s="16" t="n">
        <v>9</v>
      </c>
      <c r="E38" s="16" t="n">
        <v>1</v>
      </c>
      <c r="F38" s="19" t="n">
        <v>4928.98</v>
      </c>
      <c r="J38" s="17" t="inlineStr">
        <is>
          <t>INDOTECH</t>
        </is>
      </c>
      <c r="K38" s="18" t="inlineStr">
        <is>
          <t>Industrials</t>
        </is>
      </c>
      <c r="L38" s="19" t="n">
        <v>225</v>
      </c>
      <c r="M38" s="19" t="n">
        <v>3932.9</v>
      </c>
      <c r="N38" s="16" t="n">
        <v>28</v>
      </c>
    </row>
    <row r="39">
      <c r="A39" s="17" t="inlineStr">
        <is>
          <t>KRBL</t>
        </is>
      </c>
      <c r="B39" s="18" t="inlineStr">
        <is>
          <t>Krbl Limited</t>
        </is>
      </c>
      <c r="C39" s="18" t="inlineStr">
        <is>
          <t>fmcg</t>
        </is>
      </c>
      <c r="D39" s="16" t="n">
        <v>9</v>
      </c>
      <c r="E39" s="16" t="n">
        <v>0</v>
      </c>
      <c r="F39" s="19" t="n">
        <v>10017.37</v>
      </c>
      <c r="J39" s="17" t="inlineStr">
        <is>
          <t>DIFFNKG</t>
        </is>
      </c>
      <c r="K39" s="18" t="inlineStr">
        <is>
          <t>industrials</t>
        </is>
      </c>
      <c r="L39" s="19" t="n">
        <v>225</v>
      </c>
      <c r="M39" s="19" t="n">
        <v>1538.22</v>
      </c>
      <c r="N39" s="16" t="n">
        <v>9</v>
      </c>
    </row>
    <row r="40">
      <c r="A40" s="17" t="inlineStr">
        <is>
          <t>UDS</t>
        </is>
      </c>
      <c r="B40" s="18" t="inlineStr">
        <is>
          <t>Updater Services Ltd</t>
        </is>
      </c>
      <c r="C40" s="18" t="inlineStr">
        <is>
          <t>miscellaneous</t>
        </is>
      </c>
      <c r="D40" s="16" t="n">
        <v>8</v>
      </c>
      <c r="E40" s="16" t="n">
        <v>0</v>
      </c>
      <c r="F40" s="19" t="n">
        <v>1489.58</v>
      </c>
      <c r="J40" s="17" t="inlineStr">
        <is>
          <t>NORTHARC</t>
        </is>
      </c>
      <c r="K40" s="18" t="inlineStr">
        <is>
          <t>financials</t>
        </is>
      </c>
      <c r="L40" s="19" t="n">
        <v>225</v>
      </c>
      <c r="M40" s="19" t="n">
        <v>4618.07</v>
      </c>
      <c r="N40" s="16" t="n">
        <v>1</v>
      </c>
    </row>
    <row r="41">
      <c r="A41" s="17" t="inlineStr">
        <is>
          <t>MAWANASUG</t>
        </is>
      </c>
      <c r="B41" s="18" t="inlineStr">
        <is>
          <t>Mawana Sugars Limited</t>
        </is>
      </c>
      <c r="C41" s="18" t="inlineStr">
        <is>
          <t>fmcg</t>
        </is>
      </c>
      <c r="D41" s="16" t="n">
        <v>8</v>
      </c>
      <c r="E41" s="16" t="n">
        <v>0</v>
      </c>
      <c r="F41" s="19" t="n">
        <v>578.6900000000001</v>
      </c>
      <c r="J41" s="17" t="inlineStr">
        <is>
          <t>BLUSPRING</t>
        </is>
      </c>
      <c r="K41" s="18" t="inlineStr">
        <is>
          <t>miscellaneous</t>
        </is>
      </c>
      <c r="L41" s="19" t="n">
        <v>223</v>
      </c>
      <c r="M41" s="19" t="n">
        <v>1904.33</v>
      </c>
      <c r="N41" s="16" t="n">
        <v>16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76.51000000000001</v>
      </c>
      <c r="D47" s="28" t="n">
        <v>217</v>
      </c>
      <c r="E47" s="17" t="inlineStr">
        <is>
          <t>CUPID</t>
        </is>
      </c>
      <c r="F47" s="18" t="inlineStr">
        <is>
          <t>Cupid Limited</t>
        </is>
      </c>
      <c r="G47" s="18" t="inlineStr">
        <is>
          <t>fmcg</t>
        </is>
      </c>
      <c r="H47" s="19" t="n">
        <v>37963.81</v>
      </c>
    </row>
    <row r="48">
      <c r="A48" s="16" t="n">
        <v>2</v>
      </c>
      <c r="B48" s="27" t="n">
        <v>99</v>
      </c>
      <c r="C48" s="28" t="n">
        <v>72.86</v>
      </c>
      <c r="D48" s="28" t="n">
        <v>188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14725.75</v>
      </c>
    </row>
    <row r="49">
      <c r="A49" s="16" t="n">
        <v>3</v>
      </c>
      <c r="B49" s="27" t="n">
        <v>99</v>
      </c>
      <c r="C49" s="28" t="n">
        <v>71.36</v>
      </c>
      <c r="D49" s="28" t="n">
        <v>190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37193.23</v>
      </c>
    </row>
    <row r="50">
      <c r="A50" s="16" t="n">
        <v>4</v>
      </c>
      <c r="B50" s="27" t="n">
        <v>98</v>
      </c>
      <c r="C50" s="28" t="n">
        <v>66.48</v>
      </c>
      <c r="D50" s="28" t="n">
        <v>207</v>
      </c>
      <c r="E50" s="17" t="inlineStr">
        <is>
          <t>INDSWFTLAB</t>
        </is>
      </c>
      <c r="F50" s="18" t="inlineStr">
        <is>
          <t>Ind-swift Laboratories Limited</t>
        </is>
      </c>
      <c r="G50" s="18" t="inlineStr">
        <is>
          <t>healthcare</t>
        </is>
      </c>
      <c r="H50" s="19" t="n">
        <v>3156.01</v>
      </c>
    </row>
    <row r="51">
      <c r="A51" s="16" t="n">
        <v>5</v>
      </c>
      <c r="B51" s="27" t="n">
        <v>98</v>
      </c>
      <c r="C51" s="28" t="n">
        <v>56.78</v>
      </c>
      <c r="D51" s="28" t="n">
        <v>207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5818.72</v>
      </c>
    </row>
    <row r="52">
      <c r="A52" s="16" t="n">
        <v>6</v>
      </c>
      <c r="B52" s="27" t="n">
        <v>98</v>
      </c>
      <c r="C52" s="28" t="n">
        <v>56.29</v>
      </c>
      <c r="D52" s="28" t="n">
        <v>205</v>
      </c>
      <c r="E52" s="17" t="inlineStr">
        <is>
          <t>BAFNAPH</t>
        </is>
      </c>
      <c r="F52" s="18" t="inlineStr">
        <is>
          <t>Bafna Pharmaceuticals Ltd</t>
        </is>
      </c>
      <c r="G52" s="18" t="inlineStr">
        <is>
          <t>healthcare</t>
        </is>
      </c>
      <c r="H52" s="19" t="n">
        <v>688.64</v>
      </c>
    </row>
    <row r="53">
      <c r="A53" s="16" t="n">
        <v>7</v>
      </c>
      <c r="B53" s="27" t="n">
        <v>98</v>
      </c>
      <c r="C53" s="28" t="n">
        <v>53.93</v>
      </c>
      <c r="D53" s="28" t="n">
        <v>205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38490.06</v>
      </c>
    </row>
    <row r="54">
      <c r="A54" s="16" t="n">
        <v>8</v>
      </c>
      <c r="B54" s="27" t="n">
        <v>97</v>
      </c>
      <c r="C54" s="28" t="n">
        <v>47.43</v>
      </c>
      <c r="D54" s="28" t="n">
        <v>0</v>
      </c>
      <c r="E54" s="17" t="inlineStr">
        <is>
          <t>YASHO</t>
        </is>
      </c>
      <c r="F54" s="18" t="inlineStr">
        <is>
          <t>Yasho Industries Limited</t>
        </is>
      </c>
      <c r="G54" s="18" t="inlineStr">
        <is>
          <t>Basic Materials</t>
        </is>
      </c>
      <c r="H54" s="19" t="n">
        <v>5072.17</v>
      </c>
    </row>
    <row r="55">
      <c r="A55" s="16" t="n">
        <v>9</v>
      </c>
      <c r="B55" s="27" t="n">
        <v>97</v>
      </c>
      <c r="C55" s="28" t="n">
        <v>46.82</v>
      </c>
      <c r="D55" s="28" t="n">
        <v>205</v>
      </c>
      <c r="E55" s="17" t="inlineStr">
        <is>
          <t>MACPOWER</t>
        </is>
      </c>
      <c r="F55" s="18" t="inlineStr">
        <is>
          <t>Macpower CNC Machines Ltd</t>
        </is>
      </c>
      <c r="G55" s="18" t="inlineStr">
        <is>
          <t>industrials</t>
        </is>
      </c>
      <c r="H55" s="19" t="n">
        <v>2007.94</v>
      </c>
    </row>
    <row r="56">
      <c r="A56" s="16" t="n">
        <v>10</v>
      </c>
      <c r="B56" s="27" t="n">
        <v>97</v>
      </c>
      <c r="C56" s="28" t="n">
        <v>46.25</v>
      </c>
      <c r="D56" s="28" t="n">
        <v>215</v>
      </c>
      <c r="E56" s="17" t="inlineStr">
        <is>
          <t>ATHERENERG</t>
        </is>
      </c>
      <c r="F56" s="18" t="inlineStr">
        <is>
          <t>Ather Energy Ltd</t>
        </is>
      </c>
      <c r="G56" s="18" t="inlineStr">
        <is>
          <t>auto</t>
        </is>
      </c>
      <c r="H56" s="19" t="n">
        <v>63702.47</v>
      </c>
    </row>
    <row r="57">
      <c r="A57" s="16" t="n">
        <v>11</v>
      </c>
      <c r="B57" s="27" t="n">
        <v>97</v>
      </c>
      <c r="C57" s="28" t="n">
        <v>43.26</v>
      </c>
      <c r="D57" s="28" t="n">
        <v>208</v>
      </c>
      <c r="E57" s="17" t="inlineStr">
        <is>
          <t>MTARTECH</t>
        </is>
      </c>
      <c r="F57" s="18" t="inlineStr">
        <is>
          <t>MTAR Technologies Ltd</t>
        </is>
      </c>
      <c r="G57" s="18" t="inlineStr">
        <is>
          <t>aerospace &amp; defence</t>
        </is>
      </c>
      <c r="H57" s="19" t="n">
        <v>21522.49</v>
      </c>
    </row>
    <row r="58">
      <c r="A58" s="16" t="n">
        <v>12</v>
      </c>
      <c r="B58" s="27" t="n">
        <v>96</v>
      </c>
      <c r="C58" s="28" t="n">
        <v>42.46</v>
      </c>
      <c r="D58" s="28" t="n">
        <v>200</v>
      </c>
      <c r="E58" s="17" t="inlineStr">
        <is>
          <t>BLISSGVS</t>
        </is>
      </c>
      <c r="F58" s="18" t="inlineStr">
        <is>
          <t>Bliss Gvs Pharma Limited</t>
        </is>
      </c>
      <c r="G58" s="18" t="inlineStr">
        <is>
          <t>healthcare</t>
        </is>
      </c>
      <c r="H58" s="19" t="n">
        <v>6237.17</v>
      </c>
    </row>
    <row r="59">
      <c r="A59" s="16" t="n">
        <v>13</v>
      </c>
      <c r="B59" s="27" t="n">
        <v>96</v>
      </c>
      <c r="C59" s="28" t="n">
        <v>41.64</v>
      </c>
      <c r="D59" s="28" t="n">
        <v>222</v>
      </c>
      <c r="E59" s="17" t="inlineStr">
        <is>
          <t>TFCILTD</t>
        </is>
      </c>
      <c r="F59" s="18" t="inlineStr">
        <is>
          <t>Tourism Finance Corporation Of India Limited</t>
        </is>
      </c>
      <c r="G59" s="18" t="inlineStr">
        <is>
          <t>financials</t>
        </is>
      </c>
      <c r="H59" s="19" t="n">
        <v>6506.68</v>
      </c>
    </row>
    <row r="60">
      <c r="A60" s="16" t="n">
        <v>14</v>
      </c>
      <c r="B60" s="27" t="n">
        <v>96</v>
      </c>
      <c r="C60" s="28" t="n">
        <v>40.22</v>
      </c>
      <c r="D60" s="28" t="n">
        <v>210</v>
      </c>
      <c r="E60" s="17" t="inlineStr">
        <is>
          <t>KMEW</t>
        </is>
      </c>
      <c r="F60" s="18" t="inlineStr">
        <is>
          <t>Knowledge Marine &amp; Engineering Works Ltd</t>
        </is>
      </c>
      <c r="G60" s="18" t="inlineStr">
        <is>
          <t>transportation</t>
        </is>
      </c>
      <c r="H60" s="19" t="n">
        <v>7460.1</v>
      </c>
    </row>
    <row r="61">
      <c r="A61" s="16" t="n">
        <v>15</v>
      </c>
      <c r="B61" s="27" t="n">
        <v>96</v>
      </c>
      <c r="C61" s="28" t="n">
        <v>39.23</v>
      </c>
      <c r="D61" s="28" t="n">
        <v>207</v>
      </c>
      <c r="E61" s="17" t="inlineStr">
        <is>
          <t>KPL</t>
        </is>
      </c>
      <c r="F61" s="18" t="inlineStr">
        <is>
          <t>Kwality Pharmaceuticals Limited</t>
        </is>
      </c>
      <c r="G61" s="18" t="inlineStr">
        <is>
          <t>Healthcare</t>
        </is>
      </c>
      <c r="H61" s="19" t="n">
        <v>3409.41</v>
      </c>
    </row>
    <row r="62">
      <c r="A62" s="16" t="n">
        <v>16</v>
      </c>
      <c r="B62" s="27" t="n">
        <v>96</v>
      </c>
      <c r="C62" s="28" t="n">
        <v>39.12</v>
      </c>
      <c r="D62" s="28" t="n">
        <v>212</v>
      </c>
      <c r="E62" s="17" t="inlineStr">
        <is>
          <t>CNL</t>
        </is>
      </c>
      <c r="F62" s="18" t="inlineStr">
        <is>
          <t>Creative Newtech Limited</t>
        </is>
      </c>
      <c r="G62" s="18" t="inlineStr">
        <is>
          <t>Technology</t>
        </is>
      </c>
      <c r="H62" s="19" t="n">
        <v>1921.53</v>
      </c>
    </row>
    <row r="63">
      <c r="A63" s="16" t="n">
        <v>17</v>
      </c>
      <c r="B63" s="27" t="n">
        <v>95</v>
      </c>
      <c r="C63" s="28" t="n">
        <v>38.21</v>
      </c>
      <c r="D63" s="28" t="n">
        <v>210</v>
      </c>
      <c r="E63" s="17" t="inlineStr">
        <is>
          <t>MODISONLTD</t>
        </is>
      </c>
      <c r="F63" s="18" t="inlineStr">
        <is>
          <t>Modison Ltd</t>
        </is>
      </c>
      <c r="G63" s="18" t="inlineStr">
        <is>
          <t>industrials</t>
        </is>
      </c>
      <c r="H63" s="19" t="n">
        <v>1339.54</v>
      </c>
    </row>
    <row r="64">
      <c r="A64" s="16" t="n">
        <v>18</v>
      </c>
      <c r="B64" s="27" t="n">
        <v>95</v>
      </c>
      <c r="C64" s="28" t="n">
        <v>37.98</v>
      </c>
      <c r="D64" s="28" t="n">
        <v>207</v>
      </c>
      <c r="E64" s="17" t="inlineStr">
        <is>
          <t>SHILPAMED</t>
        </is>
      </c>
      <c r="F64" s="18" t="inlineStr">
        <is>
          <t>Shilpa Medicare Limited</t>
        </is>
      </c>
      <c r="G64" s="18" t="inlineStr">
        <is>
          <t>healthcare</t>
        </is>
      </c>
      <c r="H64" s="19" t="n">
        <v>17676.68</v>
      </c>
    </row>
    <row r="65">
      <c r="A65" s="16" t="n">
        <v>19</v>
      </c>
      <c r="B65" s="27" t="n">
        <v>95</v>
      </c>
      <c r="C65" s="28" t="n">
        <v>37.4</v>
      </c>
      <c r="D65" s="28" t="n">
        <v>203</v>
      </c>
      <c r="E65" s="17" t="inlineStr">
        <is>
          <t>SETL</t>
        </is>
      </c>
      <c r="F65" s="18" t="inlineStr">
        <is>
          <t>Standard Enginnering Technology Ltd</t>
        </is>
      </c>
      <c r="G65" s="18" t="inlineStr">
        <is>
          <t>industrials</t>
        </is>
      </c>
      <c r="H65" s="19" t="n">
        <v>7265.49</v>
      </c>
    </row>
    <row r="66">
      <c r="A66" s="16" t="n">
        <v>20</v>
      </c>
      <c r="B66" s="27" t="n">
        <v>95</v>
      </c>
      <c r="C66" s="28" t="n">
        <v>36.22</v>
      </c>
      <c r="D66" s="28" t="n">
        <v>208</v>
      </c>
      <c r="E66" s="17" t="inlineStr">
        <is>
          <t>HAPPYFORGE</t>
        </is>
      </c>
      <c r="F66" s="18" t="inlineStr">
        <is>
          <t>Happy Forgings Ltd</t>
        </is>
      </c>
      <c r="G66" s="18" t="inlineStr">
        <is>
          <t>industrials</t>
        </is>
      </c>
      <c r="H66" s="19" t="n">
        <v>21773.17</v>
      </c>
    </row>
    <row r="67">
      <c r="A67" s="16" t="n">
        <v>21</v>
      </c>
      <c r="B67" s="29" t="n">
        <v>94</v>
      </c>
      <c r="C67" s="28" t="n">
        <v>35.96</v>
      </c>
      <c r="D67" s="28" t="n">
        <v>200</v>
      </c>
      <c r="E67" s="17" t="inlineStr">
        <is>
          <t>SKYGOLD</t>
        </is>
      </c>
      <c r="F67" s="18" t="inlineStr">
        <is>
          <t>Sky Gold Ltd</t>
        </is>
      </c>
      <c r="G67" s="18" t="inlineStr">
        <is>
          <t>consumer discretionary</t>
        </is>
      </c>
      <c r="H67" s="19" t="n">
        <v>12566.47</v>
      </c>
    </row>
    <row r="68">
      <c r="A68" s="16" t="n">
        <v>22</v>
      </c>
      <c r="B68" s="29" t="n">
        <v>94</v>
      </c>
      <c r="C68" s="28" t="n">
        <v>35.93</v>
      </c>
      <c r="D68" s="28" t="n">
        <v>215</v>
      </c>
      <c r="E68" s="17" t="inlineStr">
        <is>
          <t>PARAS</t>
        </is>
      </c>
      <c r="F68" s="18" t="inlineStr">
        <is>
          <t>Paras Defence and Space Technologies Ltd</t>
        </is>
      </c>
      <c r="G68" s="18" t="inlineStr">
        <is>
          <t>aerospace &amp; defence</t>
        </is>
      </c>
      <c r="H68" s="19" t="n">
        <v>11602.16</v>
      </c>
    </row>
    <row r="69">
      <c r="A69" s="16" t="n">
        <v>23</v>
      </c>
      <c r="B69" s="29" t="n">
        <v>94</v>
      </c>
      <c r="C69" s="28" t="n">
        <v>35.81</v>
      </c>
      <c r="D69" s="28" t="n">
        <v>215</v>
      </c>
      <c r="E69" s="17" t="inlineStr">
        <is>
          <t>E2E</t>
        </is>
      </c>
      <c r="F69" s="18" t="inlineStr">
        <is>
          <t>E2E Networks Ltd</t>
        </is>
      </c>
      <c r="G69" s="18" t="inlineStr">
        <is>
          <t>i.t</t>
        </is>
      </c>
      <c r="H69" s="19" t="n">
        <v>12671.02</v>
      </c>
    </row>
    <row r="70">
      <c r="A70" s="16" t="n">
        <v>24</v>
      </c>
      <c r="B70" s="29" t="n">
        <v>94</v>
      </c>
      <c r="C70" s="28" t="n">
        <v>35.04</v>
      </c>
      <c r="D70" s="28" t="n">
        <v>210</v>
      </c>
      <c r="E70" s="17" t="inlineStr">
        <is>
          <t>RPEL</t>
        </is>
      </c>
      <c r="F70" s="18" t="inlineStr">
        <is>
          <t>Raghav Productivity Enhancers Ltd</t>
        </is>
      </c>
      <c r="G70" s="18" t="inlineStr">
        <is>
          <t>building materials</t>
        </is>
      </c>
      <c r="H70" s="19" t="n">
        <v>8028.99</v>
      </c>
    </row>
    <row r="71">
      <c r="A71" s="16" t="n">
        <v>25</v>
      </c>
      <c r="B71" s="29" t="n">
        <v>94</v>
      </c>
      <c r="C71" s="28" t="n">
        <v>34.9</v>
      </c>
      <c r="D71" s="28" t="n">
        <v>198</v>
      </c>
      <c r="E71" s="17" t="inlineStr">
        <is>
          <t>COMSYN</t>
        </is>
      </c>
      <c r="F71" s="18" t="inlineStr">
        <is>
          <t>Commercial Syn Bags Ltd</t>
        </is>
      </c>
      <c r="G71" s="18" t="inlineStr">
        <is>
          <t>industrials</t>
        </is>
      </c>
      <c r="H71" s="19" t="n">
        <v>1137.57</v>
      </c>
    </row>
    <row r="72">
      <c r="A72" s="16" t="n">
        <v>26</v>
      </c>
      <c r="B72" s="29" t="n">
        <v>93</v>
      </c>
      <c r="C72" s="28" t="n">
        <v>34.52</v>
      </c>
      <c r="D72" s="28" t="n">
        <v>213</v>
      </c>
      <c r="E72" s="17" t="inlineStr">
        <is>
          <t>NRL</t>
        </is>
      </c>
      <c r="F72" s="18" t="inlineStr">
        <is>
          <t>Nupur Recyclers Ltd</t>
        </is>
      </c>
      <c r="G72" s="18" t="inlineStr">
        <is>
          <t>services</t>
        </is>
      </c>
      <c r="H72" s="19" t="n">
        <v>863.36</v>
      </c>
    </row>
    <row r="73">
      <c r="A73" s="16" t="n">
        <v>27</v>
      </c>
      <c r="B73" s="29" t="n">
        <v>93</v>
      </c>
      <c r="C73" s="28" t="n">
        <v>34.4</v>
      </c>
      <c r="D73" s="28" t="n">
        <v>225</v>
      </c>
      <c r="E73" s="17" t="inlineStr">
        <is>
          <t>INDOTECH</t>
        </is>
      </c>
      <c r="F73" s="18" t="inlineStr">
        <is>
          <t>Indo Tech Transformers Limited</t>
        </is>
      </c>
      <c r="G73" s="18" t="inlineStr">
        <is>
          <t>Industrials</t>
        </is>
      </c>
      <c r="H73" s="19" t="n">
        <v>3932.9</v>
      </c>
    </row>
    <row r="74">
      <c r="A74" s="16" t="n">
        <v>28</v>
      </c>
      <c r="B74" s="29" t="n">
        <v>93</v>
      </c>
      <c r="C74" s="28" t="n">
        <v>33.15</v>
      </c>
      <c r="D74" s="28" t="n">
        <v>190</v>
      </c>
      <c r="E74" s="17" t="inlineStr">
        <is>
          <t>KAPSTON</t>
        </is>
      </c>
      <c r="F74" s="18" t="inlineStr">
        <is>
          <t>Kapston Services Ltd</t>
        </is>
      </c>
      <c r="G74" s="18" t="inlineStr">
        <is>
          <t>miscellaneous</t>
        </is>
      </c>
      <c r="H74" s="19" t="n">
        <v>1701.77</v>
      </c>
    </row>
    <row r="75">
      <c r="A75" s="16" t="n">
        <v>29</v>
      </c>
      <c r="B75" s="29" t="n">
        <v>93</v>
      </c>
      <c r="C75" s="28" t="n">
        <v>33.01</v>
      </c>
      <c r="D75" s="28" t="n">
        <v>203</v>
      </c>
      <c r="E75" s="17" t="inlineStr">
        <is>
          <t>MARINE</t>
        </is>
      </c>
      <c r="F75" s="18" t="inlineStr">
        <is>
          <t>Marine Electricals (India) Ltd</t>
        </is>
      </c>
      <c r="G75" s="18" t="inlineStr">
        <is>
          <t>industrials</t>
        </is>
      </c>
      <c r="H75" s="19" t="n">
        <v>5692.94</v>
      </c>
    </row>
    <row r="76">
      <c r="A76" s="16" t="n">
        <v>30</v>
      </c>
      <c r="B76" s="29" t="n">
        <v>92</v>
      </c>
      <c r="C76" s="28" t="n">
        <v>32.91</v>
      </c>
      <c r="D76" s="28" t="n">
        <v>205</v>
      </c>
      <c r="E76" s="17" t="inlineStr">
        <is>
          <t>AVALON</t>
        </is>
      </c>
      <c r="F76" s="18" t="inlineStr">
        <is>
          <t>Avalon Technologies Ltd</t>
        </is>
      </c>
      <c r="G76" s="18" t="inlineStr">
        <is>
          <t>consumer discretionary</t>
        </is>
      </c>
      <c r="H76" s="19" t="n">
        <v>14910.38</v>
      </c>
    </row>
    <row r="77">
      <c r="A77" s="16" t="n">
        <v>31</v>
      </c>
      <c r="B77" s="29" t="n">
        <v>92</v>
      </c>
      <c r="C77" s="28" t="n">
        <v>32.47</v>
      </c>
      <c r="D77" s="28" t="n">
        <v>203</v>
      </c>
      <c r="E77" s="17" t="inlineStr">
        <is>
          <t>PANACHE</t>
        </is>
      </c>
      <c r="F77" s="18" t="inlineStr">
        <is>
          <t>Panache Digilife Ltd</t>
        </is>
      </c>
      <c r="G77" s="18" t="inlineStr">
        <is>
          <t>i.t</t>
        </is>
      </c>
      <c r="H77" s="19" t="n">
        <v>849.0599999999999</v>
      </c>
    </row>
    <row r="78">
      <c r="A78" s="16" t="n">
        <v>32</v>
      </c>
      <c r="B78" s="29" t="n">
        <v>92</v>
      </c>
      <c r="C78" s="28" t="n">
        <v>32.06</v>
      </c>
      <c r="D78" s="28" t="n">
        <v>217</v>
      </c>
      <c r="E78" s="17" t="inlineStr">
        <is>
          <t>IOLCP</t>
        </is>
      </c>
      <c r="F78" s="18" t="inlineStr">
        <is>
          <t>Iol Chemicals And Pharmaceuticals Limited</t>
        </is>
      </c>
      <c r="G78" s="18" t="inlineStr">
        <is>
          <t>healthcare</t>
        </is>
      </c>
      <c r="H78" s="19" t="n">
        <v>5722.32</v>
      </c>
    </row>
    <row r="79">
      <c r="A79" s="16" t="n">
        <v>33</v>
      </c>
      <c r="B79" s="29" t="n">
        <v>92</v>
      </c>
      <c r="C79" s="28" t="n">
        <v>31.6</v>
      </c>
      <c r="D79" s="28" t="n">
        <v>228</v>
      </c>
      <c r="E79" s="17" t="inlineStr">
        <is>
          <t>PREMIERPOL</t>
        </is>
      </c>
      <c r="F79" s="18" t="inlineStr">
        <is>
          <t>Premier Polyfilm Limited</t>
        </is>
      </c>
      <c r="G79" s="18" t="inlineStr">
        <is>
          <t>plastic products</t>
        </is>
      </c>
      <c r="H79" s="19" t="n">
        <v>983.11</v>
      </c>
    </row>
    <row r="80">
      <c r="A80" s="16" t="n">
        <v>34</v>
      </c>
      <c r="B80" s="29" t="n">
        <v>91</v>
      </c>
      <c r="C80" s="28" t="n">
        <v>31.44</v>
      </c>
      <c r="D80" s="28" t="n">
        <v>220</v>
      </c>
      <c r="E80" s="17" t="inlineStr">
        <is>
          <t>INDOBORAX</t>
        </is>
      </c>
      <c r="F80" s="18" t="inlineStr">
        <is>
          <t>Indo Borax &amp; Chemicals Ltd</t>
        </is>
      </c>
      <c r="G80" s="18" t="inlineStr">
        <is>
          <t>chemicals</t>
        </is>
      </c>
      <c r="H80" s="19" t="n">
        <v>1588.78</v>
      </c>
    </row>
    <row r="81">
      <c r="A81" s="16" t="n">
        <v>35</v>
      </c>
      <c r="B81" s="29" t="n">
        <v>91</v>
      </c>
      <c r="C81" s="28" t="n">
        <v>31.36</v>
      </c>
      <c r="D81" s="28" t="n">
        <v>210</v>
      </c>
      <c r="E81" s="17" t="inlineStr">
        <is>
          <t>TBZ</t>
        </is>
      </c>
      <c r="F81" s="18" t="inlineStr">
        <is>
          <t>Tribhovandas Bhimji Zaveri Limited</t>
        </is>
      </c>
      <c r="G81" s="18" t="inlineStr">
        <is>
          <t>consumer discretionary</t>
        </is>
      </c>
      <c r="H81" s="19" t="n">
        <v>2013.26</v>
      </c>
    </row>
    <row r="82">
      <c r="A82" s="16" t="n">
        <v>36</v>
      </c>
      <c r="B82" s="29" t="n">
        <v>91</v>
      </c>
      <c r="C82" s="28" t="n">
        <v>30.41</v>
      </c>
      <c r="D82" s="28" t="n">
        <v>203</v>
      </c>
      <c r="E82" s="17" t="inlineStr">
        <is>
          <t>AETHER</t>
        </is>
      </c>
      <c r="F82" s="18" t="inlineStr">
        <is>
          <t>Aether Industries Ltd</t>
        </is>
      </c>
      <c r="G82" s="18" t="inlineStr">
        <is>
          <t>chemicals</t>
        </is>
      </c>
      <c r="H82" s="19" t="n">
        <v>22518.67</v>
      </c>
    </row>
    <row r="83">
      <c r="A83" s="16" t="n">
        <v>37</v>
      </c>
      <c r="B83" s="29" t="n">
        <v>91</v>
      </c>
      <c r="C83" s="28" t="n">
        <v>29.92</v>
      </c>
      <c r="D83" s="28" t="n">
        <v>215</v>
      </c>
      <c r="E83" s="17" t="inlineStr">
        <is>
          <t>UNIPARTS</t>
        </is>
      </c>
      <c r="F83" s="18" t="inlineStr">
        <is>
          <t>Uniparts India Ltd</t>
        </is>
      </c>
      <c r="G83" s="18" t="inlineStr">
        <is>
          <t>industrials</t>
        </is>
      </c>
      <c r="H83" s="19" t="n">
        <v>3941.67</v>
      </c>
    </row>
    <row r="84">
      <c r="A84" s="16" t="n">
        <v>38</v>
      </c>
      <c r="B84" s="29" t="n">
        <v>91</v>
      </c>
      <c r="C84" s="28" t="n">
        <v>29.85</v>
      </c>
      <c r="D84" s="28" t="n">
        <v>218</v>
      </c>
      <c r="E84" s="17" t="inlineStr">
        <is>
          <t>KANORICHEM</t>
        </is>
      </c>
      <c r="F84" s="18" t="inlineStr">
        <is>
          <t>Kanoria Chemicals &amp; Industries Limited</t>
        </is>
      </c>
      <c r="G84" s="18" t="inlineStr">
        <is>
          <t>chemicals</t>
        </is>
      </c>
      <c r="H84" s="19" t="n">
        <v>695.8200000000001</v>
      </c>
    </row>
    <row r="85">
      <c r="A85" s="16" t="n">
        <v>39</v>
      </c>
      <c r="B85" s="29" t="n">
        <v>90</v>
      </c>
      <c r="C85" s="28" t="n">
        <v>29.34</v>
      </c>
      <c r="D85" s="28" t="n">
        <v>200</v>
      </c>
      <c r="E85" s="17" t="inlineStr">
        <is>
          <t>KENNAMET</t>
        </is>
      </c>
      <c r="F85" s="18" t="inlineStr">
        <is>
          <t>Kennametal India Ltd</t>
        </is>
      </c>
      <c r="G85" s="18" t="inlineStr">
        <is>
          <t>industrials</t>
        </is>
      </c>
      <c r="H85" s="19" t="n">
        <v>10066.69</v>
      </c>
    </row>
    <row r="86">
      <c r="A86" s="16" t="n">
        <v>40</v>
      </c>
      <c r="B86" s="29" t="n">
        <v>90</v>
      </c>
      <c r="C86" s="28" t="n">
        <v>28.4</v>
      </c>
      <c r="D86" s="28" t="n">
        <v>158</v>
      </c>
      <c r="E86" s="17" t="inlineStr">
        <is>
          <t>SALSTEEL</t>
        </is>
      </c>
      <c r="F86" s="18" t="inlineStr">
        <is>
          <t>SAL Steel</t>
        </is>
      </c>
      <c r="G86" s="18" t="inlineStr">
        <is>
          <t>metals &amp; mining</t>
        </is>
      </c>
      <c r="H86" s="19" t="n">
        <v>1088.07</v>
      </c>
    </row>
    <row r="87">
      <c r="A87" s="16" t="n">
        <v>41</v>
      </c>
      <c r="B87" s="29" t="n">
        <v>90</v>
      </c>
      <c r="C87" s="28" t="n">
        <v>28.23</v>
      </c>
      <c r="D87" s="28" t="n">
        <v>215</v>
      </c>
      <c r="E87" s="17" t="inlineStr">
        <is>
          <t>IRISDOREME</t>
        </is>
      </c>
      <c r="F87" s="18" t="inlineStr">
        <is>
          <t>Iris Clothings Ltd</t>
        </is>
      </c>
      <c r="G87" s="18" t="inlineStr">
        <is>
          <t>consumer discretionary</t>
        </is>
      </c>
      <c r="H87" s="19" t="n">
        <v>1117.25</v>
      </c>
    </row>
    <row r="88">
      <c r="A88" s="16" t="n">
        <v>42</v>
      </c>
      <c r="B88" s="29" t="n">
        <v>90</v>
      </c>
      <c r="C88" s="28" t="n">
        <v>28.22</v>
      </c>
      <c r="D88" s="28" t="n">
        <v>220</v>
      </c>
      <c r="E88" s="17" t="inlineStr">
        <is>
          <t>QUESS</t>
        </is>
      </c>
      <c r="F88" s="18" t="inlineStr">
        <is>
          <t>Quess Corp Limited</t>
        </is>
      </c>
      <c r="G88" s="18" t="inlineStr">
        <is>
          <t>miscellaneous</t>
        </is>
      </c>
      <c r="H88" s="19" t="n">
        <v>5559.92</v>
      </c>
    </row>
    <row r="89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BODALCHEM</t>
        </is>
      </c>
      <c r="B2" s="31" t="inlineStr">
        <is>
          <t>Bodal Chemicals Limited</t>
        </is>
      </c>
      <c r="C2" s="31" t="inlineStr">
        <is>
          <t>chemicals</t>
        </is>
      </c>
      <c r="D2" s="31" t="inlineStr">
        <is>
          <t>dyes and pigments</t>
        </is>
      </c>
      <c r="E2" s="31" t="inlineStr">
        <is>
          <t>smallcap</t>
        </is>
      </c>
      <c r="F2" s="31" t="n">
        <v>1247.85</v>
      </c>
      <c r="G2" s="31" t="n">
        <v>118.89</v>
      </c>
      <c r="H2" s="31" t="n">
        <v>19.99</v>
      </c>
      <c r="I2" s="31" t="n">
        <v>7034891</v>
      </c>
      <c r="J2" s="31" t="inlineStr">
        <is>
          <t>524370</t>
        </is>
      </c>
    </row>
    <row r="3">
      <c r="A3" s="31" t="inlineStr">
        <is>
          <t>DIFFNKG</t>
        </is>
      </c>
      <c r="B3" s="31" t="inlineStr">
        <is>
          <t>Diffusion Engineers Ltd</t>
        </is>
      </c>
      <c r="C3" s="31" t="inlineStr">
        <is>
          <t>industrials</t>
        </is>
      </c>
      <c r="D3" s="31" t="inlineStr">
        <is>
          <t>electrodes - welding equipment</t>
        </is>
      </c>
      <c r="E3" s="31" t="inlineStr">
        <is>
          <t>smallcap</t>
        </is>
      </c>
      <c r="F3" s="31" t="n">
        <v>1538.22</v>
      </c>
      <c r="G3" s="31" t="n">
        <v>485.5</v>
      </c>
      <c r="H3" s="31" t="n">
        <v>18.13</v>
      </c>
      <c r="I3" s="31" t="n">
        <v>7817913</v>
      </c>
      <c r="J3" s="31" t="inlineStr">
        <is>
          <t>544264</t>
        </is>
      </c>
    </row>
    <row r="4">
      <c r="A4" s="31" t="inlineStr">
        <is>
          <t>ASIANHOTNR</t>
        </is>
      </c>
      <c r="B4" s="31" t="inlineStr">
        <is>
          <t>Asian Hotels (north) Limited</t>
        </is>
      </c>
      <c r="C4" s="31" t="inlineStr">
        <is>
          <t>services</t>
        </is>
      </c>
      <c r="D4" s="31" t="inlineStr">
        <is>
          <t>hotels</t>
        </is>
      </c>
      <c r="E4" s="31" t="inlineStr">
        <is>
          <t>smallcap</t>
        </is>
      </c>
      <c r="F4" s="31" t="n">
        <v>1347</v>
      </c>
      <c r="G4" s="31" t="n">
        <v>366.4</v>
      </c>
      <c r="H4" s="31" t="n">
        <v>15.97</v>
      </c>
      <c r="I4" s="31" t="n">
        <v>1007905</v>
      </c>
      <c r="J4" s="31" t="inlineStr">
        <is>
          <t>500023</t>
        </is>
      </c>
    </row>
    <row r="5">
      <c r="A5" s="31" t="inlineStr">
        <is>
          <t>MANALIPETC</t>
        </is>
      </c>
      <c r="B5" s="31" t="inlineStr">
        <is>
          <t>Manali Petrochemicals Limited</t>
        </is>
      </c>
      <c r="C5" s="31" t="inlineStr">
        <is>
          <t>energy</t>
        </is>
      </c>
      <c r="D5" s="31" t="inlineStr">
        <is>
          <t>petrochemicals</t>
        </is>
      </c>
      <c r="E5" s="31" t="inlineStr">
        <is>
          <t>smallcap</t>
        </is>
      </c>
      <c r="F5" s="31" t="n">
        <v>1261.79</v>
      </c>
      <c r="G5" s="31" t="n">
        <v>81.75</v>
      </c>
      <c r="H5" s="31" t="n">
        <v>11.44</v>
      </c>
      <c r="I5" s="31" t="n">
        <v>73402171</v>
      </c>
      <c r="J5" s="31" t="inlineStr">
        <is>
          <t>500268</t>
        </is>
      </c>
    </row>
    <row r="6">
      <c r="A6" s="31" t="inlineStr">
        <is>
          <t>LOKESHMACH</t>
        </is>
      </c>
      <c r="B6" s="31" t="inlineStr">
        <is>
          <t>Lokesh Machines Limited</t>
        </is>
      </c>
      <c r="C6" s="31" t="inlineStr">
        <is>
          <t>industrials</t>
        </is>
      </c>
      <c r="D6" s="31" t="inlineStr">
        <is>
          <t>engineering</t>
        </is>
      </c>
      <c r="E6" s="31" t="inlineStr">
        <is>
          <t>smallcap</t>
        </is>
      </c>
      <c r="F6" s="31" t="n">
        <v>681.04</v>
      </c>
      <c r="G6" s="31" t="n">
        <v>345.25</v>
      </c>
      <c r="H6" s="31" t="n">
        <v>10.5</v>
      </c>
      <c r="I6" s="31" t="n">
        <v>351870</v>
      </c>
      <c r="J6" s="31" t="inlineStr">
        <is>
          <t>532740</t>
        </is>
      </c>
    </row>
    <row r="7">
      <c r="A7" s="31" t="inlineStr">
        <is>
          <t>AYMSYNTEX</t>
        </is>
      </c>
      <c r="B7" s="31" t="inlineStr">
        <is>
          <t>Aym Syntex Limited</t>
        </is>
      </c>
      <c r="C7" s="31" t="inlineStr">
        <is>
          <t>textiles</t>
        </is>
      </c>
      <c r="D7" s="31" t="inlineStr">
        <is>
          <t>textiles - processing</t>
        </is>
      </c>
      <c r="E7" s="31" t="inlineStr">
        <is>
          <t>smallcap</t>
        </is>
      </c>
      <c r="F7" s="31" t="n">
        <v>1494.2</v>
      </c>
      <c r="G7" s="31" t="n">
        <v>280.45</v>
      </c>
      <c r="H7" s="31" t="n">
        <v>10.24</v>
      </c>
      <c r="I7" s="31" t="n">
        <v>1511986</v>
      </c>
      <c r="J7" s="31" t="inlineStr">
        <is>
          <t>508933</t>
        </is>
      </c>
    </row>
    <row r="8">
      <c r="A8" s="31" t="inlineStr">
        <is>
          <t>MODISONLTD</t>
        </is>
      </c>
      <c r="B8" s="31" t="inlineStr">
        <is>
          <t>Modison Ltd</t>
        </is>
      </c>
      <c r="C8" s="31" t="inlineStr">
        <is>
          <t>industrials</t>
        </is>
      </c>
      <c r="D8" s="31" t="inlineStr">
        <is>
          <t>electric equipment</t>
        </is>
      </c>
      <c r="E8" s="31" t="inlineStr">
        <is>
          <t>smallcap</t>
        </is>
      </c>
      <c r="F8" s="31" t="n">
        <v>1339.54</v>
      </c>
      <c r="G8" s="31" t="n">
        <v>454.05</v>
      </c>
      <c r="H8" s="31" t="n">
        <v>9.99</v>
      </c>
      <c r="I8" s="31" t="n">
        <v>392989</v>
      </c>
      <c r="J8" s="31" t="inlineStr">
        <is>
          <t>506261</t>
        </is>
      </c>
    </row>
    <row r="9">
      <c r="A9" s="31" t="inlineStr">
        <is>
          <t>NORTHARC</t>
        </is>
      </c>
      <c r="B9" s="31" t="inlineStr">
        <is>
          <t>Northern ARC Capital Ltd</t>
        </is>
      </c>
      <c r="C9" s="31" t="inlineStr">
        <is>
          <t>financials</t>
        </is>
      </c>
      <c r="D9" s="31" t="inlineStr">
        <is>
          <t>finance &amp; investments</t>
        </is>
      </c>
      <c r="E9" s="31" t="inlineStr">
        <is>
          <t>smallcap</t>
        </is>
      </c>
      <c r="F9" s="31" t="n">
        <v>4618.07</v>
      </c>
      <c r="G9" s="31" t="n">
        <v>311.65</v>
      </c>
      <c r="H9" s="31" t="n">
        <v>9.06</v>
      </c>
      <c r="I9" s="31" t="n">
        <v>25296223</v>
      </c>
      <c r="J9" s="31" t="n"/>
    </row>
    <row r="10">
      <c r="A10" s="31" t="inlineStr">
        <is>
          <t>TNPETRO</t>
        </is>
      </c>
      <c r="B10" s="31" t="inlineStr">
        <is>
          <t>Tamilnadu Petroproducts Limited</t>
        </is>
      </c>
      <c r="C10" s="31" t="inlineStr">
        <is>
          <t>energy</t>
        </is>
      </c>
      <c r="D10" s="31" t="inlineStr">
        <is>
          <t>petrochemicals</t>
        </is>
      </c>
      <c r="E10" s="31" t="inlineStr">
        <is>
          <t>smallcap</t>
        </is>
      </c>
      <c r="F10" s="31" t="n">
        <v>1002.01</v>
      </c>
      <c r="G10" s="31" t="n">
        <v>120.77</v>
      </c>
      <c r="H10" s="31" t="n">
        <v>8.44</v>
      </c>
      <c r="I10" s="31" t="n">
        <v>21800591</v>
      </c>
      <c r="J10" s="31" t="inlineStr">
        <is>
          <t>500777</t>
        </is>
      </c>
    </row>
    <row r="11">
      <c r="A11" s="31" t="inlineStr">
        <is>
          <t>VENKEYS</t>
        </is>
      </c>
      <c r="B11" s="31" t="inlineStr">
        <is>
          <t>Venky's (india) Limited</t>
        </is>
      </c>
      <c r="C11" s="31" t="inlineStr">
        <is>
          <t>fmcg</t>
        </is>
      </c>
      <c r="D11" s="31" t="inlineStr">
        <is>
          <t>miscellaneous</t>
        </is>
      </c>
      <c r="E11" s="31" t="inlineStr">
        <is>
          <t>smallcap</t>
        </is>
      </c>
      <c r="F11" s="31" t="n">
        <v>2214.39</v>
      </c>
      <c r="G11" s="31" t="n">
        <v>1702</v>
      </c>
      <c r="H11" s="31" t="n">
        <v>8.279999999999999</v>
      </c>
      <c r="I11" s="31" t="n">
        <v>1282528</v>
      </c>
      <c r="J11" s="31" t="inlineStr">
        <is>
          <t>523261</t>
        </is>
      </c>
    </row>
    <row r="12">
      <c r="A12" s="31" t="inlineStr">
        <is>
          <t>AVTNPL</t>
        </is>
      </c>
      <c r="B12" s="31" t="inlineStr">
        <is>
          <t>Avt Natural Products Limited</t>
        </is>
      </c>
      <c r="C12" s="31" t="inlineStr">
        <is>
          <t>fmcg</t>
        </is>
      </c>
      <c r="D12" s="31" t="inlineStr">
        <is>
          <t>solvent extraction</t>
        </is>
      </c>
      <c r="E12" s="31" t="inlineStr">
        <is>
          <t>smallcap</t>
        </is>
      </c>
      <c r="F12" s="31" t="n">
        <v>1297.31</v>
      </c>
      <c r="G12" s="31" t="n">
        <v>92.06</v>
      </c>
      <c r="H12" s="31" t="n">
        <v>8.06</v>
      </c>
      <c r="I12" s="31" t="n">
        <v>741243</v>
      </c>
      <c r="J12" s="31" t="inlineStr">
        <is>
          <t>519105</t>
        </is>
      </c>
    </row>
    <row r="13">
      <c r="A13" s="31" t="inlineStr">
        <is>
          <t>KOPRAN</t>
        </is>
      </c>
      <c r="B13" s="31" t="inlineStr">
        <is>
          <t>Kopran Limited</t>
        </is>
      </c>
      <c r="C13" s="31" t="inlineStr">
        <is>
          <t>healthcare</t>
        </is>
      </c>
      <c r="D13" s="31" t="inlineStr">
        <is>
          <t>pharmaceuticals - indian - bulk drugs &amp; formln</t>
        </is>
      </c>
      <c r="E13" s="31" t="inlineStr">
        <is>
          <t>smallcap</t>
        </is>
      </c>
      <c r="F13" s="31" t="n">
        <v>974.21</v>
      </c>
      <c r="G13" s="31" t="n">
        <v>217.83</v>
      </c>
      <c r="H13" s="31" t="n">
        <v>7.96</v>
      </c>
      <c r="I13" s="31" t="n">
        <v>1881351</v>
      </c>
      <c r="J13" s="31" t="inlineStr">
        <is>
          <t>524280</t>
        </is>
      </c>
    </row>
    <row r="14">
      <c r="A14" s="31" t="inlineStr">
        <is>
          <t>ICIL</t>
        </is>
      </c>
      <c r="B14" s="31" t="inlineStr">
        <is>
          <t>Indo Count Industries Limited</t>
        </is>
      </c>
      <c r="C14" s="31" t="inlineStr">
        <is>
          <t>textiles</t>
        </is>
      </c>
      <c r="D14" s="31" t="inlineStr">
        <is>
          <t>textiles - cotton/blended</t>
        </is>
      </c>
      <c r="E14" s="31" t="inlineStr">
        <is>
          <t>midcap</t>
        </is>
      </c>
      <c r="F14" s="31" t="n">
        <v>8614.370000000001</v>
      </c>
      <c r="G14" s="31" t="n">
        <v>469.45</v>
      </c>
      <c r="H14" s="31" t="n">
        <v>7.93</v>
      </c>
      <c r="I14" s="31" t="n">
        <v>2744850</v>
      </c>
      <c r="J14" s="31" t="inlineStr">
        <is>
          <t>521016</t>
        </is>
      </c>
    </row>
    <row r="15">
      <c r="A15" s="31" t="inlineStr">
        <is>
          <t>SUVEN</t>
        </is>
      </c>
      <c r="B15" s="31" t="inlineStr">
        <is>
          <t>Suven Life Sciences Limited</t>
        </is>
      </c>
      <c r="C15" s="31" t="inlineStr">
        <is>
          <t>healthcare</t>
        </is>
      </c>
      <c r="D15" s="31" t="inlineStr">
        <is>
          <t>miscellaneous</t>
        </is>
      </c>
      <c r="E15" s="31" t="inlineStr">
        <is>
          <t>smallcap</t>
        </is>
      </c>
      <c r="F15" s="31" t="n">
        <v>705.04</v>
      </c>
      <c r="G15" s="31" t="n">
        <v>392.05</v>
      </c>
      <c r="H15" s="31" t="n">
        <v>7.43</v>
      </c>
      <c r="I15" s="31" t="n">
        <v>1703616</v>
      </c>
      <c r="J15" s="31" t="inlineStr">
        <is>
          <t>530239</t>
        </is>
      </c>
    </row>
    <row r="16">
      <c r="A16" s="31" t="inlineStr">
        <is>
          <t>PRUDENT</t>
        </is>
      </c>
      <c r="B16" s="31" t="inlineStr">
        <is>
          <t>Prudent Corporate Advisory Services Ltd</t>
        </is>
      </c>
      <c r="C16" s="31" t="inlineStr">
        <is>
          <t>financials</t>
        </is>
      </c>
      <c r="D16" s="31" t="inlineStr">
        <is>
          <t>finance &amp; investments</t>
        </is>
      </c>
      <c r="E16" s="31" t="inlineStr">
        <is>
          <t>midcap</t>
        </is>
      </c>
      <c r="F16" s="31" t="n">
        <v>14166.47</v>
      </c>
      <c r="G16" s="31" t="n">
        <v>3674.4</v>
      </c>
      <c r="H16" s="31" t="n">
        <v>7.4</v>
      </c>
      <c r="I16" s="31" t="n">
        <v>43144</v>
      </c>
      <c r="J16" s="31" t="inlineStr">
        <is>
          <t>543527</t>
        </is>
      </c>
    </row>
    <row r="17">
      <c r="A17" s="31" t="inlineStr">
        <is>
          <t>STOVEKRAFT</t>
        </is>
      </c>
      <c r="B17" s="31" t="inlineStr">
        <is>
          <t>Stove Kraft Ltd</t>
        </is>
      </c>
      <c r="C17" s="31" t="inlineStr">
        <is>
          <t>consumer discretionary</t>
        </is>
      </c>
      <c r="D17" s="31" t="inlineStr">
        <is>
          <t>domestic appliances</t>
        </is>
      </c>
      <c r="E17" s="31" t="inlineStr">
        <is>
          <t>smallcap</t>
        </is>
      </c>
      <c r="F17" s="31" t="n">
        <v>2640.31</v>
      </c>
      <c r="G17" s="31" t="n">
        <v>849.2</v>
      </c>
      <c r="H17" s="31" t="n">
        <v>6.48</v>
      </c>
      <c r="I17" s="31" t="n">
        <v>794805</v>
      </c>
      <c r="J17" s="31" t="inlineStr">
        <is>
          <t>543260</t>
        </is>
      </c>
    </row>
    <row r="18">
      <c r="A18" s="31" t="inlineStr">
        <is>
          <t>PGIL</t>
        </is>
      </c>
      <c r="B18" s="31" t="inlineStr">
        <is>
          <t>Pearl Global Industries Limited</t>
        </is>
      </c>
      <c r="C18" s="31" t="inlineStr">
        <is>
          <t>consumer discretionary</t>
        </is>
      </c>
      <c r="D18" s="31" t="inlineStr">
        <is>
          <t>textiles - products</t>
        </is>
      </c>
      <c r="E18" s="31" t="inlineStr">
        <is>
          <t>midcap</t>
        </is>
      </c>
      <c r="F18" s="31" t="n">
        <v>10688.39</v>
      </c>
      <c r="G18" s="31" t="n">
        <v>2463.8</v>
      </c>
      <c r="H18" s="31" t="n">
        <v>6.46</v>
      </c>
      <c r="I18" s="31" t="n">
        <v>267169</v>
      </c>
      <c r="J18" s="31" t="inlineStr">
        <is>
          <t>532808</t>
        </is>
      </c>
    </row>
    <row r="19">
      <c r="A19" s="31" t="inlineStr">
        <is>
          <t>AVALON</t>
        </is>
      </c>
      <c r="B19" s="31" t="inlineStr">
        <is>
          <t>Avalon Technologies Ltd</t>
        </is>
      </c>
      <c r="C19" s="31" t="inlineStr">
        <is>
          <t>consumer discretionary</t>
        </is>
      </c>
      <c r="D19" s="31" t="inlineStr">
        <is>
          <t>electronics - components</t>
        </is>
      </c>
      <c r="E19" s="31" t="inlineStr">
        <is>
          <t>midcap</t>
        </is>
      </c>
      <c r="F19" s="31" t="n">
        <v>14910.38</v>
      </c>
      <c r="G19" s="31" t="n">
        <v>2373.3</v>
      </c>
      <c r="H19" s="31" t="n">
        <v>6.34</v>
      </c>
      <c r="I19" s="31" t="n">
        <v>519200</v>
      </c>
      <c r="J19" s="31" t="inlineStr">
        <is>
          <t>543896</t>
        </is>
      </c>
    </row>
    <row r="20">
      <c r="A20" s="31" t="inlineStr">
        <is>
          <t>ATHERENERG</t>
        </is>
      </c>
      <c r="B20" s="31" t="inlineStr">
        <is>
          <t>Ather Energy Ltd</t>
        </is>
      </c>
      <c r="C20" s="31" t="inlineStr">
        <is>
          <t>auto</t>
        </is>
      </c>
      <c r="D20" s="31" t="inlineStr">
        <is>
          <t>automobiles - scooters and 3 - wheelers</t>
        </is>
      </c>
      <c r="E20" s="31" t="inlineStr">
        <is>
          <t>largecap</t>
        </is>
      </c>
      <c r="F20" s="31" t="n">
        <v>63702.47</v>
      </c>
      <c r="G20" s="31" t="n">
        <v>1717.7</v>
      </c>
      <c r="H20" s="31" t="n">
        <v>6.27</v>
      </c>
      <c r="I20" s="31" t="n">
        <v>19768043</v>
      </c>
      <c r="J20" s="31" t="inlineStr">
        <is>
          <t>544397</t>
        </is>
      </c>
    </row>
    <row r="21">
      <c r="A21" s="31" t="inlineStr">
        <is>
          <t>CYIENT</t>
        </is>
      </c>
      <c r="B21" s="31" t="inlineStr">
        <is>
          <t>Cyient Limited</t>
        </is>
      </c>
      <c r="C21" s="31" t="inlineStr">
        <is>
          <t>i.t</t>
        </is>
      </c>
      <c r="D21" s="31" t="inlineStr">
        <is>
          <t>computers - software - medium / small</t>
        </is>
      </c>
      <c r="E21" s="31" t="inlineStr">
        <is>
          <t>midcap</t>
        </is>
      </c>
      <c r="F21" s="31" t="n">
        <v>11599.63</v>
      </c>
      <c r="G21" s="31" t="n">
        <v>1174.8</v>
      </c>
      <c r="H21" s="31" t="n">
        <v>6.08</v>
      </c>
      <c r="I21" s="31" t="n">
        <v>2546454</v>
      </c>
      <c r="J21" s="31" t="inlineStr">
        <is>
          <t>532175</t>
        </is>
      </c>
    </row>
    <row r="22">
      <c r="A22" s="31" t="inlineStr">
        <is>
          <t>GAEL</t>
        </is>
      </c>
      <c r="B22" s="31" t="inlineStr">
        <is>
          <t>Gujarat Ambuja Exports Limited</t>
        </is>
      </c>
      <c r="C22" s="31" t="inlineStr">
        <is>
          <t>fmcg</t>
        </is>
      </c>
      <c r="D22" s="31" t="inlineStr">
        <is>
          <t>miscellaneous</t>
        </is>
      </c>
      <c r="E22" s="31" t="inlineStr">
        <is>
          <t>midcap</t>
        </is>
      </c>
      <c r="F22" s="31" t="n">
        <v>7658.88</v>
      </c>
      <c r="G22" s="31" t="n">
        <v>176.92</v>
      </c>
      <c r="H22" s="31" t="n">
        <v>5.95</v>
      </c>
      <c r="I22" s="31" t="n">
        <v>2235760</v>
      </c>
      <c r="J22" s="31" t="inlineStr">
        <is>
          <t>524226</t>
        </is>
      </c>
    </row>
    <row r="23">
      <c r="A23" s="31" t="inlineStr">
        <is>
          <t>BALRAMCHIN</t>
        </is>
      </c>
      <c r="B23" s="31" t="inlineStr">
        <is>
          <t>Balrampur Chini Mills Limited</t>
        </is>
      </c>
      <c r="C23" s="31" t="inlineStr">
        <is>
          <t>fmcg</t>
        </is>
      </c>
      <c r="D23" s="31" t="inlineStr">
        <is>
          <t>sugar</t>
        </is>
      </c>
      <c r="E23" s="31" t="inlineStr">
        <is>
          <t>midcap</t>
        </is>
      </c>
      <c r="F23" s="31" t="n">
        <v>13834.83</v>
      </c>
      <c r="G23" s="31" t="n">
        <v>693.5</v>
      </c>
      <c r="H23" s="31" t="n">
        <v>5.9</v>
      </c>
      <c r="I23" s="31" t="n">
        <v>39555765</v>
      </c>
      <c r="J23" s="31" t="inlineStr">
        <is>
          <t>500038</t>
        </is>
      </c>
    </row>
    <row r="24">
      <c r="A24" s="31" t="inlineStr">
        <is>
          <t>INDGN</t>
        </is>
      </c>
      <c r="B24" s="31" t="inlineStr">
        <is>
          <t>Indegene Ltd</t>
        </is>
      </c>
      <c r="C24" s="31" t="inlineStr">
        <is>
          <t>healthcare</t>
        </is>
      </c>
      <c r="D24" s="31" t="inlineStr">
        <is>
          <t>miscellaneous</t>
        </is>
      </c>
      <c r="E24" s="31" t="inlineStr">
        <is>
          <t>midcap</t>
        </is>
      </c>
      <c r="F24" s="31" t="n">
        <v>13950.05</v>
      </c>
      <c r="G24" s="31" t="n">
        <v>611.65</v>
      </c>
      <c r="H24" s="31" t="n">
        <v>5.65</v>
      </c>
      <c r="I24" s="31" t="n">
        <v>3972278</v>
      </c>
      <c r="J24" s="31" t="inlineStr">
        <is>
          <t>544172</t>
        </is>
      </c>
    </row>
    <row r="25">
      <c r="A25" s="31" t="inlineStr">
        <is>
          <t>COMSYN</t>
        </is>
      </c>
      <c r="B25" s="31" t="inlineStr">
        <is>
          <t>Commercial Syn Bags Ltd</t>
        </is>
      </c>
      <c r="C25" s="31" t="inlineStr">
        <is>
          <t>industrials</t>
        </is>
      </c>
      <c r="D25" s="31" t="inlineStr">
        <is>
          <t>packaging</t>
        </is>
      </c>
      <c r="E25" s="31" t="inlineStr">
        <is>
          <t>smallcap</t>
        </is>
      </c>
      <c r="F25" s="31" t="n">
        <v>1137.57</v>
      </c>
      <c r="G25" s="31" t="n">
        <v>297.1</v>
      </c>
      <c r="H25" s="31" t="n">
        <v>5.35</v>
      </c>
      <c r="I25" s="31" t="n">
        <v>495370</v>
      </c>
      <c r="J25" s="31" t="inlineStr">
        <is>
          <t>539986</t>
        </is>
      </c>
    </row>
    <row r="26">
      <c r="A26" s="31" t="inlineStr">
        <is>
          <t>HCG</t>
        </is>
      </c>
      <c r="B26" s="31" t="inlineStr">
        <is>
          <t>Healthcare Global Enterprises Limited</t>
        </is>
      </c>
      <c r="C26" s="31" t="inlineStr">
        <is>
          <t>healthcare</t>
        </is>
      </c>
      <c r="D26" s="31" t="inlineStr">
        <is>
          <t>healthcare</t>
        </is>
      </c>
      <c r="E26" s="31" t="inlineStr">
        <is>
          <t>midcap</t>
        </is>
      </c>
      <c r="F26" s="31" t="n">
        <v>10395.91</v>
      </c>
      <c r="G26" s="31" t="n">
        <v>733.3</v>
      </c>
      <c r="H26" s="31" t="n">
        <v>5.31</v>
      </c>
      <c r="I26" s="31" t="n">
        <v>264044</v>
      </c>
      <c r="J26" s="31" t="inlineStr">
        <is>
          <t>539787</t>
        </is>
      </c>
    </row>
    <row r="27">
      <c r="A27" s="31" t="inlineStr">
        <is>
          <t>TMB</t>
        </is>
      </c>
      <c r="B27" s="31" t="inlineStr">
        <is>
          <t>Tamilnad Mercantile Bank Ltd</t>
        </is>
      </c>
      <c r="C27" s="31" t="inlineStr">
        <is>
          <t>bank</t>
        </is>
      </c>
      <c r="D27" s="31" t="inlineStr">
        <is>
          <t>banks - private sector</t>
        </is>
      </c>
      <c r="E27" s="31" t="inlineStr">
        <is>
          <t>midcap</t>
        </is>
      </c>
      <c r="F27" s="31" t="n">
        <v>14030.73</v>
      </c>
      <c r="G27" s="31" t="n">
        <v>932.6</v>
      </c>
      <c r="H27" s="31" t="n">
        <v>5.25</v>
      </c>
      <c r="I27" s="31" t="n">
        <v>776594</v>
      </c>
      <c r="J27" s="31" t="inlineStr">
        <is>
          <t>543596</t>
        </is>
      </c>
    </row>
    <row r="28">
      <c r="A28" s="31" t="inlineStr">
        <is>
          <t>SHILPAMED</t>
        </is>
      </c>
      <c r="B28" s="31" t="inlineStr">
        <is>
          <t>Shilpa Medicare Limited</t>
        </is>
      </c>
      <c r="C28" s="31" t="inlineStr">
        <is>
          <t>healthcare</t>
        </is>
      </c>
      <c r="D28" s="31" t="inlineStr">
        <is>
          <t>pharmaceuticals - indian - formulations</t>
        </is>
      </c>
      <c r="E28" s="31" t="inlineStr">
        <is>
          <t>midcap</t>
        </is>
      </c>
      <c r="F28" s="31" t="n">
        <v>17676.68</v>
      </c>
      <c r="G28" s="31" t="n">
        <v>949.3</v>
      </c>
      <c r="H28" s="31" t="n">
        <v>5.03</v>
      </c>
      <c r="I28" s="31" t="n">
        <v>2572207</v>
      </c>
      <c r="J28" s="31" t="inlineStr">
        <is>
          <t>530549</t>
        </is>
      </c>
    </row>
    <row r="29">
      <c r="A29" s="31" t="inlineStr">
        <is>
          <t>BHAGERIA</t>
        </is>
      </c>
      <c r="B29" s="31" t="inlineStr">
        <is>
          <t>Bhageria Industries Limited</t>
        </is>
      </c>
      <c r="C29" s="31" t="inlineStr">
        <is>
          <t>chemicals</t>
        </is>
      </c>
      <c r="D29" s="31" t="inlineStr">
        <is>
          <t>dyes and pigments</t>
        </is>
      </c>
      <c r="E29" s="31" t="inlineStr">
        <is>
          <t>smallcap</t>
        </is>
      </c>
      <c r="F29" s="31" t="n">
        <v>1042</v>
      </c>
      <c r="G29" s="31" t="n">
        <v>250.68</v>
      </c>
      <c r="H29" s="31" t="n">
        <v>5</v>
      </c>
      <c r="I29" s="31" t="n">
        <v>147630</v>
      </c>
      <c r="J29" s="31" t="inlineStr">
        <is>
          <t>530803</t>
        </is>
      </c>
    </row>
    <row r="30">
      <c r="A30" s="31" t="inlineStr">
        <is>
          <t>BIRLACABLE</t>
        </is>
      </c>
      <c r="B30" s="31" t="inlineStr">
        <is>
          <t>Birla Cable Limited</t>
        </is>
      </c>
      <c r="C30" s="31" t="inlineStr">
        <is>
          <t>industrials</t>
        </is>
      </c>
      <c r="D30" s="31" t="inlineStr">
        <is>
          <t>cables - telephone</t>
        </is>
      </c>
      <c r="E30" s="31" t="inlineStr">
        <is>
          <t>smallcap</t>
        </is>
      </c>
      <c r="F30" s="31" t="n">
        <v>885.33</v>
      </c>
      <c r="G30" s="31" t="n">
        <v>309.86</v>
      </c>
      <c r="H30" s="31" t="n">
        <v>5</v>
      </c>
      <c r="I30" s="31" t="n">
        <v>370744</v>
      </c>
      <c r="J30" s="31" t="inlineStr">
        <is>
          <t>500060</t>
        </is>
      </c>
    </row>
    <row r="31">
      <c r="A31" s="31" t="inlineStr">
        <is>
          <t>PVP</t>
        </is>
      </c>
      <c r="B31" s="31" t="inlineStr">
        <is>
          <t>Pvp Ventures Limited</t>
        </is>
      </c>
      <c r="C31" s="31" t="inlineStr">
        <is>
          <t>realty</t>
        </is>
      </c>
      <c r="D31" s="31" t="inlineStr">
        <is>
          <t>construction</t>
        </is>
      </c>
      <c r="E31" s="31" t="inlineStr">
        <is>
          <t>smallcap</t>
        </is>
      </c>
      <c r="F31" s="31" t="n">
        <v>1698.35</v>
      </c>
      <c r="G31" s="31" t="n">
        <v>68.48</v>
      </c>
      <c r="H31" s="31" t="n">
        <v>5</v>
      </c>
      <c r="I31" s="31" t="n">
        <v>6346569</v>
      </c>
      <c r="J31" s="31" t="inlineStr">
        <is>
          <t>517556</t>
        </is>
      </c>
    </row>
    <row r="32">
      <c r="A32" s="31" t="inlineStr">
        <is>
          <t>MANAKSTEEL</t>
        </is>
      </c>
      <c r="B32" s="31" t="inlineStr">
        <is>
          <t>Manaksia Steels Limited</t>
        </is>
      </c>
      <c r="C32" s="31" t="inlineStr">
        <is>
          <t>metals &amp; mining</t>
        </is>
      </c>
      <c r="D32" s="31" t="inlineStr">
        <is>
          <t>steel - medium / small</t>
        </is>
      </c>
      <c r="E32" s="31" t="inlineStr">
        <is>
          <t>smallcap</t>
        </is>
      </c>
      <c r="F32" s="31" t="n">
        <v>621.2</v>
      </c>
      <c r="G32" s="31" t="n">
        <v>99.52</v>
      </c>
      <c r="H32" s="31" t="n">
        <v>4.99</v>
      </c>
      <c r="I32" s="31" t="n">
        <v>80576</v>
      </c>
      <c r="J32" s="31" t="inlineStr">
        <is>
          <t>539044</t>
        </is>
      </c>
    </row>
    <row r="33">
      <c r="A33" s="31" t="inlineStr">
        <is>
          <t>KAPSTON</t>
        </is>
      </c>
      <c r="B33" s="31" t="inlineStr">
        <is>
          <t>Kapston Services Ltd</t>
        </is>
      </c>
      <c r="C33" s="31" t="inlineStr">
        <is>
          <t>miscellaneous</t>
        </is>
      </c>
      <c r="D33" s="31" t="inlineStr">
        <is>
          <t>miscellaneous</t>
        </is>
      </c>
      <c r="E33" s="31" t="inlineStr">
        <is>
          <t>smallcap</t>
        </is>
      </c>
      <c r="F33" s="31" t="n">
        <v>1701.77</v>
      </c>
      <c r="G33" s="31" t="n">
        <v>586.8</v>
      </c>
      <c r="H33" s="31" t="n">
        <v>4.94</v>
      </c>
      <c r="I33" s="31" t="n">
        <v>214986</v>
      </c>
      <c r="J33" s="31" t="inlineStr">
        <is>
          <t>535064</t>
        </is>
      </c>
    </row>
    <row r="34">
      <c r="A34" s="31" t="inlineStr">
        <is>
          <t>VARROC</t>
        </is>
      </c>
      <c r="B34" s="31" t="inlineStr">
        <is>
          <t>Varroc Engineering Ltd</t>
        </is>
      </c>
      <c r="C34" s="31" t="inlineStr">
        <is>
          <t>auto</t>
        </is>
      </c>
      <c r="D34" s="31" t="inlineStr">
        <is>
          <t>auto ancillaries</t>
        </is>
      </c>
      <c r="E34" s="31" t="inlineStr">
        <is>
          <t>midcap</t>
        </is>
      </c>
      <c r="F34" s="31" t="n">
        <v>12556.75</v>
      </c>
      <c r="G34" s="31" t="n">
        <v>862</v>
      </c>
      <c r="H34" s="31" t="n">
        <v>4.89</v>
      </c>
      <c r="I34" s="31" t="n">
        <v>623239</v>
      </c>
      <c r="J34" s="31" t="inlineStr">
        <is>
          <t>541578</t>
        </is>
      </c>
    </row>
    <row r="35">
      <c r="A35" s="31" t="inlineStr">
        <is>
          <t>BLISSGVS</t>
        </is>
      </c>
      <c r="B35" s="31" t="inlineStr">
        <is>
          <t>Bliss Gvs Pharma Limited</t>
        </is>
      </c>
      <c r="C35" s="31" t="inlineStr">
        <is>
          <t>healthcare</t>
        </is>
      </c>
      <c r="D35" s="31" t="inlineStr">
        <is>
          <t>pharmaceuticals - indian - formulations</t>
        </is>
      </c>
      <c r="E35" s="31" t="inlineStr">
        <is>
          <t>midcap</t>
        </is>
      </c>
      <c r="F35" s="31" t="n">
        <v>6237.17</v>
      </c>
      <c r="G35" s="31" t="n">
        <v>616.75</v>
      </c>
      <c r="H35" s="31" t="n">
        <v>4.87</v>
      </c>
      <c r="I35" s="31" t="n">
        <v>746998</v>
      </c>
      <c r="J35" s="31" t="inlineStr">
        <is>
          <t>506197</t>
        </is>
      </c>
    </row>
    <row r="36">
      <c r="A36" s="31" t="inlineStr">
        <is>
          <t>SALSTEEL</t>
        </is>
      </c>
      <c r="B36" s="31" t="inlineStr">
        <is>
          <t>SAL Steel</t>
        </is>
      </c>
      <c r="C36" s="31" t="inlineStr">
        <is>
          <t>metals &amp; mining</t>
        </is>
      </c>
      <c r="D36" s="31" t="inlineStr">
        <is>
          <t>steel - sponge iron</t>
        </is>
      </c>
      <c r="E36" s="31" t="inlineStr">
        <is>
          <t>smallcap</t>
        </is>
      </c>
      <c r="F36" s="31" t="n">
        <v>1088.07</v>
      </c>
      <c r="G36" s="31" t="n">
        <v>78.8</v>
      </c>
      <c r="H36" s="31" t="n">
        <v>4.84</v>
      </c>
      <c r="I36" s="31" t="n">
        <v>435331</v>
      </c>
      <c r="J36" s="31" t="inlineStr">
        <is>
          <t>532604</t>
        </is>
      </c>
    </row>
    <row r="37">
      <c r="A37" s="31" t="inlineStr">
        <is>
          <t>LUMAXTECH</t>
        </is>
      </c>
      <c r="B37" s="31" t="inlineStr">
        <is>
          <t>Lumax Auto Technologies Limited</t>
        </is>
      </c>
      <c r="C37" s="31" t="inlineStr">
        <is>
          <t>auto</t>
        </is>
      </c>
      <c r="D37" s="31" t="inlineStr">
        <is>
          <t>auto ancillaries</t>
        </is>
      </c>
      <c r="E37" s="31" t="inlineStr">
        <is>
          <t>midcap</t>
        </is>
      </c>
      <c r="F37" s="31" t="n">
        <v>13532.71</v>
      </c>
      <c r="G37" s="31" t="n">
        <v>2078.5</v>
      </c>
      <c r="H37" s="31" t="n">
        <v>4.68</v>
      </c>
      <c r="I37" s="31" t="n">
        <v>452857</v>
      </c>
      <c r="J37" s="31" t="inlineStr">
        <is>
          <t>532796</t>
        </is>
      </c>
    </row>
    <row r="38">
      <c r="A38" s="31" t="inlineStr">
        <is>
          <t>DYNAMATECH</t>
        </is>
      </c>
      <c r="B38" s="31" t="inlineStr">
        <is>
          <t>Dynamatic Technologies Limited</t>
        </is>
      </c>
      <c r="C38" s="31" t="inlineStr">
        <is>
          <t>aerospace &amp; defence</t>
        </is>
      </c>
      <c r="D38" s="31" t="inlineStr">
        <is>
          <t>engineering</t>
        </is>
      </c>
      <c r="E38" s="31" t="inlineStr">
        <is>
          <t>midcap</t>
        </is>
      </c>
      <c r="F38" s="31" t="n">
        <v>7766.69</v>
      </c>
      <c r="G38" s="31" t="n">
        <v>11966</v>
      </c>
      <c r="H38" s="31" t="n">
        <v>4.63</v>
      </c>
      <c r="I38" s="31" t="n">
        <v>29910</v>
      </c>
      <c r="J38" s="31" t="inlineStr">
        <is>
          <t>505242</t>
        </is>
      </c>
    </row>
    <row r="39">
      <c r="A39" s="31" t="inlineStr">
        <is>
          <t>HAPPYFORGE</t>
        </is>
      </c>
      <c r="B39" s="31" t="inlineStr">
        <is>
          <t>Happy Forgings Ltd</t>
        </is>
      </c>
      <c r="C39" s="31" t="inlineStr">
        <is>
          <t>industrials</t>
        </is>
      </c>
      <c r="D39" s="31" t="inlineStr">
        <is>
          <t>castings &amp; forgings</t>
        </is>
      </c>
      <c r="E39" s="31" t="inlineStr">
        <is>
          <t>largecap</t>
        </is>
      </c>
      <c r="F39" s="31" t="n">
        <v>21773.17</v>
      </c>
      <c r="G39" s="31" t="n">
        <v>2412</v>
      </c>
      <c r="H39" s="31" t="n">
        <v>4.55</v>
      </c>
      <c r="I39" s="31" t="n">
        <v>241750</v>
      </c>
      <c r="J39" s="31" t="inlineStr">
        <is>
          <t>544057</t>
        </is>
      </c>
    </row>
    <row r="40">
      <c r="A40" s="31" t="inlineStr">
        <is>
          <t>VIJAYA</t>
        </is>
      </c>
      <c r="B40" s="31" t="inlineStr">
        <is>
          <t>Vijaya Diagnostic Centre Ltd</t>
        </is>
      </c>
      <c r="C40" s="31" t="inlineStr">
        <is>
          <t>healthcare</t>
        </is>
      </c>
      <c r="D40" s="31" t="inlineStr">
        <is>
          <t>healthcare</t>
        </is>
      </c>
      <c r="E40" s="31" t="inlineStr">
        <is>
          <t>midcap</t>
        </is>
      </c>
      <c r="F40" s="31" t="n">
        <v>14945.75</v>
      </c>
      <c r="G40" s="31" t="n">
        <v>1518.4</v>
      </c>
      <c r="H40" s="31" t="n">
        <v>4.54</v>
      </c>
      <c r="I40" s="31" t="n">
        <v>336878</v>
      </c>
      <c r="J40" s="31" t="inlineStr">
        <is>
          <t>543350</t>
        </is>
      </c>
    </row>
    <row r="41">
      <c r="A41" s="31" t="inlineStr">
        <is>
          <t>BAFNAPH</t>
        </is>
      </c>
      <c r="B41" s="31" t="inlineStr">
        <is>
          <t>Bafna Pharmaceuticals Ltd</t>
        </is>
      </c>
      <c r="C41" s="31" t="inlineStr">
        <is>
          <t>healthcare</t>
        </is>
      </c>
      <c r="D41" s="31" t="inlineStr">
        <is>
          <t>pharmaceuticals - indian - formulations</t>
        </is>
      </c>
      <c r="E41" s="31" t="inlineStr">
        <is>
          <t>smallcap</t>
        </is>
      </c>
      <c r="F41" s="31" t="n">
        <v>688.64</v>
      </c>
      <c r="G41" s="31" t="n">
        <v>304.25</v>
      </c>
      <c r="H41" s="31" t="n">
        <v>4.52</v>
      </c>
      <c r="I41" s="31" t="n">
        <v>29517</v>
      </c>
      <c r="J41" s="31" t="inlineStr">
        <is>
          <t>532989</t>
        </is>
      </c>
    </row>
    <row r="42">
      <c r="A42" s="31" t="inlineStr">
        <is>
          <t>INDHOTEL</t>
        </is>
      </c>
      <c r="B42" s="31" t="inlineStr">
        <is>
          <t>The Indian Hotels Company Limited</t>
        </is>
      </c>
      <c r="C42" s="31" t="inlineStr">
        <is>
          <t>services</t>
        </is>
      </c>
      <c r="D42" s="31" t="inlineStr">
        <is>
          <t>hotels</t>
        </is>
      </c>
      <c r="E42" s="31" t="inlineStr">
        <is>
          <t>largecap</t>
        </is>
      </c>
      <c r="F42" s="31" t="n">
        <v>100551.25</v>
      </c>
      <c r="G42" s="31" t="n">
        <v>737.9</v>
      </c>
      <c r="H42" s="31" t="n">
        <v>4.46</v>
      </c>
      <c r="I42" s="31" t="n">
        <v>5220998</v>
      </c>
      <c r="J42" s="31" t="inlineStr">
        <is>
          <t>500850</t>
        </is>
      </c>
    </row>
    <row r="43">
      <c r="A43" s="31" t="inlineStr">
        <is>
          <t>JAYAGROGN</t>
        </is>
      </c>
      <c r="B43" s="31" t="inlineStr">
        <is>
          <t>Jayant Agro Organics Limited</t>
        </is>
      </c>
      <c r="C43" s="31" t="inlineStr">
        <is>
          <t>chemicals</t>
        </is>
      </c>
      <c r="D43" s="31" t="inlineStr">
        <is>
          <t>chemicals</t>
        </is>
      </c>
      <c r="E43" s="31" t="inlineStr">
        <is>
          <t>smallcap</t>
        </is>
      </c>
      <c r="F43" s="31" t="n">
        <v>669.42</v>
      </c>
      <c r="G43" s="31" t="n">
        <v>232.93</v>
      </c>
      <c r="H43" s="31" t="n">
        <v>4.39</v>
      </c>
      <c r="I43" s="31" t="n">
        <v>18470</v>
      </c>
      <c r="J43" s="31" t="inlineStr">
        <is>
          <t>524330</t>
        </is>
      </c>
    </row>
    <row r="44">
      <c r="A44" s="31" t="inlineStr">
        <is>
          <t>VINCOFE</t>
        </is>
      </c>
      <c r="B44" s="31" t="inlineStr">
        <is>
          <t>Vintage Coffee &amp; Beverages Ltd</t>
        </is>
      </c>
      <c r="C44" s="31" t="inlineStr">
        <is>
          <t>consumer discretionary</t>
        </is>
      </c>
      <c r="D44" s="31" t="inlineStr">
        <is>
          <t>trading</t>
        </is>
      </c>
      <c r="E44" s="31" t="inlineStr">
        <is>
          <t>smallcap</t>
        </is>
      </c>
      <c r="F44" s="31" t="n">
        <v>2592.82</v>
      </c>
      <c r="G44" s="31" t="n">
        <v>185.77</v>
      </c>
      <c r="H44" s="31" t="n">
        <v>4.38</v>
      </c>
      <c r="I44" s="31" t="n">
        <v>10994745</v>
      </c>
      <c r="J44" s="31" t="inlineStr">
        <is>
          <t>538920</t>
        </is>
      </c>
    </row>
    <row r="45">
      <c r="A45" s="31" t="inlineStr">
        <is>
          <t>AUROPHARMA</t>
        </is>
      </c>
      <c r="B45" s="31" t="inlineStr">
        <is>
          <t>Aurobindo Pharma Limited</t>
        </is>
      </c>
      <c r="C45" s="31" t="inlineStr">
        <is>
          <t>healthcare</t>
        </is>
      </c>
      <c r="D45" s="31" t="inlineStr">
        <is>
          <t>pharmaceuticals - indian - bulk drugs &amp; formln</t>
        </is>
      </c>
      <c r="E45" s="31" t="inlineStr">
        <is>
          <t>largecap</t>
        </is>
      </c>
      <c r="F45" s="31" t="n">
        <v>94666.92999999999</v>
      </c>
      <c r="G45" s="31" t="n">
        <v>1717</v>
      </c>
      <c r="H45" s="31" t="n">
        <v>4.36</v>
      </c>
      <c r="I45" s="31" t="n">
        <v>2416718</v>
      </c>
      <c r="J45" s="31" t="inlineStr">
        <is>
          <t>524804</t>
        </is>
      </c>
    </row>
    <row r="46">
      <c r="A46" s="31" t="inlineStr">
        <is>
          <t>TVSSRICHAK</t>
        </is>
      </c>
      <c r="B46" s="31" t="inlineStr">
        <is>
          <t>Tvs Srichakra Limited</t>
        </is>
      </c>
      <c r="C46" s="31" t="inlineStr">
        <is>
          <t>auto</t>
        </is>
      </c>
      <c r="D46" s="31" t="inlineStr">
        <is>
          <t>tyres</t>
        </is>
      </c>
      <c r="E46" s="31" t="inlineStr">
        <is>
          <t>smallcap</t>
        </is>
      </c>
      <c r="F46" s="31" t="n">
        <v>4052.34</v>
      </c>
      <c r="G46" s="31" t="n">
        <v>5519.6</v>
      </c>
      <c r="H46" s="31" t="n">
        <v>4.29</v>
      </c>
      <c r="I46" s="31" t="n">
        <v>81248</v>
      </c>
      <c r="J46" s="31" t="inlineStr">
        <is>
          <t>509243</t>
        </is>
      </c>
    </row>
    <row r="47">
      <c r="A47" s="31" t="inlineStr">
        <is>
          <t>ADOR</t>
        </is>
      </c>
      <c r="B47" s="31" t="inlineStr">
        <is>
          <t>Ador Welding Ltd</t>
        </is>
      </c>
      <c r="C47" s="31" t="inlineStr">
        <is>
          <t>industrials</t>
        </is>
      </c>
      <c r="D47" s="31" t="inlineStr">
        <is>
          <t>electrodes - welding equipment</t>
        </is>
      </c>
      <c r="E47" s="31" t="inlineStr">
        <is>
          <t>smallcap</t>
        </is>
      </c>
      <c r="F47" s="31" t="n">
        <v>2846.4</v>
      </c>
      <c r="G47" s="31" t="n">
        <v>1705.2</v>
      </c>
      <c r="H47" s="31" t="n">
        <v>4.26</v>
      </c>
      <c r="I47" s="31" t="n">
        <v>220404</v>
      </c>
      <c r="J47" s="31" t="inlineStr">
        <is>
          <t>517041</t>
        </is>
      </c>
    </row>
    <row r="48">
      <c r="A48" s="31" t="inlineStr">
        <is>
          <t>SHREEPUSHK</t>
        </is>
      </c>
      <c r="B48" s="31" t="inlineStr">
        <is>
          <t>Shree Pushkar Chemicals &amp; Fertilisers Limited</t>
        </is>
      </c>
      <c r="C48" s="31" t="inlineStr">
        <is>
          <t>chemicals</t>
        </is>
      </c>
      <c r="D48" s="31" t="inlineStr">
        <is>
          <t>dyes and pigments</t>
        </is>
      </c>
      <c r="E48" s="31" t="inlineStr">
        <is>
          <t>smallcap</t>
        </is>
      </c>
      <c r="F48" s="31" t="n">
        <v>1459.72</v>
      </c>
      <c r="G48" s="31" t="n">
        <v>470.5</v>
      </c>
      <c r="H48" s="31" t="n">
        <v>4.23</v>
      </c>
      <c r="I48" s="31" t="n">
        <v>238347</v>
      </c>
      <c r="J48" s="31" t="inlineStr">
        <is>
          <t>539334</t>
        </is>
      </c>
    </row>
    <row r="49">
      <c r="A49" s="31" t="inlineStr">
        <is>
          <t>PRICOLLTD</t>
        </is>
      </c>
      <c r="B49" s="31" t="inlineStr">
        <is>
          <t>Pricol Ltd.</t>
        </is>
      </c>
      <c r="C49" s="31" t="inlineStr">
        <is>
          <t>auto</t>
        </is>
      </c>
      <c r="D49" s="31" t="inlineStr">
        <is>
          <t>auto ancillaries</t>
        </is>
      </c>
      <c r="E49" s="31" t="inlineStr">
        <is>
          <t>midcap</t>
        </is>
      </c>
      <c r="F49" s="31" t="n">
        <v>9392.799999999999</v>
      </c>
      <c r="G49" s="31" t="n">
        <v>803.25</v>
      </c>
      <c r="H49" s="31" t="n">
        <v>4.23</v>
      </c>
      <c r="I49" s="31" t="n">
        <v>796849</v>
      </c>
      <c r="J49" s="31" t="inlineStr">
        <is>
          <t>540293</t>
        </is>
      </c>
    </row>
    <row r="50">
      <c r="A50" s="31" t="inlineStr">
        <is>
          <t>ASKAUTOLTD</t>
        </is>
      </c>
      <c r="B50" s="31" t="inlineStr">
        <is>
          <t>ASK Automotive Ltd</t>
        </is>
      </c>
      <c r="C50" s="31" t="inlineStr">
        <is>
          <t>auto</t>
        </is>
      </c>
      <c r="D50" s="31" t="inlineStr">
        <is>
          <t>auto ancillaries</t>
        </is>
      </c>
      <c r="E50" s="31" t="inlineStr">
        <is>
          <t>midcap</t>
        </is>
      </c>
      <c r="F50" s="31" t="n">
        <v>12481.1</v>
      </c>
      <c r="G50" s="31" t="n">
        <v>659.9</v>
      </c>
      <c r="H50" s="31" t="n">
        <v>4.23</v>
      </c>
      <c r="I50" s="31" t="n">
        <v>943528</v>
      </c>
      <c r="J50" s="31" t="inlineStr">
        <is>
          <t>544022</t>
        </is>
      </c>
    </row>
    <row r="51">
      <c r="A51" s="31" t="inlineStr">
        <is>
          <t>KPRMILL</t>
        </is>
      </c>
      <c r="B51" s="31" t="inlineStr">
        <is>
          <t>K.p.r. Mill Limited</t>
        </is>
      </c>
      <c r="C51" s="31" t="inlineStr">
        <is>
          <t>consumer discretionary</t>
        </is>
      </c>
      <c r="D51" s="31" t="inlineStr">
        <is>
          <t>textiles - products</t>
        </is>
      </c>
      <c r="E51" s="31" t="inlineStr">
        <is>
          <t>largecap</t>
        </is>
      </c>
      <c r="F51" s="31" t="n">
        <v>38631.82</v>
      </c>
      <c r="G51" s="31" t="n">
        <v>1177.6</v>
      </c>
      <c r="H51" s="31" t="n">
        <v>4.19</v>
      </c>
      <c r="I51" s="31" t="n">
        <v>909149</v>
      </c>
      <c r="J51" s="31" t="inlineStr">
        <is>
          <t>532889</t>
        </is>
      </c>
    </row>
    <row r="52">
      <c r="A52" s="31" t="inlineStr">
        <is>
          <t>UTTAMSUGAR</t>
        </is>
      </c>
      <c r="B52" s="31" t="inlineStr">
        <is>
          <t>Uttam Sugar Mills Limited</t>
        </is>
      </c>
      <c r="C52" s="31" t="inlineStr">
        <is>
          <t>fmcg</t>
        </is>
      </c>
      <c r="D52" s="31" t="inlineStr">
        <is>
          <t>sugar</t>
        </is>
      </c>
      <c r="E52" s="31" t="inlineStr">
        <is>
          <t>smallcap</t>
        </is>
      </c>
      <c r="F52" s="31" t="n">
        <v>1142.43</v>
      </c>
      <c r="G52" s="31" t="n">
        <v>312.07</v>
      </c>
      <c r="H52" s="31" t="n">
        <v>4.18</v>
      </c>
      <c r="I52" s="31" t="n">
        <v>553344</v>
      </c>
      <c r="J52" s="31" t="inlineStr">
        <is>
          <t>532729</t>
        </is>
      </c>
    </row>
    <row r="53">
      <c r="A53" s="31" t="inlineStr">
        <is>
          <t>NYKAA</t>
        </is>
      </c>
      <c r="B53" s="31" t="inlineStr">
        <is>
          <t>FSN E-Commerce Ventures Ltd</t>
        </is>
      </c>
      <c r="C53" s="31" t="inlineStr">
        <is>
          <t>i.t</t>
        </is>
      </c>
      <c r="D53" s="31" t="inlineStr">
        <is>
          <t>trading</t>
        </is>
      </c>
      <c r="E53" s="31" t="inlineStr">
        <is>
          <t>largecap</t>
        </is>
      </c>
      <c r="F53" s="31" t="n">
        <v>96124.25999999999</v>
      </c>
      <c r="G53" s="31" t="n">
        <v>349.55</v>
      </c>
      <c r="H53" s="31" t="n">
        <v>4.14</v>
      </c>
      <c r="I53" s="31" t="n">
        <v>7930224</v>
      </c>
      <c r="J53" s="31" t="inlineStr">
        <is>
          <t>543384</t>
        </is>
      </c>
    </row>
    <row r="54">
      <c r="A54" s="31" t="inlineStr">
        <is>
          <t>SANSERA</t>
        </is>
      </c>
      <c r="B54" s="31" t="inlineStr">
        <is>
          <t>Sansera Engineering Ltd</t>
        </is>
      </c>
      <c r="C54" s="31" t="inlineStr">
        <is>
          <t>auto</t>
        </is>
      </c>
      <c r="D54" s="31" t="inlineStr">
        <is>
          <t>auto ancillaries</t>
        </is>
      </c>
      <c r="E54" s="31" t="inlineStr">
        <is>
          <t>largecap</t>
        </is>
      </c>
      <c r="F54" s="31" t="n">
        <v>24081.54</v>
      </c>
      <c r="G54" s="31" t="n">
        <v>4018</v>
      </c>
      <c r="H54" s="31" t="n">
        <v>4.12</v>
      </c>
      <c r="I54" s="31" t="n">
        <v>292153</v>
      </c>
      <c r="J54" s="31" t="inlineStr">
        <is>
          <t>543358</t>
        </is>
      </c>
    </row>
    <row r="55">
      <c r="A55" s="31" t="inlineStr">
        <is>
          <t>ALIVUS</t>
        </is>
      </c>
      <c r="B55" s="31" t="inlineStr">
        <is>
          <t>Alivus Life Sciences Ltd</t>
        </is>
      </c>
      <c r="C55" s="31" t="inlineStr">
        <is>
          <t>healthcare</t>
        </is>
      </c>
      <c r="D55" s="31" t="inlineStr">
        <is>
          <t>pharmaceuticals - indian - bulk drugs &amp; formln</t>
        </is>
      </c>
      <c r="E55" s="31" t="inlineStr">
        <is>
          <t>midcap</t>
        </is>
      </c>
      <c r="F55" s="31" t="n">
        <v>16571.86</v>
      </c>
      <c r="G55" s="31" t="n">
        <v>1405.7</v>
      </c>
      <c r="H55" s="31" t="n">
        <v>4.11</v>
      </c>
      <c r="I55" s="31" t="n">
        <v>1220512</v>
      </c>
      <c r="J55" s="31" t="inlineStr">
        <is>
          <t>543322</t>
        </is>
      </c>
    </row>
    <row r="56">
      <c r="A56" s="31" t="inlineStr">
        <is>
          <t>EPL</t>
        </is>
      </c>
      <c r="B56" s="31" t="inlineStr">
        <is>
          <t>EPL Ltd</t>
        </is>
      </c>
      <c r="C56" s="31" t="inlineStr">
        <is>
          <t>industrials</t>
        </is>
      </c>
      <c r="D56" s="31" t="inlineStr">
        <is>
          <t>packaging</t>
        </is>
      </c>
      <c r="E56" s="31" t="inlineStr">
        <is>
          <t>midcap</t>
        </is>
      </c>
      <c r="F56" s="31" t="n">
        <v>8069.13</v>
      </c>
      <c r="G56" s="31" t="n">
        <v>262.06</v>
      </c>
      <c r="H56" s="31" t="n">
        <v>4.02</v>
      </c>
      <c r="I56" s="31" t="n">
        <v>6325246</v>
      </c>
      <c r="J56" s="31" t="inlineStr">
        <is>
          <t>500135</t>
        </is>
      </c>
    </row>
    <row r="57">
      <c r="A57" s="31" t="inlineStr">
        <is>
          <t>PAYTM</t>
        </is>
      </c>
      <c r="B57" s="31" t="inlineStr">
        <is>
          <t>One 97 Communications Ltd</t>
        </is>
      </c>
      <c r="C57" s="31" t="inlineStr">
        <is>
          <t>i.t</t>
        </is>
      </c>
      <c r="D57" s="31" t="inlineStr">
        <is>
          <t>miscellaneous</t>
        </is>
      </c>
      <c r="E57" s="31" t="inlineStr">
        <is>
          <t>largecap</t>
        </is>
      </c>
      <c r="F57" s="31" t="n">
        <v>105713.24</v>
      </c>
      <c r="G57" s="31" t="n">
        <v>1717.1</v>
      </c>
      <c r="H57" s="31" t="n">
        <v>4.01</v>
      </c>
      <c r="I57" s="31" t="n">
        <v>2686950</v>
      </c>
      <c r="J57" s="31" t="inlineStr">
        <is>
          <t>543396</t>
        </is>
      </c>
    </row>
    <row r="58">
      <c r="A58" s="31" t="inlineStr">
        <is>
          <t>POLYCAB</t>
        </is>
      </c>
      <c r="B58" s="31" t="inlineStr">
        <is>
          <t>Polycab India Ltd</t>
        </is>
      </c>
      <c r="C58" s="31" t="inlineStr">
        <is>
          <t>industrials</t>
        </is>
      </c>
      <c r="D58" s="31" t="inlineStr">
        <is>
          <t>cables - power</t>
        </is>
      </c>
      <c r="E58" s="31" t="inlineStr">
        <is>
          <t>largecap</t>
        </is>
      </c>
      <c r="F58" s="31" t="n">
        <v>136897.14</v>
      </c>
      <c r="G58" s="31" t="n">
        <v>9445</v>
      </c>
      <c r="H58" s="31" t="n">
        <v>3.93</v>
      </c>
      <c r="I58" s="31" t="n">
        <v>387155</v>
      </c>
      <c r="J58" s="31" t="inlineStr">
        <is>
          <t>542652</t>
        </is>
      </c>
    </row>
    <row r="59">
      <c r="A59" s="31" t="inlineStr">
        <is>
          <t>NOCIL</t>
        </is>
      </c>
      <c r="B59" s="31" t="inlineStr">
        <is>
          <t>Nocil Limited</t>
        </is>
      </c>
      <c r="C59" s="31" t="inlineStr">
        <is>
          <t>chemicals</t>
        </is>
      </c>
      <c r="D59" s="31" t="inlineStr">
        <is>
          <t>chemicals</t>
        </is>
      </c>
      <c r="E59" s="31" t="inlineStr">
        <is>
          <t>smallcap</t>
        </is>
      </c>
      <c r="F59" s="31" t="n">
        <v>2755.24</v>
      </c>
      <c r="G59" s="31" t="n">
        <v>171.45</v>
      </c>
      <c r="H59" s="31" t="n">
        <v>3.93</v>
      </c>
      <c r="I59" s="31" t="n">
        <v>1326791</v>
      </c>
      <c r="J59" s="31" t="inlineStr">
        <is>
          <t>500730</t>
        </is>
      </c>
    </row>
    <row r="60">
      <c r="A60" s="31" t="inlineStr">
        <is>
          <t>VGUARD</t>
        </is>
      </c>
      <c r="B60" s="31" t="inlineStr">
        <is>
          <t>V-guard Industries Limited</t>
        </is>
      </c>
      <c r="C60" s="31" t="inlineStr">
        <is>
          <t>industrials</t>
        </is>
      </c>
      <c r="D60" s="31" t="inlineStr">
        <is>
          <t>electric equipment</t>
        </is>
      </c>
      <c r="E60" s="31" t="inlineStr">
        <is>
          <t>midcap</t>
        </is>
      </c>
      <c r="F60" s="31" t="n">
        <v>14559.39</v>
      </c>
      <c r="G60" s="31" t="n">
        <v>346.35</v>
      </c>
      <c r="H60" s="31" t="n">
        <v>3.93</v>
      </c>
      <c r="I60" s="31" t="n">
        <v>1794487</v>
      </c>
      <c r="J60" s="31" t="inlineStr">
        <is>
          <t>532953</t>
        </is>
      </c>
    </row>
    <row r="61">
      <c r="A61" s="31" t="inlineStr">
        <is>
          <t>HARSHA</t>
        </is>
      </c>
      <c r="B61" s="31" t="inlineStr">
        <is>
          <t>Harsha Engineers International Ltd</t>
        </is>
      </c>
      <c r="C61" s="31" t="inlineStr">
        <is>
          <t>industrials</t>
        </is>
      </c>
      <c r="D61" s="31" t="inlineStr">
        <is>
          <t>engineering</t>
        </is>
      </c>
      <c r="E61" s="31" t="inlineStr">
        <is>
          <t>smallcap</t>
        </is>
      </c>
      <c r="F61" s="31" t="n">
        <v>3995.47</v>
      </c>
      <c r="G61" s="31" t="n">
        <v>455.9</v>
      </c>
      <c r="H61" s="31" t="n">
        <v>3.89</v>
      </c>
      <c r="I61" s="31" t="n">
        <v>460199</v>
      </c>
      <c r="J61" s="31" t="inlineStr">
        <is>
          <t>543600</t>
        </is>
      </c>
    </row>
    <row r="62">
      <c r="A62" s="31" t="inlineStr">
        <is>
          <t>SVLL</t>
        </is>
      </c>
      <c r="B62" s="31" t="inlineStr">
        <is>
          <t>Shree Vasu Logistics Ltd</t>
        </is>
      </c>
      <c r="C62" s="31" t="inlineStr">
        <is>
          <t>transportation</t>
        </is>
      </c>
      <c r="D62" s="31" t="inlineStr">
        <is>
          <t>miscellaneous</t>
        </is>
      </c>
      <c r="E62" s="31" t="inlineStr">
        <is>
          <t>smallcap</t>
        </is>
      </c>
      <c r="F62" s="31" t="n">
        <v>902.26</v>
      </c>
      <c r="G62" s="31" t="n">
        <v>815.55</v>
      </c>
      <c r="H62" s="31" t="n">
        <v>3.89</v>
      </c>
      <c r="I62" s="31" t="n">
        <v>5765</v>
      </c>
      <c r="J62" s="31" t="inlineStr">
        <is>
          <t>535084</t>
        </is>
      </c>
    </row>
    <row r="63">
      <c r="A63" s="31" t="inlineStr">
        <is>
          <t>STEL</t>
        </is>
      </c>
      <c r="B63" s="31" t="inlineStr">
        <is>
          <t>Stel Holdings Limited</t>
        </is>
      </c>
      <c r="C63" s="31" t="inlineStr">
        <is>
          <t>financials</t>
        </is>
      </c>
      <c r="D63" s="31" t="inlineStr">
        <is>
          <t>finance &amp; investments</t>
        </is>
      </c>
      <c r="E63" s="31" t="inlineStr">
        <is>
          <t>smallcap</t>
        </is>
      </c>
      <c r="F63" s="31" t="n">
        <v>1175.42</v>
      </c>
      <c r="G63" s="31" t="n">
        <v>661.2</v>
      </c>
      <c r="H63" s="31" t="n">
        <v>3.82</v>
      </c>
      <c r="I63" s="31" t="n">
        <v>19646</v>
      </c>
      <c r="J63" s="31" t="n"/>
    </row>
    <row r="64">
      <c r="A64" s="31" t="inlineStr">
        <is>
          <t>FMGOETZE</t>
        </is>
      </c>
      <c r="B64" s="31" t="inlineStr">
        <is>
          <t>Federal-mogul Goetze (india) Limited.</t>
        </is>
      </c>
      <c r="C64" s="31" t="inlineStr">
        <is>
          <t>auto</t>
        </is>
      </c>
      <c r="D64" s="31" t="inlineStr">
        <is>
          <t>auto ancillaries</t>
        </is>
      </c>
      <c r="E64" s="31" t="inlineStr">
        <is>
          <t>smallcap</t>
        </is>
      </c>
      <c r="F64" s="31" t="n">
        <v>3349.33</v>
      </c>
      <c r="G64" s="31" t="n">
        <v>624.85</v>
      </c>
      <c r="H64" s="31" t="n">
        <v>3.79</v>
      </c>
      <c r="I64" s="31" t="n">
        <v>8525284</v>
      </c>
      <c r="J64" s="31" t="inlineStr">
        <is>
          <t>505744</t>
        </is>
      </c>
    </row>
    <row r="65">
      <c r="A65" s="31" t="inlineStr">
        <is>
          <t>RATNAVEER</t>
        </is>
      </c>
      <c r="B65" s="31" t="inlineStr">
        <is>
          <t>Ratnaveer Precision Engineering Ltd</t>
        </is>
      </c>
      <c r="C65" s="31" t="inlineStr">
        <is>
          <t>metals &amp; mining</t>
        </is>
      </c>
      <c r="D65" s="31" t="inlineStr">
        <is>
          <t>steel - medium / small</t>
        </is>
      </c>
      <c r="E65" s="31" t="inlineStr">
        <is>
          <t>smallcap</t>
        </is>
      </c>
      <c r="F65" s="31" t="n">
        <v>2106.73</v>
      </c>
      <c r="G65" s="31" t="n">
        <v>306.02</v>
      </c>
      <c r="H65" s="31" t="n">
        <v>3.75</v>
      </c>
      <c r="I65" s="31" t="n">
        <v>9205781</v>
      </c>
      <c r="J65" s="31" t="inlineStr">
        <is>
          <t>543978</t>
        </is>
      </c>
    </row>
    <row r="66">
      <c r="A66" s="31" t="inlineStr">
        <is>
          <t>GAIL</t>
        </is>
      </c>
      <c r="B66" s="31" t="inlineStr">
        <is>
          <t>Gail (india) Limited</t>
        </is>
      </c>
      <c r="C66" s="31" t="inlineStr">
        <is>
          <t>energy</t>
        </is>
      </c>
      <c r="D66" s="31" t="inlineStr">
        <is>
          <t>miscellaneous</t>
        </is>
      </c>
      <c r="E66" s="31" t="inlineStr">
        <is>
          <t>largecap</t>
        </is>
      </c>
      <c r="F66" s="31" t="n">
        <v>112499.95</v>
      </c>
      <c r="G66" s="31" t="n">
        <v>177.5</v>
      </c>
      <c r="H66" s="31" t="n">
        <v>3.74</v>
      </c>
      <c r="I66" s="31" t="n">
        <v>13012294</v>
      </c>
      <c r="J66" s="31" t="inlineStr">
        <is>
          <t>532155</t>
        </is>
      </c>
    </row>
    <row r="67">
      <c r="A67" s="31" t="inlineStr">
        <is>
          <t>HNDFDS</t>
        </is>
      </c>
      <c r="B67" s="31" t="inlineStr">
        <is>
          <t>Hindustan Foods Ltd</t>
        </is>
      </c>
      <c r="C67" s="31" t="inlineStr">
        <is>
          <t>fmcg</t>
        </is>
      </c>
      <c r="D67" s="31" t="inlineStr">
        <is>
          <t>diversified - large</t>
        </is>
      </c>
      <c r="E67" s="31" t="inlineStr">
        <is>
          <t>midcap</t>
        </is>
      </c>
      <c r="F67" s="31" t="n">
        <v>7687.17</v>
      </c>
      <c r="G67" s="31" t="n">
        <v>658.2</v>
      </c>
      <c r="H67" s="31" t="n">
        <v>3.74</v>
      </c>
      <c r="I67" s="31" t="n">
        <v>148418</v>
      </c>
      <c r="J67" s="31" t="inlineStr">
        <is>
          <t>519126</t>
        </is>
      </c>
    </row>
    <row r="68">
      <c r="A68" s="31" t="inlineStr">
        <is>
          <t>TBOTEK</t>
        </is>
      </c>
      <c r="B68" s="31" t="inlineStr">
        <is>
          <t>TBO Tek Ltd</t>
        </is>
      </c>
      <c r="C68" s="31" t="inlineStr">
        <is>
          <t>i.t</t>
        </is>
      </c>
      <c r="D68" s="31" t="inlineStr">
        <is>
          <t>travel agencies</t>
        </is>
      </c>
      <c r="E68" s="31" t="inlineStr">
        <is>
          <t>midcap</t>
        </is>
      </c>
      <c r="F68" s="31" t="n">
        <v>18272.07</v>
      </c>
      <c r="G68" s="31" t="n">
        <v>1745.1</v>
      </c>
      <c r="H68" s="31" t="n">
        <v>3.71</v>
      </c>
      <c r="I68" s="31" t="n">
        <v>454414</v>
      </c>
      <c r="J68" s="31" t="inlineStr">
        <is>
          <t>544174</t>
        </is>
      </c>
    </row>
    <row r="69">
      <c r="A69" s="31" t="inlineStr">
        <is>
          <t>BAJAJHIND</t>
        </is>
      </c>
      <c r="B69" s="31" t="inlineStr">
        <is>
          <t>Bajaj Hindusthan Sugar Limited</t>
        </is>
      </c>
      <c r="C69" s="31" t="inlineStr">
        <is>
          <t>fmcg</t>
        </is>
      </c>
      <c r="D69" s="31" t="inlineStr">
        <is>
          <t>sugar</t>
        </is>
      </c>
      <c r="E69" s="31" t="inlineStr">
        <is>
          <t>midcap</t>
        </is>
      </c>
      <c r="F69" s="31" t="n">
        <v>5180.57</v>
      </c>
      <c r="G69" s="31" t="n">
        <v>22.47</v>
      </c>
      <c r="H69" s="31" t="n">
        <v>3.69</v>
      </c>
      <c r="I69" s="31" t="n">
        <v>112387038</v>
      </c>
      <c r="J69" s="31" t="inlineStr">
        <is>
          <t>500032</t>
        </is>
      </c>
    </row>
    <row r="70">
      <c r="A70" s="31" t="inlineStr">
        <is>
          <t>FEDERALBNK</t>
        </is>
      </c>
      <c r="B70" s="31" t="inlineStr">
        <is>
          <t>The Federal Bank  Limited</t>
        </is>
      </c>
      <c r="C70" s="31" t="inlineStr">
        <is>
          <t>bank</t>
        </is>
      </c>
      <c r="D70" s="31" t="inlineStr">
        <is>
          <t>banks - private sector</t>
        </is>
      </c>
      <c r="E70" s="31" t="inlineStr">
        <is>
          <t>largecap</t>
        </is>
      </c>
      <c r="F70" s="31" t="n">
        <v>84962.24000000001</v>
      </c>
      <c r="G70" s="31" t="n">
        <v>356.7</v>
      </c>
      <c r="H70" s="31" t="n">
        <v>3.62</v>
      </c>
      <c r="I70" s="31" t="n">
        <v>6824404</v>
      </c>
      <c r="J70" s="31" t="inlineStr">
        <is>
          <t>500469</t>
        </is>
      </c>
    </row>
    <row r="71">
      <c r="A71" s="31" t="inlineStr">
        <is>
          <t>YATHARTH</t>
        </is>
      </c>
      <c r="B71" s="31" t="inlineStr">
        <is>
          <t>Yatharth Hospital &amp; Trauma Care Services Ltd</t>
        </is>
      </c>
      <c r="C71" s="31" t="inlineStr">
        <is>
          <t>healthcare</t>
        </is>
      </c>
      <c r="D71" s="31" t="inlineStr">
        <is>
          <t>healthcare</t>
        </is>
      </c>
      <c r="E71" s="31" t="inlineStr">
        <is>
          <t>midcap</t>
        </is>
      </c>
      <c r="F71" s="31" t="n">
        <v>9321.32</v>
      </c>
      <c r="G71" s="31" t="n">
        <v>1001.9</v>
      </c>
      <c r="H71" s="31" t="n">
        <v>3.57</v>
      </c>
      <c r="I71" s="31" t="n">
        <v>654071</v>
      </c>
      <c r="J71" s="31" t="inlineStr">
        <is>
          <t>543950</t>
        </is>
      </c>
    </row>
    <row r="72">
      <c r="A72" s="31" t="inlineStr">
        <is>
          <t>INDORAMA</t>
        </is>
      </c>
      <c r="B72" s="31" t="inlineStr">
        <is>
          <t>Indo Rama Synthetics (india) Limited</t>
        </is>
      </c>
      <c r="C72" s="31" t="inlineStr">
        <is>
          <t>textiles</t>
        </is>
      </c>
      <c r="D72" s="31" t="inlineStr">
        <is>
          <t>textiles - manmade</t>
        </is>
      </c>
      <c r="E72" s="31" t="inlineStr">
        <is>
          <t>smallcap</t>
        </is>
      </c>
      <c r="F72" s="31" t="n">
        <v>1661.99</v>
      </c>
      <c r="G72" s="31" t="n">
        <v>65.92</v>
      </c>
      <c r="H72" s="31" t="n">
        <v>3.57</v>
      </c>
      <c r="I72" s="31" t="n">
        <v>1880656</v>
      </c>
      <c r="J72" s="31" t="inlineStr">
        <is>
          <t>500207</t>
        </is>
      </c>
    </row>
    <row r="73">
      <c r="A73" s="31" t="inlineStr">
        <is>
          <t>PIDILITIND</t>
        </is>
      </c>
      <c r="B73" s="31" t="inlineStr">
        <is>
          <t>Pidilite Industries Limited</t>
        </is>
      </c>
      <c r="C73" s="31" t="inlineStr">
        <is>
          <t>chemicals</t>
        </is>
      </c>
      <c r="D73" s="31" t="inlineStr">
        <is>
          <t>chemicals</t>
        </is>
      </c>
      <c r="E73" s="31" t="inlineStr">
        <is>
          <t>largecap</t>
        </is>
      </c>
      <c r="F73" s="31" t="n">
        <v>165846.49</v>
      </c>
      <c r="G73" s="31" t="n">
        <v>1687.7</v>
      </c>
      <c r="H73" s="31" t="n">
        <v>3.57</v>
      </c>
      <c r="I73" s="31" t="n">
        <v>1907573</v>
      </c>
      <c r="J73" s="31" t="inlineStr">
        <is>
          <t>500331</t>
        </is>
      </c>
    </row>
    <row r="74">
      <c r="A74" s="31" t="inlineStr">
        <is>
          <t>POLICYBZR</t>
        </is>
      </c>
      <c r="B74" s="31" t="inlineStr">
        <is>
          <t>PB Fintech Ltd</t>
        </is>
      </c>
      <c r="C74" s="31" t="inlineStr">
        <is>
          <t>i.t</t>
        </is>
      </c>
      <c r="D74" s="31" t="inlineStr">
        <is>
          <t>miscellaneous</t>
        </is>
      </c>
      <c r="E74" s="31" t="inlineStr">
        <is>
          <t>largecap</t>
        </is>
      </c>
      <c r="F74" s="31" t="n">
        <v>83817.17999999999</v>
      </c>
      <c r="G74" s="31" t="n">
        <v>1875</v>
      </c>
      <c r="H74" s="31" t="n">
        <v>3.51</v>
      </c>
      <c r="I74" s="31" t="n">
        <v>1151385</v>
      </c>
      <c r="J74" s="31" t="inlineStr">
        <is>
          <t>543390</t>
        </is>
      </c>
    </row>
    <row r="75">
      <c r="A75" s="31" t="inlineStr">
        <is>
          <t>IDFCFIRSTB</t>
        </is>
      </c>
      <c r="B75" s="31" t="inlineStr">
        <is>
          <t>IDFC First Bank Ltd</t>
        </is>
      </c>
      <c r="C75" s="31" t="inlineStr">
        <is>
          <t>bank</t>
        </is>
      </c>
      <c r="D75" s="31" t="inlineStr">
        <is>
          <t>banks - private sector</t>
        </is>
      </c>
      <c r="E75" s="31" t="inlineStr">
        <is>
          <t>largecap</t>
        </is>
      </c>
      <c r="F75" s="31" t="n">
        <v>71605.67999999999</v>
      </c>
      <c r="G75" s="31" t="n">
        <v>85.97</v>
      </c>
      <c r="H75" s="31" t="n">
        <v>3.43</v>
      </c>
      <c r="I75" s="31" t="n">
        <v>19780056</v>
      </c>
      <c r="J75" s="31" t="inlineStr">
        <is>
          <t>539437</t>
        </is>
      </c>
    </row>
    <row r="76">
      <c r="A76" s="31" t="inlineStr">
        <is>
          <t>SSWL</t>
        </is>
      </c>
      <c r="B76" s="31" t="inlineStr">
        <is>
          <t>Steel Strips Wheels Limited</t>
        </is>
      </c>
      <c r="C76" s="31" t="inlineStr">
        <is>
          <t>auto</t>
        </is>
      </c>
      <c r="D76" s="31" t="inlineStr">
        <is>
          <t>auto ancillaries</t>
        </is>
      </c>
      <c r="E76" s="31" t="inlineStr">
        <is>
          <t>smallcap</t>
        </is>
      </c>
      <c r="F76" s="31" t="n">
        <v>4644.68</v>
      </c>
      <c r="G76" s="31" t="n">
        <v>305.65</v>
      </c>
      <c r="H76" s="31" t="n">
        <v>3.43</v>
      </c>
      <c r="I76" s="31" t="n">
        <v>636712</v>
      </c>
      <c r="J76" s="31" t="inlineStr">
        <is>
          <t>513262</t>
        </is>
      </c>
    </row>
    <row r="77">
      <c r="A77" s="31" t="inlineStr">
        <is>
          <t>VMART</t>
        </is>
      </c>
      <c r="B77" s="31" t="inlineStr">
        <is>
          <t>V-mart Retail Limited</t>
        </is>
      </c>
      <c r="C77" s="31" t="inlineStr">
        <is>
          <t>consumer discretionary</t>
        </is>
      </c>
      <c r="D77" s="31" t="inlineStr">
        <is>
          <t>trading</t>
        </is>
      </c>
      <c r="E77" s="31" t="inlineStr">
        <is>
          <t>midcap</t>
        </is>
      </c>
      <c r="F77" s="31" t="n">
        <v>6520.15</v>
      </c>
      <c r="G77" s="31" t="n">
        <v>847.45</v>
      </c>
      <c r="H77" s="31" t="n">
        <v>3.39</v>
      </c>
      <c r="I77" s="31" t="n">
        <v>84716</v>
      </c>
      <c r="J77" s="31" t="inlineStr">
        <is>
          <t>534976</t>
        </is>
      </c>
    </row>
    <row r="78">
      <c r="A78" s="31" t="inlineStr">
        <is>
          <t>SUNPHARMA</t>
        </is>
      </c>
      <c r="B78" s="31" t="inlineStr">
        <is>
          <t>Sun Pharmaceuticals Industries Limited</t>
        </is>
      </c>
      <c r="C78" s="31" t="inlineStr">
        <is>
          <t>healthcare</t>
        </is>
      </c>
      <c r="D78" s="31" t="inlineStr">
        <is>
          <t>pharmaceuticals - indian - bulk drugs &amp; formln</t>
        </is>
      </c>
      <c r="E78" s="31" t="inlineStr">
        <is>
          <t>largecap</t>
        </is>
      </c>
      <c r="F78" s="31" t="n">
        <v>460672.31</v>
      </c>
      <c r="G78" s="31" t="n">
        <v>1984.8</v>
      </c>
      <c r="H78" s="31" t="n">
        <v>3.38</v>
      </c>
      <c r="I78" s="31" t="n">
        <v>2413221</v>
      </c>
      <c r="J78" s="31" t="inlineStr">
        <is>
          <t>524715</t>
        </is>
      </c>
    </row>
    <row r="79">
      <c r="A79" s="31" t="inlineStr">
        <is>
          <t>APCOTEXIND</t>
        </is>
      </c>
      <c r="B79" s="31" t="inlineStr">
        <is>
          <t>Apcotex Industries Limited</t>
        </is>
      </c>
      <c r="C79" s="31" t="inlineStr">
        <is>
          <t>chemicals</t>
        </is>
      </c>
      <c r="D79" s="31" t="inlineStr">
        <is>
          <t>miscellaneous</t>
        </is>
      </c>
      <c r="E79" s="31" t="inlineStr">
        <is>
          <t>smallcap</t>
        </is>
      </c>
      <c r="F79" s="31" t="n">
        <v>3241.61</v>
      </c>
      <c r="G79" s="31" t="n">
        <v>646.3</v>
      </c>
      <c r="H79" s="31" t="n">
        <v>3.37</v>
      </c>
      <c r="I79" s="31" t="n">
        <v>460194</v>
      </c>
      <c r="J79" s="31" t="inlineStr">
        <is>
          <t>523694</t>
        </is>
      </c>
    </row>
    <row r="80">
      <c r="A80" s="31" t="inlineStr">
        <is>
          <t>MAHASTEEL</t>
        </is>
      </c>
      <c r="B80" s="31" t="inlineStr">
        <is>
          <t>Mahamaya Steel Industries Limited</t>
        </is>
      </c>
      <c r="C80" s="31" t="inlineStr">
        <is>
          <t>metals &amp; mining</t>
        </is>
      </c>
      <c r="D80" s="31" t="inlineStr">
        <is>
          <t>steel - medium / small</t>
        </is>
      </c>
      <c r="E80" s="31" t="inlineStr">
        <is>
          <t>smallcap</t>
        </is>
      </c>
      <c r="F80" s="31" t="n">
        <v>2185.28</v>
      </c>
      <c r="G80" s="31" t="n">
        <v>1373</v>
      </c>
      <c r="H80" s="31" t="n">
        <v>3.26</v>
      </c>
      <c r="I80" s="31" t="n">
        <v>37097</v>
      </c>
      <c r="J80" s="31" t="inlineStr">
        <is>
          <t>513554</t>
        </is>
      </c>
    </row>
    <row r="81">
      <c r="A81" s="31" t="inlineStr">
        <is>
          <t>ENGINERSIN</t>
        </is>
      </c>
      <c r="B81" s="31" t="inlineStr">
        <is>
          <t>Engineers India Limited</t>
        </is>
      </c>
      <c r="C81" s="31" t="inlineStr">
        <is>
          <t>realty</t>
        </is>
      </c>
      <c r="D81" s="31" t="inlineStr">
        <is>
          <t>engineering - turnkey services</t>
        </is>
      </c>
      <c r="E81" s="31" t="inlineStr">
        <is>
          <t>midcap</t>
        </is>
      </c>
      <c r="F81" s="31" t="n">
        <v>14260.14</v>
      </c>
      <c r="G81" s="31" t="n">
        <v>261.87</v>
      </c>
      <c r="H81" s="31" t="n">
        <v>3.21</v>
      </c>
      <c r="I81" s="31" t="n">
        <v>6249458</v>
      </c>
      <c r="J81" s="31" t="inlineStr">
        <is>
          <t>532178</t>
        </is>
      </c>
    </row>
    <row r="82">
      <c r="A82" s="31" t="inlineStr">
        <is>
          <t>RBZJEWEL</t>
        </is>
      </c>
      <c r="B82" s="31" t="inlineStr">
        <is>
          <t>RBZ Jewellers Ltd</t>
        </is>
      </c>
      <c r="C82" s="31" t="inlineStr">
        <is>
          <t>consumer discretionary</t>
        </is>
      </c>
      <c r="D82" s="31" t="inlineStr">
        <is>
          <t>diamond cutting / jewellery</t>
        </is>
      </c>
      <c r="E82" s="31" t="inlineStr">
        <is>
          <t>smallcap</t>
        </is>
      </c>
      <c r="F82" s="31" t="n">
        <v>584.8</v>
      </c>
      <c r="G82" s="31" t="n">
        <v>150.79</v>
      </c>
      <c r="H82" s="31" t="n">
        <v>3.14</v>
      </c>
      <c r="I82" s="31" t="n">
        <v>146694</v>
      </c>
      <c r="J82" s="31" t="inlineStr">
        <is>
          <t>544060</t>
        </is>
      </c>
    </row>
    <row r="83">
      <c r="A83" s="31" t="inlineStr">
        <is>
          <t>CUB</t>
        </is>
      </c>
      <c r="B83" s="31" t="inlineStr">
        <is>
          <t>City Union Bank Limited</t>
        </is>
      </c>
      <c r="C83" s="31" t="inlineStr">
        <is>
          <t>bank</t>
        </is>
      </c>
      <c r="D83" s="31" t="inlineStr">
        <is>
          <t>banks - private sector</t>
        </is>
      </c>
      <c r="E83" s="31" t="inlineStr">
        <is>
          <t>largecap</t>
        </is>
      </c>
      <c r="F83" s="31" t="n">
        <v>22019.26</v>
      </c>
      <c r="G83" s="31" t="n">
        <v>229.19</v>
      </c>
      <c r="H83" s="31" t="n">
        <v>3.13</v>
      </c>
      <c r="I83" s="31" t="n">
        <v>4962483</v>
      </c>
      <c r="J83" s="31" t="inlineStr">
        <is>
          <t>532210</t>
        </is>
      </c>
    </row>
    <row r="84">
      <c r="A84" s="31" t="inlineStr">
        <is>
          <t>MOTHERSON</t>
        </is>
      </c>
      <c r="B84" s="31" t="inlineStr">
        <is>
          <t>Samvardhana Motherson International Ltd</t>
        </is>
      </c>
      <c r="C84" s="31" t="inlineStr">
        <is>
          <t>auto</t>
        </is>
      </c>
      <c r="D84" s="31" t="inlineStr">
        <is>
          <t>auto ancillaries</t>
        </is>
      </c>
      <c r="E84" s="31" t="inlineStr">
        <is>
          <t>largecap</t>
        </is>
      </c>
      <c r="F84" s="31" t="n">
        <v>174781.57</v>
      </c>
      <c r="G84" s="31" t="n">
        <v>170.68</v>
      </c>
      <c r="H84" s="31" t="n">
        <v>3.07</v>
      </c>
      <c r="I84" s="31" t="n">
        <v>20098698</v>
      </c>
      <c r="J84" s="31" t="inlineStr">
        <is>
          <t>517334</t>
        </is>
      </c>
    </row>
    <row r="85">
      <c r="A85" s="31" t="inlineStr">
        <is>
          <t>KEI</t>
        </is>
      </c>
      <c r="B85" s="31" t="inlineStr">
        <is>
          <t>Kei Industries Limited</t>
        </is>
      </c>
      <c r="C85" s="31" t="inlineStr">
        <is>
          <t>industrials</t>
        </is>
      </c>
      <c r="D85" s="31" t="inlineStr">
        <is>
          <t>cables - power</t>
        </is>
      </c>
      <c r="E85" s="31" t="inlineStr">
        <is>
          <t>largecap</t>
        </is>
      </c>
      <c r="F85" s="31" t="n">
        <v>53249.53</v>
      </c>
      <c r="G85" s="31" t="n">
        <v>5740.3</v>
      </c>
      <c r="H85" s="31" t="n">
        <v>3.06</v>
      </c>
      <c r="I85" s="31" t="n">
        <v>297706</v>
      </c>
      <c r="J85" s="31" t="inlineStr">
        <is>
          <t>517569</t>
        </is>
      </c>
    </row>
    <row r="86">
      <c r="A86" s="31" t="inlineStr">
        <is>
          <t>CGPOWER</t>
        </is>
      </c>
      <c r="B86" s="31" t="inlineStr">
        <is>
          <t>CG Power and Industrial Solutions Ltd</t>
        </is>
      </c>
      <c r="C86" s="31" t="inlineStr">
        <is>
          <t>industrials</t>
        </is>
      </c>
      <c r="D86" s="31" t="inlineStr">
        <is>
          <t>electric equipment</t>
        </is>
      </c>
      <c r="E86" s="31" t="inlineStr">
        <is>
          <t>largecap</t>
        </is>
      </c>
      <c r="F86" s="31" t="n">
        <v>140015.66</v>
      </c>
      <c r="G86" s="31" t="n">
        <v>916</v>
      </c>
      <c r="H86" s="31" t="n">
        <v>3.04</v>
      </c>
      <c r="I86" s="31" t="n">
        <v>3393030</v>
      </c>
      <c r="J86" s="31" t="inlineStr">
        <is>
          <t>500093</t>
        </is>
      </c>
    </row>
    <row r="87">
      <c r="A87" s="31" t="inlineStr">
        <is>
          <t>AVADHSUGAR</t>
        </is>
      </c>
      <c r="B87" s="31" t="inlineStr">
        <is>
          <t>Avadh Sugar &amp; Energy</t>
        </is>
      </c>
      <c r="C87" s="31" t="inlineStr">
        <is>
          <t>fmcg</t>
        </is>
      </c>
      <c r="D87" s="31" t="inlineStr">
        <is>
          <t>sugar</t>
        </is>
      </c>
      <c r="E87" s="31" t="inlineStr">
        <is>
          <t>smallcap</t>
        </is>
      </c>
      <c r="F87" s="31" t="n">
        <v>1661.63</v>
      </c>
      <c r="G87" s="31" t="n">
        <v>855.3</v>
      </c>
      <c r="H87" s="31" t="n">
        <v>3.04</v>
      </c>
      <c r="I87" s="31" t="n">
        <v>346445</v>
      </c>
      <c r="J87" s="31" t="inlineStr">
        <is>
          <t>540649</t>
        </is>
      </c>
    </row>
    <row r="88">
      <c r="A88" s="31" t="inlineStr">
        <is>
          <t>GHCLTEXTIL</t>
        </is>
      </c>
      <c r="B88" s="31" t="inlineStr">
        <is>
          <t>GHCL Textiles Ltd</t>
        </is>
      </c>
      <c r="C88" s="31" t="inlineStr">
        <is>
          <t>textiles</t>
        </is>
      </c>
      <c r="D88" s="31" t="inlineStr">
        <is>
          <t>textiles - spinning - synthetic / blended</t>
        </is>
      </c>
      <c r="E88" s="31" t="inlineStr">
        <is>
          <t>smallcap</t>
        </is>
      </c>
      <c r="F88" s="31" t="n">
        <v>1250.17</v>
      </c>
      <c r="G88" s="31" t="n">
        <v>134.77</v>
      </c>
      <c r="H88" s="31" t="n">
        <v>3.04</v>
      </c>
      <c r="I88" s="31" t="n">
        <v>1321896</v>
      </c>
      <c r="J88" s="31" t="inlineStr">
        <is>
          <t>543918</t>
        </is>
      </c>
    </row>
    <row r="89">
      <c r="A89" s="31" t="inlineStr">
        <is>
          <t>WELSPUNLIV</t>
        </is>
      </c>
      <c r="B89" s="31" t="inlineStr">
        <is>
          <t>Welspun Living Ltd</t>
        </is>
      </c>
      <c r="C89" s="31" t="inlineStr">
        <is>
          <t>textiles</t>
        </is>
      </c>
      <c r="D89" s="31" t="inlineStr">
        <is>
          <t>textiles - products</t>
        </is>
      </c>
      <c r="E89" s="31" t="inlineStr">
        <is>
          <t>midcap</t>
        </is>
      </c>
      <c r="F89" s="31" t="n">
        <v>17993.76</v>
      </c>
      <c r="G89" s="31" t="n">
        <v>196.21</v>
      </c>
      <c r="H89" s="31" t="n">
        <v>3.02</v>
      </c>
      <c r="I89" s="31" t="n">
        <v>3865770</v>
      </c>
      <c r="J89" s="31" t="inlineStr">
        <is>
          <t>514162</t>
        </is>
      </c>
    </row>
    <row r="90">
      <c r="A90" s="31" t="inlineStr">
        <is>
          <t>MUNJALAU</t>
        </is>
      </c>
      <c r="B90" s="31" t="inlineStr">
        <is>
          <t>Munjal Auto Industries Limited</t>
        </is>
      </c>
      <c r="C90" s="31" t="inlineStr">
        <is>
          <t>auto</t>
        </is>
      </c>
      <c r="D90" s="31" t="inlineStr">
        <is>
          <t>auto ancillaries</t>
        </is>
      </c>
      <c r="E90" s="31" t="inlineStr">
        <is>
          <t>smallcap</t>
        </is>
      </c>
      <c r="F90" s="31" t="n">
        <v>1124</v>
      </c>
      <c r="G90" s="31" t="n">
        <v>115.79</v>
      </c>
      <c r="H90" s="31" t="n">
        <v>3.02</v>
      </c>
      <c r="I90" s="31" t="n">
        <v>984874</v>
      </c>
      <c r="J90" s="31" t="inlineStr">
        <is>
          <t>520059</t>
        </is>
      </c>
    </row>
    <row r="91">
      <c r="A91" s="31" t="inlineStr">
        <is>
          <t>PETRONET</t>
        </is>
      </c>
      <c r="B91" s="31" t="inlineStr">
        <is>
          <t>Petronet Lng Limited</t>
        </is>
      </c>
      <c r="C91" s="31" t="inlineStr">
        <is>
          <t>energy</t>
        </is>
      </c>
      <c r="D91" s="31" t="inlineStr">
        <is>
          <t>miscellaneous</t>
        </is>
      </c>
      <c r="E91" s="31" t="inlineStr">
        <is>
          <t>largecap</t>
        </is>
      </c>
      <c r="F91" s="31" t="n">
        <v>43800</v>
      </c>
      <c r="G91" s="31" t="n">
        <v>300.6</v>
      </c>
      <c r="H91" s="31" t="n">
        <v>2.95</v>
      </c>
      <c r="I91" s="31" t="n">
        <v>2880149</v>
      </c>
      <c r="J91" s="31" t="inlineStr">
        <is>
          <t>532522</t>
        </is>
      </c>
    </row>
    <row r="92">
      <c r="A92" s="31" t="inlineStr">
        <is>
          <t>ORIENTBELL</t>
        </is>
      </c>
      <c r="B92" s="31" t="inlineStr">
        <is>
          <t>Orient Bell Limited</t>
        </is>
      </c>
      <c r="C92" s="31" t="inlineStr">
        <is>
          <t>building materials</t>
        </is>
      </c>
      <c r="D92" s="31" t="inlineStr">
        <is>
          <t>ceramics - tiles / sanitaryware</t>
        </is>
      </c>
      <c r="E92" s="31" t="inlineStr">
        <is>
          <t>smallcap</t>
        </is>
      </c>
      <c r="F92" s="31" t="n">
        <v>557.89</v>
      </c>
      <c r="G92" s="31" t="n">
        <v>390.4</v>
      </c>
      <c r="H92" s="31" t="n">
        <v>2.94</v>
      </c>
      <c r="I92" s="31" t="n">
        <v>104827</v>
      </c>
      <c r="J92" s="31" t="inlineStr">
        <is>
          <t>530365</t>
        </is>
      </c>
    </row>
    <row r="93">
      <c r="A93" s="31" t="inlineStr">
        <is>
          <t>MSTCLTD</t>
        </is>
      </c>
      <c r="B93" s="31" t="inlineStr">
        <is>
          <t>MSTC Ltd</t>
        </is>
      </c>
      <c r="C93" s="31" t="inlineStr">
        <is>
          <t>i.t</t>
        </is>
      </c>
      <c r="D93" s="31" t="inlineStr">
        <is>
          <t>trading</t>
        </is>
      </c>
      <c r="E93" s="31" t="inlineStr">
        <is>
          <t>midcap</t>
        </is>
      </c>
      <c r="F93" s="31" t="n">
        <v>5136.74</v>
      </c>
      <c r="G93" s="31" t="n">
        <v>751.1</v>
      </c>
      <c r="H93" s="31" t="n">
        <v>2.94</v>
      </c>
      <c r="I93" s="31" t="n">
        <v>730593</v>
      </c>
      <c r="J93" s="31" t="inlineStr">
        <is>
          <t>542597</t>
        </is>
      </c>
    </row>
    <row r="94">
      <c r="A94" s="31" t="inlineStr">
        <is>
          <t>CYIENTDLM</t>
        </is>
      </c>
      <c r="B94" s="31" t="inlineStr">
        <is>
          <t>Cyient DLM Ltd</t>
        </is>
      </c>
      <c r="C94" s="31" t="inlineStr">
        <is>
          <t>aerospace &amp; defence</t>
        </is>
      </c>
      <c r="D94" s="31" t="inlineStr">
        <is>
          <t>electronics - components</t>
        </is>
      </c>
      <c r="E94" s="31" t="inlineStr">
        <is>
          <t>midcap</t>
        </is>
      </c>
      <c r="F94" s="31" t="n">
        <v>6502.29</v>
      </c>
      <c r="G94" s="31" t="n">
        <v>843</v>
      </c>
      <c r="H94" s="31" t="n">
        <v>2.92</v>
      </c>
      <c r="I94" s="31" t="n">
        <v>731178</v>
      </c>
      <c r="J94" s="31" t="inlineStr">
        <is>
          <t>543933</t>
        </is>
      </c>
    </row>
    <row r="95">
      <c r="A95" s="31" t="inlineStr">
        <is>
          <t>NESTLEIND</t>
        </is>
      </c>
      <c r="B95" s="31" t="inlineStr">
        <is>
          <t>Nestle India Limited</t>
        </is>
      </c>
      <c r="C95" s="31" t="inlineStr">
        <is>
          <t>fmcg</t>
        </is>
      </c>
      <c r="D95" s="31" t="inlineStr">
        <is>
          <t>food - processing - mnc</t>
        </is>
      </c>
      <c r="E95" s="31" t="inlineStr">
        <is>
          <t>largecap</t>
        </is>
      </c>
      <c r="F95" s="31" t="n">
        <v>280492.6</v>
      </c>
      <c r="G95" s="31" t="n">
        <v>1496.5</v>
      </c>
      <c r="H95" s="31" t="n">
        <v>2.88</v>
      </c>
      <c r="I95" s="31" t="n">
        <v>2320372</v>
      </c>
      <c r="J95" s="31" t="inlineStr">
        <is>
          <t>500790</t>
        </is>
      </c>
    </row>
    <row r="96">
      <c r="A96" s="31" t="inlineStr">
        <is>
          <t>OFSS</t>
        </is>
      </c>
      <c r="B96" s="31" t="inlineStr">
        <is>
          <t>Oracle Financial Services Software Limited</t>
        </is>
      </c>
      <c r="C96" s="31" t="inlineStr">
        <is>
          <t>i.t</t>
        </is>
      </c>
      <c r="D96" s="31" t="inlineStr">
        <is>
          <t>computers - software - large</t>
        </is>
      </c>
      <c r="E96" s="31" t="inlineStr">
        <is>
          <t>largecap</t>
        </is>
      </c>
      <c r="F96" s="31" t="n">
        <v>106140.94</v>
      </c>
      <c r="G96" s="31" t="n">
        <v>12540</v>
      </c>
      <c r="H96" s="31" t="n">
        <v>2.87</v>
      </c>
      <c r="I96" s="31" t="n">
        <v>487111</v>
      </c>
      <c r="J96" s="31" t="inlineStr">
        <is>
          <t>532466</t>
        </is>
      </c>
    </row>
    <row r="97">
      <c r="A97" s="31" t="inlineStr">
        <is>
          <t>BLUESTONE</t>
        </is>
      </c>
      <c r="B97" s="31" t="inlineStr">
        <is>
          <t>Bluestone Jewellery and Lifestyle Ltd</t>
        </is>
      </c>
      <c r="C97" s="31" t="inlineStr">
        <is>
          <t>consumer discretionary</t>
        </is>
      </c>
      <c r="D97" s="31" t="inlineStr">
        <is>
          <t>diamond cutting / jewellery</t>
        </is>
      </c>
      <c r="E97" s="31" t="inlineStr">
        <is>
          <t>midcap</t>
        </is>
      </c>
      <c r="F97" s="31" t="n">
        <v>12111.37</v>
      </c>
      <c r="G97" s="31" t="n">
        <v>817.4</v>
      </c>
      <c r="H97" s="31" t="n">
        <v>2.86</v>
      </c>
      <c r="I97" s="31" t="n">
        <v>1264097</v>
      </c>
      <c r="J97" s="31" t="n"/>
    </row>
    <row r="98">
      <c r="A98" s="31" t="inlineStr">
        <is>
          <t>BOSCHLTD</t>
        </is>
      </c>
      <c r="B98" s="31" t="inlineStr">
        <is>
          <t>Bosch Limited</t>
        </is>
      </c>
      <c r="C98" s="31" t="inlineStr">
        <is>
          <t>auto</t>
        </is>
      </c>
      <c r="D98" s="31" t="inlineStr">
        <is>
          <t>auto ancillaries</t>
        </is>
      </c>
      <c r="E98" s="31" t="inlineStr">
        <is>
          <t>largecap</t>
        </is>
      </c>
      <c r="F98" s="31" t="n">
        <v>143469.03</v>
      </c>
      <c r="G98" s="31" t="n">
        <v>50000</v>
      </c>
      <c r="H98" s="31" t="n">
        <v>2.8</v>
      </c>
      <c r="I98" s="31" t="n">
        <v>60545</v>
      </c>
      <c r="J98" s="31" t="inlineStr">
        <is>
          <t>500530</t>
        </is>
      </c>
    </row>
    <row r="99">
      <c r="A99" s="31" t="inlineStr">
        <is>
          <t>CARERATING</t>
        </is>
      </c>
      <c r="B99" s="31" t="inlineStr">
        <is>
          <t>CARE Ratings Ltd</t>
        </is>
      </c>
      <c r="C99" s="31" t="inlineStr">
        <is>
          <t>financials</t>
        </is>
      </c>
      <c r="D99" s="31" t="inlineStr">
        <is>
          <t>miscellaneous</t>
        </is>
      </c>
      <c r="E99" s="31" t="inlineStr">
        <is>
          <t>midcap</t>
        </is>
      </c>
      <c r="F99" s="31" t="n">
        <v>5056.46</v>
      </c>
      <c r="G99" s="31" t="n">
        <v>1729</v>
      </c>
      <c r="H99" s="31" t="n">
        <v>2.79</v>
      </c>
      <c r="I99" s="31" t="n">
        <v>138118</v>
      </c>
      <c r="J99" s="31" t="inlineStr">
        <is>
          <t>534804</t>
        </is>
      </c>
    </row>
    <row r="100">
      <c r="A100" s="31" t="inlineStr">
        <is>
          <t>AXISBANK</t>
        </is>
      </c>
      <c r="B100" s="31" t="inlineStr">
        <is>
          <t>Axis Bank Limited</t>
        </is>
      </c>
      <c r="C100" s="31" t="inlineStr">
        <is>
          <t>bank</t>
        </is>
      </c>
      <c r="D100" s="31" t="inlineStr">
        <is>
          <t>banks - private sector</t>
        </is>
      </c>
      <c r="E100" s="31" t="inlineStr">
        <is>
          <t>largecap</t>
        </is>
      </c>
      <c r="F100" s="31" t="n">
        <v>393513.43</v>
      </c>
      <c r="G100" s="31" t="n">
        <v>1300</v>
      </c>
      <c r="H100" s="31" t="n">
        <v>2.77</v>
      </c>
      <c r="I100" s="31" t="n">
        <v>6093670</v>
      </c>
      <c r="J100" s="31" t="inlineStr">
        <is>
          <t>532215</t>
        </is>
      </c>
    </row>
    <row r="101">
      <c r="A101" s="31" t="inlineStr">
        <is>
          <t>SPAL</t>
        </is>
      </c>
      <c r="B101" s="31" t="inlineStr">
        <is>
          <t>S. P. Apparels Limited</t>
        </is>
      </c>
      <c r="C101" s="31" t="inlineStr">
        <is>
          <t>consumer discretionary</t>
        </is>
      </c>
      <c r="D101" s="31" t="inlineStr">
        <is>
          <t>textiles - products</t>
        </is>
      </c>
      <c r="E101" s="31" t="inlineStr">
        <is>
          <t>smallcap</t>
        </is>
      </c>
      <c r="F101" s="31" t="n">
        <v>2569.19</v>
      </c>
      <c r="G101" s="31" t="n">
        <v>1050.25</v>
      </c>
      <c r="H101" s="31" t="n">
        <v>2.76</v>
      </c>
      <c r="I101" s="31" t="n">
        <v>263158</v>
      </c>
      <c r="J101" s="31" t="inlineStr">
        <is>
          <t>540048</t>
        </is>
      </c>
    </row>
    <row r="102">
      <c r="A102" s="31" t="inlineStr">
        <is>
          <t>BHEL</t>
        </is>
      </c>
      <c r="B102" s="31" t="inlineStr">
        <is>
          <t>Bharat Heavy Electricals Limited</t>
        </is>
      </c>
      <c r="C102" s="31" t="inlineStr">
        <is>
          <t>industrials</t>
        </is>
      </c>
      <c r="D102" s="31" t="inlineStr">
        <is>
          <t>electric equipment</t>
        </is>
      </c>
      <c r="E102" s="31" t="inlineStr">
        <is>
          <t>largecap</t>
        </is>
      </c>
      <c r="F102" s="31" t="n">
        <v>150024.7</v>
      </c>
      <c r="G102" s="31" t="n">
        <v>442.65</v>
      </c>
      <c r="H102" s="31" t="n">
        <v>2.74</v>
      </c>
      <c r="I102" s="31" t="n">
        <v>9251968</v>
      </c>
      <c r="J102" s="31" t="inlineStr">
        <is>
          <t>500103</t>
        </is>
      </c>
    </row>
    <row r="103">
      <c r="A103" s="31" t="inlineStr">
        <is>
          <t>THELEELA</t>
        </is>
      </c>
      <c r="B103" s="31" t="inlineStr">
        <is>
          <t>Leela Palaces Hotels &amp; Resorts Ltd</t>
        </is>
      </c>
      <c r="C103" s="31" t="inlineStr">
        <is>
          <t>services</t>
        </is>
      </c>
      <c r="D103" s="31" t="inlineStr">
        <is>
          <t>hotels</t>
        </is>
      </c>
      <c r="E103" s="31" t="inlineStr">
        <is>
          <t>midcap</t>
        </is>
      </c>
      <c r="F103" s="31" t="n">
        <v>18543.01</v>
      </c>
      <c r="G103" s="31" t="n">
        <v>570.4</v>
      </c>
      <c r="H103" s="31" t="n">
        <v>2.73</v>
      </c>
      <c r="I103" s="31" t="n">
        <v>1539789</v>
      </c>
      <c r="J103" s="31" t="inlineStr">
        <is>
          <t>544408</t>
        </is>
      </c>
    </row>
    <row r="104">
      <c r="A104" s="31" t="inlineStr">
        <is>
          <t>GUJTHEM</t>
        </is>
      </c>
      <c r="B104" s="31" t="inlineStr">
        <is>
          <t>Gujarat Themis Biosyn Ltd</t>
        </is>
      </c>
      <c r="C104" s="31" t="inlineStr">
        <is>
          <t>healthcare</t>
        </is>
      </c>
      <c r="D104" s="31" t="inlineStr">
        <is>
          <t>pharmaceuticals - indian - bulk drugs</t>
        </is>
      </c>
      <c r="E104" s="31" t="inlineStr">
        <is>
          <t>smallcap</t>
        </is>
      </c>
      <c r="F104" s="31" t="n">
        <v>4479.02</v>
      </c>
      <c r="G104" s="31" t="n">
        <v>422.2</v>
      </c>
      <c r="H104" s="31" t="n">
        <v>2.71</v>
      </c>
      <c r="I104" s="31" t="n">
        <v>665567</v>
      </c>
      <c r="J104" s="31" t="inlineStr">
        <is>
          <t>506879</t>
        </is>
      </c>
    </row>
    <row r="105">
      <c r="A105" s="31" t="inlineStr">
        <is>
          <t>INDOBORAX</t>
        </is>
      </c>
      <c r="B105" s="31" t="inlineStr">
        <is>
          <t>Indo Borax &amp; Chemicals Ltd</t>
        </is>
      </c>
      <c r="C105" s="31" t="inlineStr">
        <is>
          <t>chemicals</t>
        </is>
      </c>
      <c r="D105" s="31" t="inlineStr">
        <is>
          <t>chemicals</t>
        </is>
      </c>
      <c r="E105" s="31" t="inlineStr">
        <is>
          <t>smallcap</t>
        </is>
      </c>
      <c r="F105" s="31" t="n">
        <v>1588.78</v>
      </c>
      <c r="G105" s="31" t="n">
        <v>508.45</v>
      </c>
      <c r="H105" s="31" t="n">
        <v>2.7</v>
      </c>
      <c r="I105" s="31" t="n">
        <v>263866</v>
      </c>
      <c r="J105" s="31" t="inlineStr">
        <is>
          <t>524342</t>
        </is>
      </c>
    </row>
    <row r="106">
      <c r="A106" s="31" t="inlineStr">
        <is>
          <t>UGARSUGAR</t>
        </is>
      </c>
      <c r="B106" s="31" t="inlineStr">
        <is>
          <t>The Ugar Sugar Works Limited</t>
        </is>
      </c>
      <c r="C106" s="31" t="inlineStr">
        <is>
          <t>fmcg</t>
        </is>
      </c>
      <c r="D106" s="31" t="inlineStr">
        <is>
          <t>sugar</t>
        </is>
      </c>
      <c r="E106" s="31" t="inlineStr">
        <is>
          <t>smallcap</t>
        </is>
      </c>
      <c r="F106" s="31" t="n">
        <v>608.96</v>
      </c>
      <c r="G106" s="31" t="n">
        <v>55.59</v>
      </c>
      <c r="H106" s="31" t="n">
        <v>2.7</v>
      </c>
      <c r="I106" s="31" t="n">
        <v>1211476</v>
      </c>
      <c r="J106" s="31" t="inlineStr">
        <is>
          <t>530363</t>
        </is>
      </c>
    </row>
    <row r="107">
      <c r="A107" s="31" t="inlineStr">
        <is>
          <t>LUMAXIND</t>
        </is>
      </c>
      <c r="B107" s="31" t="inlineStr">
        <is>
          <t>Lumax Industries Limited</t>
        </is>
      </c>
      <c r="C107" s="31" t="inlineStr">
        <is>
          <t>auto</t>
        </is>
      </c>
      <c r="D107" s="31" t="inlineStr">
        <is>
          <t>auto ancillaries</t>
        </is>
      </c>
      <c r="E107" s="31" t="inlineStr">
        <is>
          <t>midcap</t>
        </is>
      </c>
      <c r="F107" s="31" t="n">
        <v>5675.01</v>
      </c>
      <c r="G107" s="31" t="n">
        <v>6233.5</v>
      </c>
      <c r="H107" s="31" t="n">
        <v>2.68</v>
      </c>
      <c r="I107" s="31" t="n">
        <v>22681</v>
      </c>
      <c r="J107" s="31" t="inlineStr">
        <is>
          <t>517206</t>
        </is>
      </c>
    </row>
    <row r="108">
      <c r="A108" s="31" t="inlineStr">
        <is>
          <t>BAJAJHLDNG</t>
        </is>
      </c>
      <c r="B108" s="31" t="inlineStr">
        <is>
          <t>Bajaj Holdings &amp; Investment Limited</t>
        </is>
      </c>
      <c r="C108" s="31" t="inlineStr">
        <is>
          <t>financials</t>
        </is>
      </c>
      <c r="D108" s="31" t="inlineStr">
        <is>
          <t>finance &amp; investments</t>
        </is>
      </c>
      <c r="E108" s="31" t="inlineStr">
        <is>
          <t>largecap</t>
        </is>
      </c>
      <c r="F108" s="31" t="n">
        <v>126206.84</v>
      </c>
      <c r="G108" s="31" t="n">
        <v>11644</v>
      </c>
      <c r="H108" s="31" t="n">
        <v>2.68</v>
      </c>
      <c r="I108" s="31" t="n">
        <v>51276</v>
      </c>
      <c r="J108" s="31" t="inlineStr">
        <is>
          <t>500490</t>
        </is>
      </c>
    </row>
    <row r="109">
      <c r="A109" s="31" t="inlineStr">
        <is>
          <t>APLLTD</t>
        </is>
      </c>
      <c r="B109" s="31" t="inlineStr">
        <is>
          <t>Alembic Pharmaceuticals Limited</t>
        </is>
      </c>
      <c r="C109" s="31" t="inlineStr">
        <is>
          <t>healthcare</t>
        </is>
      </c>
      <c r="D109" s="31" t="inlineStr">
        <is>
          <t>pharmaceuticals - indian - bulk drugs &amp; formln</t>
        </is>
      </c>
      <c r="E109" s="31" t="inlineStr">
        <is>
          <t>midcap</t>
        </is>
      </c>
      <c r="F109" s="31" t="n">
        <v>15989.43</v>
      </c>
      <c r="G109" s="31" t="n">
        <v>834.9</v>
      </c>
      <c r="H109" s="31" t="n">
        <v>2.64</v>
      </c>
      <c r="I109" s="31" t="n">
        <v>139739</v>
      </c>
      <c r="J109" s="31" t="inlineStr">
        <is>
          <t>533573</t>
        </is>
      </c>
    </row>
    <row r="110">
      <c r="A110" s="31" t="inlineStr">
        <is>
          <t>CAMS</t>
        </is>
      </c>
      <c r="B110" s="31" t="inlineStr">
        <is>
          <t>Computer Age Management Services Ltd</t>
        </is>
      </c>
      <c r="C110" s="31" t="inlineStr">
        <is>
          <t>financials</t>
        </is>
      </c>
      <c r="D110" s="31" t="inlineStr">
        <is>
          <t>miscellaneous</t>
        </is>
      </c>
      <c r="E110" s="31" t="inlineStr">
        <is>
          <t>midcap</t>
        </is>
      </c>
      <c r="F110" s="31" t="n">
        <v>18913.2</v>
      </c>
      <c r="G110" s="31" t="n">
        <v>782</v>
      </c>
      <c r="H110" s="31" t="n">
        <v>2.62</v>
      </c>
      <c r="I110" s="31" t="n">
        <v>3784113</v>
      </c>
      <c r="J110" s="31" t="inlineStr">
        <is>
          <t>543232</t>
        </is>
      </c>
    </row>
    <row r="111">
      <c r="A111" s="31" t="inlineStr">
        <is>
          <t>NIACL</t>
        </is>
      </c>
      <c r="B111" s="31" t="inlineStr">
        <is>
          <t>New India Assurance Company Ltd</t>
        </is>
      </c>
      <c r="C111" s="31" t="inlineStr">
        <is>
          <t>financials</t>
        </is>
      </c>
      <c r="D111" s="31" t="inlineStr">
        <is>
          <t>finance &amp; investments</t>
        </is>
      </c>
      <c r="E111" s="31" t="inlineStr">
        <is>
          <t>largecap</t>
        </is>
      </c>
      <c r="F111" s="31" t="n">
        <v>30708.83</v>
      </c>
      <c r="G111" s="31" t="n">
        <v>191.23</v>
      </c>
      <c r="H111" s="31" t="n">
        <v>2.62</v>
      </c>
      <c r="I111" s="31" t="n">
        <v>26274670</v>
      </c>
      <c r="J111" s="31" t="inlineStr">
        <is>
          <t>540769</t>
        </is>
      </c>
    </row>
    <row r="112">
      <c r="A112" s="31" t="inlineStr">
        <is>
          <t>MOLDTKPAC</t>
        </is>
      </c>
      <c r="B112" s="31" t="inlineStr">
        <is>
          <t>Mold-tek Packaging Limited</t>
        </is>
      </c>
      <c r="C112" s="31" t="inlineStr">
        <is>
          <t>industrials</t>
        </is>
      </c>
      <c r="D112" s="31" t="inlineStr">
        <is>
          <t>packaging</t>
        </is>
      </c>
      <c r="E112" s="31" t="inlineStr">
        <is>
          <t>smallcap</t>
        </is>
      </c>
      <c r="F112" s="31" t="n">
        <v>2296.78</v>
      </c>
      <c r="G112" s="31" t="n">
        <v>709.25</v>
      </c>
      <c r="H112" s="31" t="n">
        <v>2.61</v>
      </c>
      <c r="I112" s="31" t="n">
        <v>94897</v>
      </c>
      <c r="J112" s="31" t="inlineStr">
        <is>
          <t>533080</t>
        </is>
      </c>
    </row>
    <row r="113">
      <c r="A113" s="31" t="inlineStr">
        <is>
          <t>CLSEL</t>
        </is>
      </c>
      <c r="B113" s="31" t="inlineStr">
        <is>
          <t>Chamanlal Setia Exports Ltd</t>
        </is>
      </c>
      <c r="C113" s="31" t="inlineStr">
        <is>
          <t>fmcg</t>
        </is>
      </c>
      <c r="D113" s="31" t="inlineStr">
        <is>
          <t>food - processing - indian</t>
        </is>
      </c>
      <c r="E113" s="31" t="inlineStr">
        <is>
          <t>smallcap</t>
        </is>
      </c>
      <c r="F113" s="31" t="n">
        <v>1457.21</v>
      </c>
      <c r="G113" s="31" t="n">
        <v>300.65</v>
      </c>
      <c r="H113" s="31" t="n">
        <v>2.59</v>
      </c>
      <c r="I113" s="31" t="n">
        <v>200671</v>
      </c>
      <c r="J113" s="31" t="inlineStr">
        <is>
          <t>530307</t>
        </is>
      </c>
    </row>
    <row r="114">
      <c r="A114" s="31" t="inlineStr">
        <is>
          <t>QUESS</t>
        </is>
      </c>
      <c r="B114" s="31" t="inlineStr">
        <is>
          <t>Quess Corp Limited</t>
        </is>
      </c>
      <c r="C114" s="31" t="inlineStr">
        <is>
          <t>miscellaneous</t>
        </is>
      </c>
      <c r="D114" s="31" t="inlineStr">
        <is>
          <t>diversified - large</t>
        </is>
      </c>
      <c r="E114" s="31" t="inlineStr">
        <is>
          <t>midcap</t>
        </is>
      </c>
      <c r="F114" s="31" t="n">
        <v>5559.92</v>
      </c>
      <c r="G114" s="31" t="n">
        <v>381.75</v>
      </c>
      <c r="H114" s="31" t="n">
        <v>2.55</v>
      </c>
      <c r="I114" s="31" t="n">
        <v>1028367</v>
      </c>
      <c r="J114" s="31" t="inlineStr">
        <is>
          <t>539978</t>
        </is>
      </c>
    </row>
    <row r="115">
      <c r="A115" s="31" t="inlineStr">
        <is>
          <t>DIVISLAB</t>
        </is>
      </c>
      <c r="B115" s="31" t="inlineStr">
        <is>
          <t>Divi's Laboratories Limited</t>
        </is>
      </c>
      <c r="C115" s="31" t="inlineStr">
        <is>
          <t>healthcare</t>
        </is>
      </c>
      <c r="D115" s="31" t="inlineStr">
        <is>
          <t>pharmaceuticals - indian - bulk drugs</t>
        </is>
      </c>
      <c r="E115" s="31" t="inlineStr">
        <is>
          <t>largecap</t>
        </is>
      </c>
      <c r="F115" s="31" t="n">
        <v>245266.42</v>
      </c>
      <c r="G115" s="31" t="n">
        <v>9467</v>
      </c>
      <c r="H115" s="31" t="n">
        <v>2.47</v>
      </c>
      <c r="I115" s="31" t="n">
        <v>680805</v>
      </c>
      <c r="J115" s="31" t="inlineStr">
        <is>
          <t>532488</t>
        </is>
      </c>
    </row>
    <row r="116">
      <c r="A116" s="31" t="inlineStr">
        <is>
          <t>DCBBANK</t>
        </is>
      </c>
      <c r="B116" s="31" t="inlineStr">
        <is>
          <t>Dcb Bank Limited</t>
        </is>
      </c>
      <c r="C116" s="31" t="inlineStr">
        <is>
          <t>bank</t>
        </is>
      </c>
      <c r="D116" s="31" t="inlineStr">
        <is>
          <t>banks - private sector</t>
        </is>
      </c>
      <c r="E116" s="31" t="inlineStr">
        <is>
          <t>midcap</t>
        </is>
      </c>
      <c r="F116" s="31" t="n">
        <v>6859.28</v>
      </c>
      <c r="G116" s="31" t="n">
        <v>218.2</v>
      </c>
      <c r="H116" s="31" t="n">
        <v>2.46</v>
      </c>
      <c r="I116" s="31" t="n">
        <v>1777630</v>
      </c>
      <c r="J116" s="31" t="inlineStr">
        <is>
          <t>532772</t>
        </is>
      </c>
    </row>
    <row r="117">
      <c r="A117" s="31" t="inlineStr">
        <is>
          <t>GRASIM</t>
        </is>
      </c>
      <c r="B117" s="31" t="inlineStr">
        <is>
          <t>Grasim Industries Limited</t>
        </is>
      </c>
      <c r="C117" s="31" t="inlineStr">
        <is>
          <t>textiles</t>
        </is>
      </c>
      <c r="D117" s="31" t="inlineStr">
        <is>
          <t>textiles - manmade</t>
        </is>
      </c>
      <c r="E117" s="31" t="inlineStr">
        <is>
          <t>largecap</t>
        </is>
      </c>
      <c r="F117" s="31" t="n">
        <v>223911.01</v>
      </c>
      <c r="G117" s="31" t="n">
        <v>3371</v>
      </c>
      <c r="H117" s="31" t="n">
        <v>2.46</v>
      </c>
      <c r="I117" s="31" t="n">
        <v>1019104</v>
      </c>
      <c r="J117" s="31" t="inlineStr">
        <is>
          <t>500300</t>
        </is>
      </c>
    </row>
    <row r="118">
      <c r="A118" s="31" t="inlineStr">
        <is>
          <t>VRLLOG</t>
        </is>
      </c>
      <c r="B118" s="31" t="inlineStr">
        <is>
          <t>Vrl Logistics Limited</t>
        </is>
      </c>
      <c r="C118" s="31" t="inlineStr">
        <is>
          <t>transportation</t>
        </is>
      </c>
      <c r="D118" s="31" t="inlineStr">
        <is>
          <t>miscellaneous</t>
        </is>
      </c>
      <c r="E118" s="31" t="inlineStr">
        <is>
          <t>midcap</t>
        </is>
      </c>
      <c r="F118" s="31" t="n">
        <v>5177.26</v>
      </c>
      <c r="G118" s="31" t="n">
        <v>303.15</v>
      </c>
      <c r="H118" s="31" t="n">
        <v>2.43</v>
      </c>
      <c r="I118" s="31" t="n">
        <v>261050</v>
      </c>
      <c r="J118" s="31" t="inlineStr">
        <is>
          <t>539118</t>
        </is>
      </c>
    </row>
    <row r="119">
      <c r="A119" s="31" t="inlineStr">
        <is>
          <t>KAJARIACER</t>
        </is>
      </c>
      <c r="B119" s="31" t="inlineStr">
        <is>
          <t>Kajaria Ceramics Limited</t>
        </is>
      </c>
      <c r="C119" s="31" t="inlineStr">
        <is>
          <t>building materials</t>
        </is>
      </c>
      <c r="D119" s="31" t="inlineStr">
        <is>
          <t>ceramics - tiles / sanitaryware</t>
        </is>
      </c>
      <c r="E119" s="31" t="inlineStr">
        <is>
          <t>midcap</t>
        </is>
      </c>
      <c r="F119" s="31" t="n">
        <v>19359.55</v>
      </c>
      <c r="G119" s="31" t="n">
        <v>1244.8</v>
      </c>
      <c r="H119" s="31" t="n">
        <v>2.41</v>
      </c>
      <c r="I119" s="31" t="n">
        <v>541157</v>
      </c>
      <c r="J119" s="31" t="inlineStr">
        <is>
          <t>500233</t>
        </is>
      </c>
    </row>
    <row r="120">
      <c r="A120" s="31" t="inlineStr">
        <is>
          <t>KSL</t>
        </is>
      </c>
      <c r="B120" s="31" t="inlineStr">
        <is>
          <t>Kalyani Steels Limited</t>
        </is>
      </c>
      <c r="C120" s="31" t="inlineStr">
        <is>
          <t>metals &amp; mining</t>
        </is>
      </c>
      <c r="D120" s="31" t="inlineStr">
        <is>
          <t>steel - medium / small</t>
        </is>
      </c>
      <c r="E120" s="31" t="inlineStr">
        <is>
          <t>smallcap</t>
        </is>
      </c>
      <c r="F120" s="31" t="n">
        <v>3877.92</v>
      </c>
      <c r="G120" s="31" t="n">
        <v>909.75</v>
      </c>
      <c r="H120" s="31" t="n">
        <v>2.41</v>
      </c>
      <c r="I120" s="31" t="n">
        <v>126318</v>
      </c>
      <c r="J120" s="31" t="inlineStr">
        <is>
          <t>500235</t>
        </is>
      </c>
    </row>
    <row r="121">
      <c r="A121" s="31" t="inlineStr">
        <is>
          <t>UFLEX</t>
        </is>
      </c>
      <c r="B121" s="31" t="inlineStr">
        <is>
          <t>Uflex Limited</t>
        </is>
      </c>
      <c r="C121" s="31" t="inlineStr">
        <is>
          <t>industrials</t>
        </is>
      </c>
      <c r="D121" s="31" t="inlineStr">
        <is>
          <t>packaging</t>
        </is>
      </c>
      <c r="E121" s="31" t="inlineStr">
        <is>
          <t>smallcap</t>
        </is>
      </c>
      <c r="F121" s="31" t="n">
        <v>4580.74</v>
      </c>
      <c r="G121" s="31" t="n">
        <v>649.1</v>
      </c>
      <c r="H121" s="31" t="n">
        <v>2.33</v>
      </c>
      <c r="I121" s="31" t="n">
        <v>237317</v>
      </c>
      <c r="J121" s="31" t="inlineStr">
        <is>
          <t>500148</t>
        </is>
      </c>
    </row>
    <row r="122">
      <c r="A122" s="31" t="inlineStr">
        <is>
          <t>UNIPARTS</t>
        </is>
      </c>
      <c r="B122" s="31" t="inlineStr">
        <is>
          <t>Uniparts India Ltd</t>
        </is>
      </c>
      <c r="C122" s="31" t="inlineStr">
        <is>
          <t>industrials</t>
        </is>
      </c>
      <c r="D122" s="31" t="inlineStr">
        <is>
          <t>engineering</t>
        </is>
      </c>
      <c r="E122" s="31" t="inlineStr">
        <is>
          <t>smallcap</t>
        </is>
      </c>
      <c r="F122" s="31" t="n">
        <v>3941.67</v>
      </c>
      <c r="G122" s="31" t="n">
        <v>893.45</v>
      </c>
      <c r="H122" s="31" t="n">
        <v>2.32</v>
      </c>
      <c r="I122" s="31" t="n">
        <v>443265</v>
      </c>
      <c r="J122" s="31" t="inlineStr">
        <is>
          <t>543689</t>
        </is>
      </c>
    </row>
    <row r="123">
      <c r="A123" s="31" t="inlineStr">
        <is>
          <t>DEEPINDS</t>
        </is>
      </c>
      <c r="B123" s="31" t="inlineStr">
        <is>
          <t>Deep Industries Ltd</t>
        </is>
      </c>
      <c r="C123" s="31" t="inlineStr">
        <is>
          <t>energy</t>
        </is>
      </c>
      <c r="D123" s="31" t="inlineStr">
        <is>
          <t>oil drilling / allied services</t>
        </is>
      </c>
      <c r="E123" s="31" t="inlineStr">
        <is>
          <t>smallcap</t>
        </is>
      </c>
      <c r="F123" s="31" t="n">
        <v>4316.48</v>
      </c>
      <c r="G123" s="31" t="n">
        <v>689.85</v>
      </c>
      <c r="H123" s="31" t="n">
        <v>2.28</v>
      </c>
      <c r="I123" s="31" t="n">
        <v>307643</v>
      </c>
      <c r="J123" s="31" t="inlineStr">
        <is>
          <t>543288</t>
        </is>
      </c>
    </row>
    <row r="124">
      <c r="A124" s="31" t="inlineStr">
        <is>
          <t>ARVIND</t>
        </is>
      </c>
      <c r="B124" s="31" t="inlineStr">
        <is>
          <t>Arvind Limited</t>
        </is>
      </c>
      <c r="C124" s="31" t="inlineStr">
        <is>
          <t>textiles</t>
        </is>
      </c>
      <c r="D124" s="31" t="inlineStr">
        <is>
          <t>textiles - cotton/blended</t>
        </is>
      </c>
      <c r="E124" s="31" t="inlineStr">
        <is>
          <t>midcap</t>
        </is>
      </c>
      <c r="F124" s="31" t="n">
        <v>14781.33</v>
      </c>
      <c r="G124" s="31" t="n">
        <v>555.65</v>
      </c>
      <c r="H124" s="31" t="n">
        <v>2.26</v>
      </c>
      <c r="I124" s="31" t="n">
        <v>838704</v>
      </c>
      <c r="J124" s="31" t="inlineStr">
        <is>
          <t>500101</t>
        </is>
      </c>
    </row>
    <row r="125">
      <c r="A125" s="31" t="inlineStr">
        <is>
          <t>DHAMPURSUG</t>
        </is>
      </c>
      <c r="B125" s="31" t="inlineStr">
        <is>
          <t>Dhampur Sugar Mills Limited</t>
        </is>
      </c>
      <c r="C125" s="31" t="inlineStr">
        <is>
          <t>fmcg</t>
        </is>
      </c>
      <c r="D125" s="31" t="inlineStr">
        <is>
          <t>sugar</t>
        </is>
      </c>
      <c r="E125" s="31" t="inlineStr">
        <is>
          <t>smallcap</t>
        </is>
      </c>
      <c r="F125" s="31" t="n">
        <v>1126.84</v>
      </c>
      <c r="G125" s="31" t="n">
        <v>179.19</v>
      </c>
      <c r="H125" s="31" t="n">
        <v>2.26</v>
      </c>
      <c r="I125" s="31" t="n">
        <v>2505634</v>
      </c>
      <c r="J125" s="31" t="inlineStr">
        <is>
          <t>500119</t>
        </is>
      </c>
    </row>
    <row r="126">
      <c r="A126" s="31" t="inlineStr">
        <is>
          <t>TCPLPACK</t>
        </is>
      </c>
      <c r="B126" s="31" t="inlineStr">
        <is>
          <t>TCPL Packaging Ltd</t>
        </is>
      </c>
      <c r="C126" s="31" t="inlineStr">
        <is>
          <t>industrials</t>
        </is>
      </c>
      <c r="D126" s="31" t="inlineStr">
        <is>
          <t>packaging</t>
        </is>
      </c>
      <c r="E126" s="31" t="inlineStr">
        <is>
          <t>smallcap</t>
        </is>
      </c>
      <c r="F126" s="31" t="n">
        <v>3477.75</v>
      </c>
      <c r="G126" s="31" t="n">
        <v>3908.1</v>
      </c>
      <c r="H126" s="31" t="n">
        <v>2.26</v>
      </c>
      <c r="I126" s="31" t="n">
        <v>17193</v>
      </c>
      <c r="J126" s="31" t="inlineStr">
        <is>
          <t>523301</t>
        </is>
      </c>
    </row>
    <row r="127">
      <c r="A127" s="31" t="inlineStr">
        <is>
          <t>TTKHLTCARE</t>
        </is>
      </c>
      <c r="B127" s="31" t="inlineStr">
        <is>
          <t>Ttk Healthcare Limited</t>
        </is>
      </c>
      <c r="C127" s="31" t="inlineStr">
        <is>
          <t>miscellaneous</t>
        </is>
      </c>
      <c r="D127" s="31" t="inlineStr">
        <is>
          <t>diversified - medium / small</t>
        </is>
      </c>
      <c r="E127" s="31" t="inlineStr">
        <is>
          <t>smallcap</t>
        </is>
      </c>
      <c r="F127" s="31" t="n">
        <v>1602.66</v>
      </c>
      <c r="G127" s="31" t="n">
        <v>1159.7</v>
      </c>
      <c r="H127" s="31" t="n">
        <v>2.25</v>
      </c>
      <c r="I127" s="31" t="n">
        <v>100491</v>
      </c>
      <c r="J127" s="31" t="inlineStr">
        <is>
          <t>507747</t>
        </is>
      </c>
    </row>
    <row r="128">
      <c r="A128" s="31" t="inlineStr">
        <is>
          <t>WELENT</t>
        </is>
      </c>
      <c r="B128" s="31" t="inlineStr">
        <is>
          <t>Welspun Enterprises Limited</t>
        </is>
      </c>
      <c r="C128" s="31" t="inlineStr">
        <is>
          <t>realty</t>
        </is>
      </c>
      <c r="D128" s="31" t="inlineStr">
        <is>
          <t>construction</t>
        </is>
      </c>
      <c r="E128" s="31" t="inlineStr">
        <is>
          <t>midcap</t>
        </is>
      </c>
      <c r="F128" s="31" t="n">
        <v>9277.879999999999</v>
      </c>
      <c r="G128" s="31" t="n">
        <v>685.3</v>
      </c>
      <c r="H128" s="31" t="n">
        <v>2.24</v>
      </c>
      <c r="I128" s="31" t="n">
        <v>336991</v>
      </c>
      <c r="J128" s="31" t="inlineStr">
        <is>
          <t>532553</t>
        </is>
      </c>
    </row>
    <row r="129">
      <c r="A129" s="31" t="inlineStr">
        <is>
          <t>BOSCH-HCIL</t>
        </is>
      </c>
      <c r="B129" s="31" t="inlineStr">
        <is>
          <t>Bosch Home Comfort India Ltd</t>
        </is>
      </c>
      <c r="C129" s="31" t="inlineStr">
        <is>
          <t>consumer discretionary</t>
        </is>
      </c>
      <c r="D129" s="31" t="inlineStr">
        <is>
          <t>air-conditioners</t>
        </is>
      </c>
      <c r="E129" s="31" t="inlineStr">
        <is>
          <t>smallcap</t>
        </is>
      </c>
      <c r="F129" s="31" t="n">
        <v>4609.4</v>
      </c>
      <c r="G129" s="31" t="n">
        <v>1732.4</v>
      </c>
      <c r="H129" s="31" t="n">
        <v>2.19</v>
      </c>
      <c r="I129" s="31" t="n">
        <v>66050</v>
      </c>
      <c r="J129" s="31" t="inlineStr">
        <is>
          <t>523398</t>
        </is>
      </c>
    </row>
    <row r="130">
      <c r="A130" s="31" t="inlineStr">
        <is>
          <t>ICICIBANK</t>
        </is>
      </c>
      <c r="B130" s="31" t="inlineStr">
        <is>
          <t>Icici Bank Limited</t>
        </is>
      </c>
      <c r="C130" s="31" t="inlineStr">
        <is>
          <t>bank</t>
        </is>
      </c>
      <c r="D130" s="31" t="inlineStr">
        <is>
          <t>banks - private sector</t>
        </is>
      </c>
      <c r="E130" s="31" t="inlineStr">
        <is>
          <t>largecap</t>
        </is>
      </c>
      <c r="F130" s="31" t="n">
        <v>1020662.05</v>
      </c>
      <c r="G130" s="31" t="n">
        <v>1454</v>
      </c>
      <c r="H130" s="31" t="n">
        <v>2.19</v>
      </c>
      <c r="I130" s="31" t="n">
        <v>15331697</v>
      </c>
      <c r="J130" s="31" t="inlineStr">
        <is>
          <t>532174</t>
        </is>
      </c>
    </row>
    <row r="131">
      <c r="A131" s="31" t="inlineStr">
        <is>
          <t>STEELCAS</t>
        </is>
      </c>
      <c r="B131" s="31" t="inlineStr">
        <is>
          <t>Steelcast Ltd</t>
        </is>
      </c>
      <c r="C131" s="31" t="inlineStr">
        <is>
          <t>industrials</t>
        </is>
      </c>
      <c r="D131" s="31" t="inlineStr">
        <is>
          <t>castings &amp; forgings</t>
        </is>
      </c>
      <c r="E131" s="31" t="inlineStr">
        <is>
          <t>smallcap</t>
        </is>
      </c>
      <c r="F131" s="31" t="n">
        <v>3464.08</v>
      </c>
      <c r="G131" s="31" t="n">
        <v>349.8</v>
      </c>
      <c r="H131" s="31" t="n">
        <v>2.19</v>
      </c>
      <c r="I131" s="31" t="n">
        <v>56252</v>
      </c>
      <c r="J131" s="31" t="inlineStr">
        <is>
          <t>513517</t>
        </is>
      </c>
    </row>
    <row r="132">
      <c r="A132" s="31" t="inlineStr">
        <is>
          <t>INNOVACAP</t>
        </is>
      </c>
      <c r="B132" s="31" t="inlineStr">
        <is>
          <t>Innova Captab Ltd</t>
        </is>
      </c>
      <c r="C132" s="31" t="inlineStr">
        <is>
          <t>healthcare</t>
        </is>
      </c>
      <c r="D132" s="31" t="inlineStr">
        <is>
          <t>pharmaceuticals - indian - bulk drugs &amp; formln</t>
        </is>
      </c>
      <c r="E132" s="31" t="inlineStr">
        <is>
          <t>midcap</t>
        </is>
      </c>
      <c r="F132" s="31" t="n">
        <v>6037.8</v>
      </c>
      <c r="G132" s="31" t="n">
        <v>1078.1</v>
      </c>
      <c r="H132" s="31" t="n">
        <v>2.18</v>
      </c>
      <c r="I132" s="31" t="n">
        <v>105170</v>
      </c>
      <c r="J132" s="31" t="inlineStr">
        <is>
          <t>544067</t>
        </is>
      </c>
    </row>
    <row r="133">
      <c r="A133" s="31" t="inlineStr">
        <is>
          <t>VSSL</t>
        </is>
      </c>
      <c r="B133" s="31" t="inlineStr">
        <is>
          <t>Vardhman Special Steels Limited</t>
        </is>
      </c>
      <c r="C133" s="31" t="inlineStr">
        <is>
          <t>metals &amp; mining</t>
        </is>
      </c>
      <c r="D133" s="31" t="inlineStr">
        <is>
          <t>steel - medium / small</t>
        </is>
      </c>
      <c r="E133" s="31" t="inlineStr">
        <is>
          <t>smallcap</t>
        </is>
      </c>
      <c r="F133" s="31" t="n">
        <v>3369.98</v>
      </c>
      <c r="G133" s="31" t="n">
        <v>356.15</v>
      </c>
      <c r="H133" s="31" t="n">
        <v>2.18</v>
      </c>
      <c r="I133" s="31" t="n">
        <v>88356</v>
      </c>
      <c r="J133" s="31" t="inlineStr">
        <is>
          <t>534392</t>
        </is>
      </c>
    </row>
    <row r="134">
      <c r="A134" s="31" t="inlineStr">
        <is>
          <t>LTF</t>
        </is>
      </c>
      <c r="B134" s="31" t="inlineStr">
        <is>
          <t>L&amp;T Finance Ltd</t>
        </is>
      </c>
      <c r="C134" s="31" t="inlineStr">
        <is>
          <t>financials</t>
        </is>
      </c>
      <c r="D134" s="31" t="inlineStr">
        <is>
          <t>finance &amp; investments</t>
        </is>
      </c>
      <c r="E134" s="31" t="inlineStr">
        <is>
          <t>largecap</t>
        </is>
      </c>
      <c r="F134" s="31" t="n">
        <v>78748.06</v>
      </c>
      <c r="G134" s="31" t="n">
        <v>321</v>
      </c>
      <c r="H134" s="31" t="n">
        <v>2.13</v>
      </c>
      <c r="I134" s="31" t="n">
        <v>4489382</v>
      </c>
      <c r="J134" s="31" t="inlineStr">
        <is>
          <t>533519</t>
        </is>
      </c>
    </row>
    <row r="135">
      <c r="A135" s="31" t="inlineStr">
        <is>
          <t>BRIGADE</t>
        </is>
      </c>
      <c r="B135" s="31" t="inlineStr">
        <is>
          <t>Brigade Enterprises Limited</t>
        </is>
      </c>
      <c r="C135" s="31" t="inlineStr">
        <is>
          <t>realty</t>
        </is>
      </c>
      <c r="D135" s="31" t="inlineStr">
        <is>
          <t>construction</t>
        </is>
      </c>
      <c r="E135" s="31" t="inlineStr">
        <is>
          <t>largecap</t>
        </is>
      </c>
      <c r="F135" s="31" t="n">
        <v>20947.78</v>
      </c>
      <c r="G135" s="31" t="n">
        <v>655.85</v>
      </c>
      <c r="H135" s="31" t="n">
        <v>2.12</v>
      </c>
      <c r="I135" s="31" t="n">
        <v>345067</v>
      </c>
      <c r="J135" s="31" t="inlineStr">
        <is>
          <t>532929</t>
        </is>
      </c>
    </row>
    <row r="136">
      <c r="A136" s="31" t="inlineStr">
        <is>
          <t>ACMESOLAR</t>
        </is>
      </c>
      <c r="B136" s="31" t="inlineStr">
        <is>
          <t>ACME Solar Holdings Ltd</t>
        </is>
      </c>
      <c r="C136" s="31" t="inlineStr">
        <is>
          <t>realty</t>
        </is>
      </c>
      <c r="D136" s="31" t="inlineStr">
        <is>
          <t>engineering - turnkey services</t>
        </is>
      </c>
      <c r="E136" s="31" t="inlineStr">
        <is>
          <t>largecap</t>
        </is>
      </c>
      <c r="F136" s="31" t="n">
        <v>27829.64</v>
      </c>
      <c r="G136" s="31" t="n">
        <v>401.95</v>
      </c>
      <c r="H136" s="31" t="n">
        <v>2.1</v>
      </c>
      <c r="I136" s="31" t="n">
        <v>3008269</v>
      </c>
      <c r="J136" s="31" t="inlineStr">
        <is>
          <t>544283</t>
        </is>
      </c>
    </row>
    <row r="137">
      <c r="A137" s="31" t="inlineStr">
        <is>
          <t>MCX</t>
        </is>
      </c>
      <c r="B137" s="31" t="inlineStr">
        <is>
          <t>Multi Commodity Exchange Of India Limited</t>
        </is>
      </c>
      <c r="C137" s="31" t="inlineStr">
        <is>
          <t>financials</t>
        </is>
      </c>
      <c r="D137" s="31" t="inlineStr">
        <is>
          <t>miscellaneous</t>
        </is>
      </c>
      <c r="E137" s="31" t="inlineStr">
        <is>
          <t>largecap</t>
        </is>
      </c>
      <c r="F137" s="31" t="n">
        <v>84963.28</v>
      </c>
      <c r="G137" s="31" t="n">
        <v>3400</v>
      </c>
      <c r="H137" s="31" t="n">
        <v>2.04</v>
      </c>
      <c r="I137" s="31" t="n">
        <v>2802136</v>
      </c>
      <c r="J137" s="31" t="inlineStr">
        <is>
          <t>534091</t>
        </is>
      </c>
    </row>
    <row r="138">
      <c r="A138" s="31" t="inlineStr">
        <is>
          <t>RISHABH</t>
        </is>
      </c>
      <c r="B138" s="31" t="inlineStr">
        <is>
          <t>Rishabh Instruments Ltd</t>
        </is>
      </c>
      <c r="C138" s="31" t="inlineStr">
        <is>
          <t>industrials</t>
        </is>
      </c>
      <c r="D138" s="31" t="inlineStr">
        <is>
          <t>electric equipment</t>
        </is>
      </c>
      <c r="E138" s="31" t="inlineStr">
        <is>
          <t>smallcap</t>
        </is>
      </c>
      <c r="F138" s="31" t="n">
        <v>2665.84</v>
      </c>
      <c r="G138" s="31" t="n">
        <v>705.45</v>
      </c>
      <c r="H138" s="31" t="n">
        <v>2</v>
      </c>
      <c r="I138" s="31" t="n">
        <v>182177</v>
      </c>
      <c r="J138" s="31" t="inlineStr">
        <is>
          <t>543977</t>
        </is>
      </c>
    </row>
    <row r="139">
      <c r="A139" s="31" t="inlineStr">
        <is>
          <t>SBCL</t>
        </is>
      </c>
      <c r="B139" s="31" t="inlineStr">
        <is>
          <t>Shivalik Bimetal Controls Ltd</t>
        </is>
      </c>
      <c r="C139" s="31" t="inlineStr">
        <is>
          <t>metals &amp; mining</t>
        </is>
      </c>
      <c r="D139" s="31" t="inlineStr">
        <is>
          <t>mining / minerals / metals</t>
        </is>
      </c>
      <c r="E139" s="31" t="inlineStr">
        <is>
          <t>midcap</t>
        </is>
      </c>
      <c r="F139" s="31" t="n">
        <v>6043.83</v>
      </c>
      <c r="G139" s="31" t="n">
        <v>1070</v>
      </c>
      <c r="H139" s="31" t="n">
        <v>1.98</v>
      </c>
      <c r="I139" s="31" t="n">
        <v>466545</v>
      </c>
      <c r="J139" s="31" t="inlineStr">
        <is>
          <t>513097</t>
        </is>
      </c>
    </row>
    <row r="140">
      <c r="A140" s="31" t="inlineStr">
        <is>
          <t>SUTLEJTEX</t>
        </is>
      </c>
      <c r="B140" s="31" t="inlineStr">
        <is>
          <t>Sutlej Textiles And Industries Limited</t>
        </is>
      </c>
      <c r="C140" s="31" t="inlineStr">
        <is>
          <t>textiles</t>
        </is>
      </c>
      <c r="D140" s="31" t="inlineStr">
        <is>
          <t>textiles - cotton/blended</t>
        </is>
      </c>
      <c r="E140" s="31" t="inlineStr">
        <is>
          <t>smallcap</t>
        </is>
      </c>
      <c r="F140" s="31" t="n">
        <v>643.85</v>
      </c>
      <c r="G140" s="31" t="n">
        <v>40.07</v>
      </c>
      <c r="H140" s="31" t="n">
        <v>1.96</v>
      </c>
      <c r="I140" s="31" t="n">
        <v>19342</v>
      </c>
      <c r="J140" s="31" t="inlineStr">
        <is>
          <t>532782</t>
        </is>
      </c>
    </row>
    <row r="141">
      <c r="A141" s="31" t="inlineStr">
        <is>
          <t>SUBEXLTD</t>
        </is>
      </c>
      <c r="B141" s="31" t="inlineStr">
        <is>
          <t>Subex Ltd</t>
        </is>
      </c>
      <c r="C141" s="31" t="inlineStr">
        <is>
          <t>i.t</t>
        </is>
      </c>
      <c r="D141" s="31" t="inlineStr">
        <is>
          <t>computers - software - medium / small</t>
        </is>
      </c>
      <c r="E141" s="31" t="inlineStr">
        <is>
          <t>smallcap</t>
        </is>
      </c>
      <c r="F141" s="31" t="n">
        <v>1018.91</v>
      </c>
      <c r="G141" s="31" t="n">
        <v>18.48</v>
      </c>
      <c r="H141" s="31" t="n">
        <v>1.93</v>
      </c>
      <c r="I141" s="31" t="n">
        <v>3529283</v>
      </c>
      <c r="J141" s="31" t="inlineStr">
        <is>
          <t>532348</t>
        </is>
      </c>
    </row>
    <row r="142">
      <c r="A142" s="31" t="inlineStr">
        <is>
          <t>CONFIPET</t>
        </is>
      </c>
      <c r="B142" s="31" t="inlineStr">
        <is>
          <t>Confidence Petroleum India Ltd</t>
        </is>
      </c>
      <c r="C142" s="31" t="inlineStr">
        <is>
          <t>miscellaneous</t>
        </is>
      </c>
      <c r="D142" s="31" t="inlineStr">
        <is>
          <t>miscellaneous</t>
        </is>
      </c>
      <c r="E142" s="31" t="inlineStr">
        <is>
          <t>smallcap</t>
        </is>
      </c>
      <c r="F142" s="31" t="n">
        <v>2653.61</v>
      </c>
      <c r="G142" s="31" t="n">
        <v>81.37</v>
      </c>
      <c r="H142" s="31" t="n">
        <v>1.88</v>
      </c>
      <c r="I142" s="31" t="n">
        <v>3471549</v>
      </c>
      <c r="J142" s="31" t="inlineStr">
        <is>
          <t>526829</t>
        </is>
      </c>
    </row>
    <row r="143">
      <c r="A143" s="31" t="inlineStr">
        <is>
          <t>CRISIL</t>
        </is>
      </c>
      <c r="B143" s="31" t="inlineStr">
        <is>
          <t>Crisil Limited</t>
        </is>
      </c>
      <c r="C143" s="31" t="inlineStr">
        <is>
          <t>financials</t>
        </is>
      </c>
      <c r="D143" s="31" t="inlineStr">
        <is>
          <t>miscellaneous</t>
        </is>
      </c>
      <c r="E143" s="31" t="inlineStr">
        <is>
          <t>largecap</t>
        </is>
      </c>
      <c r="F143" s="31" t="n">
        <v>34610.24</v>
      </c>
      <c r="G143" s="31" t="n">
        <v>4821.8</v>
      </c>
      <c r="H143" s="31" t="n">
        <v>1.88</v>
      </c>
      <c r="I143" s="31" t="n">
        <v>120068</v>
      </c>
      <c r="J143" s="31" t="inlineStr">
        <is>
          <t>500092</t>
        </is>
      </c>
    </row>
    <row r="144">
      <c r="A144" s="31" t="inlineStr">
        <is>
          <t>GARFIBRES</t>
        </is>
      </c>
      <c r="B144" s="31" t="inlineStr">
        <is>
          <t>Garware Technical Fibres Ltd</t>
        </is>
      </c>
      <c r="C144" s="31" t="inlineStr">
        <is>
          <t>textiles</t>
        </is>
      </c>
      <c r="D144" s="31" t="inlineStr">
        <is>
          <t>textiles - products</t>
        </is>
      </c>
      <c r="E144" s="31" t="inlineStr">
        <is>
          <t>midcap</t>
        </is>
      </c>
      <c r="F144" s="31" t="n">
        <v>7802.1</v>
      </c>
      <c r="G144" s="31" t="n">
        <v>813.85</v>
      </c>
      <c r="H144" s="31" t="n">
        <v>1.86</v>
      </c>
      <c r="I144" s="31" t="n">
        <v>53462</v>
      </c>
      <c r="J144" s="31" t="inlineStr">
        <is>
          <t>509557</t>
        </is>
      </c>
    </row>
    <row r="145">
      <c r="A145" s="31" t="inlineStr">
        <is>
          <t>NAVINFLUOR</t>
        </is>
      </c>
      <c r="B145" s="31" t="inlineStr">
        <is>
          <t>Navin Fluorine International Limited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largecap</t>
        </is>
      </c>
      <c r="F145" s="31" t="n">
        <v>43687.24</v>
      </c>
      <c r="G145" s="31" t="n">
        <v>8675.5</v>
      </c>
      <c r="H145" s="31" t="n">
        <v>1.86</v>
      </c>
      <c r="I145" s="31" t="n">
        <v>216396</v>
      </c>
      <c r="J145" s="31" t="inlineStr">
        <is>
          <t>532504</t>
        </is>
      </c>
    </row>
    <row r="146">
      <c r="A146" s="31" t="inlineStr">
        <is>
          <t>MAGADSUGAR</t>
        </is>
      </c>
      <c r="B146" s="31" t="inlineStr">
        <is>
          <t>Magadh Sugar &amp; Energy Ltd</t>
        </is>
      </c>
      <c r="C146" s="31" t="inlineStr">
        <is>
          <t>fmcg</t>
        </is>
      </c>
      <c r="D146" s="31" t="inlineStr">
        <is>
          <t>sugar</t>
        </is>
      </c>
      <c r="E146" s="31" t="inlineStr">
        <is>
          <t>smallcap</t>
        </is>
      </c>
      <c r="F146" s="31" t="n">
        <v>823.16</v>
      </c>
      <c r="G146" s="31" t="n">
        <v>595</v>
      </c>
      <c r="H146" s="31" t="n">
        <v>1.86</v>
      </c>
      <c r="I146" s="31" t="n">
        <v>77937</v>
      </c>
      <c r="J146" s="31" t="inlineStr">
        <is>
          <t>540650</t>
        </is>
      </c>
    </row>
    <row r="147">
      <c r="A147" s="31" t="inlineStr">
        <is>
          <t>BAJAJ-AUTO</t>
        </is>
      </c>
      <c r="B147" s="31" t="inlineStr">
        <is>
          <t>Bajaj Auto Limited</t>
        </is>
      </c>
      <c r="C147" s="31" t="inlineStr">
        <is>
          <t>auto</t>
        </is>
      </c>
      <c r="D147" s="31" t="inlineStr">
        <is>
          <t>automobiles - scooters and 3 - wheelers</t>
        </is>
      </c>
      <c r="E147" s="31" t="inlineStr">
        <is>
          <t>largecap</t>
        </is>
      </c>
      <c r="F147" s="31" t="n">
        <v>332881.93</v>
      </c>
      <c r="G147" s="31" t="n">
        <v>12130</v>
      </c>
      <c r="H147" s="31" t="n">
        <v>1.85</v>
      </c>
      <c r="I147" s="31" t="n">
        <v>355561</v>
      </c>
      <c r="J147" s="31" t="inlineStr">
        <is>
          <t>532977</t>
        </is>
      </c>
    </row>
    <row r="148">
      <c r="A148" s="31" t="inlineStr">
        <is>
          <t>INDIANB</t>
        </is>
      </c>
      <c r="B148" s="31" t="inlineStr">
        <is>
          <t>Indian Bank Ltd</t>
        </is>
      </c>
      <c r="C148" s="31" t="inlineStr">
        <is>
          <t>bank</t>
        </is>
      </c>
      <c r="D148" s="31" t="inlineStr">
        <is>
          <t>banks - public sector</t>
        </is>
      </c>
      <c r="E148" s="31" t="inlineStr">
        <is>
          <t>largecap</t>
        </is>
      </c>
      <c r="F148" s="31" t="n">
        <v>118856.1</v>
      </c>
      <c r="G148" s="31" t="n">
        <v>898.75</v>
      </c>
      <c r="H148" s="31" t="n">
        <v>1.85</v>
      </c>
      <c r="I148" s="31" t="n">
        <v>1651759</v>
      </c>
      <c r="J148" s="31" t="inlineStr">
        <is>
          <t>532814</t>
        </is>
      </c>
    </row>
    <row r="149">
      <c r="A149" s="31" t="inlineStr">
        <is>
          <t>EMIL</t>
        </is>
      </c>
      <c r="B149" s="31" t="inlineStr">
        <is>
          <t>Electronics Mart India Ltd</t>
        </is>
      </c>
      <c r="C149" s="31" t="inlineStr">
        <is>
          <t>consumer discretionary</t>
        </is>
      </c>
      <c r="D149" s="31" t="inlineStr">
        <is>
          <t>trading</t>
        </is>
      </c>
      <c r="E149" s="31" t="inlineStr">
        <is>
          <t>midcap</t>
        </is>
      </c>
      <c r="F149" s="31" t="n">
        <v>6823.52</v>
      </c>
      <c r="G149" s="31" t="n">
        <v>180.61</v>
      </c>
      <c r="H149" s="31" t="n">
        <v>1.84</v>
      </c>
      <c r="I149" s="31" t="n">
        <v>1214913</v>
      </c>
      <c r="J149" s="31" t="inlineStr">
        <is>
          <t>543626</t>
        </is>
      </c>
    </row>
    <row r="150">
      <c r="A150" s="31" t="inlineStr">
        <is>
          <t>TEJASNET</t>
        </is>
      </c>
      <c r="B150" s="31" t="inlineStr">
        <is>
          <t>Tejas Networks Ltd</t>
        </is>
      </c>
      <c r="C150" s="31" t="inlineStr">
        <is>
          <t>telecom</t>
        </is>
      </c>
      <c r="D150" s="31" t="inlineStr">
        <is>
          <t>telecommunications - equipment</t>
        </is>
      </c>
      <c r="E150" s="31" t="inlineStr">
        <is>
          <t>midcap</t>
        </is>
      </c>
      <c r="F150" s="31" t="n">
        <v>9791.24</v>
      </c>
      <c r="G150" s="31" t="n">
        <v>559.75</v>
      </c>
      <c r="H150" s="31" t="n">
        <v>1.75</v>
      </c>
      <c r="I150" s="31" t="n">
        <v>6707173</v>
      </c>
      <c r="J150" s="31" t="inlineStr">
        <is>
          <t>540595</t>
        </is>
      </c>
    </row>
    <row r="151">
      <c r="A151" s="31" t="inlineStr">
        <is>
          <t>KINGFA</t>
        </is>
      </c>
      <c r="B151" s="31" t="inlineStr">
        <is>
          <t>Kingfa Science &amp; Technology (india) Limited</t>
        </is>
      </c>
      <c r="C151" s="31" t="inlineStr">
        <is>
          <t>plastic products</t>
        </is>
      </c>
      <c r="D151" s="31" t="inlineStr">
        <is>
          <t>plastics products</t>
        </is>
      </c>
      <c r="E151" s="31" t="inlineStr">
        <is>
          <t>midcap</t>
        </is>
      </c>
      <c r="F151" s="31" t="n">
        <v>8059.01</v>
      </c>
      <c r="G151" s="31" t="n">
        <v>6050.5</v>
      </c>
      <c r="H151" s="31" t="n">
        <v>1.74</v>
      </c>
      <c r="I151" s="31" t="n">
        <v>9546</v>
      </c>
      <c r="J151" s="31" t="inlineStr">
        <is>
          <t>524019</t>
        </is>
      </c>
    </row>
    <row r="152">
      <c r="A152" s="31" t="inlineStr">
        <is>
          <t>JSWDULUX</t>
        </is>
      </c>
      <c r="B152" s="31" t="inlineStr">
        <is>
          <t>JSW Dulux Ltd</t>
        </is>
      </c>
      <c r="C152" s="31" t="inlineStr">
        <is>
          <t>building materials</t>
        </is>
      </c>
      <c r="D152" s="31" t="inlineStr">
        <is>
          <t>paints / varnishes</t>
        </is>
      </c>
      <c r="E152" s="31" t="inlineStr">
        <is>
          <t>midcap</t>
        </is>
      </c>
      <c r="F152" s="31" t="n">
        <v>14166.68</v>
      </c>
      <c r="G152" s="31" t="n">
        <v>3164.5</v>
      </c>
      <c r="H152" s="31" t="n">
        <v>1.73</v>
      </c>
      <c r="I152" s="31" t="n">
        <v>23185</v>
      </c>
      <c r="J152" s="31" t="inlineStr">
        <is>
          <t>500710</t>
        </is>
      </c>
    </row>
    <row r="153">
      <c r="A153" s="31" t="inlineStr">
        <is>
          <t>ABB</t>
        </is>
      </c>
      <c r="B153" s="31" t="inlineStr">
        <is>
          <t>Abb India Limited</t>
        </is>
      </c>
      <c r="C153" s="31" t="inlineStr">
        <is>
          <t>industrials</t>
        </is>
      </c>
      <c r="D153" s="31" t="inlineStr">
        <is>
          <t>electric equipment</t>
        </is>
      </c>
      <c r="E153" s="31" t="inlineStr">
        <is>
          <t>largecap</t>
        </is>
      </c>
      <c r="F153" s="31" t="n">
        <v>159122</v>
      </c>
      <c r="G153" s="31" t="n">
        <v>7638.5</v>
      </c>
      <c r="H153" s="31" t="n">
        <v>1.72</v>
      </c>
      <c r="I153" s="31" t="n">
        <v>227223</v>
      </c>
      <c r="J153" s="31" t="inlineStr">
        <is>
          <t>500002</t>
        </is>
      </c>
    </row>
    <row r="154">
      <c r="A154" s="31" t="inlineStr">
        <is>
          <t>SPORTKING</t>
        </is>
      </c>
      <c r="B154" s="31" t="inlineStr">
        <is>
          <t>Sportking India Ltd</t>
        </is>
      </c>
      <c r="C154" s="31" t="inlineStr">
        <is>
          <t>textiles</t>
        </is>
      </c>
      <c r="D154" s="31" t="inlineStr">
        <is>
          <t>textiles - spinning - synthetic / blended</t>
        </is>
      </c>
      <c r="E154" s="31" t="inlineStr">
        <is>
          <t>smallcap</t>
        </is>
      </c>
      <c r="F154" s="31" t="n">
        <v>2832.94</v>
      </c>
      <c r="G154" s="31" t="n">
        <v>226.71</v>
      </c>
      <c r="H154" s="31" t="n">
        <v>1.69</v>
      </c>
      <c r="I154" s="31" t="n">
        <v>338311</v>
      </c>
      <c r="J154" s="31" t="inlineStr">
        <is>
          <t>539221</t>
        </is>
      </c>
    </row>
    <row r="155">
      <c r="A155" s="31" t="inlineStr">
        <is>
          <t>NMDC</t>
        </is>
      </c>
      <c r="B155" s="31" t="inlineStr">
        <is>
          <t>Nmdc Limited</t>
        </is>
      </c>
      <c r="C155" s="31" t="inlineStr">
        <is>
          <t>metals &amp; mining</t>
        </is>
      </c>
      <c r="D155" s="31" t="inlineStr">
        <is>
          <t>mining / minerals / metals</t>
        </is>
      </c>
      <c r="E155" s="31" t="inlineStr">
        <is>
          <t>largecap</t>
        </is>
      </c>
      <c r="F155" s="31" t="n">
        <v>76277.81</v>
      </c>
      <c r="G155" s="31" t="n">
        <v>88.2</v>
      </c>
      <c r="H155" s="31" t="n">
        <v>1.66</v>
      </c>
      <c r="I155" s="31" t="n">
        <v>16906053</v>
      </c>
      <c r="J155" s="31" t="inlineStr">
        <is>
          <t>526371</t>
        </is>
      </c>
    </row>
    <row r="156">
      <c r="A156" s="31" t="inlineStr">
        <is>
          <t>ANDHRSUGAR</t>
        </is>
      </c>
      <c r="B156" s="31" t="inlineStr">
        <is>
          <t>The Andhra Sugars Limited</t>
        </is>
      </c>
      <c r="C156" s="31" t="inlineStr">
        <is>
          <t>chemicals</t>
        </is>
      </c>
      <c r="D156" s="31" t="inlineStr">
        <is>
          <t>chlor alkali / soda ash</t>
        </is>
      </c>
      <c r="E156" s="31" t="inlineStr">
        <is>
          <t>smallcap</t>
        </is>
      </c>
      <c r="F156" s="31" t="n">
        <v>1328.52</v>
      </c>
      <c r="G156" s="31" t="n">
        <v>99.64</v>
      </c>
      <c r="H156" s="31" t="n">
        <v>1.65</v>
      </c>
      <c r="I156" s="31" t="n">
        <v>1062628</v>
      </c>
      <c r="J156" s="31" t="inlineStr">
        <is>
          <t>590062</t>
        </is>
      </c>
    </row>
    <row r="157">
      <c r="A157" s="31" t="inlineStr">
        <is>
          <t>DLF</t>
        </is>
      </c>
      <c r="B157" s="31" t="inlineStr">
        <is>
          <t>Dlf Limited</t>
        </is>
      </c>
      <c r="C157" s="31" t="inlineStr">
        <is>
          <t>realty</t>
        </is>
      </c>
      <c r="D157" s="31" t="inlineStr">
        <is>
          <t>construction</t>
        </is>
      </c>
      <c r="E157" s="31" t="inlineStr">
        <is>
          <t>largecap</t>
        </is>
      </c>
      <c r="F157" s="31" t="n">
        <v>168271.69</v>
      </c>
      <c r="G157" s="31" t="n">
        <v>691.05</v>
      </c>
      <c r="H157" s="31" t="n">
        <v>1.65</v>
      </c>
      <c r="I157" s="31" t="n">
        <v>3152072</v>
      </c>
      <c r="J157" s="31" t="inlineStr">
        <is>
          <t>532868</t>
        </is>
      </c>
    </row>
    <row r="158">
      <c r="A158" s="31" t="inlineStr">
        <is>
          <t>LTFOODS</t>
        </is>
      </c>
      <c r="B158" s="31" t="inlineStr">
        <is>
          <t>L T Foods Ltd</t>
        </is>
      </c>
      <c r="C158" s="31" t="inlineStr">
        <is>
          <t>fmcg</t>
        </is>
      </c>
      <c r="D158" s="31" t="inlineStr">
        <is>
          <t>food - processing - indian</t>
        </is>
      </c>
      <c r="E158" s="31" t="inlineStr">
        <is>
          <t>midcap</t>
        </is>
      </c>
      <c r="F158" s="31" t="n">
        <v>15256.56</v>
      </c>
      <c r="G158" s="31" t="n">
        <v>446.55</v>
      </c>
      <c r="H158" s="31" t="n">
        <v>1.64</v>
      </c>
      <c r="I158" s="31" t="n">
        <v>1011116</v>
      </c>
      <c r="J158" s="31" t="inlineStr">
        <is>
          <t>532783</t>
        </is>
      </c>
    </row>
    <row r="159">
      <c r="A159" s="31" t="inlineStr">
        <is>
          <t>SAGILITY</t>
        </is>
      </c>
      <c r="B159" s="31" t="inlineStr">
        <is>
          <t>Sagility India Ltd</t>
        </is>
      </c>
      <c r="C159" s="31" t="inlineStr">
        <is>
          <t>i.t</t>
        </is>
      </c>
      <c r="D159" s="31" t="inlineStr">
        <is>
          <t>computers - software - medium / small</t>
        </is>
      </c>
      <c r="E159" s="31" t="inlineStr">
        <is>
          <t>largecap</t>
        </is>
      </c>
      <c r="F159" s="31" t="n">
        <v>21693.28</v>
      </c>
      <c r="G159" s="31" t="n">
        <v>47.05</v>
      </c>
      <c r="H159" s="31" t="n">
        <v>1.53</v>
      </c>
      <c r="I159" s="31" t="n">
        <v>64918282</v>
      </c>
      <c r="J159" s="31" t="inlineStr">
        <is>
          <t>544282</t>
        </is>
      </c>
    </row>
    <row r="160">
      <c r="A160" s="31" t="inlineStr">
        <is>
          <t>FCL</t>
        </is>
      </c>
      <c r="B160" s="31" t="inlineStr">
        <is>
          <t>Fineotex Chemical Limited</t>
        </is>
      </c>
      <c r="C160" s="31" t="inlineStr">
        <is>
          <t>chemicals</t>
        </is>
      </c>
      <c r="D160" s="31" t="inlineStr">
        <is>
          <t>chemicals</t>
        </is>
      </c>
      <c r="E160" s="31" t="inlineStr">
        <is>
          <t>midcap</t>
        </is>
      </c>
      <c r="F160" s="31" t="n">
        <v>5826</v>
      </c>
      <c r="G160" s="31" t="n">
        <v>50.79</v>
      </c>
      <c r="H160" s="31" t="n">
        <v>1.52</v>
      </c>
      <c r="I160" s="31" t="n">
        <v>17237022</v>
      </c>
      <c r="J160" s="31" t="inlineStr">
        <is>
          <t>533333</t>
        </is>
      </c>
    </row>
    <row r="161">
      <c r="A161" s="31" t="inlineStr">
        <is>
          <t>EDELWEISS</t>
        </is>
      </c>
      <c r="B161" s="31" t="inlineStr">
        <is>
          <t>Edelweiss Financial Services Limited</t>
        </is>
      </c>
      <c r="C161" s="31" t="inlineStr">
        <is>
          <t>financials</t>
        </is>
      </c>
      <c r="D161" s="31" t="inlineStr">
        <is>
          <t>finance &amp; investments</t>
        </is>
      </c>
      <c r="E161" s="31" t="inlineStr">
        <is>
          <t>midcap</t>
        </is>
      </c>
      <c r="F161" s="31" t="n">
        <v>11871.4</v>
      </c>
      <c r="G161" s="31" t="n">
        <v>127.31</v>
      </c>
      <c r="H161" s="31" t="n">
        <v>1.51</v>
      </c>
      <c r="I161" s="31" t="n">
        <v>5879760</v>
      </c>
      <c r="J161" s="31" t="inlineStr">
        <is>
          <t>532922</t>
        </is>
      </c>
    </row>
    <row r="162">
      <c r="A162" s="31" t="inlineStr">
        <is>
          <t>BPCL</t>
        </is>
      </c>
      <c r="B162" s="31" t="inlineStr">
        <is>
          <t>Bharat Petroleum Corporation Limited</t>
        </is>
      </c>
      <c r="C162" s="31" t="inlineStr">
        <is>
          <t>energy</t>
        </is>
      </c>
      <c r="D162" s="31" t="inlineStr">
        <is>
          <t>refineries</t>
        </is>
      </c>
      <c r="E162" s="31" t="inlineStr">
        <is>
          <t>largecap</t>
        </is>
      </c>
      <c r="F162" s="31" t="n">
        <v>138506.79</v>
      </c>
      <c r="G162" s="31" t="n">
        <v>324.05</v>
      </c>
      <c r="H162" s="31" t="n">
        <v>1.5</v>
      </c>
      <c r="I162" s="31" t="n">
        <v>8129191</v>
      </c>
      <c r="J162" s="31" t="inlineStr">
        <is>
          <t>500547</t>
        </is>
      </c>
    </row>
    <row r="163">
      <c r="A163" s="31" t="inlineStr">
        <is>
          <t>SHANTIGEAR</t>
        </is>
      </c>
      <c r="B163" s="31" t="inlineStr">
        <is>
          <t>Shanthi Gears Limited</t>
        </is>
      </c>
      <c r="C163" s="31" t="inlineStr">
        <is>
          <t>industrials</t>
        </is>
      </c>
      <c r="D163" s="31" t="inlineStr">
        <is>
          <t>engineering</t>
        </is>
      </c>
      <c r="E163" s="31" t="inlineStr">
        <is>
          <t>smallcap</t>
        </is>
      </c>
      <c r="F163" s="31" t="n">
        <v>3971.96</v>
      </c>
      <c r="G163" s="31" t="n">
        <v>525.5</v>
      </c>
      <c r="H163" s="31" t="n">
        <v>1.5</v>
      </c>
      <c r="I163" s="31" t="n">
        <v>188065</v>
      </c>
      <c r="J163" s="31" t="inlineStr">
        <is>
          <t>522034</t>
        </is>
      </c>
    </row>
    <row r="164">
      <c r="A164" s="31" t="inlineStr">
        <is>
          <t>SETL</t>
        </is>
      </c>
      <c r="B164" s="31" t="inlineStr">
        <is>
          <t>Standard Enginnering Technology Ltd</t>
        </is>
      </c>
      <c r="C164" s="31" t="inlineStr">
        <is>
          <t>industrials</t>
        </is>
      </c>
      <c r="D164" s="31" t="inlineStr">
        <is>
          <t>engineering</t>
        </is>
      </c>
      <c r="E164" s="31" t="inlineStr">
        <is>
          <t>midcap</t>
        </is>
      </c>
      <c r="F164" s="31" t="n">
        <v>7265.49</v>
      </c>
      <c r="G164" s="31" t="n">
        <v>369.5</v>
      </c>
      <c r="H164" s="31" t="n">
        <v>1.46</v>
      </c>
      <c r="I164" s="31" t="n">
        <v>2536650</v>
      </c>
      <c r="J164" s="31" t="inlineStr">
        <is>
          <t>544333</t>
        </is>
      </c>
    </row>
    <row r="165">
      <c r="A165" s="31" t="inlineStr">
        <is>
          <t>DBOL</t>
        </is>
      </c>
      <c r="B165" s="31" t="inlineStr">
        <is>
          <t>Dhampur Bio Organics Ltd</t>
        </is>
      </c>
      <c r="C165" s="31" t="inlineStr">
        <is>
          <t>fmcg</t>
        </is>
      </c>
      <c r="D165" s="31" t="inlineStr">
        <is>
          <t>sugar</t>
        </is>
      </c>
      <c r="E165" s="31" t="inlineStr">
        <is>
          <t>smallcap</t>
        </is>
      </c>
      <c r="F165" s="31" t="n">
        <v>832.63</v>
      </c>
      <c r="G165" s="31" t="n">
        <v>127.24</v>
      </c>
      <c r="H165" s="31" t="n">
        <v>1.45</v>
      </c>
      <c r="I165" s="31" t="n">
        <v>375959</v>
      </c>
      <c r="J165" s="31" t="inlineStr">
        <is>
          <t>543593</t>
        </is>
      </c>
    </row>
    <row r="166">
      <c r="A166" s="31" t="inlineStr">
        <is>
          <t>KTKBANK</t>
        </is>
      </c>
      <c r="B166" s="31" t="inlineStr">
        <is>
          <t>The Karnataka Bank Limited</t>
        </is>
      </c>
      <c r="C166" s="31" t="inlineStr">
        <is>
          <t>bank</t>
        </is>
      </c>
      <c r="D166" s="31" t="inlineStr">
        <is>
          <t>banks - private sector</t>
        </is>
      </c>
      <c r="E166" s="31" t="inlineStr">
        <is>
          <t>midcap</t>
        </is>
      </c>
      <c r="F166" s="31" t="n">
        <v>12493.95</v>
      </c>
      <c r="G166" s="31" t="n">
        <v>335.15</v>
      </c>
      <c r="H166" s="31" t="n">
        <v>1.45</v>
      </c>
      <c r="I166" s="31" t="n">
        <v>4358321</v>
      </c>
      <c r="J166" s="31" t="inlineStr">
        <is>
          <t>532652</t>
        </is>
      </c>
    </row>
    <row r="167">
      <c r="A167" s="31" t="inlineStr">
        <is>
          <t>SOLARA</t>
        </is>
      </c>
      <c r="B167" s="31" t="inlineStr">
        <is>
          <t>Solara Active Pharma Sciences Ltd</t>
        </is>
      </c>
      <c r="C167" s="31" t="inlineStr">
        <is>
          <t>healthcare</t>
        </is>
      </c>
      <c r="D167" s="31" t="inlineStr">
        <is>
          <t>pharmaceuticals - indian - bulk drugs &amp; formln</t>
        </is>
      </c>
      <c r="E167" s="31" t="inlineStr">
        <is>
          <t>smallcap</t>
        </is>
      </c>
      <c r="F167" s="31" t="n">
        <v>3009.1</v>
      </c>
      <c r="G167" s="31" t="n">
        <v>632.65</v>
      </c>
      <c r="H167" s="31" t="n">
        <v>1.44</v>
      </c>
      <c r="I167" s="31" t="n">
        <v>225921</v>
      </c>
      <c r="J167" s="31" t="inlineStr">
        <is>
          <t>541540</t>
        </is>
      </c>
    </row>
    <row r="168">
      <c r="A168" s="31" t="inlineStr">
        <is>
          <t>UNIONBANK</t>
        </is>
      </c>
      <c r="B168" s="31" t="inlineStr">
        <is>
          <t>Union Bank Of India Ltd</t>
        </is>
      </c>
      <c r="C168" s="31" t="inlineStr">
        <is>
          <t>bank</t>
        </is>
      </c>
      <c r="D168" s="31" t="inlineStr">
        <is>
          <t>banks - public sector</t>
        </is>
      </c>
      <c r="E168" s="31" t="inlineStr">
        <is>
          <t>largecap</t>
        </is>
      </c>
      <c r="F168" s="31" t="n">
        <v>141985.06</v>
      </c>
      <c r="G168" s="31" t="n">
        <v>188.63</v>
      </c>
      <c r="H168" s="31" t="n">
        <v>1.41</v>
      </c>
      <c r="I168" s="31" t="n">
        <v>9767401</v>
      </c>
      <c r="J168" s="31" t="inlineStr">
        <is>
          <t>532477</t>
        </is>
      </c>
    </row>
    <row r="169">
      <c r="A169" s="31" t="inlineStr">
        <is>
          <t>DIXON</t>
        </is>
      </c>
      <c r="B169" s="31" t="inlineStr">
        <is>
          <t>Dixon Technologies Ltd</t>
        </is>
      </c>
      <c r="C169" s="31" t="inlineStr">
        <is>
          <t>consumer discretionary</t>
        </is>
      </c>
      <c r="D169" s="31" t="inlineStr">
        <is>
          <t>electronics - consumer</t>
        </is>
      </c>
      <c r="E169" s="31" t="inlineStr">
        <is>
          <t>largecap</t>
        </is>
      </c>
      <c r="F169" s="31" t="n">
        <v>89490.87</v>
      </c>
      <c r="G169" s="31" t="n">
        <v>14850</v>
      </c>
      <c r="H169" s="31" t="n">
        <v>1.37</v>
      </c>
      <c r="I169" s="31" t="n">
        <v>190912</v>
      </c>
      <c r="J169" s="31" t="inlineStr">
        <is>
          <t>540699</t>
        </is>
      </c>
    </row>
    <row r="170">
      <c r="A170" s="31" t="inlineStr">
        <is>
          <t>TBZ</t>
        </is>
      </c>
      <c r="B170" s="31" t="inlineStr">
        <is>
          <t>Tribhovandas Bhimji Zaveri Limited</t>
        </is>
      </c>
      <c r="C170" s="31" t="inlineStr">
        <is>
          <t>consumer discretionary</t>
        </is>
      </c>
      <c r="D170" s="31" t="inlineStr">
        <is>
          <t>diamond cutting / jewellery</t>
        </is>
      </c>
      <c r="E170" s="31" t="inlineStr">
        <is>
          <t>smallcap</t>
        </is>
      </c>
      <c r="F170" s="31" t="n">
        <v>2013.26</v>
      </c>
      <c r="G170" s="31" t="n">
        <v>305.7</v>
      </c>
      <c r="H170" s="31" t="n">
        <v>1.33</v>
      </c>
      <c r="I170" s="31" t="n">
        <v>1158968</v>
      </c>
      <c r="J170" s="31" t="inlineStr">
        <is>
          <t>534369</t>
        </is>
      </c>
    </row>
    <row r="171">
      <c r="A171" s="31" t="inlineStr">
        <is>
          <t>MMFL</t>
        </is>
      </c>
      <c r="B171" s="31" t="inlineStr">
        <is>
          <t>Mm Forgings Limited</t>
        </is>
      </c>
      <c r="C171" s="31" t="inlineStr">
        <is>
          <t>industrials</t>
        </is>
      </c>
      <c r="D171" s="31" t="inlineStr">
        <is>
          <t>castings &amp; forgings</t>
        </is>
      </c>
      <c r="E171" s="31" t="inlineStr">
        <is>
          <t>smallcap</t>
        </is>
      </c>
      <c r="F171" s="31" t="n">
        <v>3098.23</v>
      </c>
      <c r="G171" s="31" t="n">
        <v>650.1</v>
      </c>
      <c r="H171" s="31" t="n">
        <v>1.31</v>
      </c>
      <c r="I171" s="31" t="n">
        <v>140309</v>
      </c>
      <c r="J171" s="31" t="inlineStr">
        <is>
          <t>522241</t>
        </is>
      </c>
    </row>
    <row r="172">
      <c r="A172" s="31" t="inlineStr">
        <is>
          <t>RPEL</t>
        </is>
      </c>
      <c r="B172" s="31" t="inlineStr">
        <is>
          <t>Raghav Productivity Enhancers Ltd</t>
        </is>
      </c>
      <c r="C172" s="31" t="inlineStr">
        <is>
          <t>building materials</t>
        </is>
      </c>
      <c r="D172" s="31" t="inlineStr">
        <is>
          <t>refractories / intermediates</t>
        </is>
      </c>
      <c r="E172" s="31" t="inlineStr">
        <is>
          <t>midcap</t>
        </is>
      </c>
      <c r="F172" s="31" t="n">
        <v>8028.99</v>
      </c>
      <c r="G172" s="31" t="n">
        <v>1771.2</v>
      </c>
      <c r="H172" s="31" t="n">
        <v>1.3</v>
      </c>
      <c r="I172" s="31" t="n">
        <v>122182</v>
      </c>
      <c r="J172" s="31" t="inlineStr">
        <is>
          <t>539837</t>
        </is>
      </c>
    </row>
    <row r="173">
      <c r="A173" s="31" t="inlineStr">
        <is>
          <t>DALMIASUG</t>
        </is>
      </c>
      <c r="B173" s="31" t="inlineStr">
        <is>
          <t>Dalmia Bharat Sugar And Industries Limited</t>
        </is>
      </c>
      <c r="C173" s="31" t="inlineStr">
        <is>
          <t>fmcg</t>
        </is>
      </c>
      <c r="D173" s="31" t="inlineStr">
        <is>
          <t>sugar</t>
        </is>
      </c>
      <c r="E173" s="31" t="inlineStr">
        <is>
          <t>smallcap</t>
        </is>
      </c>
      <c r="F173" s="31" t="n">
        <v>3868.49</v>
      </c>
      <c r="G173" s="31" t="n">
        <v>484.15</v>
      </c>
      <c r="H173" s="31" t="n">
        <v>1.3</v>
      </c>
      <c r="I173" s="31" t="n">
        <v>999987</v>
      </c>
      <c r="J173" s="31" t="inlineStr">
        <is>
          <t>500097</t>
        </is>
      </c>
    </row>
    <row r="174">
      <c r="A174" s="31" t="inlineStr">
        <is>
          <t>AJANTPHARM</t>
        </is>
      </c>
      <c r="B174" s="31" t="inlineStr">
        <is>
          <t>Ajanta Pharma Limited</t>
        </is>
      </c>
      <c r="C174" s="31" t="inlineStr">
        <is>
          <t>healthcare</t>
        </is>
      </c>
      <c r="D174" s="31" t="inlineStr">
        <is>
          <t>pharmaceuticals - indian - formulations</t>
        </is>
      </c>
      <c r="E174" s="31" t="inlineStr">
        <is>
          <t>largecap</t>
        </is>
      </c>
      <c r="F174" s="31" t="n">
        <v>44439.6</v>
      </c>
      <c r="G174" s="31" t="n">
        <v>3601.9</v>
      </c>
      <c r="H174" s="31" t="n">
        <v>1.26</v>
      </c>
      <c r="I174" s="31" t="n">
        <v>61976</v>
      </c>
      <c r="J174" s="31" t="inlineStr">
        <is>
          <t>532331</t>
        </is>
      </c>
    </row>
    <row r="175">
      <c r="A175" s="31" t="inlineStr">
        <is>
          <t>IPCALAB</t>
        </is>
      </c>
      <c r="B175" s="31" t="inlineStr">
        <is>
          <t>Ipca Laboratories Limited</t>
        </is>
      </c>
      <c r="C175" s="31" t="inlineStr">
        <is>
          <t>healthcare</t>
        </is>
      </c>
      <c r="D175" s="31" t="inlineStr">
        <is>
          <t>pharmaceuticals - indian - bulk drugs &amp; formln</t>
        </is>
      </c>
      <c r="E175" s="31" t="inlineStr">
        <is>
          <t>largecap</t>
        </is>
      </c>
      <c r="F175" s="31" t="n">
        <v>49479.93</v>
      </c>
      <c r="G175" s="31" t="n">
        <v>1974.9</v>
      </c>
      <c r="H175" s="31" t="n">
        <v>1.26</v>
      </c>
      <c r="I175" s="31" t="n">
        <v>357067</v>
      </c>
      <c r="J175" s="31" t="inlineStr">
        <is>
          <t>524494</t>
        </is>
      </c>
    </row>
    <row r="176">
      <c r="A176" s="31" t="inlineStr">
        <is>
          <t>HATSUN</t>
        </is>
      </c>
      <c r="B176" s="31" t="inlineStr">
        <is>
          <t>Hatsun Agro Product Limited</t>
        </is>
      </c>
      <c r="C176" s="31" t="inlineStr">
        <is>
          <t>fmcg</t>
        </is>
      </c>
      <c r="D176" s="31" t="inlineStr">
        <is>
          <t>food - processing - indian</t>
        </is>
      </c>
      <c r="E176" s="31" t="inlineStr">
        <is>
          <t>largecap</t>
        </is>
      </c>
      <c r="F176" s="31" t="n">
        <v>26196.31</v>
      </c>
      <c r="G176" s="31" t="n">
        <v>1190.45</v>
      </c>
      <c r="H176" s="31" t="n">
        <v>1.22</v>
      </c>
      <c r="I176" s="31" t="n">
        <v>90965</v>
      </c>
      <c r="J176" s="31" t="inlineStr">
        <is>
          <t>531531</t>
        </is>
      </c>
    </row>
    <row r="177">
      <c r="A177" s="31" t="inlineStr">
        <is>
          <t>VHL</t>
        </is>
      </c>
      <c r="B177" s="31" t="inlineStr">
        <is>
          <t>Vardhman Holdings Limited</t>
        </is>
      </c>
      <c r="C177" s="31" t="inlineStr">
        <is>
          <t>financials</t>
        </is>
      </c>
      <c r="D177" s="31" t="inlineStr">
        <is>
          <t>finance &amp; investments</t>
        </is>
      </c>
      <c r="E177" s="31" t="inlineStr">
        <is>
          <t>smallcap</t>
        </is>
      </c>
      <c r="F177" s="31" t="n">
        <v>1119.24</v>
      </c>
      <c r="G177" s="31" t="n">
        <v>3549.2</v>
      </c>
      <c r="H177" s="31" t="n">
        <v>1.21</v>
      </c>
      <c r="I177" s="31" t="n">
        <v>1207</v>
      </c>
      <c r="J177" s="31" t="inlineStr">
        <is>
          <t>500439</t>
        </is>
      </c>
    </row>
    <row r="178">
      <c r="A178" s="31" t="inlineStr">
        <is>
          <t>JKPAPER</t>
        </is>
      </c>
      <c r="B178" s="31" t="inlineStr">
        <is>
          <t>Jk Paper Limited</t>
        </is>
      </c>
      <c r="C178" s="31" t="inlineStr">
        <is>
          <t>building materials</t>
        </is>
      </c>
      <c r="D178" s="31" t="inlineStr">
        <is>
          <t>paper</t>
        </is>
      </c>
      <c r="E178" s="31" t="inlineStr">
        <is>
          <t>midcap</t>
        </is>
      </c>
      <c r="F178" s="31" t="n">
        <v>7099.54</v>
      </c>
      <c r="G178" s="31" t="n">
        <v>396.25</v>
      </c>
      <c r="H178" s="31" t="n">
        <v>1.2</v>
      </c>
      <c r="I178" s="31" t="n">
        <v>270778</v>
      </c>
      <c r="J178" s="31" t="inlineStr">
        <is>
          <t>532162</t>
        </is>
      </c>
    </row>
    <row r="179">
      <c r="A179" s="31" t="inlineStr">
        <is>
          <t>JINDWORLD</t>
        </is>
      </c>
      <c r="B179" s="31" t="inlineStr">
        <is>
          <t>Jindal Worldwide Limited</t>
        </is>
      </c>
      <c r="C179" s="31" t="inlineStr">
        <is>
          <t>textiles</t>
        </is>
      </c>
      <c r="D179" s="31" t="inlineStr">
        <is>
          <t>textiles - products</t>
        </is>
      </c>
      <c r="E179" s="31" t="inlineStr">
        <is>
          <t>smallcap</t>
        </is>
      </c>
      <c r="F179" s="31" t="n">
        <v>3795.85</v>
      </c>
      <c r="G179" s="31" t="n">
        <v>38.31</v>
      </c>
      <c r="H179" s="31" t="n">
        <v>1.19</v>
      </c>
      <c r="I179" s="31" t="n">
        <v>6010851</v>
      </c>
      <c r="J179" s="31" t="inlineStr">
        <is>
          <t>531543</t>
        </is>
      </c>
    </row>
    <row r="180">
      <c r="A180" s="31" t="inlineStr">
        <is>
          <t>JINDALSTEL</t>
        </is>
      </c>
      <c r="B180" s="31" t="inlineStr">
        <is>
          <t>Jindal Steel Ltd</t>
        </is>
      </c>
      <c r="C180" s="31" t="inlineStr">
        <is>
          <t>metals &amp; mining</t>
        </is>
      </c>
      <c r="D180" s="31" t="inlineStr">
        <is>
          <t>steel - large</t>
        </is>
      </c>
      <c r="E180" s="31" t="inlineStr">
        <is>
          <t>largecap</t>
        </is>
      </c>
      <c r="F180" s="31" t="n">
        <v>120288.79</v>
      </c>
      <c r="G180" s="31" t="n">
        <v>1192.9</v>
      </c>
      <c r="H180" s="31" t="n">
        <v>1.16</v>
      </c>
      <c r="I180" s="31" t="n">
        <v>781759</v>
      </c>
      <c r="J180" s="31" t="inlineStr">
        <is>
          <t>532286</t>
        </is>
      </c>
    </row>
    <row r="181">
      <c r="A181" s="31" t="inlineStr">
        <is>
          <t>DYCL</t>
        </is>
      </c>
      <c r="B181" s="31" t="inlineStr">
        <is>
          <t>Dynamic Cables Ltd</t>
        </is>
      </c>
      <c r="C181" s="31" t="inlineStr">
        <is>
          <t>industrials</t>
        </is>
      </c>
      <c r="D181" s="31" t="inlineStr">
        <is>
          <t>cables - power</t>
        </is>
      </c>
      <c r="E181" s="31" t="inlineStr">
        <is>
          <t>smallcap</t>
        </is>
      </c>
      <c r="F181" s="31" t="n">
        <v>2362.84</v>
      </c>
      <c r="G181" s="31" t="n">
        <v>493.2</v>
      </c>
      <c r="H181" s="31" t="n">
        <v>1.15</v>
      </c>
      <c r="I181" s="31" t="n">
        <v>1249206</v>
      </c>
      <c r="J181" s="31" t="inlineStr">
        <is>
          <t>540795</t>
        </is>
      </c>
    </row>
    <row r="182">
      <c r="A182" s="31" t="inlineStr">
        <is>
          <t>KAMDHENU</t>
        </is>
      </c>
      <c r="B182" s="31" t="inlineStr">
        <is>
          <t>Kamdhenu Limited</t>
        </is>
      </c>
      <c r="C182" s="31" t="inlineStr">
        <is>
          <t>metals &amp; mining</t>
        </is>
      </c>
      <c r="D182" s="31" t="inlineStr">
        <is>
          <t>steel - medium / small</t>
        </is>
      </c>
      <c r="E182" s="31" t="inlineStr">
        <is>
          <t>smallcap</t>
        </is>
      </c>
      <c r="F182" s="31" t="n">
        <v>1019.57</v>
      </c>
      <c r="G182" s="31" t="n">
        <v>36.58</v>
      </c>
      <c r="H182" s="31" t="n">
        <v>1.13</v>
      </c>
      <c r="I182" s="31" t="n">
        <v>681405</v>
      </c>
      <c r="J182" s="31" t="inlineStr">
        <is>
          <t>532741</t>
        </is>
      </c>
    </row>
    <row r="183">
      <c r="A183" s="31" t="inlineStr">
        <is>
          <t>ORIENTHOT</t>
        </is>
      </c>
      <c r="B183" s="31" t="inlineStr">
        <is>
          <t>Oriental Hotels Limited</t>
        </is>
      </c>
      <c r="C183" s="31" t="inlineStr">
        <is>
          <t>services</t>
        </is>
      </c>
      <c r="D183" s="31" t="inlineStr">
        <is>
          <t>hotels</t>
        </is>
      </c>
      <c r="E183" s="31" t="inlineStr">
        <is>
          <t>smallcap</t>
        </is>
      </c>
      <c r="F183" s="31" t="n">
        <v>2455.38</v>
      </c>
      <c r="G183" s="31" t="n">
        <v>139.02</v>
      </c>
      <c r="H183" s="31" t="n">
        <v>1.12</v>
      </c>
      <c r="I183" s="31" t="n">
        <v>1691333</v>
      </c>
      <c r="J183" s="31" t="inlineStr">
        <is>
          <t>500314</t>
        </is>
      </c>
    </row>
    <row r="184">
      <c r="A184" s="31" t="inlineStr">
        <is>
          <t>FOSECOIND</t>
        </is>
      </c>
      <c r="B184" s="31" t="inlineStr">
        <is>
          <t>Foseco India Limited</t>
        </is>
      </c>
      <c r="C184" s="31" t="inlineStr">
        <is>
          <t>chemicals</t>
        </is>
      </c>
      <c r="D184" s="31" t="inlineStr">
        <is>
          <t>chemicals</t>
        </is>
      </c>
      <c r="E184" s="31" t="inlineStr">
        <is>
          <t>smallcap</t>
        </is>
      </c>
      <c r="F184" s="31" t="n">
        <v>4795.2</v>
      </c>
      <c r="G184" s="31" t="n">
        <v>6432</v>
      </c>
      <c r="H184" s="31" t="n">
        <v>1.1</v>
      </c>
      <c r="I184" s="31" t="n">
        <v>35796</v>
      </c>
      <c r="J184" s="31" t="inlineStr">
        <is>
          <t>500150</t>
        </is>
      </c>
    </row>
    <row r="185">
      <c r="A185" s="31" t="inlineStr">
        <is>
          <t>AGARWALEYE</t>
        </is>
      </c>
      <c r="B185" s="31" t="inlineStr">
        <is>
          <t>Dr Agarwals Health Care Ltd</t>
        </is>
      </c>
      <c r="C185" s="31" t="inlineStr">
        <is>
          <t>healthcare</t>
        </is>
      </c>
      <c r="D185" s="31" t="inlineStr">
        <is>
          <t>healthcare</t>
        </is>
      </c>
      <c r="E185" s="31" t="inlineStr">
        <is>
          <t>midcap</t>
        </is>
      </c>
      <c r="F185" s="31" t="n">
        <v>16096.4</v>
      </c>
      <c r="G185" s="31" t="n">
        <v>513.2</v>
      </c>
      <c r="H185" s="31" t="n">
        <v>1.06</v>
      </c>
      <c r="I185" s="31" t="n">
        <v>1926860</v>
      </c>
      <c r="J185" s="31" t="inlineStr">
        <is>
          <t>544350</t>
        </is>
      </c>
    </row>
    <row r="186">
      <c r="A186" s="31" t="inlineStr">
        <is>
          <t>KPIL</t>
        </is>
      </c>
      <c r="B186" s="31" t="inlineStr">
        <is>
          <t>Kalpataru Projects International Ltd</t>
        </is>
      </c>
      <c r="C186" s="31" t="inlineStr">
        <is>
          <t>realty</t>
        </is>
      </c>
      <c r="D186" s="31" t="inlineStr">
        <is>
          <t>transmisson line towers / equipment</t>
        </is>
      </c>
      <c r="E186" s="31" t="inlineStr">
        <is>
          <t>largecap</t>
        </is>
      </c>
      <c r="F186" s="31" t="n">
        <v>23674.2</v>
      </c>
      <c r="G186" s="31" t="n">
        <v>1400.9</v>
      </c>
      <c r="H186" s="31" t="n">
        <v>1.05</v>
      </c>
      <c r="I186" s="31" t="n">
        <v>219589</v>
      </c>
      <c r="J186" s="31" t="inlineStr">
        <is>
          <t>522287</t>
        </is>
      </c>
    </row>
    <row r="187">
      <c r="A187" s="31" t="inlineStr">
        <is>
          <t>RAJRILTD</t>
        </is>
      </c>
      <c r="B187" s="31" t="inlineStr">
        <is>
          <t>Raj Rayon Industries Ltd</t>
        </is>
      </c>
      <c r="C187" s="31" t="inlineStr">
        <is>
          <t>textiles</t>
        </is>
      </c>
      <c r="D187" s="31" t="inlineStr">
        <is>
          <t>textiles - manmade</t>
        </is>
      </c>
      <c r="E187" s="31" t="inlineStr">
        <is>
          <t>smallcap</t>
        </is>
      </c>
      <c r="F187" s="31" t="n">
        <v>1280.66</v>
      </c>
      <c r="G187" s="31" t="n">
        <v>23.27</v>
      </c>
      <c r="H187" s="31" t="n">
        <v>1.04</v>
      </c>
      <c r="I187" s="31" t="n">
        <v>15616</v>
      </c>
      <c r="J187" s="31" t="inlineStr">
        <is>
          <t>530699</t>
        </is>
      </c>
    </row>
    <row r="188">
      <c r="A188" s="31" t="inlineStr">
        <is>
          <t>DWARKESH</t>
        </is>
      </c>
      <c r="B188" s="31" t="inlineStr">
        <is>
          <t>Dwarikesh Sugar Industries Limited</t>
        </is>
      </c>
      <c r="C188" s="31" t="inlineStr">
        <is>
          <t>fmcg</t>
        </is>
      </c>
      <c r="D188" s="31" t="inlineStr">
        <is>
          <t>sugar</t>
        </is>
      </c>
      <c r="E188" s="31" t="inlineStr">
        <is>
          <t>smallcap</t>
        </is>
      </c>
      <c r="F188" s="31" t="n">
        <v>961.53</v>
      </c>
      <c r="G188" s="31" t="n">
        <v>52.42</v>
      </c>
      <c r="H188" s="31" t="n">
        <v>1.02</v>
      </c>
      <c r="I188" s="31" t="n">
        <v>8163536</v>
      </c>
      <c r="J188" s="31" t="inlineStr">
        <is>
          <t>532610</t>
        </is>
      </c>
    </row>
    <row r="189">
      <c r="A189" s="31" t="inlineStr">
        <is>
          <t>UDS</t>
        </is>
      </c>
      <c r="B189" s="31" t="inlineStr">
        <is>
          <t>Updater Services Ltd</t>
        </is>
      </c>
      <c r="C189" s="31" t="inlineStr">
        <is>
          <t>miscellaneous</t>
        </is>
      </c>
      <c r="D189" s="31" t="inlineStr">
        <is>
          <t>miscellaneous</t>
        </is>
      </c>
      <c r="E189" s="31" t="inlineStr">
        <is>
          <t>smallcap</t>
        </is>
      </c>
      <c r="F189" s="31" t="n">
        <v>1489.58</v>
      </c>
      <c r="G189" s="31" t="n">
        <v>224.73</v>
      </c>
      <c r="H189" s="31" t="n">
        <v>1.01</v>
      </c>
      <c r="I189" s="31" t="n">
        <v>297152</v>
      </c>
      <c r="J189" s="31" t="inlineStr">
        <is>
          <t>543996</t>
        </is>
      </c>
    </row>
    <row r="190">
      <c r="A190" s="31" t="inlineStr">
        <is>
          <t>MOLDTECH</t>
        </is>
      </c>
      <c r="B190" s="31" t="inlineStr">
        <is>
          <t>Mold-tek Technologies Limited</t>
        </is>
      </c>
      <c r="C190" s="31" t="inlineStr">
        <is>
          <t>realty</t>
        </is>
      </c>
      <c r="D190" s="31" t="inlineStr">
        <is>
          <t>engineering - turnkey services</t>
        </is>
      </c>
      <c r="E190" s="31" t="inlineStr">
        <is>
          <t>smallcap</t>
        </is>
      </c>
      <c r="F190" s="31" t="n">
        <v>559.02</v>
      </c>
      <c r="G190" s="31" t="n">
        <v>195.98</v>
      </c>
      <c r="H190" s="31" t="n">
        <v>0.98</v>
      </c>
      <c r="I190" s="31" t="n">
        <v>30564</v>
      </c>
      <c r="J190" s="31" t="inlineStr">
        <is>
          <t>526263</t>
        </is>
      </c>
    </row>
    <row r="191">
      <c r="A191" s="31" t="inlineStr">
        <is>
          <t>GODREJAGRO</t>
        </is>
      </c>
      <c r="B191" s="31" t="inlineStr">
        <is>
          <t>Godrej Agrovet Ltd</t>
        </is>
      </c>
      <c r="C191" s="31" t="inlineStr">
        <is>
          <t>fmcg</t>
        </is>
      </c>
      <c r="D191" s="31" t="inlineStr">
        <is>
          <t>food - processing - indian</t>
        </is>
      </c>
      <c r="E191" s="31" t="inlineStr">
        <is>
          <t>midcap</t>
        </is>
      </c>
      <c r="F191" s="31" t="n">
        <v>11720.49</v>
      </c>
      <c r="G191" s="31" t="n">
        <v>615.3</v>
      </c>
      <c r="H191" s="31" t="n">
        <v>0.98</v>
      </c>
      <c r="I191" s="31" t="n">
        <v>353606</v>
      </c>
      <c r="J191" s="31" t="inlineStr">
        <is>
          <t>540743</t>
        </is>
      </c>
    </row>
    <row r="192">
      <c r="A192" s="31" t="inlineStr">
        <is>
          <t>DIVGIITTS</t>
        </is>
      </c>
      <c r="B192" s="31" t="inlineStr">
        <is>
          <t>Divgi Torqtransfer Systems Ltd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smallcap</t>
        </is>
      </c>
      <c r="F192" s="31" t="n">
        <v>3593.95</v>
      </c>
      <c r="G192" s="31" t="n">
        <v>1186.7</v>
      </c>
      <c r="H192" s="31" t="n">
        <v>0.98</v>
      </c>
      <c r="I192" s="31" t="n">
        <v>81341</v>
      </c>
      <c r="J192" s="31" t="inlineStr">
        <is>
          <t>543812</t>
        </is>
      </c>
    </row>
    <row r="193">
      <c r="A193" s="31" t="inlineStr">
        <is>
          <t>BAJAJFINSV</t>
        </is>
      </c>
      <c r="B193" s="31" t="inlineStr">
        <is>
          <t>Bajaj Finserv Limited</t>
        </is>
      </c>
      <c r="C193" s="31" t="inlineStr">
        <is>
          <t>financials</t>
        </is>
      </c>
      <c r="D193" s="31" t="inlineStr">
        <is>
          <t>finance &amp; investments</t>
        </is>
      </c>
      <c r="E193" s="31" t="inlineStr">
        <is>
          <t>largecap</t>
        </is>
      </c>
      <c r="F193" s="31" t="n">
        <v>320430.11</v>
      </c>
      <c r="G193" s="31" t="n">
        <v>2021</v>
      </c>
      <c r="H193" s="31" t="n">
        <v>0.95</v>
      </c>
      <c r="I193" s="31" t="n">
        <v>724648</v>
      </c>
      <c r="J193" s="31" t="inlineStr">
        <is>
          <t>532978</t>
        </is>
      </c>
    </row>
    <row r="194">
      <c r="A194" s="31" t="inlineStr">
        <is>
          <t>MOREPENLAB</t>
        </is>
      </c>
      <c r="B194" s="31" t="inlineStr">
        <is>
          <t>Morepen Laboratories Limited</t>
        </is>
      </c>
      <c r="C194" s="31" t="inlineStr">
        <is>
          <t>healthcare</t>
        </is>
      </c>
      <c r="D194" s="31" t="inlineStr">
        <is>
          <t>pharmaceuticals - indian - bulk drugs &amp; formln</t>
        </is>
      </c>
      <c r="E194" s="31" t="inlineStr">
        <is>
          <t>midcap</t>
        </is>
      </c>
      <c r="F194" s="31" t="n">
        <v>5818.72</v>
      </c>
      <c r="G194" s="31" t="n">
        <v>107.16</v>
      </c>
      <c r="H194" s="31" t="n">
        <v>0.91</v>
      </c>
      <c r="I194" s="31" t="n">
        <v>41094007</v>
      </c>
      <c r="J194" s="31" t="inlineStr">
        <is>
          <t>500288</t>
        </is>
      </c>
    </row>
    <row r="195">
      <c r="A195" s="31" t="inlineStr">
        <is>
          <t>NRBBEARING</t>
        </is>
      </c>
      <c r="B195" s="31" t="inlineStr">
        <is>
          <t>Nrb Bearing Limited</t>
        </is>
      </c>
      <c r="C195" s="31" t="inlineStr">
        <is>
          <t>industrials</t>
        </is>
      </c>
      <c r="D195" s="31" t="inlineStr">
        <is>
          <t>bearings</t>
        </is>
      </c>
      <c r="E195" s="31" t="inlineStr">
        <is>
          <t>smallcap</t>
        </is>
      </c>
      <c r="F195" s="31" t="n">
        <v>4551.97</v>
      </c>
      <c r="G195" s="31" t="n">
        <v>473.85</v>
      </c>
      <c r="H195" s="31" t="n">
        <v>0.89</v>
      </c>
      <c r="I195" s="31" t="n">
        <v>356380</v>
      </c>
      <c r="J195" s="31" t="inlineStr">
        <is>
          <t>530367</t>
        </is>
      </c>
    </row>
    <row r="196">
      <c r="A196" s="31" t="inlineStr">
        <is>
          <t>TVSMOTOR</t>
        </is>
      </c>
      <c r="B196" s="31" t="inlineStr">
        <is>
          <t>Tvs Motor Company Limited</t>
        </is>
      </c>
      <c r="C196" s="31" t="inlineStr">
        <is>
          <t>auto</t>
        </is>
      </c>
      <c r="D196" s="31" t="inlineStr">
        <is>
          <t>automobiles - motorcycles / mopeds</t>
        </is>
      </c>
      <c r="E196" s="31" t="inlineStr">
        <is>
          <t>largecap</t>
        </is>
      </c>
      <c r="F196" s="31" t="n">
        <v>204487</v>
      </c>
      <c r="G196" s="31" t="n">
        <v>4341.3</v>
      </c>
      <c r="H196" s="31" t="n">
        <v>0.86</v>
      </c>
      <c r="I196" s="31" t="n">
        <v>1510029</v>
      </c>
      <c r="J196" s="31" t="inlineStr">
        <is>
          <t>532343</t>
        </is>
      </c>
    </row>
    <row r="197">
      <c r="A197" s="31" t="inlineStr">
        <is>
          <t>MENONBE</t>
        </is>
      </c>
      <c r="B197" s="31" t="inlineStr">
        <is>
          <t>Menon Bearings Limited</t>
        </is>
      </c>
      <c r="C197" s="31" t="inlineStr">
        <is>
          <t>auto</t>
        </is>
      </c>
      <c r="D197" s="31" t="inlineStr">
        <is>
          <t>auto ancillaries</t>
        </is>
      </c>
      <c r="E197" s="31" t="inlineStr">
        <is>
          <t>smallcap</t>
        </is>
      </c>
      <c r="F197" s="31" t="n">
        <v>1595.01</v>
      </c>
      <c r="G197" s="31" t="n">
        <v>287.01</v>
      </c>
      <c r="H197" s="31" t="n">
        <v>0.84</v>
      </c>
      <c r="I197" s="31" t="n">
        <v>60959</v>
      </c>
      <c r="J197" s="31" t="inlineStr">
        <is>
          <t>523828</t>
        </is>
      </c>
    </row>
    <row r="198">
      <c r="A198" s="31" t="inlineStr">
        <is>
          <t>MANGLMCEM</t>
        </is>
      </c>
      <c r="B198" s="31" t="inlineStr">
        <is>
          <t>Mangalam Cement Limited</t>
        </is>
      </c>
      <c r="C198" s="31" t="inlineStr">
        <is>
          <t>building materials</t>
        </is>
      </c>
      <c r="D198" s="31" t="inlineStr">
        <is>
          <t>cement - north india</t>
        </is>
      </c>
      <c r="E198" s="31" t="inlineStr">
        <is>
          <t>smallcap</t>
        </is>
      </c>
      <c r="F198" s="31" t="n">
        <v>2922.69</v>
      </c>
      <c r="G198" s="31" t="n">
        <v>1071.75</v>
      </c>
      <c r="H198" s="31" t="n">
        <v>0.83</v>
      </c>
      <c r="I198" s="31" t="n">
        <v>261791</v>
      </c>
      <c r="J198" s="31" t="inlineStr">
        <is>
          <t>502157</t>
        </is>
      </c>
    </row>
    <row r="199">
      <c r="A199" s="31" t="inlineStr">
        <is>
          <t>ETHOSLTD</t>
        </is>
      </c>
      <c r="B199" s="31" t="inlineStr">
        <is>
          <t>Ethos Ltd</t>
        </is>
      </c>
      <c r="C199" s="31" t="inlineStr">
        <is>
          <t>consumer discretionary</t>
        </is>
      </c>
      <c r="D199" s="31" t="inlineStr">
        <is>
          <t>trading</t>
        </is>
      </c>
      <c r="E199" s="31" t="inlineStr">
        <is>
          <t>midcap</t>
        </is>
      </c>
      <c r="F199" s="31" t="n">
        <v>7693.1</v>
      </c>
      <c r="G199" s="31" t="n">
        <v>2898.7</v>
      </c>
      <c r="H199" s="31" t="n">
        <v>0.82</v>
      </c>
      <c r="I199" s="31" t="n">
        <v>36025</v>
      </c>
      <c r="J199" s="31" t="inlineStr">
        <is>
          <t>543532</t>
        </is>
      </c>
    </row>
    <row r="200">
      <c r="A200" s="31" t="inlineStr">
        <is>
          <t>IKIO</t>
        </is>
      </c>
      <c r="B200" s="31" t="inlineStr">
        <is>
          <t>IKIO Lighting Ltd</t>
        </is>
      </c>
      <c r="C200" s="31" t="inlineStr">
        <is>
          <t>consumer discretionary</t>
        </is>
      </c>
      <c r="D200" s="31" t="inlineStr">
        <is>
          <t>electric equipment</t>
        </is>
      </c>
      <c r="E200" s="31" t="inlineStr">
        <is>
          <t>smallcap</t>
        </is>
      </c>
      <c r="F200" s="31" t="n">
        <v>1651.64</v>
      </c>
      <c r="G200" s="31" t="n">
        <v>215.48</v>
      </c>
      <c r="H200" s="31" t="n">
        <v>0.82</v>
      </c>
      <c r="I200" s="31" t="n">
        <v>1279645</v>
      </c>
      <c r="J200" s="31" t="inlineStr">
        <is>
          <t>543923</t>
        </is>
      </c>
    </row>
    <row r="201">
      <c r="A201" s="31" t="inlineStr">
        <is>
          <t>SHRIPISTON</t>
        </is>
      </c>
      <c r="B201" s="31" t="inlineStr">
        <is>
          <t>Shriram Pistons &amp; Rings Limited</t>
        </is>
      </c>
      <c r="C201" s="31" t="inlineStr">
        <is>
          <t>auto</t>
        </is>
      </c>
      <c r="D201" s="31" t="inlineStr">
        <is>
          <t>auto ancillaries</t>
        </is>
      </c>
      <c r="E201" s="31" t="inlineStr">
        <is>
          <t>largecap</t>
        </is>
      </c>
      <c r="F201" s="31" t="n">
        <v>21208.73</v>
      </c>
      <c r="G201" s="31" t="n">
        <v>4609.2</v>
      </c>
      <c r="H201" s="31" t="n">
        <v>0.8100000000000001</v>
      </c>
      <c r="I201" s="31" t="n">
        <v>106315</v>
      </c>
      <c r="J201" s="31" t="n"/>
    </row>
    <row r="202">
      <c r="A202" s="31" t="inlineStr">
        <is>
          <t>RRKABEL</t>
        </is>
      </c>
      <c r="B202" s="31" t="inlineStr">
        <is>
          <t>R R Kabel Ltd</t>
        </is>
      </c>
      <c r="C202" s="31" t="inlineStr">
        <is>
          <t>industrials</t>
        </is>
      </c>
      <c r="D202" s="31" t="inlineStr">
        <is>
          <t>cables - power</t>
        </is>
      </c>
      <c r="E202" s="31" t="inlineStr">
        <is>
          <t>largecap</t>
        </is>
      </c>
      <c r="F202" s="31" t="n">
        <v>32859.41</v>
      </c>
      <c r="G202" s="31" t="n">
        <v>2928.4</v>
      </c>
      <c r="H202" s="31" t="n">
        <v>0.8</v>
      </c>
      <c r="I202" s="31" t="n">
        <v>644107</v>
      </c>
      <c r="J202" s="31" t="inlineStr">
        <is>
          <t>543981</t>
        </is>
      </c>
    </row>
    <row r="203">
      <c r="A203" s="31" t="inlineStr">
        <is>
          <t>JUSTDIAL</t>
        </is>
      </c>
      <c r="B203" s="31" t="inlineStr">
        <is>
          <t>Just Dial Limited</t>
        </is>
      </c>
      <c r="C203" s="31" t="inlineStr">
        <is>
          <t>i.t</t>
        </is>
      </c>
      <c r="D203" s="31" t="inlineStr">
        <is>
          <t>miscellaneous</t>
        </is>
      </c>
      <c r="E203" s="31" t="inlineStr">
        <is>
          <t>midcap</t>
        </is>
      </c>
      <c r="F203" s="31" t="n">
        <v>5992.13</v>
      </c>
      <c r="G203" s="31" t="n">
        <v>710.2</v>
      </c>
      <c r="H203" s="31" t="n">
        <v>0.8</v>
      </c>
      <c r="I203" s="31" t="n">
        <v>1918706</v>
      </c>
      <c r="J203" s="31" t="inlineStr">
        <is>
          <t>535648</t>
        </is>
      </c>
    </row>
    <row r="204">
      <c r="A204" s="31" t="inlineStr">
        <is>
          <t>MAWANASUG</t>
        </is>
      </c>
      <c r="B204" s="31" t="inlineStr">
        <is>
          <t>Mawana Sugars Limited</t>
        </is>
      </c>
      <c r="C204" s="31" t="inlineStr">
        <is>
          <t>fmcg</t>
        </is>
      </c>
      <c r="D204" s="31" t="inlineStr">
        <is>
          <t>sugar</t>
        </is>
      </c>
      <c r="E204" s="31" t="inlineStr">
        <is>
          <t>smallcap</t>
        </is>
      </c>
      <c r="F204" s="31" t="n">
        <v>578.6900000000001</v>
      </c>
      <c r="G204" s="31" t="n">
        <v>149.1</v>
      </c>
      <c r="H204" s="31" t="n">
        <v>0.78</v>
      </c>
      <c r="I204" s="31" t="n">
        <v>715571</v>
      </c>
      <c r="J204" s="31" t="inlineStr">
        <is>
          <t>523371</t>
        </is>
      </c>
    </row>
    <row r="205">
      <c r="A205" s="31" t="inlineStr">
        <is>
          <t>JAGSNPHARM</t>
        </is>
      </c>
      <c r="B205" s="31" t="inlineStr">
        <is>
          <t>Jagsonpal Pharmaceuticals Limited</t>
        </is>
      </c>
      <c r="C205" s="31" t="inlineStr">
        <is>
          <t>healthcare</t>
        </is>
      </c>
      <c r="D205" s="31" t="inlineStr">
        <is>
          <t>pharmaceuticals - indian - bulk drugs &amp; formln</t>
        </is>
      </c>
      <c r="E205" s="31" t="inlineStr">
        <is>
          <t>smallcap</t>
        </is>
      </c>
      <c r="F205" s="31" t="n">
        <v>1573.86</v>
      </c>
      <c r="G205" s="31" t="n">
        <v>240.84</v>
      </c>
      <c r="H205" s="31" t="n">
        <v>0.74</v>
      </c>
      <c r="I205" s="31" t="n">
        <v>235599</v>
      </c>
      <c r="J205" s="31" t="inlineStr">
        <is>
          <t>507789</t>
        </is>
      </c>
    </row>
    <row r="206">
      <c r="A206" s="31" t="inlineStr">
        <is>
          <t>WELCORP</t>
        </is>
      </c>
      <c r="B206" s="31" t="inlineStr">
        <is>
          <t>Welspun Corp Limited</t>
        </is>
      </c>
      <c r="C206" s="31" t="inlineStr">
        <is>
          <t>industrials</t>
        </is>
      </c>
      <c r="D206" s="31" t="inlineStr">
        <is>
          <t>steel - large</t>
        </is>
      </c>
      <c r="E206" s="31" t="inlineStr">
        <is>
          <t>largecap</t>
        </is>
      </c>
      <c r="F206" s="31" t="n">
        <v>62618.62</v>
      </c>
      <c r="G206" s="31" t="n">
        <v>2391</v>
      </c>
      <c r="H206" s="31" t="n">
        <v>0.72</v>
      </c>
      <c r="I206" s="31" t="n">
        <v>1286940</v>
      </c>
      <c r="J206" s="31" t="inlineStr">
        <is>
          <t>532144</t>
        </is>
      </c>
    </row>
    <row r="207">
      <c r="A207" s="31" t="inlineStr">
        <is>
          <t>CRAFTSMAN</t>
        </is>
      </c>
      <c r="B207" s="31" t="inlineStr">
        <is>
          <t>Craftsman Automation Ltd</t>
        </is>
      </c>
      <c r="C207" s="31" t="inlineStr">
        <is>
          <t>auto</t>
        </is>
      </c>
      <c r="D207" s="31" t="inlineStr">
        <is>
          <t>auto ancillaries</t>
        </is>
      </c>
      <c r="E207" s="31" t="inlineStr">
        <is>
          <t>largecap</t>
        </is>
      </c>
      <c r="F207" s="31" t="n">
        <v>29078.5</v>
      </c>
      <c r="G207" s="31" t="n">
        <v>11198.5</v>
      </c>
      <c r="H207" s="31" t="n">
        <v>0.72</v>
      </c>
      <c r="I207" s="31" t="n">
        <v>221148</v>
      </c>
      <c r="J207" s="31" t="inlineStr">
        <is>
          <t>543276</t>
        </is>
      </c>
    </row>
    <row r="208">
      <c r="A208" s="31" t="inlineStr">
        <is>
          <t>MATRIMONY</t>
        </is>
      </c>
      <c r="B208" s="31" t="inlineStr">
        <is>
          <t>Matrimony.com Ltd</t>
        </is>
      </c>
      <c r="C208" s="31" t="inlineStr">
        <is>
          <t>miscellaneous</t>
        </is>
      </c>
      <c r="D208" s="31" t="inlineStr">
        <is>
          <t>miscellaneous</t>
        </is>
      </c>
      <c r="E208" s="31" t="inlineStr">
        <is>
          <t>smallcap</t>
        </is>
      </c>
      <c r="F208" s="31" t="n">
        <v>1064.68</v>
      </c>
      <c r="G208" s="31" t="n">
        <v>518.7</v>
      </c>
      <c r="H208" s="31" t="n">
        <v>0.72</v>
      </c>
      <c r="I208" s="31" t="n">
        <v>12218</v>
      </c>
      <c r="J208" s="31" t="inlineStr">
        <is>
          <t>540704</t>
        </is>
      </c>
    </row>
    <row r="209">
      <c r="A209" s="31" t="inlineStr">
        <is>
          <t>TASTYBITE</t>
        </is>
      </c>
      <c r="B209" s="31" t="inlineStr">
        <is>
          <t>Tasty Bite Eatables Ltd</t>
        </is>
      </c>
      <c r="C209" s="31" t="inlineStr">
        <is>
          <t>fmcg</t>
        </is>
      </c>
      <c r="D209" s="31" t="inlineStr">
        <is>
          <t>food - processing - indian</t>
        </is>
      </c>
      <c r="E209" s="31" t="inlineStr">
        <is>
          <t>smallcap</t>
        </is>
      </c>
      <c r="F209" s="31" t="n">
        <v>2584.73</v>
      </c>
      <c r="G209" s="31" t="n">
        <v>10139</v>
      </c>
      <c r="H209" s="31" t="n">
        <v>0.66</v>
      </c>
      <c r="I209" s="31" t="n">
        <v>3378</v>
      </c>
      <c r="J209" s="31" t="inlineStr">
        <is>
          <t>519091</t>
        </is>
      </c>
    </row>
    <row r="210">
      <c r="A210" s="31" t="inlineStr">
        <is>
          <t>BAJEL</t>
        </is>
      </c>
      <c r="B210" s="31" t="inlineStr">
        <is>
          <t>Bajel Projects Ltd</t>
        </is>
      </c>
      <c r="C210" s="31" t="inlineStr">
        <is>
          <t>realty</t>
        </is>
      </c>
      <c r="D210" s="31" t="inlineStr">
        <is>
          <t>engineering - turnkey services</t>
        </is>
      </c>
      <c r="E210" s="31" t="inlineStr">
        <is>
          <t>smallcap</t>
        </is>
      </c>
      <c r="F210" s="31" t="n">
        <v>2231.1</v>
      </c>
      <c r="G210" s="31" t="n">
        <v>194.12</v>
      </c>
      <c r="H210" s="31" t="n">
        <v>0.66</v>
      </c>
      <c r="I210" s="31" t="n">
        <v>352819</v>
      </c>
      <c r="J210" s="31" t="n"/>
    </row>
    <row r="211">
      <c r="A211" s="31" t="inlineStr">
        <is>
          <t>MTARTECH</t>
        </is>
      </c>
      <c r="B211" s="31" t="inlineStr">
        <is>
          <t>MTAR Technologies Ltd</t>
        </is>
      </c>
      <c r="C211" s="31" t="inlineStr">
        <is>
          <t>aerospace &amp; defence</t>
        </is>
      </c>
      <c r="D211" s="31" t="inlineStr">
        <is>
          <t>engineering</t>
        </is>
      </c>
      <c r="E211" s="31" t="inlineStr">
        <is>
          <t>largecap</t>
        </is>
      </c>
      <c r="F211" s="31" t="n">
        <v>21522.49</v>
      </c>
      <c r="G211" s="31" t="n">
        <v>7043.5</v>
      </c>
      <c r="H211" s="31" t="n">
        <v>0.66</v>
      </c>
      <c r="I211" s="31" t="n">
        <v>102068</v>
      </c>
      <c r="J211" s="31" t="inlineStr">
        <is>
          <t>543270</t>
        </is>
      </c>
    </row>
    <row r="212">
      <c r="A212" s="31" t="inlineStr">
        <is>
          <t>STLTECH</t>
        </is>
      </c>
      <c r="B212" s="31" t="inlineStr">
        <is>
          <t>Sterlite Technologies Limited</t>
        </is>
      </c>
      <c r="C212" s="31" t="inlineStr">
        <is>
          <t>industrials</t>
        </is>
      </c>
      <c r="D212" s="31" t="inlineStr">
        <is>
          <t>cables - telephone</t>
        </is>
      </c>
      <c r="E212" s="31" t="inlineStr">
        <is>
          <t>largecap</t>
        </is>
      </c>
      <c r="F212" s="31" t="n">
        <v>37193.23</v>
      </c>
      <c r="G212" s="31" t="n">
        <v>728.45</v>
      </c>
      <c r="H212" s="31" t="n">
        <v>0.65</v>
      </c>
      <c r="I212" s="31" t="n">
        <v>1785527</v>
      </c>
      <c r="J212" s="31" t="inlineStr">
        <is>
          <t>532374</t>
        </is>
      </c>
    </row>
    <row r="213">
      <c r="A213" s="31" t="inlineStr">
        <is>
          <t>ARVSMART</t>
        </is>
      </c>
      <c r="B213" s="31" t="inlineStr">
        <is>
          <t>Arvind Smartspaces Limited</t>
        </is>
      </c>
      <c r="C213" s="31" t="inlineStr">
        <is>
          <t>realty</t>
        </is>
      </c>
      <c r="D213" s="31" t="inlineStr">
        <is>
          <t>construction</t>
        </is>
      </c>
      <c r="E213" s="31" t="inlineStr">
        <is>
          <t>smallcap</t>
        </is>
      </c>
      <c r="F213" s="31" t="n">
        <v>3033.64</v>
      </c>
      <c r="G213" s="31" t="n">
        <v>665.55</v>
      </c>
      <c r="H213" s="31" t="n">
        <v>0.63</v>
      </c>
      <c r="I213" s="31" t="n">
        <v>66987</v>
      </c>
      <c r="J213" s="31" t="inlineStr">
        <is>
          <t>539301</t>
        </is>
      </c>
    </row>
    <row r="214">
      <c r="A214" s="31" t="inlineStr">
        <is>
          <t>SIGMAADV</t>
        </is>
      </c>
      <c r="B214" s="31" t="inlineStr">
        <is>
          <t>Sigma Advanced System Ltd</t>
        </is>
      </c>
      <c r="C214" s="31" t="inlineStr">
        <is>
          <t>aerospace &amp; defence</t>
        </is>
      </c>
      <c r="D214" s="31" t="inlineStr">
        <is>
          <t>electronics - components</t>
        </is>
      </c>
      <c r="E214" s="31" t="inlineStr">
        <is>
          <t>midcap</t>
        </is>
      </c>
      <c r="F214" s="31" t="n">
        <v>14725.75</v>
      </c>
      <c r="G214" s="31" t="n">
        <v>781.95</v>
      </c>
      <c r="H214" s="31" t="n">
        <v>0.62</v>
      </c>
      <c r="I214" s="31" t="n">
        <v>284883</v>
      </c>
      <c r="J214" s="31" t="inlineStr">
        <is>
          <t>532408</t>
        </is>
      </c>
    </row>
    <row r="215">
      <c r="A215" s="31" t="inlineStr">
        <is>
          <t>BEL</t>
        </is>
      </c>
      <c r="B215" s="31" t="inlineStr">
        <is>
          <t>Bharat Electronics Limited</t>
        </is>
      </c>
      <c r="C215" s="31" t="inlineStr">
        <is>
          <t>aerospace &amp; defence</t>
        </is>
      </c>
      <c r="D215" s="31" t="inlineStr">
        <is>
          <t>electronics - components</t>
        </is>
      </c>
      <c r="E215" s="31" t="inlineStr">
        <is>
          <t>largecap</t>
        </is>
      </c>
      <c r="F215" s="31" t="n">
        <v>301089.79</v>
      </c>
      <c r="G215" s="31" t="n">
        <v>414.45</v>
      </c>
      <c r="H215" s="31" t="n">
        <v>0.62</v>
      </c>
      <c r="I215" s="31" t="n">
        <v>12595864</v>
      </c>
      <c r="J215" s="31" t="inlineStr">
        <is>
          <t>500049</t>
        </is>
      </c>
    </row>
    <row r="216">
      <c r="A216" s="31" t="inlineStr">
        <is>
          <t>AARTIPHARM</t>
        </is>
      </c>
      <c r="B216" s="31" t="inlineStr">
        <is>
          <t>Aarti Pharmalabs Ltd</t>
        </is>
      </c>
      <c r="C216" s="31" t="inlineStr">
        <is>
          <t>healthcare</t>
        </is>
      </c>
      <c r="D216" s="31" t="inlineStr">
        <is>
          <t>pharmaceuticals - indian - bulk drugs &amp; formln</t>
        </is>
      </c>
      <c r="E216" s="31" t="inlineStr">
        <is>
          <t>midcap</t>
        </is>
      </c>
      <c r="F216" s="31" t="n">
        <v>7623.45</v>
      </c>
      <c r="G216" s="31" t="n">
        <v>845.4</v>
      </c>
      <c r="H216" s="31" t="n">
        <v>0.5600000000000001</v>
      </c>
      <c r="I216" s="31" t="n">
        <v>522950</v>
      </c>
      <c r="J216" s="31" t="inlineStr">
        <is>
          <t>543748</t>
        </is>
      </c>
    </row>
    <row r="217">
      <c r="A217" s="31" t="inlineStr">
        <is>
          <t>INDSWFTLAB</t>
        </is>
      </c>
      <c r="B217" s="31" t="inlineStr">
        <is>
          <t>Ind-swift Laboratories Limited</t>
        </is>
      </c>
      <c r="C217" s="31" t="inlineStr">
        <is>
          <t>healthcare</t>
        </is>
      </c>
      <c r="D217" s="31" t="inlineStr">
        <is>
          <t>pharmaceuticals - indian - bulk drugs &amp; formln</t>
        </is>
      </c>
      <c r="E217" s="31" t="inlineStr">
        <is>
          <t>smallcap</t>
        </is>
      </c>
      <c r="F217" s="31" t="n">
        <v>3156.01</v>
      </c>
      <c r="G217" s="31" t="n">
        <v>364.87</v>
      </c>
      <c r="H217" s="31" t="n">
        <v>0.54</v>
      </c>
      <c r="I217" s="31" t="n">
        <v>667877</v>
      </c>
      <c r="J217" s="31" t="inlineStr">
        <is>
          <t>532305</t>
        </is>
      </c>
    </row>
    <row r="218">
      <c r="A218" s="31" t="inlineStr">
        <is>
          <t>AKUMS</t>
        </is>
      </c>
      <c r="B218" s="31" t="inlineStr">
        <is>
          <t>Akums Drugs &amp; Pharmaceuticals Ltd</t>
        </is>
      </c>
      <c r="C218" s="31" t="inlineStr">
        <is>
          <t>healthcare</t>
        </is>
      </c>
      <c r="D218" s="31" t="inlineStr">
        <is>
          <t>pharmaceuticals - indian - bulk drugs &amp; formln</t>
        </is>
      </c>
      <c r="E218" s="31" t="inlineStr">
        <is>
          <t>midcap</t>
        </is>
      </c>
      <c r="F218" s="31" t="n">
        <v>12160.26</v>
      </c>
      <c r="G218" s="31" t="n">
        <v>776.7</v>
      </c>
      <c r="H218" s="31" t="n">
        <v>0.53</v>
      </c>
      <c r="I218" s="31" t="n">
        <v>258396</v>
      </c>
      <c r="J218" s="31" t="inlineStr">
        <is>
          <t>544222</t>
        </is>
      </c>
    </row>
    <row r="219">
      <c r="A219" s="31" t="inlineStr">
        <is>
          <t>SBC</t>
        </is>
      </c>
      <c r="B219" s="31" t="inlineStr">
        <is>
          <t>SBC Exports Ltd</t>
        </is>
      </c>
      <c r="C219" s="31" t="inlineStr">
        <is>
          <t>textiles</t>
        </is>
      </c>
      <c r="D219" s="31" t="inlineStr">
        <is>
          <t>textiles - products</t>
        </is>
      </c>
      <c r="E219" s="31" t="inlineStr">
        <is>
          <t>smallcap</t>
        </is>
      </c>
      <c r="F219" s="31" t="n">
        <v>1996.66</v>
      </c>
      <c r="G219" s="31" t="n">
        <v>42.15</v>
      </c>
      <c r="H219" s="31" t="n">
        <v>0.52</v>
      </c>
      <c r="I219" s="31" t="n">
        <v>6715269</v>
      </c>
      <c r="J219" s="31" t="inlineStr">
        <is>
          <t>542725</t>
        </is>
      </c>
    </row>
    <row r="220">
      <c r="A220" s="31" t="inlineStr">
        <is>
          <t>MEDANTA</t>
        </is>
      </c>
      <c r="B220" s="31" t="inlineStr">
        <is>
          <t>Global Health Ltd</t>
        </is>
      </c>
      <c r="C220" s="31" t="inlineStr">
        <is>
          <t>healthcare</t>
        </is>
      </c>
      <c r="D220" s="31" t="inlineStr">
        <is>
          <t>healthcare</t>
        </is>
      </c>
      <c r="E220" s="31" t="inlineStr">
        <is>
          <t>largecap</t>
        </is>
      </c>
      <c r="F220" s="31" t="n">
        <v>39583.3</v>
      </c>
      <c r="G220" s="31" t="n">
        <v>1479.7</v>
      </c>
      <c r="H220" s="31" t="n">
        <v>0.51</v>
      </c>
      <c r="I220" s="31" t="n">
        <v>246468</v>
      </c>
      <c r="J220" s="31" t="inlineStr">
        <is>
          <t>543654</t>
        </is>
      </c>
    </row>
    <row r="221">
      <c r="A221" s="31" t="inlineStr">
        <is>
          <t>BLSE</t>
        </is>
      </c>
      <c r="B221" s="31" t="inlineStr">
        <is>
          <t>BLS E-Services Ltd</t>
        </is>
      </c>
      <c r="C221" s="31" t="inlineStr">
        <is>
          <t>i.t</t>
        </is>
      </c>
      <c r="D221" s="31" t="inlineStr">
        <is>
          <t>computers - software - medium / small</t>
        </is>
      </c>
      <c r="E221" s="31" t="inlineStr">
        <is>
          <t>smallcap</t>
        </is>
      </c>
      <c r="F221" s="31" t="n">
        <v>2964.19</v>
      </c>
      <c r="G221" s="31" t="n">
        <v>327.9</v>
      </c>
      <c r="H221" s="31" t="n">
        <v>0.51</v>
      </c>
      <c r="I221" s="31" t="n">
        <v>600668</v>
      </c>
      <c r="J221" s="31" t="inlineStr">
        <is>
          <t>544107</t>
        </is>
      </c>
    </row>
    <row r="222">
      <c r="A222" s="31" t="inlineStr">
        <is>
          <t>GANDHAR</t>
        </is>
      </c>
      <c r="B222" s="31" t="inlineStr">
        <is>
          <t>Gandhar Oil Refinery (India) Ltd</t>
        </is>
      </c>
      <c r="C222" s="31" t="inlineStr">
        <is>
          <t>energy</t>
        </is>
      </c>
      <c r="D222" s="31" t="inlineStr">
        <is>
          <t>refineries</t>
        </is>
      </c>
      <c r="E222" s="31" t="inlineStr">
        <is>
          <t>smallcap</t>
        </is>
      </c>
      <c r="F222" s="31" t="n">
        <v>2510.32</v>
      </c>
      <c r="G222" s="31" t="n">
        <v>257.72</v>
      </c>
      <c r="H222" s="31" t="n">
        <v>0.49</v>
      </c>
      <c r="I222" s="31" t="n">
        <v>664788</v>
      </c>
      <c r="J222" s="31" t="inlineStr">
        <is>
          <t>544029</t>
        </is>
      </c>
    </row>
    <row r="223">
      <c r="A223" s="31" t="inlineStr">
        <is>
          <t>ROSSTECH</t>
        </is>
      </c>
      <c r="B223" s="31" t="inlineStr">
        <is>
          <t>Rossell Techsys Ltd</t>
        </is>
      </c>
      <c r="C223" s="31" t="inlineStr">
        <is>
          <t>aerospace &amp; defence</t>
        </is>
      </c>
      <c r="D223" s="31" t="inlineStr">
        <is>
          <t>engineering</t>
        </is>
      </c>
      <c r="E223" s="31" t="inlineStr">
        <is>
          <t>smallcap</t>
        </is>
      </c>
      <c r="F223" s="31" t="n">
        <v>4163.95</v>
      </c>
      <c r="G223" s="31" t="n">
        <v>1109.95</v>
      </c>
      <c r="H223" s="31" t="n">
        <v>0.48</v>
      </c>
      <c r="I223" s="31" t="n">
        <v>171715</v>
      </c>
      <c r="J223" s="31" t="inlineStr">
        <is>
          <t>544294</t>
        </is>
      </c>
    </row>
    <row r="224">
      <c r="A224" s="31" t="inlineStr">
        <is>
          <t>HITECHCORP</t>
        </is>
      </c>
      <c r="B224" s="31" t="inlineStr">
        <is>
          <t>Hitech Corporation</t>
        </is>
      </c>
      <c r="C224" s="31" t="inlineStr">
        <is>
          <t>industrials</t>
        </is>
      </c>
      <c r="D224" s="31" t="inlineStr">
        <is>
          <t>packaging</t>
        </is>
      </c>
      <c r="E224" s="31" t="inlineStr">
        <is>
          <t>smallcap</t>
        </is>
      </c>
      <c r="F224" s="31" t="n">
        <v>571.95</v>
      </c>
      <c r="G224" s="31" t="n">
        <v>334.6</v>
      </c>
      <c r="H224" s="31" t="n">
        <v>0.48</v>
      </c>
      <c r="I224" s="31" t="n">
        <v>11521</v>
      </c>
      <c r="J224" s="31" t="inlineStr">
        <is>
          <t>526217</t>
        </is>
      </c>
    </row>
    <row r="225">
      <c r="A225" s="31" t="inlineStr">
        <is>
          <t>KARURVYSYA</t>
        </is>
      </c>
      <c r="B225" s="31" t="inlineStr">
        <is>
          <t>Karur Vysya Bank Limited</t>
        </is>
      </c>
      <c r="C225" s="31" t="inlineStr">
        <is>
          <t>bank</t>
        </is>
      </c>
      <c r="D225" s="31" t="inlineStr">
        <is>
          <t>banks - private sector</t>
        </is>
      </c>
      <c r="E225" s="31" t="inlineStr">
        <is>
          <t>largecap</t>
        </is>
      </c>
      <c r="F225" s="31" t="n">
        <v>33446.74</v>
      </c>
      <c r="G225" s="31" t="n">
        <v>347.6</v>
      </c>
      <c r="H225" s="31" t="n">
        <v>0.46</v>
      </c>
      <c r="I225" s="31" t="n">
        <v>1814597</v>
      </c>
      <c r="J225" s="31" t="inlineStr">
        <is>
          <t>590003</t>
        </is>
      </c>
    </row>
    <row r="226">
      <c r="A226" s="31" t="inlineStr">
        <is>
          <t>IGPL</t>
        </is>
      </c>
      <c r="B226" s="31" t="inlineStr">
        <is>
          <t>Ig Petrochemicals Limited</t>
        </is>
      </c>
      <c r="C226" s="31" t="inlineStr">
        <is>
          <t>chemicals</t>
        </is>
      </c>
      <c r="D226" s="31" t="inlineStr">
        <is>
          <t>chemicals</t>
        </is>
      </c>
      <c r="E226" s="31" t="inlineStr">
        <is>
          <t>smallcap</t>
        </is>
      </c>
      <c r="F226" s="31" t="n">
        <v>1639.52</v>
      </c>
      <c r="G226" s="31" t="n">
        <v>534.8</v>
      </c>
      <c r="H226" s="31" t="n">
        <v>0.45</v>
      </c>
      <c r="I226" s="31" t="n">
        <v>131004</v>
      </c>
      <c r="J226" s="31" t="inlineStr">
        <is>
          <t>500199</t>
        </is>
      </c>
    </row>
    <row r="227">
      <c r="A227" s="31" t="inlineStr">
        <is>
          <t>MOTILALOFS</t>
        </is>
      </c>
      <c r="B227" s="31" t="inlineStr">
        <is>
          <t>Motilal Oswal Financial Services Limited</t>
        </is>
      </c>
      <c r="C227" s="31" t="inlineStr">
        <is>
          <t>financials</t>
        </is>
      </c>
      <c r="D227" s="31" t="inlineStr">
        <is>
          <t>finance &amp; investments</t>
        </is>
      </c>
      <c r="E227" s="31" t="inlineStr">
        <is>
          <t>largecap</t>
        </is>
      </c>
      <c r="F227" s="31" t="n">
        <v>62520.89</v>
      </c>
      <c r="G227" s="31" t="n">
        <v>1042.9</v>
      </c>
      <c r="H227" s="31" t="n">
        <v>0.44</v>
      </c>
      <c r="I227" s="31" t="n">
        <v>635723</v>
      </c>
      <c r="J227" s="31" t="inlineStr">
        <is>
          <t>532892</t>
        </is>
      </c>
    </row>
    <row r="228">
      <c r="A228" s="31" t="inlineStr">
        <is>
          <t>AZAD</t>
        </is>
      </c>
      <c r="B228" s="31" t="inlineStr">
        <is>
          <t>Azad Engineering Ltd</t>
        </is>
      </c>
      <c r="C228" s="31" t="inlineStr">
        <is>
          <t>aerospace &amp; defence</t>
        </is>
      </c>
      <c r="D228" s="31" t="inlineStr">
        <is>
          <t>engineering</t>
        </is>
      </c>
      <c r="E228" s="31" t="inlineStr">
        <is>
          <t>midcap</t>
        </is>
      </c>
      <c r="F228" s="31" t="n">
        <v>18409.03</v>
      </c>
      <c r="G228" s="31" t="n">
        <v>2861.8</v>
      </c>
      <c r="H228" s="31" t="n">
        <v>0.4</v>
      </c>
      <c r="I228" s="31" t="n">
        <v>791445</v>
      </c>
      <c r="J228" s="31" t="inlineStr">
        <is>
          <t>544061</t>
        </is>
      </c>
    </row>
    <row r="229">
      <c r="A229" s="31" t="inlineStr">
        <is>
          <t>SAMBHV</t>
        </is>
      </c>
      <c r="B229" s="31" t="inlineStr">
        <is>
          <t>Sambhv Steel Tubes Ltd</t>
        </is>
      </c>
      <c r="C229" s="31" t="inlineStr">
        <is>
          <t>metals &amp; mining</t>
        </is>
      </c>
      <c r="D229" s="31" t="inlineStr">
        <is>
          <t>steel - medium / small</t>
        </is>
      </c>
      <c r="E229" s="31" t="inlineStr">
        <is>
          <t>smallcap</t>
        </is>
      </c>
      <c r="F229" s="31" t="n">
        <v>3754.41</v>
      </c>
      <c r="G229" s="31" t="n">
        <v>127.91</v>
      </c>
      <c r="H229" s="31" t="n">
        <v>0.39</v>
      </c>
      <c r="I229" s="31" t="n">
        <v>2152304</v>
      </c>
      <c r="J229" s="31" t="inlineStr">
        <is>
          <t>544430</t>
        </is>
      </c>
    </row>
    <row r="230">
      <c r="A230" s="31" t="inlineStr">
        <is>
          <t>LMW</t>
        </is>
      </c>
      <c r="B230" s="31" t="inlineStr">
        <is>
          <t>LMW Ltd</t>
        </is>
      </c>
      <c r="C230" s="31" t="inlineStr">
        <is>
          <t>industrials</t>
        </is>
      </c>
      <c r="D230" s="31" t="inlineStr">
        <is>
          <t>textile machinery</t>
        </is>
      </c>
      <c r="E230" s="31" t="inlineStr">
        <is>
          <t>largecap</t>
        </is>
      </c>
      <c r="F230" s="31" t="n">
        <v>20191.94</v>
      </c>
      <c r="G230" s="31" t="n">
        <v>18975</v>
      </c>
      <c r="H230" s="31" t="n">
        <v>0.39</v>
      </c>
      <c r="I230" s="31" t="n">
        <v>23753</v>
      </c>
      <c r="J230" s="31" t="inlineStr">
        <is>
          <t>500252</t>
        </is>
      </c>
    </row>
    <row r="231">
      <c r="A231" s="31" t="inlineStr">
        <is>
          <t>E2E</t>
        </is>
      </c>
      <c r="B231" s="31" t="inlineStr">
        <is>
          <t>E2E Networks Ltd</t>
        </is>
      </c>
      <c r="C231" s="31" t="inlineStr">
        <is>
          <t>i.t</t>
        </is>
      </c>
      <c r="D231" s="31" t="inlineStr">
        <is>
          <t>computers - software - medium / small</t>
        </is>
      </c>
      <c r="E231" s="31" t="inlineStr">
        <is>
          <t>midcap</t>
        </is>
      </c>
      <c r="F231" s="31" t="n">
        <v>12671.02</v>
      </c>
      <c r="G231" s="31" t="n">
        <v>618.75</v>
      </c>
      <c r="H231" s="31" t="n">
        <v>0.38</v>
      </c>
      <c r="I231" s="31" t="n">
        <v>310124</v>
      </c>
      <c r="J231" s="31" t="inlineStr">
        <is>
          <t>535080</t>
        </is>
      </c>
    </row>
    <row r="232">
      <c r="A232" s="31" t="inlineStr">
        <is>
          <t>INOXINDIA</t>
        </is>
      </c>
      <c r="B232" s="31" t="inlineStr">
        <is>
          <t>Inox India Ltd</t>
        </is>
      </c>
      <c r="C232" s="31" t="inlineStr">
        <is>
          <t>industrials</t>
        </is>
      </c>
      <c r="D232" s="31" t="inlineStr">
        <is>
          <t>packaging</t>
        </is>
      </c>
      <c r="E232" s="31" t="inlineStr">
        <is>
          <t>midcap</t>
        </is>
      </c>
      <c r="F232" s="31" t="n">
        <v>19298.14</v>
      </c>
      <c r="G232" s="31" t="n">
        <v>2134.2</v>
      </c>
      <c r="H232" s="31" t="n">
        <v>0.38</v>
      </c>
      <c r="I232" s="31" t="n">
        <v>325080</v>
      </c>
      <c r="J232" s="31" t="inlineStr">
        <is>
          <t>544046</t>
        </is>
      </c>
    </row>
    <row r="233">
      <c r="A233" s="31" t="inlineStr">
        <is>
          <t>ABSLAMC</t>
        </is>
      </c>
      <c r="B233" s="31" t="inlineStr">
        <is>
          <t>Aditya Birla Sun Life AMC Ltd</t>
        </is>
      </c>
      <c r="C233" s="31" t="inlineStr">
        <is>
          <t>financials</t>
        </is>
      </c>
      <c r="D233" s="31" t="inlineStr">
        <is>
          <t>finance &amp; investments</t>
        </is>
      </c>
      <c r="E233" s="31" t="inlineStr">
        <is>
          <t>largecap</t>
        </is>
      </c>
      <c r="F233" s="31" t="n">
        <v>30264</v>
      </c>
      <c r="G233" s="31" t="n">
        <v>1051.8</v>
      </c>
      <c r="H233" s="31" t="n">
        <v>0.37</v>
      </c>
      <c r="I233" s="31" t="n">
        <v>297155</v>
      </c>
      <c r="J233" s="31" t="inlineStr">
        <is>
          <t>543374</t>
        </is>
      </c>
    </row>
    <row r="234">
      <c r="A234" s="31" t="inlineStr">
        <is>
          <t>NAHARINDUS</t>
        </is>
      </c>
      <c r="B234" s="31" t="inlineStr">
        <is>
          <t>Nahar Industrial Enterprises Limited</t>
        </is>
      </c>
      <c r="C234" s="31" t="inlineStr">
        <is>
          <t>textiles</t>
        </is>
      </c>
      <c r="D234" s="31" t="inlineStr">
        <is>
          <t>textiles - cotton/blended</t>
        </is>
      </c>
      <c r="E234" s="31" t="inlineStr">
        <is>
          <t>smallcap</t>
        </is>
      </c>
      <c r="F234" s="31" t="n">
        <v>587.55</v>
      </c>
      <c r="G234" s="31" t="n">
        <v>136.45</v>
      </c>
      <c r="H234" s="31" t="n">
        <v>0.34</v>
      </c>
      <c r="I234" s="31" t="n">
        <v>31994</v>
      </c>
      <c r="J234" s="31" t="inlineStr">
        <is>
          <t>519136</t>
        </is>
      </c>
    </row>
    <row r="235">
      <c r="A235" s="31" t="inlineStr">
        <is>
          <t>JINDALSAW</t>
        </is>
      </c>
      <c r="B235" s="31" t="inlineStr">
        <is>
          <t>Jindal Saw Limited</t>
        </is>
      </c>
      <c r="C235" s="31" t="inlineStr">
        <is>
          <t>industrials</t>
        </is>
      </c>
      <c r="D235" s="31" t="inlineStr">
        <is>
          <t>steel - large</t>
        </is>
      </c>
      <c r="E235" s="31" t="inlineStr">
        <is>
          <t>midcap</t>
        </is>
      </c>
      <c r="F235" s="31" t="n">
        <v>19735.22</v>
      </c>
      <c r="G235" s="31" t="n">
        <v>309.65</v>
      </c>
      <c r="H235" s="31" t="n">
        <v>0.34</v>
      </c>
      <c r="I235" s="31" t="n">
        <v>2370636</v>
      </c>
      <c r="J235" s="31" t="inlineStr">
        <is>
          <t>500378</t>
        </is>
      </c>
    </row>
    <row r="236">
      <c r="A236" s="31" t="inlineStr">
        <is>
          <t>SUNDRMFAST</t>
        </is>
      </c>
      <c r="B236" s="31" t="inlineStr">
        <is>
          <t>Sundram Fasteners Limited</t>
        </is>
      </c>
      <c r="C236" s="31" t="inlineStr">
        <is>
          <t>auto</t>
        </is>
      </c>
      <c r="D236" s="31" t="inlineStr">
        <is>
          <t>auto ancillaries</t>
        </is>
      </c>
      <c r="E236" s="31" t="inlineStr">
        <is>
          <t>largecap</t>
        </is>
      </c>
      <c r="F236" s="31" t="n">
        <v>25215.4</v>
      </c>
      <c r="G236" s="31" t="n">
        <v>1203.9</v>
      </c>
      <c r="H236" s="31" t="n">
        <v>0.33</v>
      </c>
      <c r="I236" s="31" t="n">
        <v>194540</v>
      </c>
      <c r="J236" s="31" t="inlineStr">
        <is>
          <t>500403</t>
        </is>
      </c>
    </row>
    <row r="237">
      <c r="A237" s="31" t="inlineStr">
        <is>
          <t>QPOWER</t>
        </is>
      </c>
      <c r="B237" s="31" t="inlineStr">
        <is>
          <t>Quality Power Electrical Equipments Ltd</t>
        </is>
      </c>
      <c r="C237" s="31" t="inlineStr">
        <is>
          <t>industrials</t>
        </is>
      </c>
      <c r="D237" s="31" t="inlineStr">
        <is>
          <t>electric equipment</t>
        </is>
      </c>
      <c r="E237" s="31" t="inlineStr">
        <is>
          <t>midcap</t>
        </is>
      </c>
      <c r="F237" s="31" t="n">
        <v>11083.8</v>
      </c>
      <c r="G237" s="31" t="n">
        <v>1435.8</v>
      </c>
      <c r="H237" s="31" t="n">
        <v>0.32</v>
      </c>
      <c r="I237" s="31" t="n">
        <v>599422</v>
      </c>
      <c r="J237" s="31" t="inlineStr">
        <is>
          <t>544367</t>
        </is>
      </c>
    </row>
    <row r="238">
      <c r="A238" s="31" t="inlineStr">
        <is>
          <t>TORNTPHARM</t>
        </is>
      </c>
      <c r="B238" s="31" t="inlineStr">
        <is>
          <t>Torrent Pharmaceuticals Limited</t>
        </is>
      </c>
      <c r="C238" s="31" t="inlineStr">
        <is>
          <t>healthcare</t>
        </is>
      </c>
      <c r="D238" s="31" t="inlineStr">
        <is>
          <t>pharmaceuticals - indian - formulations</t>
        </is>
      </c>
      <c r="E238" s="31" t="inlineStr">
        <is>
          <t>largecap</t>
        </is>
      </c>
      <c r="F238" s="31" t="n">
        <v>192085.77</v>
      </c>
      <c r="G238" s="31" t="n">
        <v>5066</v>
      </c>
      <c r="H238" s="31" t="n">
        <v>0.32</v>
      </c>
      <c r="I238" s="31" t="n">
        <v>650409</v>
      </c>
      <c r="J238" s="31" t="inlineStr">
        <is>
          <t>500420</t>
        </is>
      </c>
    </row>
    <row r="239">
      <c r="A239" s="31" t="inlineStr">
        <is>
          <t>CHALET</t>
        </is>
      </c>
      <c r="B239" s="31" t="inlineStr">
        <is>
          <t>Chalet Hotels Ltd</t>
        </is>
      </c>
      <c r="C239" s="31" t="inlineStr">
        <is>
          <t>services</t>
        </is>
      </c>
      <c r="D239" s="31" t="inlineStr">
        <is>
          <t>hotels</t>
        </is>
      </c>
      <c r="E239" s="31" t="inlineStr">
        <is>
          <t>midcap</t>
        </is>
      </c>
      <c r="F239" s="31" t="n">
        <v>19735.75</v>
      </c>
      <c r="G239" s="31" t="n">
        <v>903.95</v>
      </c>
      <c r="H239" s="31" t="n">
        <v>0.31</v>
      </c>
      <c r="I239" s="31" t="n">
        <v>220262</v>
      </c>
      <c r="J239" s="31" t="inlineStr">
        <is>
          <t>542399</t>
        </is>
      </c>
    </row>
    <row r="240">
      <c r="A240" s="31" t="inlineStr">
        <is>
          <t>MAHSEAMLES</t>
        </is>
      </c>
      <c r="B240" s="31" t="inlineStr">
        <is>
          <t>Maharashtra Seamless Limited</t>
        </is>
      </c>
      <c r="C240" s="31" t="inlineStr">
        <is>
          <t>metals &amp; mining</t>
        </is>
      </c>
      <c r="D240" s="31" t="inlineStr">
        <is>
          <t>steel - medium / small</t>
        </is>
      </c>
      <c r="E240" s="31" t="inlineStr">
        <is>
          <t>midcap</t>
        </is>
      </c>
      <c r="F240" s="31" t="n">
        <v>8866.73</v>
      </c>
      <c r="G240" s="31" t="n">
        <v>663.2</v>
      </c>
      <c r="H240" s="31" t="n">
        <v>0.23</v>
      </c>
      <c r="I240" s="31" t="n">
        <v>393023</v>
      </c>
      <c r="J240" s="31" t="inlineStr">
        <is>
          <t>500265</t>
        </is>
      </c>
    </row>
    <row r="241">
      <c r="A241" s="31" t="inlineStr">
        <is>
          <t>PRINCEPIPE</t>
        </is>
      </c>
      <c r="B241" s="31" t="inlineStr">
        <is>
          <t>Prince Pipes &amp; Fittings Ltd</t>
        </is>
      </c>
      <c r="C241" s="31" t="inlineStr">
        <is>
          <t>plastic products</t>
        </is>
      </c>
      <c r="D241" s="31" t="inlineStr">
        <is>
          <t>plastics products</t>
        </is>
      </c>
      <c r="E241" s="31" t="inlineStr">
        <is>
          <t>smallcap</t>
        </is>
      </c>
      <c r="F241" s="31" t="n">
        <v>3244.41</v>
      </c>
      <c r="G241" s="31" t="n">
        <v>294.1</v>
      </c>
      <c r="H241" s="31" t="n">
        <v>0.22</v>
      </c>
      <c r="I241" s="31" t="n">
        <v>193298</v>
      </c>
      <c r="J241" s="31" t="inlineStr">
        <is>
          <t>542907</t>
        </is>
      </c>
    </row>
    <row r="242">
      <c r="A242" s="31" t="inlineStr">
        <is>
          <t>ANURAS</t>
        </is>
      </c>
      <c r="B242" s="31" t="inlineStr">
        <is>
          <t>Anupam Rasayan India Ltd</t>
        </is>
      </c>
      <c r="C242" s="31" t="inlineStr">
        <is>
          <t>chemicals</t>
        </is>
      </c>
      <c r="D242" s="31" t="inlineStr">
        <is>
          <t>chemicals</t>
        </is>
      </c>
      <c r="E242" s="31" t="inlineStr">
        <is>
          <t>midcap</t>
        </is>
      </c>
      <c r="F242" s="31" t="n">
        <v>14349.44</v>
      </c>
      <c r="G242" s="31" t="n">
        <v>1262.8</v>
      </c>
      <c r="H242" s="31" t="n">
        <v>0.19</v>
      </c>
      <c r="I242" s="31" t="n">
        <v>166656</v>
      </c>
      <c r="J242" s="31" t="inlineStr">
        <is>
          <t>543275</t>
        </is>
      </c>
    </row>
    <row r="243">
      <c r="A243" s="31" t="inlineStr">
        <is>
          <t>LALPATHLAB</t>
        </is>
      </c>
      <c r="B243" s="31" t="inlineStr">
        <is>
          <t>Dr. Lal Path Labs Ltd.</t>
        </is>
      </c>
      <c r="C243" s="31" t="inlineStr">
        <is>
          <t>healthcare</t>
        </is>
      </c>
      <c r="D243" s="31" t="inlineStr">
        <is>
          <t>healthcare</t>
        </is>
      </c>
      <c r="E243" s="31" t="inlineStr">
        <is>
          <t>largecap</t>
        </is>
      </c>
      <c r="F243" s="31" t="n">
        <v>32372.53</v>
      </c>
      <c r="G243" s="31" t="n">
        <v>1934.6</v>
      </c>
      <c r="H243" s="31" t="n">
        <v>0.18</v>
      </c>
      <c r="I243" s="31" t="n">
        <v>157780</v>
      </c>
      <c r="J243" s="31" t="inlineStr">
        <is>
          <t>539524</t>
        </is>
      </c>
    </row>
    <row r="244">
      <c r="A244" s="31" t="inlineStr">
        <is>
          <t>AGI</t>
        </is>
      </c>
      <c r="B244" s="31" t="inlineStr">
        <is>
          <t>AGI Greenpac Ltd</t>
        </is>
      </c>
      <c r="C244" s="31" t="inlineStr">
        <is>
          <t>industrials</t>
        </is>
      </c>
      <c r="D244" s="31" t="inlineStr">
        <is>
          <t>packaging</t>
        </is>
      </c>
      <c r="E244" s="31" t="inlineStr">
        <is>
          <t>midcap</t>
        </is>
      </c>
      <c r="F244" s="31" t="n">
        <v>5012.75</v>
      </c>
      <c r="G244" s="31" t="n">
        <v>776.1</v>
      </c>
      <c r="H244" s="31" t="n">
        <v>0.17</v>
      </c>
      <c r="I244" s="31" t="n">
        <v>475872</v>
      </c>
      <c r="J244" s="31" t="inlineStr">
        <is>
          <t>500187</t>
        </is>
      </c>
    </row>
    <row r="245">
      <c r="A245" s="31" t="inlineStr">
        <is>
          <t>NITINSPIN</t>
        </is>
      </c>
      <c r="B245" s="31" t="inlineStr">
        <is>
          <t>Nitin Spinners Limited</t>
        </is>
      </c>
      <c r="C245" s="31" t="inlineStr">
        <is>
          <t>textiles</t>
        </is>
      </c>
      <c r="D245" s="31" t="inlineStr">
        <is>
          <t>textiles - cotton/blended</t>
        </is>
      </c>
      <c r="E245" s="31" t="inlineStr">
        <is>
          <t>smallcap</t>
        </is>
      </c>
      <c r="F245" s="31" t="n">
        <v>3521.62</v>
      </c>
      <c r="G245" s="31" t="n">
        <v>627.4</v>
      </c>
      <c r="H245" s="31" t="n">
        <v>0.16</v>
      </c>
      <c r="I245" s="31" t="n">
        <v>143546</v>
      </c>
      <c r="J245" s="31" t="inlineStr">
        <is>
          <t>532698</t>
        </is>
      </c>
    </row>
    <row r="246">
      <c r="A246" s="31" t="inlineStr">
        <is>
          <t>SYNCOMF</t>
        </is>
      </c>
      <c r="B246" s="31" t="inlineStr">
        <is>
          <t>Syncom Formulations (India) Ltd</t>
        </is>
      </c>
      <c r="C246" s="31" t="inlineStr">
        <is>
          <t>healthcare</t>
        </is>
      </c>
      <c r="D246" s="31" t="inlineStr">
        <is>
          <t>pharmaceuticals - indian - bulk drugs &amp; formln</t>
        </is>
      </c>
      <c r="E246" s="31" t="inlineStr">
        <is>
          <t>smallcap</t>
        </is>
      </c>
      <c r="F246" s="31" t="n">
        <v>1829.24</v>
      </c>
      <c r="G246" s="31" t="n">
        <v>19.49</v>
      </c>
      <c r="H246" s="31" t="n">
        <v>0.15</v>
      </c>
      <c r="I246" s="31" t="n">
        <v>16267062</v>
      </c>
      <c r="J246" s="31" t="inlineStr">
        <is>
          <t>524470</t>
        </is>
      </c>
    </row>
    <row r="247">
      <c r="A247" s="31" t="inlineStr">
        <is>
          <t>INDIGOPNTS</t>
        </is>
      </c>
      <c r="B247" s="31" t="inlineStr">
        <is>
          <t>Indigo Paints Ltd</t>
        </is>
      </c>
      <c r="C247" s="31" t="inlineStr">
        <is>
          <t>building materials</t>
        </is>
      </c>
      <c r="D247" s="31" t="inlineStr">
        <is>
          <t>paints / varnishes</t>
        </is>
      </c>
      <c r="E247" s="31" t="inlineStr">
        <is>
          <t>midcap</t>
        </is>
      </c>
      <c r="F247" s="31" t="n">
        <v>5491.28</v>
      </c>
      <c r="G247" s="31" t="n">
        <v>1152.9</v>
      </c>
      <c r="H247" s="31" t="n">
        <v>0.1</v>
      </c>
      <c r="I247" s="31" t="n">
        <v>43048</v>
      </c>
      <c r="J247" s="31" t="inlineStr">
        <is>
          <t>543258</t>
        </is>
      </c>
    </row>
    <row r="248">
      <c r="A248" s="31" t="inlineStr">
        <is>
          <t>CEIGALL</t>
        </is>
      </c>
      <c r="B248" s="31" t="inlineStr">
        <is>
          <t>Ceigall India Ltd</t>
        </is>
      </c>
      <c r="C248" s="31" t="inlineStr">
        <is>
          <t>realty</t>
        </is>
      </c>
      <c r="D248" s="31" t="inlineStr">
        <is>
          <t>construction</t>
        </is>
      </c>
      <c r="E248" s="31" t="inlineStr">
        <is>
          <t>midcap</t>
        </is>
      </c>
      <c r="F248" s="31" t="n">
        <v>5940.39</v>
      </c>
      <c r="G248" s="31" t="n">
        <v>341.35</v>
      </c>
      <c r="H248" s="31" t="n">
        <v>0.1</v>
      </c>
      <c r="I248" s="31" t="n">
        <v>334208</v>
      </c>
      <c r="J248" s="31" t="inlineStr">
        <is>
          <t>544223</t>
        </is>
      </c>
    </row>
    <row r="249">
      <c r="A249" s="31" t="inlineStr">
        <is>
          <t>AFSL</t>
        </is>
      </c>
      <c r="B249" s="31" t="inlineStr">
        <is>
          <t>Abans Financial Services Ltd</t>
        </is>
      </c>
      <c r="C249" s="31" t="inlineStr">
        <is>
          <t>financials</t>
        </is>
      </c>
      <c r="D249" s="31" t="inlineStr">
        <is>
          <t>finance &amp; investments</t>
        </is>
      </c>
      <c r="E249" s="31" t="inlineStr">
        <is>
          <t>smallcap</t>
        </is>
      </c>
      <c r="F249" s="31" t="n">
        <v>1077.4</v>
      </c>
      <c r="G249" s="31" t="n">
        <v>212.1</v>
      </c>
      <c r="H249" s="31" t="n">
        <v>0.08</v>
      </c>
      <c r="I249" s="31" t="n">
        <v>14455</v>
      </c>
      <c r="J249" s="31" t="inlineStr">
        <is>
          <t>543712</t>
        </is>
      </c>
    </row>
    <row r="250">
      <c r="A250" s="31" t="inlineStr">
        <is>
          <t>ENTERO</t>
        </is>
      </c>
      <c r="B250" s="31" t="inlineStr">
        <is>
          <t>Entero Healthcare Solutions Ltd</t>
        </is>
      </c>
      <c r="C250" s="31" t="inlineStr">
        <is>
          <t>healthcare</t>
        </is>
      </c>
      <c r="D250" s="31" t="inlineStr">
        <is>
          <t>trading</t>
        </is>
      </c>
      <c r="E250" s="31" t="inlineStr">
        <is>
          <t>midcap</t>
        </is>
      </c>
      <c r="F250" s="31" t="n">
        <v>7871.58</v>
      </c>
      <c r="G250" s="31" t="n">
        <v>1809.9</v>
      </c>
      <c r="H250" s="31" t="n">
        <v>0.07000000000000001</v>
      </c>
      <c r="I250" s="31" t="n">
        <v>638557</v>
      </c>
      <c r="J250" s="31" t="inlineStr">
        <is>
          <t>544122</t>
        </is>
      </c>
    </row>
    <row r="251">
      <c r="A251" s="31" t="inlineStr">
        <is>
          <t>MANORAMA</t>
        </is>
      </c>
      <c r="B251" s="31" t="inlineStr">
        <is>
          <t>Manorama Industries Ltd</t>
        </is>
      </c>
      <c r="C251" s="31" t="inlineStr">
        <is>
          <t>fmcg</t>
        </is>
      </c>
      <c r="D251" s="31" t="inlineStr">
        <is>
          <t>food - processing - indian</t>
        </is>
      </c>
      <c r="E251" s="31" t="inlineStr">
        <is>
          <t>midcap</t>
        </is>
      </c>
      <c r="F251" s="31" t="n">
        <v>11281.33</v>
      </c>
      <c r="G251" s="31" t="n">
        <v>1890.8</v>
      </c>
      <c r="H251" s="31" t="n">
        <v>0.07000000000000001</v>
      </c>
      <c r="I251" s="31" t="n">
        <v>442413</v>
      </c>
      <c r="J251" s="31" t="inlineStr">
        <is>
          <t>541974</t>
        </is>
      </c>
    </row>
    <row r="252">
      <c r="A252" s="31" t="inlineStr">
        <is>
          <t>SBFC</t>
        </is>
      </c>
      <c r="B252" s="31" t="inlineStr">
        <is>
          <t>SBFC Finance Ltd</t>
        </is>
      </c>
      <c r="C252" s="31" t="inlineStr">
        <is>
          <t>financials</t>
        </is>
      </c>
      <c r="D252" s="31" t="inlineStr">
        <is>
          <t>finance &amp; investments</t>
        </is>
      </c>
      <c r="E252" s="31" t="inlineStr">
        <is>
          <t>midcap</t>
        </is>
      </c>
      <c r="F252" s="31" t="n">
        <v>10934.65</v>
      </c>
      <c r="G252" s="31" t="n">
        <v>98.81999999999999</v>
      </c>
      <c r="H252" s="31" t="n">
        <v>0.07000000000000001</v>
      </c>
      <c r="I252" s="31" t="n">
        <v>1305140</v>
      </c>
      <c r="J252" s="31" t="inlineStr">
        <is>
          <t>543959</t>
        </is>
      </c>
    </row>
    <row r="253">
      <c r="A253" s="31" t="inlineStr">
        <is>
          <t>JTLIND</t>
        </is>
      </c>
      <c r="B253" s="31" t="inlineStr">
        <is>
          <t>JTL Industries Ltd</t>
        </is>
      </c>
      <c r="C253" s="31" t="inlineStr">
        <is>
          <t>metals &amp; mining</t>
        </is>
      </c>
      <c r="D253" s="31" t="inlineStr">
        <is>
          <t>steel - medium / small</t>
        </is>
      </c>
      <c r="E253" s="31" t="inlineStr">
        <is>
          <t>smallcap</t>
        </is>
      </c>
      <c r="F253" s="31" t="n">
        <v>3532.62</v>
      </c>
      <c r="G253" s="31" t="n">
        <v>89.93000000000001</v>
      </c>
      <c r="H253" s="31" t="n">
        <v>0.07000000000000001</v>
      </c>
      <c r="I253" s="31" t="n">
        <v>6446492</v>
      </c>
      <c r="J253" s="31" t="inlineStr">
        <is>
          <t>534600</t>
        </is>
      </c>
    </row>
    <row r="254">
      <c r="A254" s="31" t="inlineStr">
        <is>
          <t>OIL</t>
        </is>
      </c>
      <c r="B254" s="31" t="inlineStr">
        <is>
          <t>Oil India Limited</t>
        </is>
      </c>
      <c r="C254" s="31" t="inlineStr">
        <is>
          <t>energy</t>
        </is>
      </c>
      <c r="D254" s="31" t="inlineStr">
        <is>
          <t>oil drilling / allied services</t>
        </is>
      </c>
      <c r="E254" s="31" t="inlineStr">
        <is>
          <t>largecap</t>
        </is>
      </c>
      <c r="F254" s="31" t="n">
        <v>78540.75999999999</v>
      </c>
      <c r="G254" s="31" t="n">
        <v>483.15</v>
      </c>
      <c r="H254" s="31" t="n">
        <v>0.06</v>
      </c>
      <c r="I254" s="31" t="n">
        <v>4790739</v>
      </c>
      <c r="J254" s="31" t="inlineStr">
        <is>
          <t>533106</t>
        </is>
      </c>
    </row>
    <row r="255">
      <c r="A255" s="31" t="inlineStr">
        <is>
          <t>SHAILY</t>
        </is>
      </c>
      <c r="B255" s="31" t="inlineStr">
        <is>
          <t>Shaily Engineering Plastics Ltd</t>
        </is>
      </c>
      <c r="C255" s="31" t="inlineStr">
        <is>
          <t>plastic products</t>
        </is>
      </c>
      <c r="D255" s="31" t="inlineStr">
        <is>
          <t>plastics products</t>
        </is>
      </c>
      <c r="E255" s="31" t="inlineStr">
        <is>
          <t>midcap</t>
        </is>
      </c>
      <c r="F255" s="31" t="n">
        <v>15042.29</v>
      </c>
      <c r="G255" s="31" t="n">
        <v>3272.3</v>
      </c>
      <c r="H255" s="31" t="n">
        <v>0.06</v>
      </c>
      <c r="I255" s="31" t="n">
        <v>197794</v>
      </c>
      <c r="J255" s="31" t="inlineStr">
        <is>
          <t>501423</t>
        </is>
      </c>
    </row>
    <row r="256">
      <c r="A256" s="31" t="inlineStr">
        <is>
          <t>ETERNAL</t>
        </is>
      </c>
      <c r="B256" s="31" t="inlineStr">
        <is>
          <t>Eternal Ltd</t>
        </is>
      </c>
      <c r="C256" s="31" t="inlineStr">
        <is>
          <t>i.t</t>
        </is>
      </c>
      <c r="D256" s="31" t="inlineStr">
        <is>
          <t>miscellaneous</t>
        </is>
      </c>
      <c r="E256" s="31" t="inlineStr">
        <is>
          <t>largecap</t>
        </is>
      </c>
      <c r="F256" s="31" t="n">
        <v>316531.5</v>
      </c>
      <c r="G256" s="31" t="n">
        <v>328.1</v>
      </c>
      <c r="H256" s="31" t="n">
        <v>0.03</v>
      </c>
      <c r="I256" s="31" t="n">
        <v>272151922</v>
      </c>
      <c r="J256" s="31" t="inlineStr">
        <is>
          <t>543320</t>
        </is>
      </c>
    </row>
    <row r="257">
      <c r="A257" s="31" t="inlineStr">
        <is>
          <t>WONDERLA</t>
        </is>
      </c>
      <c r="B257" s="31" t="inlineStr">
        <is>
          <t>Wonderla Holidays Limited</t>
        </is>
      </c>
      <c r="C257" s="31" t="inlineStr">
        <is>
          <t>media</t>
        </is>
      </c>
      <c r="D257" s="31" t="inlineStr">
        <is>
          <t>recreation / amusement parks</t>
        </is>
      </c>
      <c r="E257" s="31" t="inlineStr">
        <is>
          <t>smallcap</t>
        </is>
      </c>
      <c r="F257" s="31" t="n">
        <v>3407.9</v>
      </c>
      <c r="G257" s="31" t="n">
        <v>537.25</v>
      </c>
      <c r="H257" s="31" t="n">
        <v>0.03</v>
      </c>
      <c r="I257" s="31" t="n">
        <v>81829</v>
      </c>
      <c r="J257" s="31" t="inlineStr">
        <is>
          <t>538268</t>
        </is>
      </c>
    </row>
    <row r="258">
      <c r="A258" s="31" t="inlineStr">
        <is>
          <t>PTCIL</t>
        </is>
      </c>
      <c r="B258" s="31" t="inlineStr">
        <is>
          <t>PTC Industries Ltd</t>
        </is>
      </c>
      <c r="C258" s="31" t="inlineStr">
        <is>
          <t>industrials</t>
        </is>
      </c>
      <c r="D258" s="31" t="inlineStr">
        <is>
          <t>castings &amp; forgings</t>
        </is>
      </c>
      <c r="E258" s="31" t="inlineStr">
        <is>
          <t>largecap</t>
        </is>
      </c>
      <c r="F258" s="31" t="n">
        <v>33148.53</v>
      </c>
      <c r="G258" s="31" t="n">
        <v>22114</v>
      </c>
      <c r="H258" s="31" t="n">
        <v>0.02</v>
      </c>
      <c r="I258" s="31" t="n">
        <v>80039</v>
      </c>
      <c r="J258" s="31" t="inlineStr">
        <is>
          <t>539006</t>
        </is>
      </c>
    </row>
    <row r="259">
      <c r="A259" s="31" t="inlineStr">
        <is>
          <t>ROLEXRINGS</t>
        </is>
      </c>
      <c r="B259" s="31" t="inlineStr">
        <is>
          <t>Rolex Rings Ltd</t>
        </is>
      </c>
      <c r="C259" s="31" t="inlineStr">
        <is>
          <t>auto</t>
        </is>
      </c>
      <c r="D259" s="31" t="inlineStr">
        <is>
          <t>auto ancillaries</t>
        </is>
      </c>
      <c r="E259" s="31" t="inlineStr">
        <is>
          <t>smallcap</t>
        </is>
      </c>
      <c r="F259" s="31" t="n">
        <v>4916.97</v>
      </c>
      <c r="G259" s="31" t="n">
        <v>180.59</v>
      </c>
      <c r="H259" s="31" t="n">
        <v>0.02</v>
      </c>
      <c r="I259" s="31" t="n">
        <v>1413873</v>
      </c>
      <c r="J259" s="31" t="inlineStr">
        <is>
          <t>543325</t>
        </is>
      </c>
    </row>
    <row r="260">
      <c r="A260" s="31" t="inlineStr">
        <is>
          <t>FINEORG</t>
        </is>
      </c>
      <c r="B260" s="31" t="inlineStr">
        <is>
          <t>Fine Organic Industries Ltd</t>
        </is>
      </c>
      <c r="C260" s="31" t="inlineStr">
        <is>
          <t>chemicals</t>
        </is>
      </c>
      <c r="D260" s="31" t="inlineStr">
        <is>
          <t>chemicals</t>
        </is>
      </c>
      <c r="E260" s="31" t="inlineStr">
        <is>
          <t>midcap</t>
        </is>
      </c>
      <c r="F260" s="31" t="n">
        <v>16196.13</v>
      </c>
      <c r="G260" s="31" t="n">
        <v>5282.8</v>
      </c>
      <c r="H260" s="31" t="n">
        <v>0.01</v>
      </c>
      <c r="I260" s="31" t="n">
        <v>47274</v>
      </c>
      <c r="J260" s="31" t="inlineStr">
        <is>
          <t>541557</t>
        </is>
      </c>
    </row>
    <row r="261">
      <c r="A261" s="31" t="inlineStr">
        <is>
          <t>UNOMINDA</t>
        </is>
      </c>
      <c r="B261" s="31" t="inlineStr">
        <is>
          <t>Uno Minda Ltd</t>
        </is>
      </c>
      <c r="C261" s="31" t="inlineStr">
        <is>
          <t>auto</t>
        </is>
      </c>
      <c r="D261" s="31" t="inlineStr">
        <is>
          <t>auto ancillaries</t>
        </is>
      </c>
      <c r="E261" s="31" t="inlineStr">
        <is>
          <t>largecap</t>
        </is>
      </c>
      <c r="F261" s="31" t="n">
        <v>73684.82000000001</v>
      </c>
      <c r="G261" s="31" t="n">
        <v>1276</v>
      </c>
      <c r="H261" s="31" t="n">
        <v>0</v>
      </c>
      <c r="I261" s="31" t="n">
        <v>693607</v>
      </c>
      <c r="J261" s="31" t="inlineStr">
        <is>
          <t>532539</t>
        </is>
      </c>
    </row>
    <row r="262">
      <c r="A262" s="31" t="inlineStr">
        <is>
          <t>VISHNU</t>
        </is>
      </c>
      <c r="B262" s="31" t="inlineStr">
        <is>
          <t>Vishnu Chemicals Limited</t>
        </is>
      </c>
      <c r="C262" s="31" t="inlineStr">
        <is>
          <t>chemicals</t>
        </is>
      </c>
      <c r="D262" s="31" t="inlineStr">
        <is>
          <t>chemicals</t>
        </is>
      </c>
      <c r="E262" s="31" t="inlineStr">
        <is>
          <t>smallcap</t>
        </is>
      </c>
      <c r="F262" s="31" t="n">
        <v>4390.3</v>
      </c>
      <c r="G262" s="31" t="n">
        <v>652.15</v>
      </c>
      <c r="H262" s="31" t="n">
        <v>-0.01</v>
      </c>
      <c r="I262" s="31" t="n">
        <v>91047</v>
      </c>
      <c r="J262" s="31" t="inlineStr">
        <is>
          <t>516072</t>
        </is>
      </c>
    </row>
    <row r="263">
      <c r="A263" s="31" t="inlineStr">
        <is>
          <t>GEECEE</t>
        </is>
      </c>
      <c r="B263" s="31" t="inlineStr">
        <is>
          <t>Geecee Ventures Limited</t>
        </is>
      </c>
      <c r="C263" s="31" t="inlineStr">
        <is>
          <t>financials</t>
        </is>
      </c>
      <c r="D263" s="31" t="inlineStr">
        <is>
          <t>finance &amp; investments</t>
        </is>
      </c>
      <c r="E263" s="31" t="inlineStr">
        <is>
          <t>smallcap</t>
        </is>
      </c>
      <c r="F263" s="31" t="n">
        <v>773.73</v>
      </c>
      <c r="G263" s="31" t="n">
        <v>369.95</v>
      </c>
      <c r="H263" s="31" t="n">
        <v>-0.01</v>
      </c>
      <c r="I263" s="31" t="n">
        <v>5222</v>
      </c>
      <c r="J263" s="31" t="inlineStr">
        <is>
          <t>532764</t>
        </is>
      </c>
    </row>
    <row r="264">
      <c r="A264" s="31" t="inlineStr">
        <is>
          <t>EIMCOELECO</t>
        </is>
      </c>
      <c r="B264" s="31" t="inlineStr">
        <is>
          <t>Eimco Elecon (india) Limited</t>
        </is>
      </c>
      <c r="C264" s="31" t="inlineStr">
        <is>
          <t>industrials</t>
        </is>
      </c>
      <c r="D264" s="31" t="inlineStr">
        <is>
          <t>engineering</t>
        </is>
      </c>
      <c r="E264" s="31" t="inlineStr">
        <is>
          <t>smallcap</t>
        </is>
      </c>
      <c r="F264" s="31" t="n">
        <v>1266.8</v>
      </c>
      <c r="G264" s="31" t="n">
        <v>2195.4</v>
      </c>
      <c r="H264" s="31" t="n">
        <v>-0.03</v>
      </c>
      <c r="I264" s="31" t="n">
        <v>24982</v>
      </c>
      <c r="J264" s="31" t="inlineStr">
        <is>
          <t>523708</t>
        </is>
      </c>
    </row>
    <row r="265">
      <c r="A265" s="31" t="inlineStr">
        <is>
          <t>PANACHE</t>
        </is>
      </c>
      <c r="B265" s="31" t="inlineStr">
        <is>
          <t>Panache Digilife Ltd</t>
        </is>
      </c>
      <c r="C265" s="31" t="inlineStr">
        <is>
          <t>i.t</t>
        </is>
      </c>
      <c r="D265" s="31" t="inlineStr">
        <is>
          <t>computers - hardware</t>
        </is>
      </c>
      <c r="E265" s="31" t="inlineStr">
        <is>
          <t>smallcap</t>
        </is>
      </c>
      <c r="F265" s="31" t="n">
        <v>849.0599999999999</v>
      </c>
      <c r="G265" s="31" t="n">
        <v>530</v>
      </c>
      <c r="H265" s="31" t="n">
        <v>-0.04</v>
      </c>
      <c r="I265" s="31" t="n">
        <v>2969</v>
      </c>
      <c r="J265" s="31" t="inlineStr">
        <is>
          <t>538424</t>
        </is>
      </c>
    </row>
    <row r="266">
      <c r="A266" s="31" t="inlineStr">
        <is>
          <t>ASAHIINDIA</t>
        </is>
      </c>
      <c r="B266" s="31" t="inlineStr">
        <is>
          <t>Asahi India Glass Limited</t>
        </is>
      </c>
      <c r="C266" s="31" t="inlineStr">
        <is>
          <t>building materials</t>
        </is>
      </c>
      <c r="D266" s="31" t="inlineStr">
        <is>
          <t>glass &amp; glass products</t>
        </is>
      </c>
      <c r="E266" s="31" t="inlineStr">
        <is>
          <t>largecap</t>
        </is>
      </c>
      <c r="F266" s="31" t="n">
        <v>24286.91</v>
      </c>
      <c r="G266" s="31" t="n">
        <v>952.05</v>
      </c>
      <c r="H266" s="31" t="n">
        <v>-0.07000000000000001</v>
      </c>
      <c r="I266" s="31" t="n">
        <v>139150</v>
      </c>
      <c r="J266" s="31" t="inlineStr">
        <is>
          <t>515030</t>
        </is>
      </c>
    </row>
    <row r="267">
      <c r="A267" s="31" t="inlineStr">
        <is>
          <t>ASHOKLEY</t>
        </is>
      </c>
      <c r="B267" s="31" t="inlineStr">
        <is>
          <t>Ashok Leyland Limited</t>
        </is>
      </c>
      <c r="C267" s="31" t="inlineStr">
        <is>
          <t>auto</t>
        </is>
      </c>
      <c r="D267" s="31" t="inlineStr">
        <is>
          <t>automobiles - lcvs / hcvs</t>
        </is>
      </c>
      <c r="E267" s="31" t="inlineStr">
        <is>
          <t>largecap</t>
        </is>
      </c>
      <c r="F267" s="31" t="n">
        <v>103244.74</v>
      </c>
      <c r="G267" s="31" t="n">
        <v>175.64</v>
      </c>
      <c r="H267" s="31" t="n">
        <v>-0.07000000000000001</v>
      </c>
      <c r="I267" s="31" t="n">
        <v>14333497</v>
      </c>
      <c r="J267" s="31" t="inlineStr">
        <is>
          <t>500477</t>
        </is>
      </c>
    </row>
    <row r="268">
      <c r="A268" s="31" t="inlineStr">
        <is>
          <t>WHEELS</t>
        </is>
      </c>
      <c r="B268" s="31" t="inlineStr">
        <is>
          <t>Wheels India Limited</t>
        </is>
      </c>
      <c r="C268" s="31" t="inlineStr">
        <is>
          <t>auto</t>
        </is>
      </c>
      <c r="D268" s="31" t="inlineStr">
        <is>
          <t>auto ancillaries</t>
        </is>
      </c>
      <c r="E268" s="31" t="inlineStr">
        <is>
          <t>smallcap</t>
        </is>
      </c>
      <c r="F268" s="31" t="n">
        <v>3781.5</v>
      </c>
      <c r="G268" s="31" t="n">
        <v>1546.4</v>
      </c>
      <c r="H268" s="31" t="n">
        <v>-0.08</v>
      </c>
      <c r="I268" s="31" t="n">
        <v>117709</v>
      </c>
      <c r="J268" s="31" t="inlineStr">
        <is>
          <t>590073</t>
        </is>
      </c>
    </row>
    <row r="269">
      <c r="A269" s="31" t="inlineStr">
        <is>
          <t>GLAND</t>
        </is>
      </c>
      <c r="B269" s="31" t="inlineStr">
        <is>
          <t>Gland Pharma Ltd</t>
        </is>
      </c>
      <c r="C269" s="31" t="inlineStr">
        <is>
          <t>healthcare</t>
        </is>
      </c>
      <c r="D269" s="31" t="inlineStr">
        <is>
          <t>pharmaceuticals - indian - formulations</t>
        </is>
      </c>
      <c r="E269" s="31" t="inlineStr">
        <is>
          <t>largecap</t>
        </is>
      </c>
      <c r="F269" s="31" t="n">
        <v>47640.36</v>
      </c>
      <c r="G269" s="31" t="n">
        <v>2885.8</v>
      </c>
      <c r="H269" s="31" t="n">
        <v>-0.08</v>
      </c>
      <c r="I269" s="31" t="n">
        <v>370779</v>
      </c>
      <c r="J269" s="31" t="inlineStr">
        <is>
          <t>543245</t>
        </is>
      </c>
    </row>
    <row r="270">
      <c r="A270" s="31" t="inlineStr">
        <is>
          <t>ALBERTDAVD</t>
        </is>
      </c>
      <c r="B270" s="31" t="inlineStr">
        <is>
          <t>Albert David Limited</t>
        </is>
      </c>
      <c r="C270" s="31" t="inlineStr">
        <is>
          <t>healthcare</t>
        </is>
      </c>
      <c r="D270" s="31" t="inlineStr">
        <is>
          <t>pharmaceuticals - indian - bulk drugs &amp; formln</t>
        </is>
      </c>
      <c r="E270" s="31" t="inlineStr">
        <is>
          <t>smallcap</t>
        </is>
      </c>
      <c r="F270" s="31" t="n">
        <v>512.85</v>
      </c>
      <c r="G270" s="31" t="n">
        <v>897.9</v>
      </c>
      <c r="H270" s="31" t="n">
        <v>-0.08</v>
      </c>
      <c r="I270" s="31" t="n">
        <v>14450</v>
      </c>
      <c r="J270" s="31" t="inlineStr">
        <is>
          <t>524075</t>
        </is>
      </c>
    </row>
    <row r="271">
      <c r="A271" s="31" t="inlineStr">
        <is>
          <t>GOKULAGRO</t>
        </is>
      </c>
      <c r="B271" s="31" t="inlineStr">
        <is>
          <t>Gokul Agro Resources Limited</t>
        </is>
      </c>
      <c r="C271" s="31" t="inlineStr">
        <is>
          <t>fmcg</t>
        </is>
      </c>
      <c r="D271" s="31" t="inlineStr">
        <is>
          <t>solvent extraction</t>
        </is>
      </c>
      <c r="E271" s="31" t="inlineStr">
        <is>
          <t>midcap</t>
        </is>
      </c>
      <c r="F271" s="31" t="n">
        <v>7210.15</v>
      </c>
      <c r="G271" s="31" t="n">
        <v>244.1</v>
      </c>
      <c r="H271" s="31" t="n">
        <v>-0.1</v>
      </c>
      <c r="I271" s="31" t="n">
        <v>382544</v>
      </c>
      <c r="J271" s="31" t="inlineStr">
        <is>
          <t>539725</t>
        </is>
      </c>
    </row>
    <row r="272">
      <c r="A272" s="31" t="inlineStr">
        <is>
          <t>KANORICHEM</t>
        </is>
      </c>
      <c r="B272" s="31" t="inlineStr">
        <is>
          <t>Kanoria Chemicals &amp; Industries Limited</t>
        </is>
      </c>
      <c r="C272" s="31" t="inlineStr">
        <is>
          <t>chemicals</t>
        </is>
      </c>
      <c r="D272" s="31" t="inlineStr">
        <is>
          <t>chemicals</t>
        </is>
      </c>
      <c r="E272" s="31" t="inlineStr">
        <is>
          <t>smallcap</t>
        </is>
      </c>
      <c r="F272" s="31" t="n">
        <v>695.8200000000001</v>
      </c>
      <c r="G272" s="31" t="n">
        <v>159.08</v>
      </c>
      <c r="H272" s="31" t="n">
        <v>-0.11</v>
      </c>
      <c r="I272" s="31" t="n">
        <v>25870</v>
      </c>
      <c r="J272" s="31" t="inlineStr">
        <is>
          <t>506525</t>
        </is>
      </c>
    </row>
    <row r="273">
      <c r="A273" s="31" t="inlineStr">
        <is>
          <t>SEAMECLTD</t>
        </is>
      </c>
      <c r="B273" s="31" t="inlineStr">
        <is>
          <t>Seamec Limited</t>
        </is>
      </c>
      <c r="C273" s="31" t="inlineStr">
        <is>
          <t>miscellaneous</t>
        </is>
      </c>
      <c r="D273" s="31" t="inlineStr">
        <is>
          <t>miscellaneous</t>
        </is>
      </c>
      <c r="E273" s="31" t="inlineStr">
        <is>
          <t>smallcap</t>
        </is>
      </c>
      <c r="F273" s="31" t="n">
        <v>4262.76</v>
      </c>
      <c r="G273" s="31" t="n">
        <v>1674.8</v>
      </c>
      <c r="H273" s="31" t="n">
        <v>-0.11</v>
      </c>
      <c r="I273" s="31" t="n">
        <v>37989</v>
      </c>
      <c r="J273" s="31" t="inlineStr">
        <is>
          <t>526807</t>
        </is>
      </c>
    </row>
    <row r="274">
      <c r="A274" s="31" t="inlineStr">
        <is>
          <t>WSTCSTPAPR</t>
        </is>
      </c>
      <c r="B274" s="31" t="inlineStr">
        <is>
          <t>West Coast Paper Mills Limited</t>
        </is>
      </c>
      <c r="C274" s="31" t="inlineStr">
        <is>
          <t>building materials</t>
        </is>
      </c>
      <c r="D274" s="31" t="inlineStr">
        <is>
          <t>paper</t>
        </is>
      </c>
      <c r="E274" s="31" t="inlineStr">
        <is>
          <t>smallcap</t>
        </is>
      </c>
      <c r="F274" s="31" t="n">
        <v>4045.5</v>
      </c>
      <c r="G274" s="31" t="n">
        <v>611.8</v>
      </c>
      <c r="H274" s="31" t="n">
        <v>-0.11</v>
      </c>
      <c r="I274" s="31" t="n">
        <v>254827</v>
      </c>
      <c r="J274" s="31" t="inlineStr">
        <is>
          <t>500444</t>
        </is>
      </c>
    </row>
    <row r="275">
      <c r="A275" s="31" t="inlineStr">
        <is>
          <t>BANARISUG</t>
        </is>
      </c>
      <c r="B275" s="31" t="inlineStr">
        <is>
          <t>Bannari Amman Sugars Limited</t>
        </is>
      </c>
      <c r="C275" s="31" t="inlineStr">
        <is>
          <t>fmcg</t>
        </is>
      </c>
      <c r="D275" s="31" t="inlineStr">
        <is>
          <t>sugar</t>
        </is>
      </c>
      <c r="E275" s="31" t="inlineStr">
        <is>
          <t>smallcap</t>
        </is>
      </c>
      <c r="F275" s="31" t="n">
        <v>4928.98</v>
      </c>
      <c r="G275" s="31" t="n">
        <v>3925.7</v>
      </c>
      <c r="H275" s="31" t="n">
        <v>-0.13</v>
      </c>
      <c r="I275" s="31" t="n">
        <v>5097</v>
      </c>
      <c r="J275" s="31" t="inlineStr">
        <is>
          <t>500041</t>
        </is>
      </c>
    </row>
    <row r="276">
      <c r="A276" s="31" t="inlineStr">
        <is>
          <t>POLYPLEX</t>
        </is>
      </c>
      <c r="B276" s="31" t="inlineStr">
        <is>
          <t>Polyplex Corporation Limited</t>
        </is>
      </c>
      <c r="C276" s="31" t="inlineStr">
        <is>
          <t>industrials</t>
        </is>
      </c>
      <c r="D276" s="31" t="inlineStr">
        <is>
          <t>packaging</t>
        </is>
      </c>
      <c r="E276" s="31" t="inlineStr">
        <is>
          <t>smallcap</t>
        </is>
      </c>
      <c r="F276" s="31" t="n">
        <v>3718.12</v>
      </c>
      <c r="G276" s="31" t="n">
        <v>1182.6</v>
      </c>
      <c r="H276" s="31" t="n">
        <v>-0.15</v>
      </c>
      <c r="I276" s="31" t="n">
        <v>87851</v>
      </c>
      <c r="J276" s="31" t="inlineStr">
        <is>
          <t>524051</t>
        </is>
      </c>
    </row>
    <row r="277">
      <c r="A277" s="31" t="inlineStr">
        <is>
          <t>RACLGEAR</t>
        </is>
      </c>
      <c r="B277" s="31" t="inlineStr">
        <is>
          <t>RACL Geartech Ltd</t>
        </is>
      </c>
      <c r="C277" s="31" t="inlineStr">
        <is>
          <t>auto</t>
        </is>
      </c>
      <c r="D277" s="31" t="inlineStr">
        <is>
          <t>auto ancillaries</t>
        </is>
      </c>
      <c r="E277" s="31" t="inlineStr">
        <is>
          <t>smallcap</t>
        </is>
      </c>
      <c r="F277" s="31" t="n">
        <v>1813.71</v>
      </c>
      <c r="G277" s="31" t="n">
        <v>1535.8</v>
      </c>
      <c r="H277" s="31" t="n">
        <v>-0.18</v>
      </c>
      <c r="I277" s="31" t="n">
        <v>24297</v>
      </c>
      <c r="J277" s="31" t="inlineStr">
        <is>
          <t>520073</t>
        </is>
      </c>
    </row>
    <row r="278">
      <c r="A278" s="31" t="inlineStr">
        <is>
          <t>KDDL</t>
        </is>
      </c>
      <c r="B278" s="31" t="inlineStr">
        <is>
          <t>Kddl Limited</t>
        </is>
      </c>
      <c r="C278" s="31" t="inlineStr">
        <is>
          <t>consumer discretionary</t>
        </is>
      </c>
      <c r="D278" s="31" t="inlineStr">
        <is>
          <t>miscellaneous</t>
        </is>
      </c>
      <c r="E278" s="31" t="inlineStr">
        <is>
          <t>smallcap</t>
        </is>
      </c>
      <c r="F278" s="31" t="n">
        <v>4842.1</v>
      </c>
      <c r="G278" s="31" t="n">
        <v>3929.6</v>
      </c>
      <c r="H278" s="31" t="n">
        <v>-0.19</v>
      </c>
      <c r="I278" s="31" t="n">
        <v>14881</v>
      </c>
      <c r="J278" s="31" t="inlineStr">
        <is>
          <t>532054</t>
        </is>
      </c>
    </row>
    <row r="279">
      <c r="A279" s="31" t="inlineStr">
        <is>
          <t>SMARTWORKS</t>
        </is>
      </c>
      <c r="B279" s="31" t="inlineStr">
        <is>
          <t>Smartworks Coworking Spaces Ltd</t>
        </is>
      </c>
      <c r="C279" s="31" t="inlineStr">
        <is>
          <t>co-working</t>
        </is>
      </c>
      <c r="D279" s="31" t="inlineStr">
        <is>
          <t>miscellaneous</t>
        </is>
      </c>
      <c r="E279" s="31" t="inlineStr">
        <is>
          <t>midcap</t>
        </is>
      </c>
      <c r="F279" s="31" t="n">
        <v>6155.87</v>
      </c>
      <c r="G279" s="31" t="n">
        <v>537.55</v>
      </c>
      <c r="H279" s="31" t="n">
        <v>-0.22</v>
      </c>
      <c r="I279" s="31" t="n">
        <v>21633</v>
      </c>
      <c r="J279" s="31" t="inlineStr">
        <is>
          <t>544447</t>
        </is>
      </c>
    </row>
    <row r="280">
      <c r="A280" s="31" t="inlineStr">
        <is>
          <t>INGERRAND</t>
        </is>
      </c>
      <c r="B280" s="31" t="inlineStr">
        <is>
          <t>Ingersoll Rand (india) Limited</t>
        </is>
      </c>
      <c r="C280" s="31" t="inlineStr">
        <is>
          <t>industrials</t>
        </is>
      </c>
      <c r="D280" s="31" t="inlineStr">
        <is>
          <t>compressors / drilling equipment</t>
        </is>
      </c>
      <c r="E280" s="31" t="inlineStr">
        <is>
          <t>midcap</t>
        </is>
      </c>
      <c r="F280" s="31" t="n">
        <v>15342.68</v>
      </c>
      <c r="G280" s="31" t="n">
        <v>4848.5</v>
      </c>
      <c r="H280" s="31" t="n">
        <v>-0.24</v>
      </c>
      <c r="I280" s="31" t="n">
        <v>54154</v>
      </c>
      <c r="J280" s="31" t="inlineStr">
        <is>
          <t>500210</t>
        </is>
      </c>
    </row>
    <row r="281">
      <c r="A281" s="31" t="inlineStr">
        <is>
          <t>SONACOMS</t>
        </is>
      </c>
      <c r="B281" s="31" t="inlineStr">
        <is>
          <t>Sona BLW Precision Forgings Ltd</t>
        </is>
      </c>
      <c r="C281" s="31" t="inlineStr">
        <is>
          <t>auto</t>
        </is>
      </c>
      <c r="D281" s="31" t="inlineStr">
        <is>
          <t>auto ancillaries</t>
        </is>
      </c>
      <c r="E281" s="31" t="inlineStr">
        <is>
          <t>largecap</t>
        </is>
      </c>
      <c r="F281" s="31" t="n">
        <v>50695.84</v>
      </c>
      <c r="G281" s="31" t="n">
        <v>813.05</v>
      </c>
      <c r="H281" s="31" t="n">
        <v>-0.24</v>
      </c>
      <c r="I281" s="31" t="n">
        <v>1604737</v>
      </c>
      <c r="J281" s="31" t="inlineStr">
        <is>
          <t>543300</t>
        </is>
      </c>
    </row>
    <row r="282">
      <c r="A282" s="31" t="inlineStr">
        <is>
          <t>ELGIEQUIP</t>
        </is>
      </c>
      <c r="B282" s="31" t="inlineStr">
        <is>
          <t>Elgi Equipments Limited</t>
        </is>
      </c>
      <c r="C282" s="31" t="inlineStr">
        <is>
          <t>industrials</t>
        </is>
      </c>
      <c r="D282" s="31" t="inlineStr">
        <is>
          <t>compressors / drilling equipment</t>
        </is>
      </c>
      <c r="E282" s="31" t="inlineStr">
        <is>
          <t>midcap</t>
        </is>
      </c>
      <c r="F282" s="31" t="n">
        <v>19928.82</v>
      </c>
      <c r="G282" s="31" t="n">
        <v>627.35</v>
      </c>
      <c r="H282" s="31" t="n">
        <v>-0.24</v>
      </c>
      <c r="I282" s="31" t="n">
        <v>394792</v>
      </c>
      <c r="J282" s="31" t="inlineStr">
        <is>
          <t>522074</t>
        </is>
      </c>
    </row>
    <row r="283">
      <c r="A283" s="31" t="inlineStr">
        <is>
          <t>IFCI</t>
        </is>
      </c>
      <c r="B283" s="31" t="inlineStr">
        <is>
          <t>Ifci Limited</t>
        </is>
      </c>
      <c r="C283" s="31" t="inlineStr">
        <is>
          <t>financials</t>
        </is>
      </c>
      <c r="D283" s="31" t="inlineStr">
        <is>
          <t>finance - term-lending institutions</t>
        </is>
      </c>
      <c r="E283" s="31" t="inlineStr">
        <is>
          <t>largecap</t>
        </is>
      </c>
      <c r="F283" s="31" t="n">
        <v>24238.05</v>
      </c>
      <c r="G283" s="31" t="n">
        <v>89.7</v>
      </c>
      <c r="H283" s="31" t="n">
        <v>-0.29</v>
      </c>
      <c r="I283" s="31" t="n">
        <v>50607497</v>
      </c>
      <c r="J283" s="31" t="inlineStr">
        <is>
          <t>500106</t>
        </is>
      </c>
    </row>
    <row r="284">
      <c r="A284" s="31" t="inlineStr">
        <is>
          <t>AETHER</t>
        </is>
      </c>
      <c r="B284" s="31" t="inlineStr">
        <is>
          <t>Aether Industries Ltd</t>
        </is>
      </c>
      <c r="C284" s="31" t="inlineStr">
        <is>
          <t>chemicals</t>
        </is>
      </c>
      <c r="D284" s="31" t="inlineStr">
        <is>
          <t>chemicals</t>
        </is>
      </c>
      <c r="E284" s="31" t="inlineStr">
        <is>
          <t>largecap</t>
        </is>
      </c>
      <c r="F284" s="31" t="n">
        <v>22518.67</v>
      </c>
      <c r="G284" s="31" t="n">
        <v>1691.3</v>
      </c>
      <c r="H284" s="31" t="n">
        <v>-0.32</v>
      </c>
      <c r="I284" s="31" t="n">
        <v>354417</v>
      </c>
      <c r="J284" s="31" t="inlineStr">
        <is>
          <t>543534</t>
        </is>
      </c>
    </row>
    <row r="285">
      <c r="A285" s="31" t="inlineStr">
        <is>
          <t>VIDHIING</t>
        </is>
      </c>
      <c r="B285" s="31" t="inlineStr">
        <is>
          <t>Vidhi Specialty Food Ingredients</t>
        </is>
      </c>
      <c r="C285" s="31" t="inlineStr">
        <is>
          <t>chemicals</t>
        </is>
      </c>
      <c r="D285" s="31" t="inlineStr">
        <is>
          <t>dyes and pigments</t>
        </is>
      </c>
      <c r="E285" s="31" t="inlineStr">
        <is>
          <t>smallcap</t>
        </is>
      </c>
      <c r="F285" s="31" t="n">
        <v>1776.54</v>
      </c>
      <c r="G285" s="31" t="n">
        <v>354.55</v>
      </c>
      <c r="H285" s="31" t="n">
        <v>-0.32</v>
      </c>
      <c r="I285" s="31" t="n">
        <v>40625</v>
      </c>
      <c r="J285" s="31" t="inlineStr">
        <is>
          <t>531717</t>
        </is>
      </c>
    </row>
    <row r="286">
      <c r="A286" s="31" t="inlineStr">
        <is>
          <t>PRECWIRE</t>
        </is>
      </c>
      <c r="B286" s="31" t="inlineStr">
        <is>
          <t>Precision Wires India Limited</t>
        </is>
      </c>
      <c r="C286" s="31" t="inlineStr">
        <is>
          <t>metals &amp; mining</t>
        </is>
      </c>
      <c r="D286" s="31" t="inlineStr">
        <is>
          <t>mining / minerals / metals</t>
        </is>
      </c>
      <c r="E286" s="31" t="inlineStr">
        <is>
          <t>midcap</t>
        </is>
      </c>
      <c r="F286" s="31" t="n">
        <v>9274.76</v>
      </c>
      <c r="G286" s="31" t="n">
        <v>505.6</v>
      </c>
      <c r="H286" s="31" t="n">
        <v>-0.34</v>
      </c>
      <c r="I286" s="31" t="n">
        <v>3000014</v>
      </c>
      <c r="J286" s="31" t="inlineStr">
        <is>
          <t>523539</t>
        </is>
      </c>
    </row>
    <row r="287">
      <c r="A287" s="31" t="inlineStr">
        <is>
          <t>TIIL</t>
        </is>
      </c>
      <c r="B287" s="31" t="inlineStr">
        <is>
          <t>Technocraft Industries (india) Limited</t>
        </is>
      </c>
      <c r="C287" s="31" t="inlineStr">
        <is>
          <t>metals &amp; mining</t>
        </is>
      </c>
      <c r="D287" s="31" t="inlineStr">
        <is>
          <t>steel - medium / small</t>
        </is>
      </c>
      <c r="E287" s="31" t="inlineStr">
        <is>
          <t>midcap</t>
        </is>
      </c>
      <c r="F287" s="31" t="n">
        <v>7465.25</v>
      </c>
      <c r="G287" s="31" t="n">
        <v>3281.5</v>
      </c>
      <c r="H287" s="31" t="n">
        <v>-0.34</v>
      </c>
      <c r="I287" s="31" t="n">
        <v>38183</v>
      </c>
      <c r="J287" s="31" t="inlineStr">
        <is>
          <t>532804</t>
        </is>
      </c>
    </row>
    <row r="288">
      <c r="A288" s="31" t="inlineStr">
        <is>
          <t>IRISDOREME</t>
        </is>
      </c>
      <c r="B288" s="31" t="inlineStr">
        <is>
          <t>Iris Clothings Ltd</t>
        </is>
      </c>
      <c r="C288" s="31" t="inlineStr">
        <is>
          <t>consumer discretionary</t>
        </is>
      </c>
      <c r="D288" s="31" t="inlineStr">
        <is>
          <t>textiles - products</t>
        </is>
      </c>
      <c r="E288" s="31" t="inlineStr">
        <is>
          <t>smallcap</t>
        </is>
      </c>
      <c r="F288" s="31" t="n">
        <v>1117.25</v>
      </c>
      <c r="G288" s="31" t="n">
        <v>58.48</v>
      </c>
      <c r="H288" s="31" t="n">
        <v>-0.37</v>
      </c>
      <c r="I288" s="31" t="n">
        <v>378733</v>
      </c>
      <c r="J288" s="31" t="inlineStr">
        <is>
          <t>535123</t>
        </is>
      </c>
    </row>
    <row r="289">
      <c r="A289" s="31" t="inlineStr">
        <is>
          <t>TATATECH</t>
        </is>
      </c>
      <c r="B289" s="31" t="inlineStr">
        <is>
          <t>Tata Technologies Ltd</t>
        </is>
      </c>
      <c r="C289" s="31" t="inlineStr">
        <is>
          <t>i.t</t>
        </is>
      </c>
      <c r="D289" s="31" t="inlineStr">
        <is>
          <t>computers - software - medium / small</t>
        </is>
      </c>
      <c r="E289" s="31" t="inlineStr">
        <is>
          <t>largecap</t>
        </is>
      </c>
      <c r="F289" s="31" t="n">
        <v>33878.93</v>
      </c>
      <c r="G289" s="31" t="n">
        <v>831.05</v>
      </c>
      <c r="H289" s="31" t="n">
        <v>-0.4</v>
      </c>
      <c r="I289" s="31" t="n">
        <v>1402484</v>
      </c>
      <c r="J289" s="31" t="inlineStr">
        <is>
          <t>544028</t>
        </is>
      </c>
    </row>
    <row r="290">
      <c r="A290" s="31" t="inlineStr">
        <is>
          <t>ANANDRATHI</t>
        </is>
      </c>
      <c r="B290" s="31" t="inlineStr">
        <is>
          <t>Anand Rathi Wealth Ltd</t>
        </is>
      </c>
      <c r="C290" s="31" t="inlineStr">
        <is>
          <t>financials</t>
        </is>
      </c>
      <c r="D290" s="31" t="inlineStr">
        <is>
          <t>finance &amp; investments</t>
        </is>
      </c>
      <c r="E290" s="31" t="inlineStr">
        <is>
          <t>largecap</t>
        </is>
      </c>
      <c r="F290" s="31" t="n">
        <v>36751.57</v>
      </c>
      <c r="G290" s="31" t="n">
        <v>2204.2</v>
      </c>
      <c r="H290" s="31" t="n">
        <v>-0.42</v>
      </c>
      <c r="I290" s="31" t="n">
        <v>421862</v>
      </c>
      <c r="J290" s="31" t="inlineStr">
        <is>
          <t>543415</t>
        </is>
      </c>
    </row>
    <row r="291">
      <c r="A291" s="31" t="inlineStr">
        <is>
          <t>YUKEN</t>
        </is>
      </c>
      <c r="B291" s="31" t="inlineStr">
        <is>
          <t>Yuken India Ltd</t>
        </is>
      </c>
      <c r="C291" s="31" t="inlineStr">
        <is>
          <t>industrials</t>
        </is>
      </c>
      <c r="D291" s="31" t="inlineStr">
        <is>
          <t>engineering</t>
        </is>
      </c>
      <c r="E291" s="31" t="inlineStr">
        <is>
          <t>smallcap</t>
        </is>
      </c>
      <c r="F291" s="31" t="n">
        <v>1349.43</v>
      </c>
      <c r="G291" s="31" t="n">
        <v>989.1</v>
      </c>
      <c r="H291" s="31" t="n">
        <v>-0.43</v>
      </c>
      <c r="I291" s="31" t="n">
        <v>12673</v>
      </c>
      <c r="J291" s="31" t="inlineStr">
        <is>
          <t>522108</t>
        </is>
      </c>
    </row>
    <row r="292">
      <c r="A292" s="31" t="inlineStr">
        <is>
          <t>TFCILTD</t>
        </is>
      </c>
      <c r="B292" s="31" t="inlineStr">
        <is>
          <t>Tourism Finance Corporation Of India Limited</t>
        </is>
      </c>
      <c r="C292" s="31" t="inlineStr">
        <is>
          <t>financials</t>
        </is>
      </c>
      <c r="D292" s="31" t="inlineStr">
        <is>
          <t>finance - term-lending institutions</t>
        </is>
      </c>
      <c r="E292" s="31" t="inlineStr">
        <is>
          <t>midcap</t>
        </is>
      </c>
      <c r="F292" s="31" t="n">
        <v>6506.68</v>
      </c>
      <c r="G292" s="31" t="n">
        <v>139.92</v>
      </c>
      <c r="H292" s="31" t="n">
        <v>-0.44</v>
      </c>
      <c r="I292" s="31" t="n">
        <v>5282135</v>
      </c>
      <c r="J292" s="31" t="inlineStr">
        <is>
          <t>526650</t>
        </is>
      </c>
    </row>
    <row r="293">
      <c r="A293" s="31" t="inlineStr">
        <is>
          <t>WINDLAS</t>
        </is>
      </c>
      <c r="B293" s="31" t="inlineStr">
        <is>
          <t>Windlas Biotech Ltd</t>
        </is>
      </c>
      <c r="C293" s="31" t="inlineStr">
        <is>
          <t>healthcare</t>
        </is>
      </c>
      <c r="D293" s="31" t="inlineStr">
        <is>
          <t>pharmaceuticals - indian - formulations</t>
        </is>
      </c>
      <c r="E293" s="31" t="inlineStr">
        <is>
          <t>smallcap</t>
        </is>
      </c>
      <c r="F293" s="31" t="n">
        <v>2060.63</v>
      </c>
      <c r="G293" s="31" t="n">
        <v>994.2</v>
      </c>
      <c r="H293" s="31" t="n">
        <v>-0.44</v>
      </c>
      <c r="I293" s="31" t="n">
        <v>76645</v>
      </c>
      <c r="J293" s="31" t="inlineStr">
        <is>
          <t>543329</t>
        </is>
      </c>
    </row>
    <row r="294">
      <c r="A294" s="31" t="inlineStr">
        <is>
          <t>GEOJITFSL</t>
        </is>
      </c>
      <c r="B294" s="31" t="inlineStr">
        <is>
          <t>Geojit Financial Services Ltd</t>
        </is>
      </c>
      <c r="C294" s="31" t="inlineStr">
        <is>
          <t>financials</t>
        </is>
      </c>
      <c r="D294" s="31" t="inlineStr">
        <is>
          <t>finance &amp; investments</t>
        </is>
      </c>
      <c r="E294" s="31" t="inlineStr">
        <is>
          <t>smallcap</t>
        </is>
      </c>
      <c r="F294" s="31" t="n">
        <v>2336.25</v>
      </c>
      <c r="G294" s="31" t="n">
        <v>83.31999999999999</v>
      </c>
      <c r="H294" s="31" t="n">
        <v>-0.45</v>
      </c>
      <c r="I294" s="31" t="n">
        <v>465538</v>
      </c>
      <c r="J294" s="31" t="inlineStr">
        <is>
          <t>532285</t>
        </is>
      </c>
    </row>
    <row r="295">
      <c r="A295" s="31" t="inlineStr">
        <is>
          <t>PARAS</t>
        </is>
      </c>
      <c r="B295" s="31" t="inlineStr">
        <is>
          <t>Paras Defence and Space Technologies Ltd</t>
        </is>
      </c>
      <c r="C295" s="31" t="inlineStr">
        <is>
          <t>aerospace &amp; defence</t>
        </is>
      </c>
      <c r="D295" s="31" t="inlineStr">
        <is>
          <t>engineering</t>
        </is>
      </c>
      <c r="E295" s="31" t="inlineStr">
        <is>
          <t>midcap</t>
        </is>
      </c>
      <c r="F295" s="31" t="n">
        <v>11602.16</v>
      </c>
      <c r="G295" s="31" t="n">
        <v>1432.9</v>
      </c>
      <c r="H295" s="31" t="n">
        <v>-0.47</v>
      </c>
      <c r="I295" s="31" t="n">
        <v>786335</v>
      </c>
      <c r="J295" s="31" t="inlineStr">
        <is>
          <t>543367</t>
        </is>
      </c>
    </row>
    <row r="296">
      <c r="A296" s="31" t="inlineStr">
        <is>
          <t>SURAKSHA</t>
        </is>
      </c>
      <c r="B296" s="31" t="inlineStr">
        <is>
          <t>Suraksha Diagnostic Ltd</t>
        </is>
      </c>
      <c r="C296" s="31" t="inlineStr">
        <is>
          <t>healthcare</t>
        </is>
      </c>
      <c r="D296" s="31" t="inlineStr">
        <is>
          <t>healthcare</t>
        </is>
      </c>
      <c r="E296" s="31" t="inlineStr">
        <is>
          <t>smallcap</t>
        </is>
      </c>
      <c r="F296" s="31" t="n">
        <v>1771.79</v>
      </c>
      <c r="G296" s="31" t="n">
        <v>338.55</v>
      </c>
      <c r="H296" s="31" t="n">
        <v>-0.49</v>
      </c>
      <c r="I296" s="31" t="n">
        <v>138365</v>
      </c>
      <c r="J296" s="31" t="inlineStr">
        <is>
          <t>544293</t>
        </is>
      </c>
    </row>
    <row r="297">
      <c r="A297" s="31" t="inlineStr">
        <is>
          <t>SANGAMIND</t>
        </is>
      </c>
      <c r="B297" s="31" t="inlineStr">
        <is>
          <t>Sangam (india) Limited</t>
        </is>
      </c>
      <c r="C297" s="31" t="inlineStr">
        <is>
          <t>textiles</t>
        </is>
      </c>
      <c r="D297" s="31" t="inlineStr">
        <is>
          <t>textiles - spinning - synthetic / blended</t>
        </is>
      </c>
      <c r="E297" s="31" t="inlineStr">
        <is>
          <t>smallcap</t>
        </is>
      </c>
      <c r="F297" s="31" t="n">
        <v>3030.62</v>
      </c>
      <c r="G297" s="31" t="n">
        <v>600.2</v>
      </c>
      <c r="H297" s="31" t="n">
        <v>-0.49</v>
      </c>
      <c r="I297" s="31" t="n">
        <v>15394</v>
      </c>
      <c r="J297" s="31" t="inlineStr">
        <is>
          <t>514234</t>
        </is>
      </c>
    </row>
    <row r="298">
      <c r="A298" s="31" t="inlineStr">
        <is>
          <t>NAZARA</t>
        </is>
      </c>
      <c r="B298" s="31" t="inlineStr">
        <is>
          <t>Nazara Technologies Ltd</t>
        </is>
      </c>
      <c r="C298" s="31" t="inlineStr">
        <is>
          <t>i.t</t>
        </is>
      </c>
      <c r="D298" s="31" t="inlineStr">
        <is>
          <t>telecommunications - service provider</t>
        </is>
      </c>
      <c r="E298" s="31" t="inlineStr">
        <is>
          <t>midcap</t>
        </is>
      </c>
      <c r="F298" s="31" t="n">
        <v>14410.71</v>
      </c>
      <c r="G298" s="31" t="n">
        <v>372.7</v>
      </c>
      <c r="H298" s="31" t="n">
        <v>-0.51</v>
      </c>
      <c r="I298" s="31" t="n">
        <v>5730211</v>
      </c>
      <c r="J298" s="31" t="inlineStr">
        <is>
          <t>543280</t>
        </is>
      </c>
    </row>
    <row r="299">
      <c r="A299" s="31" t="inlineStr">
        <is>
          <t>DPABHUSHAN</t>
        </is>
      </c>
      <c r="B299" s="31" t="inlineStr">
        <is>
          <t>D.P. Abhushan Ltd</t>
        </is>
      </c>
      <c r="C299" s="31" t="inlineStr">
        <is>
          <t>consumer discretionary</t>
        </is>
      </c>
      <c r="D299" s="31" t="inlineStr">
        <is>
          <t>diamond cutting / jewellery</t>
        </is>
      </c>
      <c r="E299" s="31" t="inlineStr">
        <is>
          <t>smallcap</t>
        </is>
      </c>
      <c r="F299" s="31" t="n">
        <v>3385.38</v>
      </c>
      <c r="G299" s="31" t="n">
        <v>1475.1</v>
      </c>
      <c r="H299" s="31" t="n">
        <v>-0.53</v>
      </c>
      <c r="I299" s="31" t="n">
        <v>10619</v>
      </c>
      <c r="J299" s="31" t="inlineStr">
        <is>
          <t>535026</t>
        </is>
      </c>
    </row>
    <row r="300">
      <c r="A300" s="31" t="inlineStr">
        <is>
          <t>KABRAEXTRU</t>
        </is>
      </c>
      <c r="B300" s="31" t="inlineStr">
        <is>
          <t>Kabra Extrusion Technik Limited</t>
        </is>
      </c>
      <c r="C300" s="31" t="inlineStr">
        <is>
          <t>industrials</t>
        </is>
      </c>
      <c r="D300" s="31" t="inlineStr">
        <is>
          <t>engineering</t>
        </is>
      </c>
      <c r="E300" s="31" t="inlineStr">
        <is>
          <t>smallcap</t>
        </is>
      </c>
      <c r="F300" s="31" t="n">
        <v>2110.61</v>
      </c>
      <c r="G300" s="31" t="n">
        <v>600.3</v>
      </c>
      <c r="H300" s="31" t="n">
        <v>-0.53</v>
      </c>
      <c r="I300" s="31" t="n">
        <v>208624</v>
      </c>
      <c r="J300" s="31" t="inlineStr">
        <is>
          <t>524109</t>
        </is>
      </c>
    </row>
    <row r="301">
      <c r="A301" s="31" t="inlineStr">
        <is>
          <t>SKYGOLD</t>
        </is>
      </c>
      <c r="B301" s="31" t="inlineStr">
        <is>
          <t>Sky Gold Ltd</t>
        </is>
      </c>
      <c r="C301" s="31" t="inlineStr">
        <is>
          <t>consumer discretionary</t>
        </is>
      </c>
      <c r="D301" s="31" t="inlineStr">
        <is>
          <t>diamond cutting / jewellery</t>
        </is>
      </c>
      <c r="E301" s="31" t="inlineStr">
        <is>
          <t>midcap</t>
        </is>
      </c>
      <c r="F301" s="31" t="n">
        <v>12566.47</v>
      </c>
      <c r="G301" s="31" t="n">
        <v>807.1</v>
      </c>
      <c r="H301" s="31" t="n">
        <v>-0.53</v>
      </c>
      <c r="I301" s="31" t="n">
        <v>847848</v>
      </c>
      <c r="J301" s="31" t="inlineStr">
        <is>
          <t>541967</t>
        </is>
      </c>
    </row>
    <row r="302">
      <c r="A302" s="31" t="inlineStr">
        <is>
          <t>ARTEMISMED</t>
        </is>
      </c>
      <c r="B302" s="31" t="inlineStr">
        <is>
          <t>Artemis Medicare Services Ltd</t>
        </is>
      </c>
      <c r="C302" s="31" t="inlineStr">
        <is>
          <t>healthcare</t>
        </is>
      </c>
      <c r="D302" s="31" t="inlineStr">
        <is>
          <t>healthcare</t>
        </is>
      </c>
      <c r="E302" s="31" t="inlineStr">
        <is>
          <t>midcap</t>
        </is>
      </c>
      <c r="F302" s="31" t="n">
        <v>5053.93</v>
      </c>
      <c r="G302" s="31" t="n">
        <v>317.45</v>
      </c>
      <c r="H302" s="31" t="n">
        <v>-0.5600000000000001</v>
      </c>
      <c r="I302" s="31" t="n">
        <v>115013</v>
      </c>
      <c r="J302" s="31" t="inlineStr">
        <is>
          <t>542919</t>
        </is>
      </c>
    </row>
    <row r="303">
      <c r="A303" s="31" t="inlineStr">
        <is>
          <t>THEMISMED</t>
        </is>
      </c>
      <c r="B303" s="31" t="inlineStr">
        <is>
          <t>Themis Medicare Limited</t>
        </is>
      </c>
      <c r="C303" s="31" t="inlineStr">
        <is>
          <t>healthcare</t>
        </is>
      </c>
      <c r="D303" s="31" t="inlineStr">
        <is>
          <t>pharmaceuticals - indian - bulk drugs &amp; formln</t>
        </is>
      </c>
      <c r="E303" s="31" t="inlineStr">
        <is>
          <t>smallcap</t>
        </is>
      </c>
      <c r="F303" s="31" t="n">
        <v>1155.67</v>
      </c>
      <c r="G303" s="31" t="n">
        <v>124.76</v>
      </c>
      <c r="H303" s="31" t="n">
        <v>-0.57</v>
      </c>
      <c r="I303" s="31" t="n">
        <v>131074</v>
      </c>
      <c r="J303" s="31" t="inlineStr">
        <is>
          <t>530199</t>
        </is>
      </c>
    </row>
    <row r="304">
      <c r="A304" s="31" t="inlineStr">
        <is>
          <t>SHYAMMETL</t>
        </is>
      </c>
      <c r="B304" s="31" t="inlineStr">
        <is>
          <t>Shyam Metalics &amp; Energy Ltd</t>
        </is>
      </c>
      <c r="C304" s="31" t="inlineStr">
        <is>
          <t>metals &amp; mining</t>
        </is>
      </c>
      <c r="D304" s="31" t="inlineStr">
        <is>
          <t>steel - large</t>
        </is>
      </c>
      <c r="E304" s="31" t="inlineStr">
        <is>
          <t>largecap</t>
        </is>
      </c>
      <c r="F304" s="31" t="n">
        <v>30698.92</v>
      </c>
      <c r="G304" s="31" t="n">
        <v>1093.5</v>
      </c>
      <c r="H304" s="31" t="n">
        <v>-0.57</v>
      </c>
      <c r="I304" s="31" t="n">
        <v>482400</v>
      </c>
      <c r="J304" s="31" t="inlineStr">
        <is>
          <t>543299</t>
        </is>
      </c>
    </row>
    <row r="305">
      <c r="A305" s="31" t="inlineStr">
        <is>
          <t>APARINDS</t>
        </is>
      </c>
      <c r="B305" s="31" t="inlineStr">
        <is>
          <t>Apar Industries Limited</t>
        </is>
      </c>
      <c r="C305" s="31" t="inlineStr">
        <is>
          <t>industrials</t>
        </is>
      </c>
      <c r="D305" s="31" t="inlineStr">
        <is>
          <t>electric equipment</t>
        </is>
      </c>
      <c r="E305" s="31" t="inlineStr">
        <is>
          <t>largecap</t>
        </is>
      </c>
      <c r="F305" s="31" t="n">
        <v>74545.32000000001</v>
      </c>
      <c r="G305" s="31" t="n">
        <v>17702</v>
      </c>
      <c r="H305" s="31" t="n">
        <v>-0.57</v>
      </c>
      <c r="I305" s="31" t="n">
        <v>88241</v>
      </c>
      <c r="J305" s="31" t="inlineStr">
        <is>
          <t>532259</t>
        </is>
      </c>
    </row>
    <row r="306">
      <c r="A306" s="31" t="inlineStr">
        <is>
          <t>CGCL</t>
        </is>
      </c>
      <c r="B306" s="31" t="inlineStr">
        <is>
          <t>Capri Global Capital Limited</t>
        </is>
      </c>
      <c r="C306" s="31" t="inlineStr">
        <is>
          <t>financials</t>
        </is>
      </c>
      <c r="D306" s="31" t="inlineStr">
        <is>
          <t>finance &amp; investments</t>
        </is>
      </c>
      <c r="E306" s="31" t="inlineStr">
        <is>
          <t>largecap</t>
        </is>
      </c>
      <c r="F306" s="31" t="n">
        <v>24821.65</v>
      </c>
      <c r="G306" s="31" t="n">
        <v>256.46</v>
      </c>
      <c r="H306" s="31" t="n">
        <v>-0.59</v>
      </c>
      <c r="I306" s="31" t="n">
        <v>3765128</v>
      </c>
      <c r="J306" s="31" t="inlineStr">
        <is>
          <t>531595</t>
        </is>
      </c>
    </row>
    <row r="307">
      <c r="A307" s="31" t="inlineStr">
        <is>
          <t>DIACABS</t>
        </is>
      </c>
      <c r="B307" s="31" t="inlineStr">
        <is>
          <t>Diamond Power Infrastructure Ltd</t>
        </is>
      </c>
      <c r="C307" s="31" t="inlineStr">
        <is>
          <t>industrials</t>
        </is>
      </c>
      <c r="D307" s="31" t="inlineStr">
        <is>
          <t>cables - power</t>
        </is>
      </c>
      <c r="E307" s="31" t="inlineStr">
        <is>
          <t>largecap</t>
        </is>
      </c>
      <c r="F307" s="31" t="n">
        <v>20896.6</v>
      </c>
      <c r="G307" s="31" t="n">
        <v>347.3</v>
      </c>
      <c r="H307" s="31" t="n">
        <v>-0.6</v>
      </c>
      <c r="I307" s="31" t="n">
        <v>598429</v>
      </c>
      <c r="J307" s="31" t="inlineStr">
        <is>
          <t>522163</t>
        </is>
      </c>
    </row>
    <row r="308">
      <c r="A308" s="31" t="inlineStr">
        <is>
          <t>KROSS</t>
        </is>
      </c>
      <c r="B308" s="31" t="inlineStr">
        <is>
          <t>Kross Ltd</t>
        </is>
      </c>
      <c r="C308" s="31" t="inlineStr">
        <is>
          <t>auto</t>
        </is>
      </c>
      <c r="D308" s="31" t="inlineStr">
        <is>
          <t>auto ancillaries</t>
        </is>
      </c>
      <c r="E308" s="31" t="inlineStr">
        <is>
          <t>smallcap</t>
        </is>
      </c>
      <c r="F308" s="31" t="n">
        <v>1380.44</v>
      </c>
      <c r="G308" s="31" t="n">
        <v>212.71</v>
      </c>
      <c r="H308" s="31" t="n">
        <v>-0.6</v>
      </c>
      <c r="I308" s="31" t="n">
        <v>295238</v>
      </c>
      <c r="J308" s="31" t="inlineStr">
        <is>
          <t>544253</t>
        </is>
      </c>
    </row>
    <row r="309">
      <c r="A309" s="31" t="inlineStr">
        <is>
          <t>APOLLOPIPE</t>
        </is>
      </c>
      <c r="B309" s="31" t="inlineStr">
        <is>
          <t>Apollo Pipes Ltd</t>
        </is>
      </c>
      <c r="C309" s="31" t="inlineStr">
        <is>
          <t>plastic products</t>
        </is>
      </c>
      <c r="D309" s="31" t="inlineStr">
        <is>
          <t>plastics products</t>
        </is>
      </c>
      <c r="E309" s="31" t="inlineStr">
        <is>
          <t>smallcap</t>
        </is>
      </c>
      <c r="F309" s="31" t="n">
        <v>2779.44</v>
      </c>
      <c r="G309" s="31" t="n">
        <v>627.05</v>
      </c>
      <c r="H309" s="31" t="n">
        <v>-0.63</v>
      </c>
      <c r="I309" s="31" t="n">
        <v>217305</v>
      </c>
      <c r="J309" s="31" t="inlineStr">
        <is>
          <t>531761</t>
        </is>
      </c>
    </row>
    <row r="310">
      <c r="A310" s="31" t="inlineStr">
        <is>
          <t>BIL</t>
        </is>
      </c>
      <c r="B310" s="31" t="inlineStr">
        <is>
          <t>Bhartiya International Limited</t>
        </is>
      </c>
      <c r="C310" s="31" t="inlineStr">
        <is>
          <t>consumer discretionary</t>
        </is>
      </c>
      <c r="D310" s="31" t="inlineStr">
        <is>
          <t>leather / leather products</t>
        </is>
      </c>
      <c r="E310" s="31" t="inlineStr">
        <is>
          <t>smallcap</t>
        </is>
      </c>
      <c r="F310" s="31" t="n">
        <v>1150.21</v>
      </c>
      <c r="G310" s="31" t="n">
        <v>852.2</v>
      </c>
      <c r="H310" s="31" t="n">
        <v>-0.64</v>
      </c>
      <c r="I310" s="31" t="n">
        <v>23669</v>
      </c>
      <c r="J310" s="31" t="inlineStr">
        <is>
          <t>526666</t>
        </is>
      </c>
    </row>
    <row r="311">
      <c r="A311" s="31" t="inlineStr">
        <is>
          <t>IOLCP</t>
        </is>
      </c>
      <c r="B311" s="31" t="inlineStr">
        <is>
          <t>Iol Chemicals And Pharmaceuticals Limited</t>
        </is>
      </c>
      <c r="C311" s="31" t="inlineStr">
        <is>
          <t>healthcare</t>
        </is>
      </c>
      <c r="D311" s="31" t="inlineStr">
        <is>
          <t>pharmaceuticals - indian - bulk drugs &amp; formln</t>
        </is>
      </c>
      <c r="E311" s="31" t="inlineStr">
        <is>
          <t>midcap</t>
        </is>
      </c>
      <c r="F311" s="31" t="n">
        <v>5722.32</v>
      </c>
      <c r="G311" s="31" t="n">
        <v>193.69</v>
      </c>
      <c r="H311" s="31" t="n">
        <v>-0.65</v>
      </c>
      <c r="I311" s="31" t="n">
        <v>2853525</v>
      </c>
      <c r="J311" s="31" t="inlineStr">
        <is>
          <t>524164</t>
        </is>
      </c>
    </row>
    <row r="312">
      <c r="A312" s="31" t="inlineStr">
        <is>
          <t>CUPID</t>
        </is>
      </c>
      <c r="B312" s="31" t="inlineStr">
        <is>
          <t>Cupid Limited</t>
        </is>
      </c>
      <c r="C312" s="31" t="inlineStr">
        <is>
          <t>fmcg</t>
        </is>
      </c>
      <c r="D312" s="31" t="inlineStr">
        <is>
          <t>personal care - indian</t>
        </is>
      </c>
      <c r="E312" s="31" t="inlineStr">
        <is>
          <t>largecap</t>
        </is>
      </c>
      <c r="F312" s="31" t="n">
        <v>37963.81</v>
      </c>
      <c r="G312" s="31" t="n">
        <v>280.46</v>
      </c>
      <c r="H312" s="31" t="n">
        <v>-0.66</v>
      </c>
      <c r="I312" s="31" t="n">
        <v>10862737</v>
      </c>
      <c r="J312" s="31" t="inlineStr">
        <is>
          <t>530843</t>
        </is>
      </c>
    </row>
    <row r="313">
      <c r="A313" s="31" t="inlineStr">
        <is>
          <t>ASTRAL</t>
        </is>
      </c>
      <c r="B313" s="31" t="inlineStr">
        <is>
          <t>Astral Ltd</t>
        </is>
      </c>
      <c r="C313" s="31" t="inlineStr">
        <is>
          <t>plastic products</t>
        </is>
      </c>
      <c r="D313" s="31" t="inlineStr">
        <is>
          <t>plastics products</t>
        </is>
      </c>
      <c r="E313" s="31" t="inlineStr">
        <is>
          <t>largecap</t>
        </is>
      </c>
      <c r="F313" s="31" t="n">
        <v>41165.26</v>
      </c>
      <c r="G313" s="31" t="n">
        <v>1522.2</v>
      </c>
      <c r="H313" s="31" t="n">
        <v>-0.66</v>
      </c>
      <c r="I313" s="31" t="n">
        <v>11516278</v>
      </c>
      <c r="J313" s="31" t="inlineStr">
        <is>
          <t>532830</t>
        </is>
      </c>
    </row>
    <row r="314">
      <c r="A314" s="31" t="inlineStr">
        <is>
          <t>SREEL</t>
        </is>
      </c>
      <c r="B314" s="31" t="inlineStr">
        <is>
          <t>Sreeleathers Limited</t>
        </is>
      </c>
      <c r="C314" s="31" t="inlineStr">
        <is>
          <t>consumer discretionary</t>
        </is>
      </c>
      <c r="D314" s="31" t="inlineStr">
        <is>
          <t>trading</t>
        </is>
      </c>
      <c r="E314" s="31" t="inlineStr">
        <is>
          <t>smallcap</t>
        </is>
      </c>
      <c r="F314" s="31" t="n">
        <v>577.67</v>
      </c>
      <c r="G314" s="31" t="n">
        <v>247.8</v>
      </c>
      <c r="H314" s="31" t="n">
        <v>-0.67</v>
      </c>
      <c r="I314" s="31" t="n">
        <v>13275</v>
      </c>
      <c r="J314" s="31" t="inlineStr">
        <is>
          <t>535601</t>
        </is>
      </c>
    </row>
    <row r="315">
      <c r="A315" s="31" t="inlineStr">
        <is>
          <t>ESABINDIA</t>
        </is>
      </c>
      <c r="B315" s="31" t="inlineStr">
        <is>
          <t>Esab India Limited</t>
        </is>
      </c>
      <c r="C315" s="31" t="inlineStr">
        <is>
          <t>industrials</t>
        </is>
      </c>
      <c r="D315" s="31" t="inlineStr">
        <is>
          <t>electrodes - welding equipment</t>
        </is>
      </c>
      <c r="E315" s="31" t="inlineStr">
        <is>
          <t>midcap</t>
        </is>
      </c>
      <c r="F315" s="31" t="n">
        <v>9485.18</v>
      </c>
      <c r="G315" s="31" t="n">
        <v>6119.5</v>
      </c>
      <c r="H315" s="31" t="n">
        <v>-0.6899999999999999</v>
      </c>
      <c r="I315" s="31" t="n">
        <v>4019</v>
      </c>
      <c r="J315" s="31" t="inlineStr">
        <is>
          <t>500133</t>
        </is>
      </c>
    </row>
    <row r="316">
      <c r="A316" s="31" t="inlineStr">
        <is>
          <t>JAYNECOIND</t>
        </is>
      </c>
      <c r="B316" s="31" t="inlineStr">
        <is>
          <t>Jayaswal Neco Industries Limited</t>
        </is>
      </c>
      <c r="C316" s="31" t="inlineStr">
        <is>
          <t>metals &amp; mining</t>
        </is>
      </c>
      <c r="D316" s="31" t="inlineStr">
        <is>
          <t>steel - large</t>
        </is>
      </c>
      <c r="E316" s="31" t="inlineStr">
        <is>
          <t>midcap</t>
        </is>
      </c>
      <c r="F316" s="31" t="n">
        <v>9622.59</v>
      </c>
      <c r="G316" s="31" t="n">
        <v>98.41</v>
      </c>
      <c r="H316" s="31" t="n">
        <v>-0.7</v>
      </c>
      <c r="I316" s="31" t="n">
        <v>2575057</v>
      </c>
      <c r="J316" s="31" t="inlineStr">
        <is>
          <t>522285</t>
        </is>
      </c>
    </row>
    <row r="317">
      <c r="A317" s="31" t="inlineStr">
        <is>
          <t>GPPL</t>
        </is>
      </c>
      <c r="B317" s="31" t="inlineStr">
        <is>
          <t>Gujarat Pipavav Port Limited</t>
        </is>
      </c>
      <c r="C317" s="31" t="inlineStr">
        <is>
          <t>transportation</t>
        </is>
      </c>
      <c r="D317" s="31" t="inlineStr">
        <is>
          <t>miscellaneous</t>
        </is>
      </c>
      <c r="E317" s="31" t="inlineStr">
        <is>
          <t>midcap</t>
        </is>
      </c>
      <c r="F317" s="31" t="n">
        <v>8158.05</v>
      </c>
      <c r="G317" s="31" t="n">
        <v>167.56</v>
      </c>
      <c r="H317" s="31" t="n">
        <v>-0.71</v>
      </c>
      <c r="I317" s="31" t="n">
        <v>3304295</v>
      </c>
      <c r="J317" s="31" t="inlineStr">
        <is>
          <t>533248</t>
        </is>
      </c>
    </row>
    <row r="318">
      <c r="A318" s="31" t="inlineStr">
        <is>
          <t>AMBER</t>
        </is>
      </c>
      <c r="B318" s="31" t="inlineStr">
        <is>
          <t>Amber Enterprises India Ltd</t>
        </is>
      </c>
      <c r="C318" s="31" t="inlineStr">
        <is>
          <t>consumer discretionary</t>
        </is>
      </c>
      <c r="D318" s="31" t="inlineStr">
        <is>
          <t>air-conditioners</t>
        </is>
      </c>
      <c r="E318" s="31" t="inlineStr">
        <is>
          <t>largecap</t>
        </is>
      </c>
      <c r="F318" s="31" t="n">
        <v>27068.01</v>
      </c>
      <c r="G318" s="31" t="n">
        <v>7620</v>
      </c>
      <c r="H318" s="31" t="n">
        <v>-0.72</v>
      </c>
      <c r="I318" s="31" t="n">
        <v>105370</v>
      </c>
      <c r="J318" s="31" t="inlineStr">
        <is>
          <t>540902</t>
        </is>
      </c>
    </row>
    <row r="319">
      <c r="A319" s="31" t="inlineStr">
        <is>
          <t>SGIL</t>
        </is>
      </c>
      <c r="B319" s="31" t="inlineStr">
        <is>
          <t>Synergy Green Industries Ltd</t>
        </is>
      </c>
      <c r="C319" s="31" t="inlineStr">
        <is>
          <t>industrials</t>
        </is>
      </c>
      <c r="D319" s="31" t="inlineStr">
        <is>
          <t>castings &amp; forgings</t>
        </is>
      </c>
      <c r="E319" s="31" t="inlineStr">
        <is>
          <t>smallcap</t>
        </is>
      </c>
      <c r="F319" s="31" t="n">
        <v>944.55</v>
      </c>
      <c r="G319" s="31" t="n">
        <v>603</v>
      </c>
      <c r="H319" s="31" t="n">
        <v>-0.77</v>
      </c>
      <c r="I319" s="31" t="n">
        <v>5022</v>
      </c>
      <c r="J319" s="31" t="inlineStr">
        <is>
          <t>541929</t>
        </is>
      </c>
    </row>
    <row r="320">
      <c r="A320" s="31" t="inlineStr">
        <is>
          <t>CARTRADE</t>
        </is>
      </c>
      <c r="B320" s="31" t="inlineStr">
        <is>
          <t>Cartrade Tech Ltd</t>
        </is>
      </c>
      <c r="C320" s="31" t="inlineStr">
        <is>
          <t>consumer discretionary</t>
        </is>
      </c>
      <c r="D320" s="31" t="inlineStr">
        <is>
          <t>miscellaneous</t>
        </is>
      </c>
      <c r="E320" s="31" t="inlineStr">
        <is>
          <t>midcap</t>
        </is>
      </c>
      <c r="F320" s="31" t="n">
        <v>14477.02</v>
      </c>
      <c r="G320" s="31" t="n">
        <v>2991.5</v>
      </c>
      <c r="H320" s="31" t="n">
        <v>-0.77</v>
      </c>
      <c r="I320" s="31" t="n">
        <v>358615</v>
      </c>
      <c r="J320" s="31" t="inlineStr">
        <is>
          <t>543333</t>
        </is>
      </c>
    </row>
    <row r="321">
      <c r="A321" s="31" t="inlineStr">
        <is>
          <t>ANTHEM</t>
        </is>
      </c>
      <c r="B321" s="31" t="inlineStr">
        <is>
          <t>Anthem Biosciences Ltd</t>
        </is>
      </c>
      <c r="C321" s="31" t="inlineStr">
        <is>
          <t>healthcare</t>
        </is>
      </c>
      <c r="D321" s="31" t="inlineStr">
        <is>
          <t>pharmaceuticals - indian - bulk drugs &amp; formln</t>
        </is>
      </c>
      <c r="E321" s="31" t="inlineStr">
        <is>
          <t>largecap</t>
        </is>
      </c>
      <c r="F321" s="31" t="n">
        <v>50710.26</v>
      </c>
      <c r="G321" s="31" t="n">
        <v>893.05</v>
      </c>
      <c r="H321" s="31" t="n">
        <v>-0.78</v>
      </c>
      <c r="I321" s="31" t="n">
        <v>1181406</v>
      </c>
      <c r="J321" s="31" t="inlineStr">
        <is>
          <t>544449</t>
        </is>
      </c>
    </row>
    <row r="322">
      <c r="A322" s="31" t="inlineStr">
        <is>
          <t>TECHM</t>
        </is>
      </c>
      <c r="B322" s="31" t="inlineStr">
        <is>
          <t>Tech Mahindra Limited</t>
        </is>
      </c>
      <c r="C322" s="31" t="inlineStr">
        <is>
          <t>i.t</t>
        </is>
      </c>
      <c r="D322" s="31" t="inlineStr">
        <is>
          <t>computers - software - large</t>
        </is>
      </c>
      <c r="E322" s="31" t="inlineStr">
        <is>
          <t>largecap</t>
        </is>
      </c>
      <c r="F322" s="31" t="n">
        <v>160817.71</v>
      </c>
      <c r="G322" s="31" t="n">
        <v>1628</v>
      </c>
      <c r="H322" s="31" t="n">
        <v>-0.79</v>
      </c>
      <c r="I322" s="31" t="n">
        <v>2975369</v>
      </c>
      <c r="J322" s="31" t="inlineStr">
        <is>
          <t>532755</t>
        </is>
      </c>
    </row>
    <row r="323">
      <c r="A323" s="31" t="inlineStr">
        <is>
          <t>BLUSPRING</t>
        </is>
      </c>
      <c r="B323" s="31" t="inlineStr">
        <is>
          <t>Bluspring Enterprises Ltd</t>
        </is>
      </c>
      <c r="C323" s="31" t="inlineStr">
        <is>
          <t>miscellaneous</t>
        </is>
      </c>
      <c r="D323" s="31" t="inlineStr">
        <is>
          <t>diversified - large</t>
        </is>
      </c>
      <c r="E323" s="31" t="inlineStr">
        <is>
          <t>smallcap</t>
        </is>
      </c>
      <c r="F323" s="31" t="n">
        <v>1904.33</v>
      </c>
      <c r="G323" s="31" t="n">
        <v>126.4</v>
      </c>
      <c r="H323" s="31" t="n">
        <v>-0.8100000000000001</v>
      </c>
      <c r="I323" s="31" t="n">
        <v>238056</v>
      </c>
      <c r="J323" s="31" t="inlineStr">
        <is>
          <t>544414</t>
        </is>
      </c>
    </row>
    <row r="324">
      <c r="A324" s="31" t="inlineStr">
        <is>
          <t>SJS</t>
        </is>
      </c>
      <c r="B324" s="31" t="inlineStr">
        <is>
          <t>S J S Enterprises Ltd</t>
        </is>
      </c>
      <c r="C324" s="31" t="inlineStr">
        <is>
          <t>auto</t>
        </is>
      </c>
      <c r="D324" s="31" t="inlineStr">
        <is>
          <t>plastics products</t>
        </is>
      </c>
      <c r="E324" s="31" t="inlineStr">
        <is>
          <t>midcap</t>
        </is>
      </c>
      <c r="F324" s="31" t="n">
        <v>8031.69</v>
      </c>
      <c r="G324" s="31" t="n">
        <v>2488.6</v>
      </c>
      <c r="H324" s="31" t="n">
        <v>-0.83</v>
      </c>
      <c r="I324" s="31" t="n">
        <v>79007</v>
      </c>
      <c r="J324" s="31" t="inlineStr">
        <is>
          <t>543387</t>
        </is>
      </c>
    </row>
    <row r="325">
      <c r="A325" s="31" t="inlineStr">
        <is>
          <t>NEULANDLAB</t>
        </is>
      </c>
      <c r="B325" s="31" t="inlineStr">
        <is>
          <t>Neuland Laboratories Limited</t>
        </is>
      </c>
      <c r="C325" s="31" t="inlineStr">
        <is>
          <t>healthcare</t>
        </is>
      </c>
      <c r="D325" s="31" t="inlineStr">
        <is>
          <t>pharmaceuticals - indian - bulk drugs</t>
        </is>
      </c>
      <c r="E325" s="31" t="inlineStr">
        <is>
          <t>largecap</t>
        </is>
      </c>
      <c r="F325" s="31" t="n">
        <v>29771.76</v>
      </c>
      <c r="G325" s="31" t="n">
        <v>23010</v>
      </c>
      <c r="H325" s="31" t="n">
        <v>-0.84</v>
      </c>
      <c r="I325" s="31" t="n">
        <v>41464</v>
      </c>
      <c r="J325" s="31" t="inlineStr">
        <is>
          <t>524558</t>
        </is>
      </c>
    </row>
    <row r="326">
      <c r="A326" s="31" t="inlineStr">
        <is>
          <t>CDSL</t>
        </is>
      </c>
      <c r="B326" s="31" t="inlineStr">
        <is>
          <t>Central Depository Services Ltd</t>
        </is>
      </c>
      <c r="C326" s="31" t="inlineStr">
        <is>
          <t>financials</t>
        </is>
      </c>
      <c r="D326" s="31" t="inlineStr">
        <is>
          <t>miscellaneous</t>
        </is>
      </c>
      <c r="E326" s="31" t="inlineStr">
        <is>
          <t>largecap</t>
        </is>
      </c>
      <c r="F326" s="31" t="n">
        <v>29567.23</v>
      </c>
      <c r="G326" s="31" t="n">
        <v>1402.5</v>
      </c>
      <c r="H326" s="31" t="n">
        <v>-0.86</v>
      </c>
      <c r="I326" s="31" t="n">
        <v>1190879</v>
      </c>
      <c r="J326" s="31" t="n"/>
    </row>
    <row r="327">
      <c r="A327" s="31" t="inlineStr">
        <is>
          <t>UNIMECH</t>
        </is>
      </c>
      <c r="B327" s="31" t="inlineStr">
        <is>
          <t>Unimech Aerospace and Manufacturing Ltd</t>
        </is>
      </c>
      <c r="C327" s="31" t="inlineStr">
        <is>
          <t>aerospace &amp; defence</t>
        </is>
      </c>
      <c r="D327" s="31" t="inlineStr">
        <is>
          <t>engineering</t>
        </is>
      </c>
      <c r="E327" s="31" t="inlineStr">
        <is>
          <t>midcap</t>
        </is>
      </c>
      <c r="F327" s="31" t="n">
        <v>7644.3</v>
      </c>
      <c r="G327" s="31" t="n">
        <v>1490</v>
      </c>
      <c r="H327" s="31" t="n">
        <v>-0.87</v>
      </c>
      <c r="I327" s="31" t="n">
        <v>317241</v>
      </c>
      <c r="J327" s="31" t="inlineStr">
        <is>
          <t>544322</t>
        </is>
      </c>
    </row>
    <row r="328">
      <c r="A328" s="31" t="inlineStr">
        <is>
          <t>MACPOWER</t>
        </is>
      </c>
      <c r="B328" s="31" t="inlineStr">
        <is>
          <t>Macpower CNC Machines Ltd</t>
        </is>
      </c>
      <c r="C328" s="31" t="inlineStr">
        <is>
          <t>industrials</t>
        </is>
      </c>
      <c r="D328" s="31" t="inlineStr">
        <is>
          <t>engineering</t>
        </is>
      </c>
      <c r="E328" s="31" t="inlineStr">
        <is>
          <t>smallcap</t>
        </is>
      </c>
      <c r="F328" s="31" t="n">
        <v>2007.94</v>
      </c>
      <c r="G328" s="31" t="n">
        <v>1989.3</v>
      </c>
      <c r="H328" s="31" t="n">
        <v>-0.89</v>
      </c>
      <c r="I328" s="31" t="n">
        <v>50074</v>
      </c>
      <c r="J328" s="31" t="inlineStr">
        <is>
          <t>535057</t>
        </is>
      </c>
    </row>
    <row r="329">
      <c r="A329" s="31" t="inlineStr">
        <is>
          <t>GNFC</t>
        </is>
      </c>
      <c r="B329" s="31" t="inlineStr">
        <is>
          <t>Gujarat Narmada Valley Fertilizers And Chemicals Limited</t>
        </is>
      </c>
      <c r="C329" s="31" t="inlineStr">
        <is>
          <t>chemicals</t>
        </is>
      </c>
      <c r="D329" s="31" t="inlineStr">
        <is>
          <t>chemicals</t>
        </is>
      </c>
      <c r="E329" s="31" t="inlineStr">
        <is>
          <t>midcap</t>
        </is>
      </c>
      <c r="F329" s="31" t="n">
        <v>8523.290000000001</v>
      </c>
      <c r="G329" s="31" t="n">
        <v>574.75</v>
      </c>
      <c r="H329" s="31" t="n">
        <v>-0.91</v>
      </c>
      <c r="I329" s="31" t="n">
        <v>616752</v>
      </c>
      <c r="J329" s="31" t="inlineStr">
        <is>
          <t>500670</t>
        </is>
      </c>
    </row>
    <row r="330">
      <c r="A330" s="31" t="inlineStr">
        <is>
          <t>HFCL</t>
        </is>
      </c>
      <c r="B330" s="31" t="inlineStr">
        <is>
          <t>HFCL Ltd</t>
        </is>
      </c>
      <c r="C330" s="31" t="inlineStr">
        <is>
          <t>telecom</t>
        </is>
      </c>
      <c r="D330" s="31" t="inlineStr">
        <is>
          <t>cables - telephone</t>
        </is>
      </c>
      <c r="E330" s="31" t="inlineStr">
        <is>
          <t>largecap</t>
        </is>
      </c>
      <c r="F330" s="31" t="n">
        <v>38490.06</v>
      </c>
      <c r="G330" s="31" t="n">
        <v>249.09</v>
      </c>
      <c r="H330" s="31" t="n">
        <v>-0.95</v>
      </c>
      <c r="I330" s="31" t="n">
        <v>16617911</v>
      </c>
      <c r="J330" s="31" t="inlineStr">
        <is>
          <t>500183</t>
        </is>
      </c>
    </row>
    <row r="331">
      <c r="A331" s="31" t="inlineStr">
        <is>
          <t>KRISHANA</t>
        </is>
      </c>
      <c r="B331" s="31" t="inlineStr">
        <is>
          <t>Krishana Phoschem Ltd</t>
        </is>
      </c>
      <c r="C331" s="31" t="inlineStr">
        <is>
          <t>chemicals</t>
        </is>
      </c>
      <c r="D331" s="31" t="inlineStr">
        <is>
          <t>fertilizers</t>
        </is>
      </c>
      <c r="E331" s="31" t="inlineStr">
        <is>
          <t>smallcap</t>
        </is>
      </c>
      <c r="F331" s="31" t="n">
        <v>1192.72</v>
      </c>
      <c r="G331" s="31" t="n">
        <v>191.03</v>
      </c>
      <c r="H331" s="31" t="n">
        <v>-0.97</v>
      </c>
      <c r="I331" s="31" t="n">
        <v>584116</v>
      </c>
      <c r="J331" s="31" t="inlineStr">
        <is>
          <t>538405</t>
        </is>
      </c>
    </row>
    <row r="332">
      <c r="A332" s="31" t="inlineStr">
        <is>
          <t>KOTAKBANK</t>
        </is>
      </c>
      <c r="B332" s="31" t="inlineStr">
        <is>
          <t>Kotak Mahindra Bank Limited</t>
        </is>
      </c>
      <c r="C332" s="31" t="inlineStr">
        <is>
          <t>bank</t>
        </is>
      </c>
      <c r="D332" s="31" t="inlineStr">
        <is>
          <t>banks - private sector</t>
        </is>
      </c>
      <c r="E332" s="31" t="inlineStr">
        <is>
          <t>largecap</t>
        </is>
      </c>
      <c r="F332" s="31" t="n">
        <v>421442.07</v>
      </c>
      <c r="G332" s="31" t="n">
        <v>419.4</v>
      </c>
      <c r="H332" s="31" t="n">
        <v>-1.01</v>
      </c>
      <c r="I332" s="31" t="n">
        <v>18992797</v>
      </c>
      <c r="J332" s="31" t="inlineStr">
        <is>
          <t>500247</t>
        </is>
      </c>
    </row>
    <row r="333">
      <c r="A333" s="31" t="inlineStr">
        <is>
          <t>RKFORGE</t>
        </is>
      </c>
      <c r="B333" s="31" t="inlineStr">
        <is>
          <t>Ramkrishna Forgings Limited</t>
        </is>
      </c>
      <c r="C333" s="31" t="inlineStr">
        <is>
          <t>industrials</t>
        </is>
      </c>
      <c r="D333" s="31" t="inlineStr">
        <is>
          <t>castings &amp; forgings</t>
        </is>
      </c>
      <c r="E333" s="31" t="inlineStr">
        <is>
          <t>midcap</t>
        </is>
      </c>
      <c r="F333" s="31" t="n">
        <v>13685.52</v>
      </c>
      <c r="G333" s="31" t="n">
        <v>743.6</v>
      </c>
      <c r="H333" s="31" t="n">
        <v>-1.02</v>
      </c>
      <c r="I333" s="31" t="n">
        <v>1105931</v>
      </c>
      <c r="J333" s="31" t="inlineStr">
        <is>
          <t>532527</t>
        </is>
      </c>
    </row>
    <row r="334">
      <c r="A334" s="31" t="inlineStr">
        <is>
          <t>METROPOLIS</t>
        </is>
      </c>
      <c r="B334" s="31" t="inlineStr">
        <is>
          <t>Metropolis Healthcare Ltd</t>
        </is>
      </c>
      <c r="C334" s="31" t="inlineStr">
        <is>
          <t>healthcare</t>
        </is>
      </c>
      <c r="D334" s="31" t="inlineStr">
        <is>
          <t>healthcare</t>
        </is>
      </c>
      <c r="E334" s="31" t="inlineStr">
        <is>
          <t>midcap</t>
        </is>
      </c>
      <c r="F334" s="31" t="n">
        <v>12200.45</v>
      </c>
      <c r="G334" s="31" t="n">
        <v>582.35</v>
      </c>
      <c r="H334" s="31" t="n">
        <v>-1.04</v>
      </c>
      <c r="I334" s="31" t="n">
        <v>415667</v>
      </c>
      <c r="J334" s="31" t="inlineStr">
        <is>
          <t>542650</t>
        </is>
      </c>
    </row>
    <row r="335">
      <c r="A335" s="31" t="inlineStr">
        <is>
          <t>GUJALKALI</t>
        </is>
      </c>
      <c r="B335" s="31" t="inlineStr">
        <is>
          <t>Gujarat Alkalies And Chemicals Limited</t>
        </is>
      </c>
      <c r="C335" s="31" t="inlineStr">
        <is>
          <t>chemicals</t>
        </is>
      </c>
      <c r="D335" s="31" t="inlineStr">
        <is>
          <t>chemicals</t>
        </is>
      </c>
      <c r="E335" s="31" t="inlineStr">
        <is>
          <t>midcap</t>
        </is>
      </c>
      <c r="F335" s="31" t="n">
        <v>5190.89</v>
      </c>
      <c r="G335" s="31" t="n">
        <v>699.4</v>
      </c>
      <c r="H335" s="31" t="n">
        <v>-1.05</v>
      </c>
      <c r="I335" s="31" t="n">
        <v>80924</v>
      </c>
      <c r="J335" s="31" t="inlineStr">
        <is>
          <t>530001</t>
        </is>
      </c>
    </row>
    <row r="336">
      <c r="A336" s="31" t="inlineStr">
        <is>
          <t>PVRINOX</t>
        </is>
      </c>
      <c r="B336" s="31" t="inlineStr">
        <is>
          <t>PVR Inox Ltd</t>
        </is>
      </c>
      <c r="C336" s="31" t="inlineStr">
        <is>
          <t>media</t>
        </is>
      </c>
      <c r="D336" s="31" t="inlineStr">
        <is>
          <t>entertainment / electronic media software</t>
        </is>
      </c>
      <c r="E336" s="31" t="inlineStr">
        <is>
          <t>midcap</t>
        </is>
      </c>
      <c r="F336" s="31" t="n">
        <v>11989.23</v>
      </c>
      <c r="G336" s="31" t="n">
        <v>1207.7</v>
      </c>
      <c r="H336" s="31" t="n">
        <v>-1.08</v>
      </c>
      <c r="I336" s="31" t="n">
        <v>371061</v>
      </c>
      <c r="J336" s="31" t="inlineStr">
        <is>
          <t>532689</t>
        </is>
      </c>
    </row>
    <row r="337">
      <c r="A337" s="31" t="inlineStr">
        <is>
          <t>TI</t>
        </is>
      </c>
      <c r="B337" s="31" t="inlineStr">
        <is>
          <t>Tilaknagar Industries Limited</t>
        </is>
      </c>
      <c r="C337" s="31" t="inlineStr">
        <is>
          <t>fmcg</t>
        </is>
      </c>
      <c r="D337" s="31" t="inlineStr">
        <is>
          <t>breweries &amp; distilleries</t>
        </is>
      </c>
      <c r="E337" s="31" t="inlineStr">
        <is>
          <t>midcap</t>
        </is>
      </c>
      <c r="F337" s="31" t="n">
        <v>14036.72</v>
      </c>
      <c r="G337" s="31" t="n">
        <v>561.05</v>
      </c>
      <c r="H337" s="31" t="n">
        <v>-1.08</v>
      </c>
      <c r="I337" s="31" t="n">
        <v>910070</v>
      </c>
      <c r="J337" s="31" t="inlineStr">
        <is>
          <t>507205</t>
        </is>
      </c>
    </row>
    <row r="338">
      <c r="A338" s="31" t="inlineStr">
        <is>
          <t>HEG</t>
        </is>
      </c>
      <c r="B338" s="31" t="inlineStr">
        <is>
          <t>Heg Limited</t>
        </is>
      </c>
      <c r="C338" s="31" t="inlineStr">
        <is>
          <t>industrials</t>
        </is>
      </c>
      <c r="D338" s="31" t="inlineStr">
        <is>
          <t>electrodes - graphites</t>
        </is>
      </c>
      <c r="E338" s="31" t="inlineStr">
        <is>
          <t>midcap</t>
        </is>
      </c>
      <c r="F338" s="31" t="n">
        <v>14229.2</v>
      </c>
      <c r="G338" s="31" t="n">
        <v>728.8</v>
      </c>
      <c r="H338" s="31" t="n">
        <v>-1.16</v>
      </c>
      <c r="I338" s="31" t="n">
        <v>889024</v>
      </c>
      <c r="J338" s="31" t="inlineStr">
        <is>
          <t>509631</t>
        </is>
      </c>
    </row>
    <row r="339">
      <c r="A339" s="31" t="inlineStr">
        <is>
          <t>EXICOM</t>
        </is>
      </c>
      <c r="B339" s="31" t="inlineStr">
        <is>
          <t>Exicom Tele-Systems Ltd</t>
        </is>
      </c>
      <c r="C339" s="31" t="inlineStr">
        <is>
          <t>industrials</t>
        </is>
      </c>
      <c r="D339" s="31" t="inlineStr">
        <is>
          <t>electric equipment</t>
        </is>
      </c>
      <c r="E339" s="31" t="inlineStr">
        <is>
          <t>smallcap</t>
        </is>
      </c>
      <c r="F339" s="31" t="n">
        <v>2335.57</v>
      </c>
      <c r="G339" s="31" t="n">
        <v>165.99</v>
      </c>
      <c r="H339" s="31" t="n">
        <v>-1.16</v>
      </c>
      <c r="I339" s="31" t="n">
        <v>1245937</v>
      </c>
      <c r="J339" s="31" t="inlineStr">
        <is>
          <t>544133</t>
        </is>
      </c>
    </row>
    <row r="340">
      <c r="A340" s="31" t="inlineStr">
        <is>
          <t>VOLTAMP</t>
        </is>
      </c>
      <c r="B340" s="31" t="inlineStr">
        <is>
          <t>Voltamp Transformers Limited</t>
        </is>
      </c>
      <c r="C340" s="31" t="inlineStr">
        <is>
          <t>industrials</t>
        </is>
      </c>
      <c r="D340" s="31" t="inlineStr">
        <is>
          <t>electric equipment</t>
        </is>
      </c>
      <c r="E340" s="31" t="inlineStr">
        <is>
          <t>midcap</t>
        </is>
      </c>
      <c r="F340" s="31" t="n">
        <v>11167.78</v>
      </c>
      <c r="G340" s="31" t="n">
        <v>10908.5</v>
      </c>
      <c r="H340" s="31" t="n">
        <v>-1.18</v>
      </c>
      <c r="I340" s="31" t="n">
        <v>30404</v>
      </c>
      <c r="J340" s="31" t="inlineStr">
        <is>
          <t>532757</t>
        </is>
      </c>
    </row>
    <row r="341">
      <c r="A341" s="31" t="inlineStr">
        <is>
          <t>LAURUSLABS</t>
        </is>
      </c>
      <c r="B341" s="31" t="inlineStr">
        <is>
          <t>Laurus Labs Limited</t>
        </is>
      </c>
      <c r="C341" s="31" t="inlineStr">
        <is>
          <t>healthcare</t>
        </is>
      </c>
      <c r="D341" s="31" t="inlineStr">
        <is>
          <t>pharmaceuticals - indian - bulk drugs &amp; formln</t>
        </is>
      </c>
      <c r="E341" s="31" t="inlineStr">
        <is>
          <t>largecap</t>
        </is>
      </c>
      <c r="F341" s="31" t="n">
        <v>104727.38</v>
      </c>
      <c r="G341" s="31" t="n">
        <v>1915</v>
      </c>
      <c r="H341" s="31" t="n">
        <v>-1.21</v>
      </c>
      <c r="I341" s="31" t="n">
        <v>30995343</v>
      </c>
      <c r="J341" s="31" t="inlineStr">
        <is>
          <t>540222</t>
        </is>
      </c>
    </row>
    <row r="342">
      <c r="A342" s="31" t="inlineStr">
        <is>
          <t>BALUFORGE</t>
        </is>
      </c>
      <c r="B342" s="31" t="inlineStr">
        <is>
          <t>Balu Forge Industries Ltd</t>
        </is>
      </c>
      <c r="C342" s="31" t="inlineStr">
        <is>
          <t>industrials</t>
        </is>
      </c>
      <c r="D342" s="31" t="inlineStr">
        <is>
          <t>castings &amp; forgings</t>
        </is>
      </c>
      <c r="E342" s="31" t="inlineStr">
        <is>
          <t>midcap</t>
        </is>
      </c>
      <c r="F342" s="31" t="n">
        <v>7645.28</v>
      </c>
      <c r="G342" s="31" t="n">
        <v>630.6</v>
      </c>
      <c r="H342" s="31" t="n">
        <v>-1.28</v>
      </c>
      <c r="I342" s="31" t="n">
        <v>1970291</v>
      </c>
      <c r="J342" s="31" t="inlineStr">
        <is>
          <t>531112</t>
        </is>
      </c>
    </row>
    <row r="343">
      <c r="A343" s="31" t="inlineStr">
        <is>
          <t>SOMANYCERA</t>
        </is>
      </c>
      <c r="B343" s="31" t="inlineStr">
        <is>
          <t>Somany Ceramics Limited</t>
        </is>
      </c>
      <c r="C343" s="31" t="inlineStr">
        <is>
          <t>building materials</t>
        </is>
      </c>
      <c r="D343" s="31" t="inlineStr">
        <is>
          <t>ceramics - tiles / sanitaryware</t>
        </is>
      </c>
      <c r="E343" s="31" t="inlineStr">
        <is>
          <t>smallcap</t>
        </is>
      </c>
      <c r="F343" s="31" t="n">
        <v>2315.17</v>
      </c>
      <c r="G343" s="31" t="n">
        <v>557.3</v>
      </c>
      <c r="H343" s="31" t="n">
        <v>-1.28</v>
      </c>
      <c r="I343" s="31" t="n">
        <v>155520</v>
      </c>
      <c r="J343" s="31" t="inlineStr">
        <is>
          <t>531548</t>
        </is>
      </c>
    </row>
    <row r="344">
      <c r="A344" s="31" t="inlineStr">
        <is>
          <t>TITAN</t>
        </is>
      </c>
      <c r="B344" s="31" t="inlineStr">
        <is>
          <t>Titan Company Limited</t>
        </is>
      </c>
      <c r="C344" s="31" t="inlineStr">
        <is>
          <t>consumer discretionary</t>
        </is>
      </c>
      <c r="D344" s="31" t="inlineStr">
        <is>
          <t>diamond cutting / jewellery</t>
        </is>
      </c>
      <c r="E344" s="31" t="inlineStr">
        <is>
          <t>largecap</t>
        </is>
      </c>
      <c r="F344" s="31" t="n">
        <v>458914.42</v>
      </c>
      <c r="G344" s="31" t="n">
        <v>5102.4</v>
      </c>
      <c r="H344" s="31" t="n">
        <v>-1.29</v>
      </c>
      <c r="I344" s="31" t="n">
        <v>630695</v>
      </c>
      <c r="J344" s="31" t="inlineStr">
        <is>
          <t>500114</t>
        </is>
      </c>
    </row>
    <row r="345">
      <c r="A345" s="31" t="inlineStr">
        <is>
          <t>GALAXYSURF</t>
        </is>
      </c>
      <c r="B345" s="31" t="inlineStr">
        <is>
          <t>Galaxy Surfactants Ltd</t>
        </is>
      </c>
      <c r="C345" s="31" t="inlineStr">
        <is>
          <t>chemicals</t>
        </is>
      </c>
      <c r="D345" s="31" t="inlineStr">
        <is>
          <t>chemicals</t>
        </is>
      </c>
      <c r="E345" s="31" t="inlineStr">
        <is>
          <t>midcap</t>
        </is>
      </c>
      <c r="F345" s="31" t="n">
        <v>8101.41</v>
      </c>
      <c r="G345" s="31" t="n">
        <v>2255.6</v>
      </c>
      <c r="H345" s="31" t="n">
        <v>-1.29</v>
      </c>
      <c r="I345" s="31" t="n">
        <v>34392</v>
      </c>
      <c r="J345" s="31" t="inlineStr">
        <is>
          <t>540935</t>
        </is>
      </c>
    </row>
    <row r="346">
      <c r="A346" s="31" t="inlineStr">
        <is>
          <t>ALEMBICLTD</t>
        </is>
      </c>
      <c r="B346" s="31" t="inlineStr">
        <is>
          <t>Alembic Limited</t>
        </is>
      </c>
      <c r="C346" s="31" t="inlineStr">
        <is>
          <t>realty</t>
        </is>
      </c>
      <c r="D346" s="31" t="inlineStr">
        <is>
          <t>construction</t>
        </is>
      </c>
      <c r="E346" s="31" t="inlineStr">
        <is>
          <t>smallcap</t>
        </is>
      </c>
      <c r="F346" s="31" t="n">
        <v>2568.85</v>
      </c>
      <c r="G346" s="31" t="n">
        <v>98.73999999999999</v>
      </c>
      <c r="H346" s="31" t="n">
        <v>-1.3</v>
      </c>
      <c r="I346" s="31" t="n">
        <v>925255</v>
      </c>
      <c r="J346" s="31" t="inlineStr">
        <is>
          <t>506235</t>
        </is>
      </c>
    </row>
    <row r="347">
      <c r="A347" s="31" t="inlineStr">
        <is>
          <t>PITTIENG</t>
        </is>
      </c>
      <c r="B347" s="31" t="inlineStr">
        <is>
          <t>Pitti Engineering Ltd</t>
        </is>
      </c>
      <c r="C347" s="31" t="inlineStr">
        <is>
          <t>industrials</t>
        </is>
      </c>
      <c r="D347" s="31" t="inlineStr">
        <is>
          <t>engineering</t>
        </is>
      </c>
      <c r="E347" s="31" t="inlineStr">
        <is>
          <t>smallcap</t>
        </is>
      </c>
      <c r="F347" s="31" t="n">
        <v>4221.72</v>
      </c>
      <c r="G347" s="31" t="n">
        <v>1106.35</v>
      </c>
      <c r="H347" s="31" t="n">
        <v>-1.32</v>
      </c>
      <c r="I347" s="31" t="n">
        <v>118983</v>
      </c>
      <c r="J347" s="31" t="inlineStr">
        <is>
          <t>513519</t>
        </is>
      </c>
    </row>
    <row r="348">
      <c r="A348" s="31" t="inlineStr">
        <is>
          <t>UNICHEMLAB</t>
        </is>
      </c>
      <c r="B348" s="31" t="inlineStr">
        <is>
          <t>Unichem Laboratories Limited</t>
        </is>
      </c>
      <c r="C348" s="31" t="inlineStr">
        <is>
          <t>healthcare</t>
        </is>
      </c>
      <c r="D348" s="31" t="inlineStr">
        <is>
          <t>pharmaceuticals - indian - bulk drugs &amp; formln</t>
        </is>
      </c>
      <c r="E348" s="31" t="inlineStr">
        <is>
          <t>smallcap</t>
        </is>
      </c>
      <c r="F348" s="31" t="n">
        <v>3972.64</v>
      </c>
      <c r="G348" s="31" t="n">
        <v>556.55</v>
      </c>
      <c r="H348" s="31" t="n">
        <v>-1.36</v>
      </c>
      <c r="I348" s="31" t="n">
        <v>321470</v>
      </c>
      <c r="J348" s="31" t="inlineStr">
        <is>
          <t>506690</t>
        </is>
      </c>
    </row>
    <row r="349">
      <c r="A349" s="31" t="inlineStr">
        <is>
          <t>GLENMARK</t>
        </is>
      </c>
      <c r="B349" s="31" t="inlineStr">
        <is>
          <t>Glenmark Pharmaceuticals Limited</t>
        </is>
      </c>
      <c r="C349" s="31" t="inlineStr">
        <is>
          <t>healthcare</t>
        </is>
      </c>
      <c r="D349" s="31" t="inlineStr">
        <is>
          <t>pharmaceuticals - indian - bulk drugs &amp; formln</t>
        </is>
      </c>
      <c r="E349" s="31" t="inlineStr">
        <is>
          <t>largecap</t>
        </is>
      </c>
      <c r="F349" s="31" t="n">
        <v>70973.5</v>
      </c>
      <c r="G349" s="31" t="n">
        <v>2480</v>
      </c>
      <c r="H349" s="31" t="n">
        <v>-1.39</v>
      </c>
      <c r="I349" s="31" t="n">
        <v>911026</v>
      </c>
      <c r="J349" s="31" t="inlineStr">
        <is>
          <t>532296</t>
        </is>
      </c>
    </row>
    <row r="350">
      <c r="A350" s="31" t="inlineStr">
        <is>
          <t>SOLARINDS</t>
        </is>
      </c>
      <c r="B350" s="31" t="inlineStr">
        <is>
          <t>Solar Industries India Limited</t>
        </is>
      </c>
      <c r="C350" s="31" t="inlineStr">
        <is>
          <t>aerospace &amp; defence</t>
        </is>
      </c>
      <c r="D350" s="31" t="inlineStr">
        <is>
          <t>chemicals</t>
        </is>
      </c>
      <c r="E350" s="31" t="inlineStr">
        <is>
          <t>largecap</t>
        </is>
      </c>
      <c r="F350" s="31" t="n">
        <v>184599.71</v>
      </c>
      <c r="G350" s="31" t="n">
        <v>20108</v>
      </c>
      <c r="H350" s="31" t="n">
        <v>-1.43</v>
      </c>
      <c r="I350" s="31" t="n">
        <v>100997</v>
      </c>
      <c r="J350" s="31" t="inlineStr">
        <is>
          <t>532725</t>
        </is>
      </c>
    </row>
    <row r="351">
      <c r="A351" s="31" t="inlineStr">
        <is>
          <t>SIEMENS</t>
        </is>
      </c>
      <c r="B351" s="31" t="inlineStr">
        <is>
          <t>Siemens Limited</t>
        </is>
      </c>
      <c r="C351" s="31" t="inlineStr">
        <is>
          <t>industrials</t>
        </is>
      </c>
      <c r="D351" s="31" t="inlineStr">
        <is>
          <t>electric equipment</t>
        </is>
      </c>
      <c r="E351" s="31" t="inlineStr">
        <is>
          <t>largecap</t>
        </is>
      </c>
      <c r="F351" s="31" t="n">
        <v>145617.67</v>
      </c>
      <c r="G351" s="31" t="n">
        <v>4030</v>
      </c>
      <c r="H351" s="31" t="n">
        <v>-1.44</v>
      </c>
      <c r="I351" s="31" t="n">
        <v>222185</v>
      </c>
      <c r="J351" s="31" t="inlineStr">
        <is>
          <t>500550</t>
        </is>
      </c>
    </row>
    <row r="352">
      <c r="A352" s="31" t="inlineStr">
        <is>
          <t>COFORGE</t>
        </is>
      </c>
      <c r="B352" s="31" t="inlineStr">
        <is>
          <t>Coforge (Niit Tech) Ltd</t>
        </is>
      </c>
      <c r="C352" s="31" t="inlineStr">
        <is>
          <t>i.t</t>
        </is>
      </c>
      <c r="D352" s="31" t="inlineStr">
        <is>
          <t>computers - software - large</t>
        </is>
      </c>
      <c r="E352" s="31" t="inlineStr">
        <is>
          <t>largecap</t>
        </is>
      </c>
      <c r="F352" s="31" t="n">
        <v>89184.49000000001</v>
      </c>
      <c r="G352" s="31" t="n">
        <v>1985.3</v>
      </c>
      <c r="H352" s="31" t="n">
        <v>-1.45</v>
      </c>
      <c r="I352" s="31" t="n">
        <v>2163402</v>
      </c>
      <c r="J352" s="31" t="inlineStr">
        <is>
          <t>532541</t>
        </is>
      </c>
    </row>
    <row r="353">
      <c r="A353" s="31" t="inlineStr">
        <is>
          <t>MARINE</t>
        </is>
      </c>
      <c r="B353" s="31" t="inlineStr">
        <is>
          <t>Marine Electricals (India) Ltd</t>
        </is>
      </c>
      <c r="C353" s="31" t="inlineStr">
        <is>
          <t>industrials</t>
        </is>
      </c>
      <c r="D353" s="31" t="inlineStr">
        <is>
          <t>electric equipment</t>
        </is>
      </c>
      <c r="E353" s="31" t="inlineStr">
        <is>
          <t>midcap</t>
        </is>
      </c>
      <c r="F353" s="31" t="n">
        <v>5692.94</v>
      </c>
      <c r="G353" s="31" t="n">
        <v>400.85</v>
      </c>
      <c r="H353" s="31" t="n">
        <v>-1.46</v>
      </c>
      <c r="I353" s="31" t="n">
        <v>1844097</v>
      </c>
      <c r="J353" s="31" t="inlineStr">
        <is>
          <t>535119</t>
        </is>
      </c>
    </row>
    <row r="354">
      <c r="A354" s="31" t="inlineStr">
        <is>
          <t>LGBBROSLTD</t>
        </is>
      </c>
      <c r="B354" s="31" t="inlineStr">
        <is>
          <t>Lg Balakrishnan &amp; Bros Limited</t>
        </is>
      </c>
      <c r="C354" s="31" t="inlineStr">
        <is>
          <t>auto</t>
        </is>
      </c>
      <c r="D354" s="31" t="inlineStr">
        <is>
          <t>bearings</t>
        </is>
      </c>
      <c r="E354" s="31" t="inlineStr">
        <is>
          <t>midcap</t>
        </is>
      </c>
      <c r="F354" s="31" t="n">
        <v>5478.16</v>
      </c>
      <c r="G354" s="31" t="n">
        <v>1692.4</v>
      </c>
      <c r="H354" s="31" t="n">
        <v>-1.47</v>
      </c>
      <c r="I354" s="31" t="n">
        <v>20323</v>
      </c>
      <c r="J354" s="31" t="inlineStr">
        <is>
          <t>500250</t>
        </is>
      </c>
    </row>
    <row r="355">
      <c r="A355" s="31" t="inlineStr">
        <is>
          <t>FLUOROCHEM</t>
        </is>
      </c>
      <c r="B355" s="31" t="inlineStr">
        <is>
          <t>Gujarat Fluorochemicals Ltd</t>
        </is>
      </c>
      <c r="C355" s="31" t="inlineStr">
        <is>
          <t>chemicals</t>
        </is>
      </c>
      <c r="D355" s="31" t="inlineStr">
        <is>
          <t>chemicals</t>
        </is>
      </c>
      <c r="E355" s="31" t="inlineStr">
        <is>
          <t>largecap</t>
        </is>
      </c>
      <c r="F355" s="31" t="n">
        <v>52411.63</v>
      </c>
      <c r="G355" s="31" t="n">
        <v>4693.5</v>
      </c>
      <c r="H355" s="31" t="n">
        <v>-1.63</v>
      </c>
      <c r="I355" s="31" t="n">
        <v>202388</v>
      </c>
      <c r="J355" s="31" t="inlineStr">
        <is>
          <t>542812</t>
        </is>
      </c>
    </row>
    <row r="356">
      <c r="A356" s="31" t="inlineStr">
        <is>
          <t>KANPRPLA</t>
        </is>
      </c>
      <c r="B356" s="31" t="inlineStr">
        <is>
          <t>Kanpur Plastipack Ltd</t>
        </is>
      </c>
      <c r="C356" s="31" t="inlineStr">
        <is>
          <t>industrials</t>
        </is>
      </c>
      <c r="D356" s="31" t="inlineStr">
        <is>
          <t>packaging</t>
        </is>
      </c>
      <c r="E356" s="31" t="inlineStr">
        <is>
          <t>smallcap</t>
        </is>
      </c>
      <c r="F356" s="31" t="n">
        <v>666.61</v>
      </c>
      <c r="G356" s="31" t="n">
        <v>267.71</v>
      </c>
      <c r="H356" s="31" t="n">
        <v>-1.69</v>
      </c>
      <c r="I356" s="31" t="n">
        <v>13338</v>
      </c>
      <c r="J356" s="31" t="inlineStr">
        <is>
          <t>507779</t>
        </is>
      </c>
    </row>
    <row r="357">
      <c r="A357" s="31" t="inlineStr">
        <is>
          <t>SAILIFE</t>
        </is>
      </c>
      <c r="B357" s="31" t="inlineStr">
        <is>
          <t>Sai Life Sciences Ltd</t>
        </is>
      </c>
      <c r="C357" s="31" t="inlineStr">
        <is>
          <t>healthcare</t>
        </is>
      </c>
      <c r="D357" s="31" t="inlineStr">
        <is>
          <t>pharmaceuticals - indian - bulk drugs &amp; formln</t>
        </is>
      </c>
      <c r="E357" s="31" t="inlineStr">
        <is>
          <t>largecap</t>
        </is>
      </c>
      <c r="F357" s="31" t="n">
        <v>31524.47</v>
      </c>
      <c r="G357" s="31" t="n">
        <v>1459.7</v>
      </c>
      <c r="H357" s="31" t="n">
        <v>-1.7</v>
      </c>
      <c r="I357" s="31" t="n">
        <v>694617</v>
      </c>
      <c r="J357" s="31" t="inlineStr">
        <is>
          <t>544306</t>
        </is>
      </c>
    </row>
    <row r="358">
      <c r="A358" s="31" t="inlineStr">
        <is>
          <t>QUADFUTURE</t>
        </is>
      </c>
      <c r="B358" s="31" t="inlineStr">
        <is>
          <t>Quadrant Future Tek Ltd</t>
        </is>
      </c>
      <c r="C358" s="31" t="inlineStr">
        <is>
          <t>industrials</t>
        </is>
      </c>
      <c r="D358" s="31" t="inlineStr">
        <is>
          <t>cables - power</t>
        </is>
      </c>
      <c r="E358" s="31" t="inlineStr">
        <is>
          <t>smallcap</t>
        </is>
      </c>
      <c r="F358" s="31" t="n">
        <v>1716.8</v>
      </c>
      <c r="G358" s="31" t="n">
        <v>421.55</v>
      </c>
      <c r="H358" s="31" t="n">
        <v>-1.78</v>
      </c>
      <c r="I358" s="31" t="n">
        <v>186934</v>
      </c>
      <c r="J358" s="31" t="inlineStr">
        <is>
          <t>544336</t>
        </is>
      </c>
    </row>
    <row r="359">
      <c r="A359" s="31" t="inlineStr">
        <is>
          <t>20MICRONS</t>
        </is>
      </c>
      <c r="B359" s="31" t="inlineStr">
        <is>
          <t>20 Microns Limited</t>
        </is>
      </c>
      <c r="C359" s="31" t="inlineStr">
        <is>
          <t>metals &amp; mining</t>
        </is>
      </c>
      <c r="D359" s="31" t="inlineStr">
        <is>
          <t>mining / minerals / metals</t>
        </is>
      </c>
      <c r="E359" s="31" t="inlineStr">
        <is>
          <t>smallcap</t>
        </is>
      </c>
      <c r="F359" s="31" t="n">
        <v>783.36</v>
      </c>
      <c r="G359" s="31" t="n">
        <v>218.03</v>
      </c>
      <c r="H359" s="31" t="n">
        <v>-1.79</v>
      </c>
      <c r="I359" s="31" t="n">
        <v>172302</v>
      </c>
      <c r="J359" s="31" t="inlineStr">
        <is>
          <t>533022</t>
        </is>
      </c>
    </row>
    <row r="360">
      <c r="A360" s="31" t="inlineStr">
        <is>
          <t>GLAXO</t>
        </is>
      </c>
      <c r="B360" s="31" t="inlineStr">
        <is>
          <t>Glaxosmithkline Pharmaceuticals Limited</t>
        </is>
      </c>
      <c r="C360" s="31" t="inlineStr">
        <is>
          <t>healthcare</t>
        </is>
      </c>
      <c r="D360" s="31" t="inlineStr">
        <is>
          <t>pharmaceuticals - multinational</t>
        </is>
      </c>
      <c r="E360" s="31" t="inlineStr">
        <is>
          <t>largecap</t>
        </is>
      </c>
      <c r="F360" s="31" t="n">
        <v>52624.29</v>
      </c>
      <c r="G360" s="31" t="n">
        <v>3050.1</v>
      </c>
      <c r="H360" s="31" t="n">
        <v>-1.81</v>
      </c>
      <c r="I360" s="31" t="n">
        <v>205702</v>
      </c>
      <c r="J360" s="31" t="inlineStr">
        <is>
          <t>500660</t>
        </is>
      </c>
    </row>
    <row r="361">
      <c r="A361" s="31" t="inlineStr">
        <is>
          <t>ANUHPHR</t>
        </is>
      </c>
      <c r="B361" s="31" t="inlineStr">
        <is>
          <t>Anuh Pharma Ltd</t>
        </is>
      </c>
      <c r="C361" s="31" t="inlineStr">
        <is>
          <t>healthcare</t>
        </is>
      </c>
      <c r="D361" s="31" t="inlineStr">
        <is>
          <t>pharmaceuticals - indian - bulk drugs</t>
        </is>
      </c>
      <c r="E361" s="31" t="inlineStr">
        <is>
          <t>smallcap</t>
        </is>
      </c>
      <c r="F361" s="31" t="n">
        <v>837.5700000000001</v>
      </c>
      <c r="G361" s="31" t="n">
        <v>82.04000000000001</v>
      </c>
      <c r="H361" s="31" t="n">
        <v>-1.83</v>
      </c>
      <c r="I361" s="31" t="n">
        <v>55545</v>
      </c>
      <c r="J361" s="31" t="inlineStr">
        <is>
          <t>506260</t>
        </is>
      </c>
    </row>
    <row r="362">
      <c r="A362" s="31" t="inlineStr">
        <is>
          <t>APLAPOLLO</t>
        </is>
      </c>
      <c r="B362" s="31" t="inlineStr">
        <is>
          <t>Apl Apollo Tubes Limited</t>
        </is>
      </c>
      <c r="C362" s="31" t="inlineStr">
        <is>
          <t>industrials</t>
        </is>
      </c>
      <c r="D362" s="31" t="inlineStr">
        <is>
          <t>steel - large</t>
        </is>
      </c>
      <c r="E362" s="31" t="inlineStr">
        <is>
          <t>largecap</t>
        </is>
      </c>
      <c r="F362" s="31" t="n">
        <v>62906.29</v>
      </c>
      <c r="G362" s="31" t="n">
        <v>2223.4</v>
      </c>
      <c r="H362" s="31" t="n">
        <v>-1.86</v>
      </c>
      <c r="I362" s="31" t="n">
        <v>1081058</v>
      </c>
      <c r="J362" s="31" t="inlineStr">
        <is>
          <t>533758</t>
        </is>
      </c>
    </row>
    <row r="363">
      <c r="A363" s="31" t="inlineStr">
        <is>
          <t>IIFL</t>
        </is>
      </c>
      <c r="B363" s="31" t="inlineStr">
        <is>
          <t>IIFL Finance Ltd</t>
        </is>
      </c>
      <c r="C363" s="31" t="inlineStr">
        <is>
          <t>financials</t>
        </is>
      </c>
      <c r="D363" s="31" t="inlineStr">
        <is>
          <t>finance &amp; investments</t>
        </is>
      </c>
      <c r="E363" s="31" t="inlineStr">
        <is>
          <t>largecap</t>
        </is>
      </c>
      <c r="F363" s="31" t="n">
        <v>28039.55</v>
      </c>
      <c r="G363" s="31" t="n">
        <v>646.75</v>
      </c>
      <c r="H363" s="31" t="n">
        <v>-1.9</v>
      </c>
      <c r="I363" s="31" t="n">
        <v>1485055</v>
      </c>
      <c r="J363" s="31" t="inlineStr">
        <is>
          <t>532636</t>
        </is>
      </c>
    </row>
    <row r="364">
      <c r="A364" s="31" t="inlineStr">
        <is>
          <t>VINDHYATEL</t>
        </is>
      </c>
      <c r="B364" s="31" t="inlineStr">
        <is>
          <t>Vindhya Telelinks Limited</t>
        </is>
      </c>
      <c r="C364" s="31" t="inlineStr">
        <is>
          <t>realty</t>
        </is>
      </c>
      <c r="D364" s="31" t="inlineStr">
        <is>
          <t>construction</t>
        </is>
      </c>
      <c r="E364" s="31" t="inlineStr">
        <is>
          <t>smallcap</t>
        </is>
      </c>
      <c r="F364" s="31" t="n">
        <v>3064.04</v>
      </c>
      <c r="G364" s="31" t="n">
        <v>2535.5</v>
      </c>
      <c r="H364" s="31" t="n">
        <v>-1.93</v>
      </c>
      <c r="I364" s="31" t="n">
        <v>60287</v>
      </c>
      <c r="J364" s="31" t="inlineStr">
        <is>
          <t>517015</t>
        </is>
      </c>
    </row>
    <row r="365">
      <c r="A365" s="31" t="inlineStr">
        <is>
          <t>ASIANENE</t>
        </is>
      </c>
      <c r="B365" s="31" t="inlineStr">
        <is>
          <t>Asian Energy Services Ltd</t>
        </is>
      </c>
      <c r="C365" s="31" t="inlineStr">
        <is>
          <t>energy</t>
        </is>
      </c>
      <c r="D365" s="31" t="inlineStr">
        <is>
          <t>oil drilling / allied services</t>
        </is>
      </c>
      <c r="E365" s="31" t="inlineStr">
        <is>
          <t>smallcap</t>
        </is>
      </c>
      <c r="F365" s="31" t="n">
        <v>2338.11</v>
      </c>
      <c r="G365" s="31" t="n">
        <v>471.5</v>
      </c>
      <c r="H365" s="31" t="n">
        <v>-1.93</v>
      </c>
      <c r="I365" s="31" t="n">
        <v>277518</v>
      </c>
      <c r="J365" s="31" t="inlineStr">
        <is>
          <t>530355</t>
        </is>
      </c>
    </row>
    <row r="366">
      <c r="A366" s="31" t="inlineStr">
        <is>
          <t>PPLPHARMA</t>
        </is>
      </c>
      <c r="B366" s="31" t="inlineStr">
        <is>
          <t>Piramal Pharma Ltd</t>
        </is>
      </c>
      <c r="C366" s="31" t="inlineStr">
        <is>
          <t>healthcare</t>
        </is>
      </c>
      <c r="D366" s="31" t="inlineStr">
        <is>
          <t>pharmaceuticals - indian - bulk drugs &amp; formln</t>
        </is>
      </c>
      <c r="E366" s="31" t="inlineStr">
        <is>
          <t>largecap</t>
        </is>
      </c>
      <c r="F366" s="31" t="n">
        <v>29113.92</v>
      </c>
      <c r="G366" s="31" t="n">
        <v>214.4</v>
      </c>
      <c r="H366" s="31" t="n">
        <v>-1.96</v>
      </c>
      <c r="I366" s="31" t="n">
        <v>2681993</v>
      </c>
      <c r="J366" s="31" t="inlineStr">
        <is>
          <t>543635</t>
        </is>
      </c>
    </row>
    <row r="367">
      <c r="A367" s="31" t="inlineStr">
        <is>
          <t>MANCREDIT</t>
        </is>
      </c>
      <c r="B367" s="31" t="inlineStr">
        <is>
          <t>Mangal Credit &amp; Fincorp Ltd</t>
        </is>
      </c>
      <c r="C367" s="31" t="inlineStr">
        <is>
          <t>financials</t>
        </is>
      </c>
      <c r="D367" s="31" t="inlineStr">
        <is>
          <t>finance &amp; investments</t>
        </is>
      </c>
      <c r="E367" s="31" t="inlineStr">
        <is>
          <t>smallcap</t>
        </is>
      </c>
      <c r="F367" s="31" t="n">
        <v>522.89</v>
      </c>
      <c r="G367" s="31" t="n">
        <v>242.74</v>
      </c>
      <c r="H367" s="31" t="n">
        <v>-1.98</v>
      </c>
      <c r="I367" s="31" t="n">
        <v>249942</v>
      </c>
      <c r="J367" s="31" t="inlineStr">
        <is>
          <t>505850</t>
        </is>
      </c>
    </row>
    <row r="368">
      <c r="A368" s="31" t="inlineStr">
        <is>
          <t>MANINDS</t>
        </is>
      </c>
      <c r="B368" s="31" t="inlineStr">
        <is>
          <t>Man Industries (india) Limited</t>
        </is>
      </c>
      <c r="C368" s="31" t="inlineStr">
        <is>
          <t>metals &amp; mining</t>
        </is>
      </c>
      <c r="D368" s="31" t="inlineStr">
        <is>
          <t>steel - medium / small</t>
        </is>
      </c>
      <c r="E368" s="31" t="inlineStr">
        <is>
          <t>midcap</t>
        </is>
      </c>
      <c r="F368" s="31" t="n">
        <v>5762.24</v>
      </c>
      <c r="G368" s="31" t="n">
        <v>752.95</v>
      </c>
      <c r="H368" s="31" t="n">
        <v>-1.99</v>
      </c>
      <c r="I368" s="31" t="n">
        <v>486506</v>
      </c>
      <c r="J368" s="31" t="inlineStr">
        <is>
          <t>513269</t>
        </is>
      </c>
    </row>
    <row r="369">
      <c r="A369" s="31" t="inlineStr">
        <is>
          <t>NRL</t>
        </is>
      </c>
      <c r="B369" s="31" t="inlineStr">
        <is>
          <t>Nupur Recyclers Ltd</t>
        </is>
      </c>
      <c r="C369" s="31" t="inlineStr">
        <is>
          <t>services</t>
        </is>
      </c>
      <c r="D369" s="31" t="inlineStr">
        <is>
          <t>trading</t>
        </is>
      </c>
      <c r="E369" s="31" t="inlineStr">
        <is>
          <t>smallcap</t>
        </is>
      </c>
      <c r="F369" s="31" t="n">
        <v>863.36</v>
      </c>
      <c r="G369" s="31" t="n">
        <v>122.5</v>
      </c>
      <c r="H369" s="31" t="n">
        <v>-2</v>
      </c>
      <c r="I369" s="31" t="n">
        <v>65909</v>
      </c>
      <c r="J369" s="31" t="inlineStr">
        <is>
          <t>535413</t>
        </is>
      </c>
    </row>
    <row r="370">
      <c r="A370" s="31" t="inlineStr">
        <is>
          <t>WELINV</t>
        </is>
      </c>
      <c r="B370" s="31" t="inlineStr">
        <is>
          <t>Welspun Investments And Commercials Limited</t>
        </is>
      </c>
      <c r="C370" s="31" t="inlineStr">
        <is>
          <t>financials</t>
        </is>
      </c>
      <c r="D370" s="31" t="inlineStr">
        <is>
          <t>finance &amp; investments</t>
        </is>
      </c>
      <c r="E370" s="31" t="inlineStr">
        <is>
          <t>smallcap</t>
        </is>
      </c>
      <c r="F370" s="31" t="n">
        <v>825.62</v>
      </c>
      <c r="G370" s="31" t="n">
        <v>2214.1</v>
      </c>
      <c r="H370" s="31" t="n">
        <v>-2</v>
      </c>
      <c r="I370" s="31" t="n">
        <v>646</v>
      </c>
      <c r="J370" s="31" t="inlineStr">
        <is>
          <t>533252</t>
        </is>
      </c>
    </row>
    <row r="371">
      <c r="A371" s="31" t="inlineStr">
        <is>
          <t>UNIVASTU</t>
        </is>
      </c>
      <c r="B371" s="31" t="inlineStr">
        <is>
          <t>Univastu India Ltd</t>
        </is>
      </c>
      <c r="C371" s="31" t="inlineStr">
        <is>
          <t>realty</t>
        </is>
      </c>
      <c r="D371" s="31" t="inlineStr">
        <is>
          <t>construction</t>
        </is>
      </c>
      <c r="E371" s="31" t="inlineStr">
        <is>
          <t>smallcap</t>
        </is>
      </c>
      <c r="F371" s="31" t="n">
        <v>606.46</v>
      </c>
      <c r="G371" s="31" t="n">
        <v>157.25</v>
      </c>
      <c r="H371" s="31" t="n">
        <v>-2.01</v>
      </c>
      <c r="I371" s="31" t="n">
        <v>41414</v>
      </c>
      <c r="J371" s="31" t="inlineStr">
        <is>
          <t>538442</t>
        </is>
      </c>
    </row>
    <row r="372">
      <c r="A372" s="31" t="inlineStr">
        <is>
          <t>LOTUSDEV</t>
        </is>
      </c>
      <c r="B372" s="31" t="inlineStr">
        <is>
          <t>Sri Lotus Developers &amp; Realty Ltd</t>
        </is>
      </c>
      <c r="C372" s="31" t="inlineStr">
        <is>
          <t>realty</t>
        </is>
      </c>
      <c r="D372" s="31" t="inlineStr">
        <is>
          <t>construction</t>
        </is>
      </c>
      <c r="E372" s="31" t="inlineStr">
        <is>
          <t>midcap</t>
        </is>
      </c>
      <c r="F372" s="31" t="n">
        <v>9120.07</v>
      </c>
      <c r="G372" s="31" t="n">
        <v>182.86</v>
      </c>
      <c r="H372" s="31" t="n">
        <v>-2.01</v>
      </c>
      <c r="I372" s="31" t="n">
        <v>229344</v>
      </c>
      <c r="J372" s="31" t="inlineStr">
        <is>
          <t>544469</t>
        </is>
      </c>
    </row>
    <row r="373">
      <c r="A373" s="31" t="inlineStr">
        <is>
          <t>ARIES</t>
        </is>
      </c>
      <c r="B373" s="31" t="inlineStr">
        <is>
          <t>Aries Agro Limited</t>
        </is>
      </c>
      <c r="C373" s="31" t="inlineStr">
        <is>
          <t>chemicals</t>
        </is>
      </c>
      <c r="D373" s="31" t="inlineStr">
        <is>
          <t>fertilizers</t>
        </is>
      </c>
      <c r="E373" s="31" t="inlineStr">
        <is>
          <t>smallcap</t>
        </is>
      </c>
      <c r="F373" s="31" t="n">
        <v>629.8</v>
      </c>
      <c r="G373" s="31" t="n">
        <v>474.45</v>
      </c>
      <c r="H373" s="31" t="n">
        <v>-2.03</v>
      </c>
      <c r="I373" s="31" t="n">
        <v>30956</v>
      </c>
      <c r="J373" s="31" t="inlineStr">
        <is>
          <t>532935</t>
        </is>
      </c>
    </row>
    <row r="374">
      <c r="A374" s="31" t="inlineStr">
        <is>
          <t>ALKYLAMINE</t>
        </is>
      </c>
      <c r="B374" s="31" t="inlineStr">
        <is>
          <t>Alkyl Amines Chemicals Limited</t>
        </is>
      </c>
      <c r="C374" s="31" t="inlineStr">
        <is>
          <t>chemicals</t>
        </is>
      </c>
      <c r="D374" s="31" t="inlineStr">
        <is>
          <t>chemicals</t>
        </is>
      </c>
      <c r="E374" s="31" t="inlineStr">
        <is>
          <t>midcap</t>
        </is>
      </c>
      <c r="F374" s="31" t="n">
        <v>10474.23</v>
      </c>
      <c r="G374" s="31" t="n">
        <v>2003.8</v>
      </c>
      <c r="H374" s="31" t="n">
        <v>-2.15</v>
      </c>
      <c r="I374" s="31" t="n">
        <v>62073</v>
      </c>
      <c r="J374" s="31" t="inlineStr">
        <is>
          <t>506767</t>
        </is>
      </c>
    </row>
    <row r="375">
      <c r="A375" s="31" t="inlineStr">
        <is>
          <t>ZIMLAB</t>
        </is>
      </c>
      <c r="B375" s="31" t="inlineStr">
        <is>
          <t>Zim Laboratories Ltd</t>
        </is>
      </c>
      <c r="C375" s="31" t="inlineStr">
        <is>
          <t>healthcare</t>
        </is>
      </c>
      <c r="D375" s="31" t="inlineStr">
        <is>
          <t>pharmaceuticals - indian - bulk drugs &amp; formln</t>
        </is>
      </c>
      <c r="E375" s="31" t="inlineStr">
        <is>
          <t>smallcap</t>
        </is>
      </c>
      <c r="F375" s="31" t="n">
        <v>671.83</v>
      </c>
      <c r="G375" s="31" t="n">
        <v>122.69</v>
      </c>
      <c r="H375" s="31" t="n">
        <v>-2.21</v>
      </c>
      <c r="I375" s="31" t="n">
        <v>78786</v>
      </c>
      <c r="J375" s="31" t="inlineStr">
        <is>
          <t>541400</t>
        </is>
      </c>
    </row>
    <row r="376">
      <c r="A376" s="31" t="inlineStr">
        <is>
          <t>REDINGTON</t>
        </is>
      </c>
      <c r="B376" s="31" t="inlineStr">
        <is>
          <t>Redington (india) Limited</t>
        </is>
      </c>
      <c r="C376" s="31" t="inlineStr">
        <is>
          <t>services</t>
        </is>
      </c>
      <c r="D376" s="31" t="inlineStr">
        <is>
          <t>trading</t>
        </is>
      </c>
      <c r="E376" s="31" t="inlineStr">
        <is>
          <t>largecap</t>
        </is>
      </c>
      <c r="F376" s="31" t="n">
        <v>28612.94</v>
      </c>
      <c r="G376" s="31" t="n">
        <v>357.75</v>
      </c>
      <c r="H376" s="31" t="n">
        <v>-2.25</v>
      </c>
      <c r="I376" s="31" t="n">
        <v>4353084</v>
      </c>
      <c r="J376" s="31" t="inlineStr">
        <is>
          <t>532805</t>
        </is>
      </c>
    </row>
    <row r="377">
      <c r="A377" s="31" t="inlineStr">
        <is>
          <t>IDEA</t>
        </is>
      </c>
      <c r="B377" s="31" t="inlineStr">
        <is>
          <t>Vodafone Idea Ltd</t>
        </is>
      </c>
      <c r="C377" s="31" t="inlineStr">
        <is>
          <t>telecom-service</t>
        </is>
      </c>
      <c r="D377" s="31" t="inlineStr">
        <is>
          <t>telecommunications - service provider</t>
        </is>
      </c>
      <c r="E377" s="31" t="inlineStr">
        <is>
          <t>largecap</t>
        </is>
      </c>
      <c r="F377" s="31" t="n">
        <v>159047.58</v>
      </c>
      <c r="G377" s="31" t="n">
        <v>14.33</v>
      </c>
      <c r="H377" s="31" t="n">
        <v>-2.38</v>
      </c>
      <c r="I377" s="31" t="n">
        <v>419238465</v>
      </c>
      <c r="J377" s="31" t="inlineStr">
        <is>
          <t>532822</t>
        </is>
      </c>
    </row>
    <row r="378">
      <c r="A378" s="31" t="inlineStr">
        <is>
          <t>STYLEBAAZA</t>
        </is>
      </c>
      <c r="B378" s="31" t="inlineStr">
        <is>
          <t>Baazar Style Retail Ltd</t>
        </is>
      </c>
      <c r="C378" s="31" t="inlineStr">
        <is>
          <t>consumer discretionary</t>
        </is>
      </c>
      <c r="D378" s="31" t="inlineStr">
        <is>
          <t>trading</t>
        </is>
      </c>
      <c r="E378" s="31" t="inlineStr">
        <is>
          <t>smallcap</t>
        </is>
      </c>
      <c r="F378" s="31" t="n">
        <v>3126.9</v>
      </c>
      <c r="G378" s="31" t="n">
        <v>400.85</v>
      </c>
      <c r="H378" s="31" t="n">
        <v>-2.42</v>
      </c>
      <c r="I378" s="31" t="n">
        <v>656876</v>
      </c>
      <c r="J378" s="31" t="inlineStr">
        <is>
          <t>544243</t>
        </is>
      </c>
    </row>
    <row r="379">
      <c r="A379" s="31" t="inlineStr">
        <is>
          <t>BEML</t>
        </is>
      </c>
      <c r="B379" s="31" t="inlineStr">
        <is>
          <t>Beml Limited</t>
        </is>
      </c>
      <c r="C379" s="31" t="inlineStr">
        <is>
          <t>aerospace &amp; defence</t>
        </is>
      </c>
      <c r="D379" s="31" t="inlineStr">
        <is>
          <t>engineering</t>
        </is>
      </c>
      <c r="E379" s="31" t="inlineStr">
        <is>
          <t>midcap</t>
        </is>
      </c>
      <c r="F379" s="31" t="n">
        <v>16532.03</v>
      </c>
      <c r="G379" s="31" t="n">
        <v>1936.1</v>
      </c>
      <c r="H379" s="31" t="n">
        <v>-2.46</v>
      </c>
      <c r="I379" s="31" t="n">
        <v>309387</v>
      </c>
      <c r="J379" s="31" t="inlineStr">
        <is>
          <t>500048</t>
        </is>
      </c>
    </row>
    <row r="380">
      <c r="A380" s="31" t="inlineStr">
        <is>
          <t>MARKSANS</t>
        </is>
      </c>
      <c r="B380" s="31" t="inlineStr">
        <is>
          <t>Marksans Pharma Limited</t>
        </is>
      </c>
      <c r="C380" s="31" t="inlineStr">
        <is>
          <t>healthcare</t>
        </is>
      </c>
      <c r="D380" s="31" t="inlineStr">
        <is>
          <t>pharmaceuticals - indian - formulations</t>
        </is>
      </c>
      <c r="E380" s="31" t="inlineStr">
        <is>
          <t>midcap</t>
        </is>
      </c>
      <c r="F380" s="31" t="n">
        <v>14940.81</v>
      </c>
      <c r="G380" s="31" t="n">
        <v>321.6</v>
      </c>
      <c r="H380" s="31" t="n">
        <v>-2.46</v>
      </c>
      <c r="I380" s="31" t="n">
        <v>2486251</v>
      </c>
      <c r="J380" s="31" t="inlineStr">
        <is>
          <t>524404</t>
        </is>
      </c>
    </row>
    <row r="381">
      <c r="A381" s="31" t="inlineStr">
        <is>
          <t>ZYDUSLIFE</t>
        </is>
      </c>
      <c r="B381" s="31" t="inlineStr">
        <is>
          <t>Zydus Lifesciences Ltd</t>
        </is>
      </c>
      <c r="C381" s="31" t="inlineStr">
        <is>
          <t>healthcare</t>
        </is>
      </c>
      <c r="D381" s="31" t="inlineStr">
        <is>
          <t>pharmaceuticals - indian - bulk drugs &amp; formln</t>
        </is>
      </c>
      <c r="E381" s="31" t="inlineStr">
        <is>
          <t>largecap</t>
        </is>
      </c>
      <c r="F381" s="31" t="n">
        <v>118802.71</v>
      </c>
      <c r="G381" s="31" t="n">
        <v>1161.3</v>
      </c>
      <c r="H381" s="31" t="n">
        <v>-2.49</v>
      </c>
      <c r="I381" s="31" t="n">
        <v>1498294</v>
      </c>
      <c r="J381" s="31" t="inlineStr">
        <is>
          <t>532321</t>
        </is>
      </c>
    </row>
    <row r="382">
      <c r="A382" s="31" t="inlineStr">
        <is>
          <t>SAIL</t>
        </is>
      </c>
      <c r="B382" s="31" t="inlineStr">
        <is>
          <t>Steel Authority Of India Limited</t>
        </is>
      </c>
      <c r="C382" s="31" t="inlineStr">
        <is>
          <t>metals &amp; mining</t>
        </is>
      </c>
      <c r="D382" s="31" t="inlineStr">
        <is>
          <t>steel - large</t>
        </is>
      </c>
      <c r="E382" s="31" t="inlineStr">
        <is>
          <t>largecap</t>
        </is>
      </c>
      <c r="F382" s="31" t="n">
        <v>82610.50999999999</v>
      </c>
      <c r="G382" s="31" t="n">
        <v>195</v>
      </c>
      <c r="H382" s="31" t="n">
        <v>-2.5</v>
      </c>
      <c r="I382" s="31" t="n">
        <v>22055932</v>
      </c>
      <c r="J382" s="31" t="inlineStr">
        <is>
          <t>500113</t>
        </is>
      </c>
    </row>
    <row r="383">
      <c r="A383" s="31" t="inlineStr">
        <is>
          <t>NETWEB</t>
        </is>
      </c>
      <c r="B383" s="31" t="inlineStr">
        <is>
          <t>Netweb Technologies India Ltd</t>
        </is>
      </c>
      <c r="C383" s="31" t="inlineStr">
        <is>
          <t>i.t</t>
        </is>
      </c>
      <c r="D383" s="31" t="inlineStr">
        <is>
          <t>computers - hardware</t>
        </is>
      </c>
      <c r="E383" s="31" t="inlineStr">
        <is>
          <t>largecap</t>
        </is>
      </c>
      <c r="F383" s="31" t="n">
        <v>30308.96</v>
      </c>
      <c r="G383" s="31" t="n">
        <v>5188.6</v>
      </c>
      <c r="H383" s="31" t="n">
        <v>-2.52</v>
      </c>
      <c r="I383" s="31" t="n">
        <v>1058849</v>
      </c>
      <c r="J383" s="31" t="inlineStr">
        <is>
          <t>543945</t>
        </is>
      </c>
    </row>
    <row r="384">
      <c r="A384" s="31" t="inlineStr">
        <is>
          <t>UNIVCABLES</t>
        </is>
      </c>
      <c r="B384" s="31" t="inlineStr">
        <is>
          <t>Universal Cables Limited</t>
        </is>
      </c>
      <c r="C384" s="31" t="inlineStr">
        <is>
          <t>industrials</t>
        </is>
      </c>
      <c r="D384" s="31" t="inlineStr">
        <is>
          <t>cables - power</t>
        </is>
      </c>
      <c r="E384" s="31" t="inlineStr">
        <is>
          <t>midcap</t>
        </is>
      </c>
      <c r="F384" s="31" t="n">
        <v>5874.62</v>
      </c>
      <c r="G384" s="31" t="n">
        <v>1648.2</v>
      </c>
      <c r="H384" s="31" t="n">
        <v>-2.66</v>
      </c>
      <c r="I384" s="31" t="n">
        <v>167932</v>
      </c>
      <c r="J384" s="31" t="inlineStr">
        <is>
          <t>504212</t>
        </is>
      </c>
    </row>
    <row r="385">
      <c r="A385" s="31" t="inlineStr">
        <is>
          <t>MMP</t>
        </is>
      </c>
      <c r="B385" s="31" t="inlineStr">
        <is>
          <t>MMP Industries Ltd</t>
        </is>
      </c>
      <c r="C385" s="31" t="inlineStr">
        <is>
          <t>metals &amp; mining</t>
        </is>
      </c>
      <c r="D385" s="31" t="inlineStr">
        <is>
          <t>aluminium and aluminium products</t>
        </is>
      </c>
      <c r="E385" s="31" t="inlineStr">
        <is>
          <t>smallcap</t>
        </is>
      </c>
      <c r="F385" s="31" t="n">
        <v>765.16</v>
      </c>
      <c r="G385" s="31" t="n">
        <v>393.45</v>
      </c>
      <c r="H385" s="31" t="n">
        <v>-2.71</v>
      </c>
      <c r="I385" s="31" t="n">
        <v>162115</v>
      </c>
      <c r="J385" s="31" t="inlineStr">
        <is>
          <t>535071</t>
        </is>
      </c>
    </row>
    <row r="386">
      <c r="A386" s="31" t="inlineStr">
        <is>
          <t>JGCHEM</t>
        </is>
      </c>
      <c r="B386" s="31" t="inlineStr">
        <is>
          <t>J.G.Chemicals Ltd</t>
        </is>
      </c>
      <c r="C386" s="31" t="inlineStr">
        <is>
          <t>chemicals</t>
        </is>
      </c>
      <c r="D386" s="31" t="inlineStr">
        <is>
          <t>chemicals</t>
        </is>
      </c>
      <c r="E386" s="31" t="inlineStr">
        <is>
          <t>smallcap</t>
        </is>
      </c>
      <c r="F386" s="31" t="n">
        <v>2552.19</v>
      </c>
      <c r="G386" s="31" t="n">
        <v>633.3</v>
      </c>
      <c r="H386" s="31" t="n">
        <v>-2.76</v>
      </c>
      <c r="I386" s="31" t="n">
        <v>550496</v>
      </c>
      <c r="J386" s="31" t="n"/>
    </row>
    <row r="387">
      <c r="A387" s="31" t="inlineStr">
        <is>
          <t>BALAMINES</t>
        </is>
      </c>
      <c r="B387" s="31" t="inlineStr">
        <is>
          <t>Balaji Amines Limited</t>
        </is>
      </c>
      <c r="C387" s="31" t="inlineStr">
        <is>
          <t>chemicals</t>
        </is>
      </c>
      <c r="D387" s="31" t="inlineStr">
        <is>
          <t>chemicals</t>
        </is>
      </c>
      <c r="E387" s="31" t="inlineStr">
        <is>
          <t>midcap</t>
        </is>
      </c>
      <c r="F387" s="31" t="n">
        <v>7745.46</v>
      </c>
      <c r="G387" s="31" t="n">
        <v>2323.6</v>
      </c>
      <c r="H387" s="31" t="n">
        <v>-2.8</v>
      </c>
      <c r="I387" s="31" t="n">
        <v>135337</v>
      </c>
      <c r="J387" s="31" t="inlineStr">
        <is>
          <t>530999</t>
        </is>
      </c>
    </row>
    <row r="388">
      <c r="A388" s="31" t="inlineStr">
        <is>
          <t>RBA</t>
        </is>
      </c>
      <c r="B388" s="31" t="inlineStr">
        <is>
          <t>Restaurant Brands Asia Ltd</t>
        </is>
      </c>
      <c r="C388" s="31" t="inlineStr">
        <is>
          <t>consumer discretionary</t>
        </is>
      </c>
      <c r="D388" s="31" t="inlineStr">
        <is>
          <t>hotels</t>
        </is>
      </c>
      <c r="E388" s="31" t="inlineStr">
        <is>
          <t>midcap</t>
        </is>
      </c>
      <c r="F388" s="31" t="n">
        <v>7186.23</v>
      </c>
      <c r="G388" s="31" t="n">
        <v>98.09999999999999</v>
      </c>
      <c r="H388" s="31" t="n">
        <v>-2.84</v>
      </c>
      <c r="I388" s="31" t="n">
        <v>3876506</v>
      </c>
      <c r="J388" s="31" t="inlineStr">
        <is>
          <t>543248</t>
        </is>
      </c>
    </row>
    <row r="389">
      <c r="A389" s="31" t="inlineStr">
        <is>
          <t>VADILALIND</t>
        </is>
      </c>
      <c r="B389" s="31" t="inlineStr">
        <is>
          <t>Vadilal Industries Limited</t>
        </is>
      </c>
      <c r="C389" s="31" t="inlineStr">
        <is>
          <t>fmcg</t>
        </is>
      </c>
      <c r="D389" s="31" t="inlineStr">
        <is>
          <t>food - processing - indian</t>
        </is>
      </c>
      <c r="E389" s="31" t="inlineStr">
        <is>
          <t>midcap</t>
        </is>
      </c>
      <c r="F389" s="31" t="n">
        <v>5678.39</v>
      </c>
      <c r="G389" s="31" t="n">
        <v>7672</v>
      </c>
      <c r="H389" s="31" t="n">
        <v>-2.89</v>
      </c>
      <c r="I389" s="31" t="n">
        <v>20143</v>
      </c>
      <c r="J389" s="31" t="inlineStr">
        <is>
          <t>519156</t>
        </is>
      </c>
    </row>
    <row r="390">
      <c r="A390" s="31" t="inlineStr">
        <is>
          <t>RGL</t>
        </is>
      </c>
      <c r="B390" s="31" t="inlineStr">
        <is>
          <t>Renaissance Global Ltd</t>
        </is>
      </c>
      <c r="C390" s="31" t="inlineStr">
        <is>
          <t>consumer discretionary</t>
        </is>
      </c>
      <c r="D390" s="31" t="inlineStr">
        <is>
          <t>diamond cutting / jewellery</t>
        </is>
      </c>
      <c r="E390" s="31" t="inlineStr">
        <is>
          <t>smallcap</t>
        </is>
      </c>
      <c r="F390" s="31" t="n">
        <v>1496.61</v>
      </c>
      <c r="G390" s="31" t="n">
        <v>135.22</v>
      </c>
      <c r="H390" s="31" t="n">
        <v>-2.99</v>
      </c>
      <c r="I390" s="31" t="n">
        <v>652607</v>
      </c>
      <c r="J390" s="31" t="inlineStr">
        <is>
          <t>532923</t>
        </is>
      </c>
    </row>
    <row r="391">
      <c r="A391" s="31" t="inlineStr">
        <is>
          <t>IMAGICAA</t>
        </is>
      </c>
      <c r="B391" s="31" t="inlineStr">
        <is>
          <t>Imagicaaworld Entertainment Ltd</t>
        </is>
      </c>
      <c r="C391" s="31" t="inlineStr">
        <is>
          <t>media</t>
        </is>
      </c>
      <c r="D391" s="31" t="inlineStr">
        <is>
          <t>recreation / amusement parks</t>
        </is>
      </c>
      <c r="E391" s="31" t="inlineStr">
        <is>
          <t>smallcap</t>
        </is>
      </c>
      <c r="F391" s="31" t="n">
        <v>3285.96</v>
      </c>
      <c r="G391" s="31" t="n">
        <v>56.29</v>
      </c>
      <c r="H391" s="31" t="n">
        <v>-3.07</v>
      </c>
      <c r="I391" s="31" t="n">
        <v>1274443</v>
      </c>
      <c r="J391" s="31" t="inlineStr">
        <is>
          <t>539056</t>
        </is>
      </c>
    </row>
    <row r="392">
      <c r="A392" s="31" t="inlineStr">
        <is>
          <t>AEROFLEX</t>
        </is>
      </c>
      <c r="B392" s="31" t="inlineStr">
        <is>
          <t>Aeroflex Industries Ltd</t>
        </is>
      </c>
      <c r="C392" s="31" t="inlineStr">
        <is>
          <t>metals &amp; mining</t>
        </is>
      </c>
      <c r="D392" s="31" t="inlineStr">
        <is>
          <t>steel - medium / small</t>
        </is>
      </c>
      <c r="E392" s="31" t="inlineStr">
        <is>
          <t>midcap</t>
        </is>
      </c>
      <c r="F392" s="31" t="n">
        <v>7173.65</v>
      </c>
      <c r="G392" s="31" t="n">
        <v>525.4</v>
      </c>
      <c r="H392" s="31" t="n">
        <v>-3.08</v>
      </c>
      <c r="I392" s="31" t="n">
        <v>953151</v>
      </c>
      <c r="J392" s="31" t="inlineStr">
        <is>
          <t>543972</t>
        </is>
      </c>
    </row>
    <row r="393">
      <c r="A393" s="31" t="inlineStr">
        <is>
          <t>SIMPLEXINF</t>
        </is>
      </c>
      <c r="B393" s="31" t="inlineStr">
        <is>
          <t>Simplex Infrastructures Limited</t>
        </is>
      </c>
      <c r="C393" s="31" t="inlineStr">
        <is>
          <t>realty</t>
        </is>
      </c>
      <c r="D393" s="31" t="inlineStr">
        <is>
          <t>construction</t>
        </is>
      </c>
      <c r="E393" s="31" t="inlineStr">
        <is>
          <t>smallcap</t>
        </is>
      </c>
      <c r="F393" s="31" t="n">
        <v>2195.61</v>
      </c>
      <c r="G393" s="31" t="n">
        <v>268.83</v>
      </c>
      <c r="H393" s="31" t="n">
        <v>-3.16</v>
      </c>
      <c r="I393" s="31" t="n">
        <v>211640</v>
      </c>
      <c r="J393" s="31" t="inlineStr">
        <is>
          <t>523838</t>
        </is>
      </c>
    </row>
    <row r="394">
      <c r="A394" s="31" t="inlineStr">
        <is>
          <t>NILKAMAL</t>
        </is>
      </c>
      <c r="B394" s="31" t="inlineStr">
        <is>
          <t>Nilkamal Limited</t>
        </is>
      </c>
      <c r="C394" s="31" t="inlineStr">
        <is>
          <t>plastic products</t>
        </is>
      </c>
      <c r="D394" s="31" t="inlineStr">
        <is>
          <t>plastics products</t>
        </is>
      </c>
      <c r="E394" s="31" t="inlineStr">
        <is>
          <t>smallcap</t>
        </is>
      </c>
      <c r="F394" s="31" t="n">
        <v>3091.8</v>
      </c>
      <c r="G394" s="31" t="n">
        <v>2006.2</v>
      </c>
      <c r="H394" s="31" t="n">
        <v>-3.17</v>
      </c>
      <c r="I394" s="31" t="n">
        <v>49450</v>
      </c>
      <c r="J394" s="31" t="inlineStr">
        <is>
          <t>523385</t>
        </is>
      </c>
    </row>
    <row r="395">
      <c r="A395" s="31" t="inlineStr">
        <is>
          <t>GIPCL</t>
        </is>
      </c>
      <c r="B395" s="31" t="inlineStr">
        <is>
          <t>Gujarat Industries Power Company Limited</t>
        </is>
      </c>
      <c r="C395" s="31" t="inlineStr">
        <is>
          <t>power &amp; utilities</t>
        </is>
      </c>
      <c r="D395" s="31" t="inlineStr">
        <is>
          <t>power generation and supply</t>
        </is>
      </c>
      <c r="E395" s="31" t="inlineStr">
        <is>
          <t>smallcap</t>
        </is>
      </c>
      <c r="F395" s="31" t="n">
        <v>3196.05</v>
      </c>
      <c r="G395" s="31" t="n">
        <v>199.36</v>
      </c>
      <c r="H395" s="31" t="n">
        <v>-3.18</v>
      </c>
      <c r="I395" s="31" t="n">
        <v>639477</v>
      </c>
      <c r="J395" s="31" t="inlineStr">
        <is>
          <t>517300</t>
        </is>
      </c>
    </row>
    <row r="396">
      <c r="A396" s="31" t="inlineStr">
        <is>
          <t>VALIANTLAB</t>
        </is>
      </c>
      <c r="B396" s="31" t="inlineStr">
        <is>
          <t>Valiant Laboratories Ltd</t>
        </is>
      </c>
      <c r="C396" s="31" t="inlineStr">
        <is>
          <t>healthcare</t>
        </is>
      </c>
      <c r="D396" s="31" t="inlineStr">
        <is>
          <t>pharmaceuticals - indian - bulk drugs &amp; formln</t>
        </is>
      </c>
      <c r="E396" s="31" t="inlineStr">
        <is>
          <t>smallcap</t>
        </is>
      </c>
      <c r="F396" s="31" t="n">
        <v>541.22</v>
      </c>
      <c r="G396" s="31" t="n">
        <v>96.34</v>
      </c>
      <c r="H396" s="31" t="n">
        <v>-3.32</v>
      </c>
      <c r="I396" s="31" t="n">
        <v>248647</v>
      </c>
      <c r="J396" s="31" t="n"/>
    </row>
    <row r="397">
      <c r="A397" s="31" t="inlineStr">
        <is>
          <t>PREMIERPOL</t>
        </is>
      </c>
      <c r="B397" s="31" t="inlineStr">
        <is>
          <t>Premier Polyfilm Limited</t>
        </is>
      </c>
      <c r="C397" s="31" t="inlineStr">
        <is>
          <t>plastic products</t>
        </is>
      </c>
      <c r="D397" s="31" t="inlineStr">
        <is>
          <t>plastics products</t>
        </is>
      </c>
      <c r="E397" s="31" t="inlineStr">
        <is>
          <t>smallcap</t>
        </is>
      </c>
      <c r="F397" s="31" t="n">
        <v>983.11</v>
      </c>
      <c r="G397" s="31" t="n">
        <v>90.58</v>
      </c>
      <c r="H397" s="31" t="n">
        <v>-3.49</v>
      </c>
      <c r="I397" s="31" t="n">
        <v>356650</v>
      </c>
      <c r="J397" s="31" t="inlineStr">
        <is>
          <t>514354</t>
        </is>
      </c>
    </row>
    <row r="398">
      <c r="A398" s="31" t="inlineStr">
        <is>
          <t>KRN</t>
        </is>
      </c>
      <c r="B398" s="31" t="inlineStr">
        <is>
          <t>KRN Heat Exchanger and Refrigeration Ltd</t>
        </is>
      </c>
      <c r="C398" s="31" t="inlineStr">
        <is>
          <t>industrials</t>
        </is>
      </c>
      <c r="D398" s="31" t="inlineStr">
        <is>
          <t>engineering</t>
        </is>
      </c>
      <c r="E398" s="31" t="inlineStr">
        <is>
          <t>midcap</t>
        </is>
      </c>
      <c r="F398" s="31" t="n">
        <v>10536.85</v>
      </c>
      <c r="G398" s="31" t="n">
        <v>1553.1</v>
      </c>
      <c r="H398" s="31" t="n">
        <v>-3.52</v>
      </c>
      <c r="I398" s="31" t="n">
        <v>416684</v>
      </c>
      <c r="J398" s="31" t="inlineStr">
        <is>
          <t>544263</t>
        </is>
      </c>
    </row>
    <row r="399">
      <c r="A399" s="31" t="inlineStr">
        <is>
          <t>KRBL</t>
        </is>
      </c>
      <c r="B399" s="31" t="inlineStr">
        <is>
          <t>Krbl Limited</t>
        </is>
      </c>
      <c r="C399" s="31" t="inlineStr">
        <is>
          <t>fmcg</t>
        </is>
      </c>
      <c r="D399" s="31" t="inlineStr">
        <is>
          <t>food - processing - indian</t>
        </is>
      </c>
      <c r="E399" s="31" t="inlineStr">
        <is>
          <t>midcap</t>
        </is>
      </c>
      <c r="F399" s="31" t="n">
        <v>10017.37</v>
      </c>
      <c r="G399" s="31" t="n">
        <v>422.25</v>
      </c>
      <c r="H399" s="31" t="n">
        <v>-3.52</v>
      </c>
      <c r="I399" s="31" t="n">
        <v>731450</v>
      </c>
      <c r="J399" s="31" t="inlineStr">
        <is>
          <t>530813</t>
        </is>
      </c>
    </row>
    <row r="400">
      <c r="A400" s="31" t="inlineStr">
        <is>
          <t>EBGNG</t>
        </is>
      </c>
      <c r="B400" s="31" t="inlineStr">
        <is>
          <t>GNG Electronics Ltd</t>
        </is>
      </c>
      <c r="C400" s="31" t="inlineStr">
        <is>
          <t>services</t>
        </is>
      </c>
      <c r="D400" s="31" t="inlineStr">
        <is>
          <t>trading</t>
        </is>
      </c>
      <c r="E400" s="31" t="inlineStr">
        <is>
          <t>midcap</t>
        </is>
      </c>
      <c r="F400" s="31" t="n">
        <v>7240.87</v>
      </c>
      <c r="G400" s="31" t="n">
        <v>612.5</v>
      </c>
      <c r="H400" s="31" t="n">
        <v>-3.56</v>
      </c>
      <c r="I400" s="31" t="n">
        <v>424867</v>
      </c>
      <c r="J400" s="31" t="inlineStr">
        <is>
          <t>544455</t>
        </is>
      </c>
    </row>
    <row r="401">
      <c r="A401" s="31" t="inlineStr">
        <is>
          <t>NIITLTD</t>
        </is>
      </c>
      <c r="B401" s="31" t="inlineStr">
        <is>
          <t>Niit Limited</t>
        </is>
      </c>
      <c r="C401" s="31" t="inlineStr">
        <is>
          <t>i.t</t>
        </is>
      </c>
      <c r="D401" s="31" t="inlineStr">
        <is>
          <t>computers - education</t>
        </is>
      </c>
      <c r="E401" s="31" t="inlineStr">
        <is>
          <t>smallcap</t>
        </is>
      </c>
      <c r="F401" s="31" t="n">
        <v>1441.97</v>
      </c>
      <c r="G401" s="31" t="n">
        <v>101.44</v>
      </c>
      <c r="H401" s="31" t="n">
        <v>-3.87</v>
      </c>
      <c r="I401" s="31" t="n">
        <v>1128924</v>
      </c>
      <c r="J401" s="31" t="inlineStr">
        <is>
          <t>500304</t>
        </is>
      </c>
    </row>
    <row r="402">
      <c r="A402" s="31" t="inlineStr">
        <is>
          <t>ESAFSFB</t>
        </is>
      </c>
      <c r="B402" s="31" t="inlineStr">
        <is>
          <t>ESAF Small Finance Bank Ltd</t>
        </is>
      </c>
      <c r="C402" s="31" t="inlineStr">
        <is>
          <t>bank</t>
        </is>
      </c>
      <c r="D402" s="31" t="inlineStr">
        <is>
          <t>banks - private sector</t>
        </is>
      </c>
      <c r="E402" s="31" t="inlineStr">
        <is>
          <t>smallcap</t>
        </is>
      </c>
      <c r="F402" s="31" t="n">
        <v>2306.82</v>
      </c>
      <c r="G402" s="31" t="n">
        <v>42.97</v>
      </c>
      <c r="H402" s="31" t="n">
        <v>-3.89</v>
      </c>
      <c r="I402" s="31" t="n">
        <v>415246</v>
      </c>
      <c r="J402" s="31" t="inlineStr">
        <is>
          <t>544020</t>
        </is>
      </c>
    </row>
    <row r="403">
      <c r="A403" s="31" t="inlineStr">
        <is>
          <t>FINCABLES</t>
        </is>
      </c>
      <c r="B403" s="31" t="inlineStr">
        <is>
          <t>Finolex Cables Limited</t>
        </is>
      </c>
      <c r="C403" s="31" t="inlineStr">
        <is>
          <t>industrials</t>
        </is>
      </c>
      <c r="D403" s="31" t="inlineStr">
        <is>
          <t>cables - power</t>
        </is>
      </c>
      <c r="E403" s="31" t="inlineStr">
        <is>
          <t>midcap</t>
        </is>
      </c>
      <c r="F403" s="31" t="n">
        <v>19850</v>
      </c>
      <c r="G403" s="31" t="n">
        <v>1247.15</v>
      </c>
      <c r="H403" s="31" t="n">
        <v>-3.91</v>
      </c>
      <c r="I403" s="31" t="n">
        <v>1132169</v>
      </c>
      <c r="J403" s="31" t="inlineStr">
        <is>
          <t>500144</t>
        </is>
      </c>
    </row>
    <row r="404">
      <c r="A404" s="31" t="inlineStr">
        <is>
          <t>KENNAMET</t>
        </is>
      </c>
      <c r="B404" s="31" t="inlineStr">
        <is>
          <t>Kennametal India Ltd</t>
        </is>
      </c>
      <c r="C404" s="31" t="inlineStr">
        <is>
          <t>industrials</t>
        </is>
      </c>
      <c r="D404" s="31" t="inlineStr">
        <is>
          <t>castings &amp; forgings</t>
        </is>
      </c>
      <c r="E404" s="31" t="inlineStr">
        <is>
          <t>midcap</t>
        </is>
      </c>
      <c r="F404" s="31" t="n">
        <v>10066.69</v>
      </c>
      <c r="G404" s="31" t="n">
        <v>4396.1</v>
      </c>
      <c r="H404" s="31" t="n">
        <v>-4.02</v>
      </c>
      <c r="I404" s="31" t="n">
        <v>38870</v>
      </c>
      <c r="J404" s="31" t="inlineStr">
        <is>
          <t>505890</t>
        </is>
      </c>
    </row>
    <row r="405">
      <c r="A405" s="31" t="inlineStr">
        <is>
          <t>GENUSPOWER</t>
        </is>
      </c>
      <c r="B405" s="31" t="inlineStr">
        <is>
          <t>Genus Power Infrastructures Limited</t>
        </is>
      </c>
      <c r="C405" s="31" t="inlineStr">
        <is>
          <t>consumer discretionary</t>
        </is>
      </c>
      <c r="D405" s="31" t="inlineStr">
        <is>
          <t>electronics - components</t>
        </is>
      </c>
      <c r="E405" s="31" t="inlineStr">
        <is>
          <t>midcap</t>
        </is>
      </c>
      <c r="F405" s="31" t="n">
        <v>10639.36</v>
      </c>
      <c r="G405" s="31" t="n">
        <v>335.2</v>
      </c>
      <c r="H405" s="31" t="n">
        <v>-4.15</v>
      </c>
      <c r="I405" s="31" t="n">
        <v>3925702</v>
      </c>
      <c r="J405" s="31" t="inlineStr">
        <is>
          <t>530343</t>
        </is>
      </c>
    </row>
    <row r="406">
      <c r="A406" s="31" t="inlineStr">
        <is>
          <t>KMEW</t>
        </is>
      </c>
      <c r="B406" s="31" t="inlineStr">
        <is>
          <t>Knowledge Marine &amp; Engineering Works Ltd</t>
        </is>
      </c>
      <c r="C406" s="31" t="inlineStr">
        <is>
          <t>transportation</t>
        </is>
      </c>
      <c r="D406" s="31" t="inlineStr">
        <is>
          <t>miscellaneous</t>
        </is>
      </c>
      <c r="E406" s="31" t="inlineStr">
        <is>
          <t>midcap</t>
        </is>
      </c>
      <c r="F406" s="31" t="n">
        <v>7460.1</v>
      </c>
      <c r="G406" s="31" t="n">
        <v>2924.4</v>
      </c>
      <c r="H406" s="31" t="n">
        <v>-4.18</v>
      </c>
      <c r="I406" s="31" t="n">
        <v>197892</v>
      </c>
      <c r="J406" s="31" t="inlineStr">
        <is>
          <t>543273</t>
        </is>
      </c>
    </row>
    <row r="407">
      <c r="A407" s="31" t="inlineStr">
        <is>
          <t>JYOTICNC</t>
        </is>
      </c>
      <c r="B407" s="31" t="inlineStr">
        <is>
          <t>Jyoti CNC Automation Ltd</t>
        </is>
      </c>
      <c r="C407" s="31" t="inlineStr">
        <is>
          <t>industrials</t>
        </is>
      </c>
      <c r="D407" s="31" t="inlineStr">
        <is>
          <t>engineering</t>
        </is>
      </c>
      <c r="E407" s="31" t="inlineStr">
        <is>
          <t>largecap</t>
        </is>
      </c>
      <c r="F407" s="31" t="n">
        <v>23638.36</v>
      </c>
      <c r="G407" s="31" t="n">
        <v>994.95</v>
      </c>
      <c r="H407" s="31" t="n">
        <v>-4.28</v>
      </c>
      <c r="I407" s="31" t="n">
        <v>1082315</v>
      </c>
      <c r="J407" s="31" t="inlineStr">
        <is>
          <t>544081</t>
        </is>
      </c>
    </row>
    <row r="408">
      <c r="A408" s="31" t="inlineStr">
        <is>
          <t>OMAXE</t>
        </is>
      </c>
      <c r="B408" s="31" t="inlineStr">
        <is>
          <t>Omaxe Limited</t>
        </is>
      </c>
      <c r="C408" s="31" t="inlineStr">
        <is>
          <t>realty</t>
        </is>
      </c>
      <c r="D408" s="31" t="inlineStr">
        <is>
          <t>construction</t>
        </is>
      </c>
      <c r="E408" s="31" t="inlineStr">
        <is>
          <t>smallcap</t>
        </is>
      </c>
      <c r="F408" s="31" t="n">
        <v>2409.53</v>
      </c>
      <c r="G408" s="31" t="n">
        <v>125.52</v>
      </c>
      <c r="H408" s="31" t="n">
        <v>-4.72</v>
      </c>
      <c r="I408" s="31" t="n">
        <v>4347484</v>
      </c>
      <c r="J408" s="31" t="inlineStr">
        <is>
          <t>532880</t>
        </is>
      </c>
    </row>
    <row r="409">
      <c r="A409" s="31" t="inlineStr">
        <is>
          <t>RAMRAT</t>
        </is>
      </c>
      <c r="B409" s="31" t="inlineStr">
        <is>
          <t>Ram Ratna Wires Ltd</t>
        </is>
      </c>
      <c r="C409" s="31" t="inlineStr">
        <is>
          <t>metals &amp; mining</t>
        </is>
      </c>
      <c r="D409" s="31" t="inlineStr">
        <is>
          <t>mining / minerals / metals</t>
        </is>
      </c>
      <c r="E409" s="31" t="inlineStr">
        <is>
          <t>midcap</t>
        </is>
      </c>
      <c r="F409" s="31" t="n">
        <v>5525.33</v>
      </c>
      <c r="G409" s="31" t="n">
        <v>563.7</v>
      </c>
      <c r="H409" s="31" t="n">
        <v>-4.76</v>
      </c>
      <c r="I409" s="31" t="n">
        <v>464912</v>
      </c>
      <c r="J409" s="31" t="inlineStr">
        <is>
          <t>522281</t>
        </is>
      </c>
    </row>
    <row r="410">
      <c r="A410" s="31" t="inlineStr">
        <is>
          <t>DICIND</t>
        </is>
      </c>
      <c r="B410" s="31" t="inlineStr">
        <is>
          <t>Dic India Limited</t>
        </is>
      </c>
      <c r="C410" s="31" t="inlineStr">
        <is>
          <t>chemicals</t>
        </is>
      </c>
      <c r="D410" s="31" t="inlineStr">
        <is>
          <t>chemicals</t>
        </is>
      </c>
      <c r="E410" s="31" t="inlineStr">
        <is>
          <t>smallcap</t>
        </is>
      </c>
      <c r="F410" s="31" t="n">
        <v>555.88</v>
      </c>
      <c r="G410" s="31" t="n">
        <v>576.8</v>
      </c>
      <c r="H410" s="31" t="n">
        <v>-4.76</v>
      </c>
      <c r="I410" s="31" t="n">
        <v>7259</v>
      </c>
      <c r="J410" s="31" t="inlineStr">
        <is>
          <t>500089</t>
        </is>
      </c>
    </row>
    <row r="411">
      <c r="A411" s="31" t="inlineStr">
        <is>
          <t>DOLPHIN</t>
        </is>
      </c>
      <c r="B411" s="31" t="inlineStr">
        <is>
          <t>Dolphin Offshore Enterprises (India) Ltd</t>
        </is>
      </c>
      <c r="C411" s="31" t="inlineStr">
        <is>
          <t>energy</t>
        </is>
      </c>
      <c r="D411" s="31" t="inlineStr">
        <is>
          <t>oil drilling / allied services</t>
        </is>
      </c>
      <c r="E411" s="31" t="inlineStr">
        <is>
          <t>smallcap</t>
        </is>
      </c>
      <c r="F411" s="31" t="n">
        <v>2450.48</v>
      </c>
      <c r="G411" s="31" t="n">
        <v>583.25</v>
      </c>
      <c r="H411" s="31" t="n">
        <v>-4.78</v>
      </c>
      <c r="I411" s="31" t="n">
        <v>93088</v>
      </c>
      <c r="J411" s="31" t="inlineStr">
        <is>
          <t>522261</t>
        </is>
      </c>
    </row>
    <row r="412">
      <c r="A412" s="31" t="inlineStr">
        <is>
          <t>OAL</t>
        </is>
      </c>
      <c r="B412" s="31" t="inlineStr">
        <is>
          <t>Oriental Aromatics Ltd</t>
        </is>
      </c>
      <c r="C412" s="31" t="inlineStr">
        <is>
          <t>chemicals</t>
        </is>
      </c>
      <c r="D412" s="31" t="inlineStr">
        <is>
          <t>chemicals</t>
        </is>
      </c>
      <c r="E412" s="31" t="inlineStr">
        <is>
          <t>smallcap</t>
        </is>
      </c>
      <c r="F412" s="31" t="n">
        <v>1641.62</v>
      </c>
      <c r="G412" s="31" t="n">
        <v>463.9</v>
      </c>
      <c r="H412" s="31" t="n">
        <v>-4.9</v>
      </c>
      <c r="I412" s="31" t="n">
        <v>124234</v>
      </c>
      <c r="J412" s="31" t="inlineStr">
        <is>
          <t>500078</t>
        </is>
      </c>
    </row>
    <row r="413">
      <c r="A413" s="31" t="inlineStr">
        <is>
          <t>MAXESTATES</t>
        </is>
      </c>
      <c r="B413" s="31" t="inlineStr">
        <is>
          <t>Max Estates Ltd</t>
        </is>
      </c>
      <c r="C413" s="31" t="inlineStr">
        <is>
          <t>realty</t>
        </is>
      </c>
      <c r="D413" s="31" t="inlineStr">
        <is>
          <t>construction</t>
        </is>
      </c>
      <c r="E413" s="31" t="inlineStr">
        <is>
          <t>midcap</t>
        </is>
      </c>
      <c r="F413" s="31" t="n">
        <v>8813.32</v>
      </c>
      <c r="G413" s="31" t="n">
        <v>512.5</v>
      </c>
      <c r="H413" s="31" t="n">
        <v>-4.93</v>
      </c>
      <c r="I413" s="31" t="n">
        <v>887005</v>
      </c>
      <c r="J413" s="31" t="inlineStr">
        <is>
          <t>544008</t>
        </is>
      </c>
    </row>
    <row r="414">
      <c r="A414" s="31" t="inlineStr">
        <is>
          <t>AEROENTER</t>
        </is>
      </c>
      <c r="B414" s="31" t="inlineStr">
        <is>
          <t>Aeroflex Enterprises Ltd</t>
        </is>
      </c>
      <c r="C414" s="31" t="inlineStr">
        <is>
          <t>metals &amp; mining</t>
        </is>
      </c>
      <c r="D414" s="31" t="inlineStr">
        <is>
          <t>steel - medium / small</t>
        </is>
      </c>
      <c r="E414" s="31" t="inlineStr">
        <is>
          <t>smallcap</t>
        </is>
      </c>
      <c r="F414" s="31" t="n">
        <v>1655.48</v>
      </c>
      <c r="G414" s="31" t="n">
        <v>138.45</v>
      </c>
      <c r="H414" s="31" t="n">
        <v>-5.36</v>
      </c>
      <c r="I414" s="31" t="n">
        <v>653171</v>
      </c>
      <c r="J414" s="31" t="inlineStr">
        <is>
          <t>511076</t>
        </is>
      </c>
    </row>
    <row r="415">
      <c r="A415" s="31" t="inlineStr">
        <is>
          <t>NSLNISP</t>
        </is>
      </c>
      <c r="B415" s="31" t="inlineStr">
        <is>
          <t>NMDC Steel Ltd</t>
        </is>
      </c>
      <c r="C415" s="31" t="inlineStr">
        <is>
          <t>metals &amp; mining</t>
        </is>
      </c>
      <c r="D415" s="31" t="inlineStr">
        <is>
          <t>steel - large</t>
        </is>
      </c>
      <c r="E415" s="31" t="inlineStr">
        <is>
          <t>midcap</t>
        </is>
      </c>
      <c r="F415" s="31" t="n">
        <v>14365.83</v>
      </c>
      <c r="G415" s="31" t="n">
        <v>46.19</v>
      </c>
      <c r="H415" s="31" t="n">
        <v>-5.77</v>
      </c>
      <c r="I415" s="31" t="n">
        <v>16317011</v>
      </c>
      <c r="J415" s="31" t="inlineStr">
        <is>
          <t>543768</t>
        </is>
      </c>
    </row>
  </sheetData>
  <autoFilter ref="A1:J4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UNIPARTS</t>
        </is>
      </c>
      <c r="E2" s="31" t="inlineStr">
        <is>
          <t>Uniparts India Ltd</t>
        </is>
      </c>
      <c r="F2" s="31" t="inlineStr">
        <is>
          <t>Castings, Forgings &amp; Fastners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29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ATHERENERG</t>
        </is>
      </c>
      <c r="E3" s="31" t="inlineStr">
        <is>
          <t>Ather Energy Ltd</t>
        </is>
      </c>
      <c r="F3" s="31" t="inlineStr">
        <is>
          <t>Auto - 2 &amp; 3 Wheelers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29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MODISONLTD</t>
        </is>
      </c>
      <c r="E4" s="31" t="inlineStr">
        <is>
          <t>Modison Ltd</t>
        </is>
      </c>
      <c r="F4" s="31" t="inlineStr">
        <is>
          <t>Capital Goods - Electric General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27</v>
      </c>
      <c r="K4" s="31" t="n">
        <v>16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SHILPAMED</t>
        </is>
      </c>
      <c r="E5" s="31" t="inlineStr">
        <is>
          <t>Shilpa Medicare Limited</t>
        </is>
      </c>
      <c r="F5" s="31" t="inlineStr">
        <is>
          <t>Pharma - API &amp; CRAMS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25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WELSPUNLIV</t>
        </is>
      </c>
      <c r="E6" s="31" t="inlineStr">
        <is>
          <t>Welspun Living Ltd</t>
        </is>
      </c>
      <c r="F6" s="31" t="inlineStr">
        <is>
          <t>Textiles - Home Textile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20</v>
      </c>
      <c r="K6" s="31" t="n">
        <v>13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NYKAA</t>
        </is>
      </c>
      <c r="E7" s="31" t="inlineStr">
        <is>
          <t>FSN E-Commerce Ventures Ltd</t>
        </is>
      </c>
      <c r="F7" s="31" t="inlineStr">
        <is>
          <t>New age - Platform - E-Retail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22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OFSS</t>
        </is>
      </c>
      <c r="E8" s="31" t="inlineStr">
        <is>
          <t>Oracle Financial Services Software Limited</t>
        </is>
      </c>
      <c r="F8" s="31" t="inlineStr">
        <is>
          <t>IT Product Companies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22</v>
      </c>
      <c r="K8" s="31" t="n">
        <v>21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BODALCHEM</t>
        </is>
      </c>
      <c r="E9" s="31" t="inlineStr">
        <is>
          <t>Bodal Chemicals Limited</t>
        </is>
      </c>
      <c r="F9" s="31" t="inlineStr">
        <is>
          <t>Dyes &amp; Pigments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26</v>
      </c>
      <c r="K9" s="31" t="n">
        <v>20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PVP</t>
        </is>
      </c>
      <c r="E10" s="31" t="inlineStr">
        <is>
          <t>Pvp Ventures Limited</t>
        </is>
      </c>
      <c r="F10" s="31" t="inlineStr">
        <is>
          <t>Realty - Construction &amp; Contracting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24</v>
      </c>
      <c r="K10" s="31" t="n">
        <v>18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PRICOLLTD</t>
        </is>
      </c>
      <c r="E11" s="31" t="inlineStr">
        <is>
          <t>Pricol Ltd.</t>
        </is>
      </c>
      <c r="F11" s="31" t="inlineStr">
        <is>
          <t>Auto Ancillaries - 2 Wheelers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22</v>
      </c>
      <c r="K11" s="31" t="n">
        <v>28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PGIL</t>
        </is>
      </c>
      <c r="E12" s="31" t="inlineStr">
        <is>
          <t>Pearl Global Industries Limited</t>
        </is>
      </c>
      <c r="F12" s="31" t="inlineStr">
        <is>
          <t>Textiles - Readymade Apparel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25</v>
      </c>
      <c r="K12" s="31" t="n">
        <v>25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DIFFNKG</t>
        </is>
      </c>
      <c r="E13" s="31" t="inlineStr">
        <is>
          <t>Diffusion Engineers Ltd</t>
        </is>
      </c>
      <c r="F13" s="31" t="inlineStr">
        <is>
          <t>Welding Equipments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21</v>
      </c>
      <c r="K13" s="31" t="n">
        <v>9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MSTCLTD</t>
        </is>
      </c>
      <c r="E14" s="31" t="inlineStr">
        <is>
          <t>MSTC Ltd</t>
        </is>
      </c>
      <c r="F14" s="31" t="inlineStr">
        <is>
          <t>unknown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0</v>
      </c>
      <c r="K14" s="31" t="n">
        <v>11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TFCILTD</t>
        </is>
      </c>
      <c r="E15" s="31" t="inlineStr">
        <is>
          <t>Tourism Finance Corporation Of India Limited</t>
        </is>
      </c>
      <c r="F15" s="31" t="inlineStr">
        <is>
          <t>Finance - PSU Lending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22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ICIL</t>
        </is>
      </c>
      <c r="E16" s="31" t="inlineStr">
        <is>
          <t>Indo Count Industries Limited</t>
        </is>
      </c>
      <c r="F16" s="31" t="inlineStr">
        <is>
          <t>Textiles - Home Textile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21</v>
      </c>
      <c r="K16" s="31" t="n">
        <v>16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QUESS</t>
        </is>
      </c>
      <c r="E17" s="31" t="inlineStr">
        <is>
          <t>Quess Corp Limited</t>
        </is>
      </c>
      <c r="F17" s="31" t="inlineStr">
        <is>
          <t>Facility Management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20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SUVEN</t>
        </is>
      </c>
      <c r="E18" s="31" t="inlineStr">
        <is>
          <t>Suven Life Sciences Limited</t>
        </is>
      </c>
      <c r="F18" s="31" t="inlineStr">
        <is>
          <t>Pharma - Formulators</t>
        </is>
      </c>
      <c r="G18" s="31" t="n">
        <v>2</v>
      </c>
      <c r="H18" s="31" t="inlineStr">
        <is>
          <t>52W Breakout</t>
        </is>
      </c>
      <c r="I18" s="31" t="inlineStr">
        <is>
          <t>Yes</t>
        </is>
      </c>
      <c r="J18" s="31" t="n">
        <v>13</v>
      </c>
      <c r="K18" s="31" t="n">
        <v>17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INDOBORAX</t>
        </is>
      </c>
      <c r="E19" s="31" t="inlineStr">
        <is>
          <t>Indo Borax &amp; Chemicals Ltd</t>
        </is>
      </c>
      <c r="F19" s="31" t="inlineStr">
        <is>
          <t>Chemicals - Inorganic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23</v>
      </c>
      <c r="K19" s="31" t="n">
        <v>13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AVTNPL</t>
        </is>
      </c>
      <c r="E20" s="31" t="inlineStr">
        <is>
          <t>Avt Natural Products Limited</t>
        </is>
      </c>
      <c r="F20" s="31" t="inlineStr">
        <is>
          <t>Agricultural Processing - Maize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28</v>
      </c>
      <c r="K20" s="31" t="n">
        <v>16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CUPID</t>
        </is>
      </c>
      <c r="E21" s="31" t="inlineStr">
        <is>
          <t>Cupid Limited</t>
        </is>
      </c>
      <c r="F21" s="31" t="inlineStr">
        <is>
          <t>Contraceptives/Protectives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30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VINCOFE</t>
        </is>
      </c>
      <c r="E22" s="31" t="inlineStr">
        <is>
          <t>Vintage Coffee &amp; Beverages Ltd</t>
        </is>
      </c>
      <c r="F22" s="31" t="inlineStr">
        <is>
          <t>FMCG - Coffee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27</v>
      </c>
      <c r="K22" s="31" t="n">
        <v>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IOLCP</t>
        </is>
      </c>
      <c r="E23" s="31" t="inlineStr">
        <is>
          <t>Iol Chemicals And Pharmaceuticals Limited</t>
        </is>
      </c>
      <c r="F23" s="31" t="inlineStr">
        <is>
          <t>Pharma - API &amp; CRAMS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23</v>
      </c>
      <c r="K23" s="31" t="n">
        <v>16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IIFL</t>
        </is>
      </c>
      <c r="E24" s="31" t="inlineStr">
        <is>
          <t>IIFL Finance Ltd</t>
        </is>
      </c>
      <c r="F24" s="31" t="inlineStr">
        <is>
          <t>Finance &amp; Investments - Gold Loan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22</v>
      </c>
      <c r="K24" s="31" t="n">
        <v>29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VADILALIND</t>
        </is>
      </c>
      <c r="E25" s="31" t="inlineStr">
        <is>
          <t>Vadilal Industries Limited</t>
        </is>
      </c>
      <c r="F25" s="31" t="inlineStr">
        <is>
          <t>FMCG - Dairy Products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20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VENKEYS</t>
        </is>
      </c>
      <c r="E26" s="31" t="inlineStr">
        <is>
          <t>Venky's (india) Limited</t>
        </is>
      </c>
      <c r="F26" s="31" t="inlineStr">
        <is>
          <t>FMCG - Animal/Polutry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20</v>
      </c>
      <c r="K26" s="31" t="n">
        <v>19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AUROPHARMA</t>
        </is>
      </c>
      <c r="E27" s="31" t="inlineStr">
        <is>
          <t>Aurobindo Pharma Limited</t>
        </is>
      </c>
      <c r="F27" s="31" t="inlineStr">
        <is>
          <t>Pharma - Formulators</t>
        </is>
      </c>
      <c r="G27" s="31" t="n">
        <v>2</v>
      </c>
      <c r="H27" s="31" t="inlineStr">
        <is>
          <t>52W Breakout</t>
        </is>
      </c>
      <c r="I27" s="31" t="inlineStr">
        <is>
          <t>Yes</t>
        </is>
      </c>
      <c r="J27" s="31" t="n">
        <v>12</v>
      </c>
      <c r="K27" s="31" t="n">
        <v>18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IRISDOREME</t>
        </is>
      </c>
      <c r="E28" s="31" t="inlineStr">
        <is>
          <t>Iris Clothings Ltd</t>
        </is>
      </c>
      <c r="F28" s="31" t="inlineStr">
        <is>
          <t>Textiles - Readymade Apparel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MENONBE</t>
        </is>
      </c>
      <c r="E29" s="31" t="inlineStr">
        <is>
          <t>Menon Bearings Limited</t>
        </is>
      </c>
      <c r="F29" s="31" t="inlineStr">
        <is>
          <t>Auto Ancillaries - Bearings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21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PARAS</t>
        </is>
      </c>
      <c r="E30" s="31" t="inlineStr">
        <is>
          <t>Paras Defence and Space Technologies Ltd</t>
        </is>
      </c>
      <c r="F30" s="31" t="inlineStr">
        <is>
          <t>Aerospace &amp; Defence - Equipments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22</v>
      </c>
      <c r="K30" s="31" t="n">
        <v>21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BIRLACABLE</t>
        </is>
      </c>
      <c r="E31" s="31" t="inlineStr">
        <is>
          <t>Birla Cable Limited</t>
        </is>
      </c>
      <c r="F31" s="31" t="inlineStr">
        <is>
          <t>Cables - Telecom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6</v>
      </c>
      <c r="K31" s="31" t="n">
        <v>24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MARKSANS</t>
        </is>
      </c>
      <c r="E32" s="31" t="inlineStr">
        <is>
          <t>Marksans Pharma Limited</t>
        </is>
      </c>
      <c r="F32" s="31" t="inlineStr">
        <is>
          <t>Pharma - Formulators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22</v>
      </c>
      <c r="K32" s="31" t="n">
        <v>21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TBZ</t>
        </is>
      </c>
      <c r="E33" s="31" t="inlineStr">
        <is>
          <t>Tribhovandas Bhimji Zaveri Limited</t>
        </is>
      </c>
      <c r="F33" s="31" t="inlineStr">
        <is>
          <t>Diamond, Gems &amp; Jewellery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20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ADOR</t>
        </is>
      </c>
      <c r="E34" s="31" t="inlineStr">
        <is>
          <t>Ador Welding Ltd</t>
        </is>
      </c>
      <c r="F34" s="31" t="inlineStr">
        <is>
          <t>Welding Equipments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24</v>
      </c>
      <c r="K34" s="31" t="n">
        <v>28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IGPL</t>
        </is>
      </c>
      <c r="E35" s="31" t="inlineStr">
        <is>
          <t>Ig Petrochemicals Limited</t>
        </is>
      </c>
      <c r="F35" s="31" t="inlineStr">
        <is>
          <t>Chemicals - Organic - Maleic Anhydride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21</v>
      </c>
      <c r="K35" s="31" t="n">
        <v>19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RPEL</t>
        </is>
      </c>
      <c r="E36" s="31" t="inlineStr">
        <is>
          <t>Raghav Productivity Enhancers Ltd</t>
        </is>
      </c>
      <c r="F36" s="31" t="inlineStr">
        <is>
          <t>Steel Products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21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JGCHEM</t>
        </is>
      </c>
      <c r="E37" s="31" t="inlineStr">
        <is>
          <t>J.G.Chemicals Ltd</t>
        </is>
      </c>
      <c r="F37" s="31" t="inlineStr">
        <is>
          <t>Chemicals - Inorganic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23</v>
      </c>
      <c r="K37" s="31" t="n">
        <v>29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SJS</t>
        </is>
      </c>
      <c r="E38" s="31" t="inlineStr">
        <is>
          <t>S J S Enterprises Ltd</t>
        </is>
      </c>
      <c r="F38" s="31" t="inlineStr">
        <is>
          <t>Auto Ancillaries - Diversified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20</v>
      </c>
      <c r="K38" s="31" t="n">
        <v>29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KMEW</t>
        </is>
      </c>
      <c r="E39" s="31" t="inlineStr">
        <is>
          <t>Knowledge Marine &amp; Engineering Works Ltd</t>
        </is>
      </c>
      <c r="F39" s="31" t="inlineStr">
        <is>
          <t>Shipping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22</v>
      </c>
      <c r="K39" s="31" t="n">
        <v>29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KINGFA</t>
        </is>
      </c>
      <c r="E40" s="31" t="inlineStr">
        <is>
          <t>Kingfa Science &amp; Technology (india) Limited</t>
        </is>
      </c>
      <c r="F40" s="31" t="inlineStr">
        <is>
          <t>Plastics - Plastic &amp; Plastic Products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20</v>
      </c>
      <c r="K40" s="31" t="n">
        <v>21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GHCLTEXTIL</t>
        </is>
      </c>
      <c r="E41" s="31" t="inlineStr">
        <is>
          <t>GHCL Textiles Ltd</t>
        </is>
      </c>
      <c r="F41" s="31" t="inlineStr">
        <is>
          <t>Textiles - General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29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HAPPYFORGE</t>
        </is>
      </c>
      <c r="E42" s="31" t="inlineStr">
        <is>
          <t>Happy Forgings Ltd</t>
        </is>
      </c>
      <c r="F42" s="31" t="inlineStr">
        <is>
          <t>Castings, Forgings &amp; Fastners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18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MOREPENLAB</t>
        </is>
      </c>
      <c r="E43" s="31" t="inlineStr">
        <is>
          <t>Morepen Laboratories Limited</t>
        </is>
      </c>
      <c r="F43" s="31" t="inlineStr">
        <is>
          <t>Pharma - API &amp; CRAMS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24</v>
      </c>
      <c r="K43" s="31" t="n">
        <v>20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LAURUSLABS</t>
        </is>
      </c>
      <c r="E44" s="31" t="inlineStr">
        <is>
          <t>Laurus Labs Limited</t>
        </is>
      </c>
      <c r="F44" s="31" t="inlineStr">
        <is>
          <t>Pharma - API &amp; CRAMS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24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INDSWFTLAB</t>
        </is>
      </c>
      <c r="E45" s="31" t="inlineStr">
        <is>
          <t>Ind-swift Laboratories Limited</t>
        </is>
      </c>
      <c r="F45" s="31" t="inlineStr">
        <is>
          <t>Pharma - API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21</v>
      </c>
      <c r="K45" s="31" t="n">
        <v>27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CGCL</t>
        </is>
      </c>
      <c r="E46" s="31" t="inlineStr">
        <is>
          <t>Capri Global Capital Limited</t>
        </is>
      </c>
      <c r="F46" s="31" t="inlineStr">
        <is>
          <t>Finance &amp; Investments - Gold Loan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26</v>
      </c>
      <c r="K46" s="31" t="n">
        <v>11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KDDL</t>
        </is>
      </c>
      <c r="E47" s="31" t="inlineStr">
        <is>
          <t>Kddl Limited</t>
        </is>
      </c>
      <c r="F47" s="31" t="inlineStr">
        <is>
          <t>Watches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22</v>
      </c>
      <c r="K47" s="31" t="n">
        <v>24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AVALON</t>
        </is>
      </c>
      <c r="E48" s="31" t="inlineStr">
        <is>
          <t>Avalon Technologies Ltd</t>
        </is>
      </c>
      <c r="F48" s="31" t="inlineStr">
        <is>
          <t>Consumer Electronics - EMS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25</v>
      </c>
      <c r="K48" s="31" t="n">
        <v>21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MACPOWER</t>
        </is>
      </c>
      <c r="E49" s="31" t="inlineStr">
        <is>
          <t>Macpower CNC Machines Ltd</t>
        </is>
      </c>
      <c r="F49" s="31" t="inlineStr">
        <is>
          <t>CNC - Machines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23</v>
      </c>
      <c r="K49" s="31" t="n">
        <v>28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HFCL</t>
        </is>
      </c>
      <c r="E50" s="31" t="inlineStr">
        <is>
          <t>HFCL Ltd</t>
        </is>
      </c>
      <c r="F50" s="31" t="inlineStr">
        <is>
          <t>Telecom Services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25</v>
      </c>
      <c r="K50" s="31" t="n">
        <v>19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BAFNAPH</t>
        </is>
      </c>
      <c r="E51" s="31" t="inlineStr">
        <is>
          <t>Bafna Pharmaceuticals Ltd</t>
        </is>
      </c>
      <c r="F51" s="31" t="inlineStr">
        <is>
          <t>Pharma - Formulators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3</v>
      </c>
      <c r="K51" s="31" t="n">
        <v>12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SYNCOMF</t>
        </is>
      </c>
      <c r="E52" s="31" t="inlineStr">
        <is>
          <t>Syncom Formulations (India) Ltd</t>
        </is>
      </c>
      <c r="F52" s="31" t="inlineStr">
        <is>
          <t>Pharma - Others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22</v>
      </c>
      <c r="K52" s="31" t="n">
        <v>13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KENNAMET</t>
        </is>
      </c>
      <c r="E53" s="31" t="inlineStr">
        <is>
          <t>Kennametal India Ltd</t>
        </is>
      </c>
      <c r="F53" s="31" t="inlineStr">
        <is>
          <t>Castings, Forgings &amp; Fastners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27</v>
      </c>
      <c r="K53" s="31" t="n">
        <v>21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DIVISLAB</t>
        </is>
      </c>
      <c r="E54" s="31" t="inlineStr">
        <is>
          <t>Divi's Laboratories Limited</t>
        </is>
      </c>
      <c r="F54" s="31" t="inlineStr">
        <is>
          <t>Pharma - API &amp; CRAMS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15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CYIENTDLM</t>
        </is>
      </c>
      <c r="E55" s="31" t="inlineStr">
        <is>
          <t>Cyient DLM Ltd</t>
        </is>
      </c>
      <c r="F55" s="31" t="inlineStr">
        <is>
          <t>Consumer Electronics - EMS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19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BLISSGVS</t>
        </is>
      </c>
      <c r="E56" s="31" t="inlineStr">
        <is>
          <t>Bliss Gvs Pharma Limited</t>
        </is>
      </c>
      <c r="F56" s="31" t="inlineStr">
        <is>
          <t>Pharma - Formulators</t>
        </is>
      </c>
      <c r="G56" s="31" t="n">
        <v>2</v>
      </c>
      <c r="H56" s="31" t="inlineStr">
        <is>
          <t>52W Breakout</t>
        </is>
      </c>
      <c r="I56" s="31" t="inlineStr">
        <is>
          <t>Yes</t>
        </is>
      </c>
      <c r="J56" s="31" t="n">
        <v>18</v>
      </c>
      <c r="K56" s="31" t="n">
        <v>17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BHAGERIA</t>
        </is>
      </c>
      <c r="E57" s="31" t="inlineStr">
        <is>
          <t>Bhageria Industries Limited</t>
        </is>
      </c>
      <c r="F57" s="31" t="inlineStr">
        <is>
          <t>Dyes &amp; Pigments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12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DYCL</t>
        </is>
      </c>
      <c r="E58" s="31" t="inlineStr">
        <is>
          <t>Dynamic Cables Ltd</t>
        </is>
      </c>
      <c r="F58" s="31" t="inlineStr">
        <is>
          <t>Cables - Power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23</v>
      </c>
      <c r="K58" s="31" t="n">
        <v>16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FCL</t>
        </is>
      </c>
      <c r="E59" s="31" t="inlineStr">
        <is>
          <t>Fineotex Chemical Limited</t>
        </is>
      </c>
      <c r="F59" s="31" t="inlineStr">
        <is>
          <t>Speciality Chemicals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22</v>
      </c>
      <c r="K59" s="31" t="n">
        <v>22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SKYGOLD</t>
        </is>
      </c>
      <c r="E60" s="31" t="inlineStr">
        <is>
          <t>Sky Gold Ltd</t>
        </is>
      </c>
      <c r="F60" s="31" t="inlineStr">
        <is>
          <t>Diamond, Gems &amp; Jewellery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27</v>
      </c>
      <c r="K60" s="31" t="n">
        <v>30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SANSERA</t>
        </is>
      </c>
      <c r="E61" s="31" t="inlineStr">
        <is>
          <t>Sansera Engineering Ltd</t>
        </is>
      </c>
      <c r="F61" s="31" t="inlineStr">
        <is>
          <t>Auto Ancillaries - Diversified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18</v>
      </c>
      <c r="K61" s="31" t="n">
        <v>27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NEULANDLAB</t>
        </is>
      </c>
      <c r="E62" s="31" t="inlineStr">
        <is>
          <t>Neuland Laboratories Limited</t>
        </is>
      </c>
      <c r="F62" s="31" t="inlineStr">
        <is>
          <t>Pharma - API &amp; CRAMS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21</v>
      </c>
      <c r="K62" s="31" t="n">
        <v>27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KRISHANA</t>
        </is>
      </c>
      <c r="E63" s="31" t="inlineStr">
        <is>
          <t>Krishana Phoschem Ltd</t>
        </is>
      </c>
      <c r="F63" s="31" t="inlineStr">
        <is>
          <t>Fertilisers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22</v>
      </c>
      <c r="K63" s="31" t="n">
        <v>29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OMAXE</t>
        </is>
      </c>
      <c r="E64" s="31" t="inlineStr">
        <is>
          <t>Omaxe Limited</t>
        </is>
      </c>
      <c r="F64" s="31" t="inlineStr">
        <is>
          <t>Realty - Construction &amp; Contracting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20</v>
      </c>
      <c r="K64" s="31" t="n">
        <v>17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TVSSRICHAK</t>
        </is>
      </c>
      <c r="E65" s="31" t="inlineStr">
        <is>
          <t>Tvs Srichakra Limited</t>
        </is>
      </c>
      <c r="F65" s="31" t="inlineStr">
        <is>
          <t>Tyres &amp; Tubes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27</v>
      </c>
      <c r="K65" s="31" t="n">
        <v>12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THELEELA</t>
        </is>
      </c>
      <c r="E66" s="31" t="inlineStr">
        <is>
          <t>Leela Palaces Hotels &amp; Resorts Ltd</t>
        </is>
      </c>
      <c r="F66" s="31" t="inlineStr">
        <is>
          <t>Hotels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23</v>
      </c>
      <c r="K66" s="31" t="n">
        <v>24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RRKABEL</t>
        </is>
      </c>
      <c r="E67" s="31" t="inlineStr">
        <is>
          <t>R R Kabel Ltd</t>
        </is>
      </c>
      <c r="F67" s="31" t="inlineStr">
        <is>
          <t>Cables - Power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19</v>
      </c>
      <c r="K67" s="31" t="n">
        <v>29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ACMESOLAR</t>
        </is>
      </c>
      <c r="E68" s="31" t="inlineStr">
        <is>
          <t>ACME Solar Holdings Ltd</t>
        </is>
      </c>
      <c r="F68" s="31" t="inlineStr">
        <is>
          <t>Engineering - Turnkey Services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22</v>
      </c>
      <c r="K68" s="31" t="n">
        <v>11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BHEL</t>
        </is>
      </c>
      <c r="E69" s="31" t="inlineStr">
        <is>
          <t>Bharat Heavy Electricals Limited</t>
        </is>
      </c>
      <c r="F69" s="31" t="inlineStr">
        <is>
          <t>Capital Goods - Engineering Heavy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21</v>
      </c>
      <c r="K69" s="31" t="n">
        <v>12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CRAFTSMAN</t>
        </is>
      </c>
      <c r="E70" s="31" t="inlineStr">
        <is>
          <t>Craftsman Automation Ltd</t>
        </is>
      </c>
      <c r="F70" s="31" t="inlineStr">
        <is>
          <t>Auto &amp; Auto Ancl - CV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21</v>
      </c>
      <c r="K70" s="31" t="n">
        <v>25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UNIVCABLES</t>
        </is>
      </c>
      <c r="E71" s="31" t="inlineStr">
        <is>
          <t>Universal Cables Limited</t>
        </is>
      </c>
      <c r="F71" s="31" t="inlineStr">
        <is>
          <t>Cables - Power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21</v>
      </c>
      <c r="K71" s="31" t="n">
        <v>26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COFORGE</t>
        </is>
      </c>
      <c r="E72" s="31" t="inlineStr">
        <is>
          <t>Coforge (Niit Tech) Ltd</t>
        </is>
      </c>
      <c r="F72" s="31" t="inlineStr">
        <is>
          <t>IT - Software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24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PTCIL</t>
        </is>
      </c>
      <c r="E73" s="31" t="inlineStr">
        <is>
          <t>PTC Industries Ltd</t>
        </is>
      </c>
      <c r="F73" s="31" t="inlineStr">
        <is>
          <t>Castings - Steel/Alloy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22</v>
      </c>
      <c r="K73" s="31" t="n">
        <v>22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KABRAEXTRU</t>
        </is>
      </c>
      <c r="E74" s="31" t="inlineStr">
        <is>
          <t>Kabra Extrusion Technik Limited</t>
        </is>
      </c>
      <c r="F74" s="31" t="inlineStr">
        <is>
          <t>Capital Goods - Engineering Heavy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21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GANDHAR</t>
        </is>
      </c>
      <c r="E75" s="31" t="inlineStr">
        <is>
          <t>Gandhar Oil Refinery (India) Ltd</t>
        </is>
      </c>
      <c r="F75" s="31" t="inlineStr">
        <is>
          <t>Refineries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20</v>
      </c>
      <c r="K75" s="31" t="n">
        <v>22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AEROENTER</t>
        </is>
      </c>
      <c r="E76" s="31" t="inlineStr">
        <is>
          <t>Aeroflex Enterprises Ltd</t>
        </is>
      </c>
      <c r="F76" s="31" t="inlineStr">
        <is>
          <t>Miscellaneous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22</v>
      </c>
      <c r="K76" s="31" t="n">
        <v>16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BOSCH-HCIL</t>
        </is>
      </c>
      <c r="E77" s="31" t="inlineStr">
        <is>
          <t>Bosch Home Comfort India Ltd</t>
        </is>
      </c>
      <c r="F77" s="31" t="inlineStr">
        <is>
          <t>Consumer Electronics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21</v>
      </c>
      <c r="K77" s="31" t="n">
        <v>20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KAPSTON</t>
        </is>
      </c>
      <c r="E78" s="31" t="inlineStr">
        <is>
          <t>Kapston Services Ltd</t>
        </is>
      </c>
      <c r="F78" s="31" t="inlineStr">
        <is>
          <t>Services - Others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20</v>
      </c>
      <c r="K78" s="31" t="n">
        <v>26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PRECWIRE</t>
        </is>
      </c>
      <c r="E79" s="31" t="inlineStr">
        <is>
          <t>Precision Wires India Limited</t>
        </is>
      </c>
      <c r="F79" s="31" t="inlineStr">
        <is>
          <t>Copper Wires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21</v>
      </c>
      <c r="K79" s="31" t="n">
        <v>15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STLTECH</t>
        </is>
      </c>
      <c r="E80" s="31" t="inlineStr">
        <is>
          <t>Sterlite Technologies Limited</t>
        </is>
      </c>
      <c r="F80" s="31" t="inlineStr">
        <is>
          <t>Cables - Telecom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23</v>
      </c>
      <c r="K80" s="31" t="n">
        <v>21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ENTERO</t>
        </is>
      </c>
      <c r="E81" s="31" t="inlineStr">
        <is>
          <t>Entero Healthcare Solutions Ltd</t>
        </is>
      </c>
      <c r="F81" s="31" t="inlineStr">
        <is>
          <t>Pharmacy Distribution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30</v>
      </c>
      <c r="K81" s="31" t="n">
        <v>22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AEROFLEX</t>
        </is>
      </c>
      <c r="E82" s="31" t="inlineStr">
        <is>
          <t>Aeroflex Industries Ltd</t>
        </is>
      </c>
      <c r="F82" s="31" t="inlineStr">
        <is>
          <t>Stainless Steel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21</v>
      </c>
      <c r="K82" s="31" t="n">
        <v>15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EMIL</t>
        </is>
      </c>
      <c r="E83" s="31" t="inlineStr">
        <is>
          <t>Electronics Mart India Ltd</t>
        </is>
      </c>
      <c r="F83" s="31" t="inlineStr">
        <is>
          <t>Retail - Electronics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20</v>
      </c>
      <c r="K83" s="31" t="n">
        <v>19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MMP</t>
        </is>
      </c>
      <c r="E84" s="31" t="inlineStr">
        <is>
          <t>MMP Industries Ltd</t>
        </is>
      </c>
      <c r="F84" s="31" t="inlineStr">
        <is>
          <t>Aluminium Products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24</v>
      </c>
      <c r="K84" s="31" t="n">
        <v>25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PAYTM</t>
        </is>
      </c>
      <c r="E85" s="31" t="inlineStr">
        <is>
          <t>One 97 Communications Ltd</t>
        </is>
      </c>
      <c r="F85" s="31" t="inlineStr">
        <is>
          <t>E-Commerce - Platform - Utility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20</v>
      </c>
      <c r="K85" s="31" t="n">
        <v>28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AXISBANK</t>
        </is>
      </c>
      <c r="E86" s="31" t="inlineStr">
        <is>
          <t>Axis Bank Limited</t>
        </is>
      </c>
      <c r="F86" s="31" t="inlineStr">
        <is>
          <t>Banks - Private</t>
        </is>
      </c>
      <c r="G86" s="31" t="n">
        <v>2</v>
      </c>
      <c r="H86" s="31" t="inlineStr">
        <is>
          <t>EMA Crossover</t>
        </is>
      </c>
      <c r="I86" s="31" t="inlineStr">
        <is>
          <t>Yes</t>
        </is>
      </c>
      <c r="J86" s="31" t="n">
        <v>5</v>
      </c>
      <c r="K86" s="31" t="n">
        <v>1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MANAKSTEEL</t>
        </is>
      </c>
      <c r="E87" s="31" t="inlineStr">
        <is>
          <t>Manaksia Steels Limited</t>
        </is>
      </c>
      <c r="F87" s="31" t="inlineStr">
        <is>
          <t>Steel</t>
        </is>
      </c>
      <c r="G87" s="31" t="n">
        <v>2</v>
      </c>
      <c r="H87" s="31" t="inlineStr">
        <is>
          <t>52W Breakout</t>
        </is>
      </c>
      <c r="I87" s="31" t="inlineStr">
        <is>
          <t>Yes</t>
        </is>
      </c>
      <c r="J87" s="31" t="n">
        <v>4</v>
      </c>
      <c r="K87" s="31" t="n">
        <v>19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GIPCL</t>
        </is>
      </c>
      <c r="E88" s="31" t="inlineStr">
        <is>
          <t>Gujarat Industries Power Company Limited</t>
        </is>
      </c>
      <c r="F88" s="31" t="inlineStr">
        <is>
          <t>Power - Generation/Distribution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23</v>
      </c>
      <c r="K88" s="31" t="n">
        <v>16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MANALIPETC</t>
        </is>
      </c>
      <c r="E89" s="31" t="inlineStr">
        <is>
          <t>Manali Petrochemicals Limited</t>
        </is>
      </c>
      <c r="F89" s="31" t="inlineStr">
        <is>
          <t>Petrochem - Polymers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20</v>
      </c>
      <c r="K89" s="31" t="n">
        <v>19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DEEPINDS</t>
        </is>
      </c>
      <c r="E90" s="31" t="inlineStr">
        <is>
          <t>Deep Industries Ltd</t>
        </is>
      </c>
      <c r="F90" s="31" t="inlineStr">
        <is>
          <t>Oil Drilling &amp; Exploration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19</v>
      </c>
      <c r="K90" s="31" t="n">
        <v>25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TNPETRO</t>
        </is>
      </c>
      <c r="E91" s="31" t="inlineStr">
        <is>
          <t>Tamilnadu Petroproducts Limited</t>
        </is>
      </c>
      <c r="F91" s="31" t="inlineStr">
        <is>
          <t>Petrochem - Others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23</v>
      </c>
      <c r="K91" s="31" t="n">
        <v>14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POLICYBZR</t>
        </is>
      </c>
      <c r="E92" s="31" t="inlineStr">
        <is>
          <t>PB Fintech Ltd</t>
        </is>
      </c>
      <c r="F92" s="31" t="inlineStr">
        <is>
          <t>Insurance - Proxy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20</v>
      </c>
      <c r="K92" s="31" t="n">
        <v>16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LUMAXTECH</t>
        </is>
      </c>
      <c r="E93" s="31" t="inlineStr">
        <is>
          <t>Lumax Auto Technologies Limited</t>
        </is>
      </c>
      <c r="F93" s="31" t="inlineStr">
        <is>
          <t>Auto Ancillaries - Diversified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21</v>
      </c>
      <c r="K93" s="31" t="n">
        <v>22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MANINDS</t>
        </is>
      </c>
      <c r="E94" s="31" t="inlineStr">
        <is>
          <t>Man Industries (india) Limited</t>
        </is>
      </c>
      <c r="F94" s="31" t="inlineStr">
        <is>
          <t>Steel - Tubes/Pipes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23</v>
      </c>
      <c r="K94" s="31" t="n">
        <v>15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UFLEX</t>
        </is>
      </c>
      <c r="E95" s="31" t="inlineStr">
        <is>
          <t>Uflex Limited</t>
        </is>
      </c>
      <c r="F95" s="31" t="inlineStr">
        <is>
          <t>Packaging - BOPP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27</v>
      </c>
      <c r="K95" s="31" t="n">
        <v>19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MAHASTEEL</t>
        </is>
      </c>
      <c r="E96" s="31" t="inlineStr">
        <is>
          <t>Mahamaya Steel Industries Limited</t>
        </is>
      </c>
      <c r="F96" s="31" t="inlineStr">
        <is>
          <t>Steel - Rolling</t>
        </is>
      </c>
      <c r="G96" s="31" t="n">
        <v>2</v>
      </c>
      <c r="H96" s="31" t="inlineStr">
        <is>
          <t>52W Breakout</t>
        </is>
      </c>
      <c r="I96" s="31" t="inlineStr">
        <is>
          <t>Yes</t>
        </is>
      </c>
      <c r="J96" s="31" t="n">
        <v>17</v>
      </c>
      <c r="K96" s="31" t="n">
        <v>23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BOSCHLTD</t>
        </is>
      </c>
      <c r="E97" s="31" t="inlineStr">
        <is>
          <t>Bosch Limited</t>
        </is>
      </c>
      <c r="F97" s="31" t="inlineStr">
        <is>
          <t>Auto Ancillaries - Diversified</t>
        </is>
      </c>
      <c r="G97" s="31" t="n">
        <v>2</v>
      </c>
      <c r="H97" s="31" t="inlineStr">
        <is>
          <t>52W Breakout</t>
        </is>
      </c>
      <c r="I97" s="31" t="inlineStr">
        <is>
          <t>Yes</t>
        </is>
      </c>
      <c r="J97" s="31" t="n">
        <v>11</v>
      </c>
      <c r="K97" s="31" t="n">
        <v>25</v>
      </c>
    </row>
    <row r="98">
      <c r="A98" s="31">
        <f>IF(B98=0,"",ROW()-1)</f>
        <v/>
      </c>
      <c r="B98" s="32">
        <f>IFERROR(INDEX('Monit Non Financial'!$B$2:$B$400, MATCH(D98, 'Monit Non Financial'!$C$2:$C$400, 0)), IFERROR(INDEX('Monit Banks NBFC'!$B$2:$B$100, MATCH(D98, 'Monit Banks NBFC'!$C$2:$C$100, 0)), 0))</f>
        <v/>
      </c>
      <c r="C98" s="31">
        <f>IFERROR(INDEX('Monit Non Financial'!$L$2:$L$400, MATCH(D98, 'Monit Non Financial'!$C$2:$C$400, 0)), IFERROR(INDEX('Monit Banks NBFC'!$L$2:$L$100, MATCH(D98, 'Monit Banks NBFC'!$C$2:$C$100, 0)), ""))</f>
        <v/>
      </c>
      <c r="D98" s="31" t="inlineStr">
        <is>
          <t>RATNAVEER</t>
        </is>
      </c>
      <c r="E98" s="31" t="inlineStr">
        <is>
          <t>Ratnaveer Precision Engineering Ltd</t>
        </is>
      </c>
      <c r="F98" s="31" t="inlineStr">
        <is>
          <t>Stainless Steel</t>
        </is>
      </c>
      <c r="G98" s="31" t="n">
        <v>2</v>
      </c>
      <c r="H98" s="31" t="inlineStr">
        <is>
          <t>No</t>
        </is>
      </c>
      <c r="I98" s="31" t="inlineStr">
        <is>
          <t>Yes</t>
        </is>
      </c>
      <c r="J98" s="31" t="n">
        <v>22</v>
      </c>
      <c r="K98" s="31" t="n">
        <v>23</v>
      </c>
    </row>
    <row r="99">
      <c r="A99" s="31">
        <f>IF(B99=0,"",ROW()-1)</f>
        <v/>
      </c>
      <c r="B99" s="32">
        <f>IFERROR(INDEX('Monit Non Financial'!$B$2:$B$400, MATCH(D99, 'Monit Non Financial'!$C$2:$C$400, 0)), IFERROR(INDEX('Monit Banks NBFC'!$B$2:$B$100, MATCH(D99, 'Monit Banks NBFC'!$C$2:$C$100, 0)), 0))</f>
        <v/>
      </c>
      <c r="C99" s="31">
        <f>IFERROR(INDEX('Monit Non Financial'!$L$2:$L$400, MATCH(D99, 'Monit Non Financial'!$C$2:$C$400, 0)), IFERROR(INDEX('Monit Banks NBFC'!$L$2:$L$100, MATCH(D99, 'Monit Banks NBFC'!$C$2:$C$100, 0)), ""))</f>
        <v/>
      </c>
      <c r="D99" s="31" t="inlineStr">
        <is>
          <t>JTLIND</t>
        </is>
      </c>
      <c r="E99" s="31" t="inlineStr">
        <is>
          <t>JTL Industries Ltd</t>
        </is>
      </c>
      <c r="F99" s="31" t="inlineStr">
        <is>
          <t>Steel - Tubes/Pipes</t>
        </is>
      </c>
      <c r="G99" s="31" t="n">
        <v>2</v>
      </c>
      <c r="H99" s="31" t="inlineStr">
        <is>
          <t>No</t>
        </is>
      </c>
      <c r="I99" s="31" t="inlineStr">
        <is>
          <t>Yes</t>
        </is>
      </c>
      <c r="J99" s="31" t="n">
        <v>20</v>
      </c>
      <c r="K99" s="31" t="n">
        <v>9</v>
      </c>
    </row>
    <row r="100">
      <c r="A100" s="31">
        <f>IF(B100=0,"",ROW()-1)</f>
        <v/>
      </c>
      <c r="B100" s="32">
        <f>IFERROR(INDEX('Monit Non Financial'!$B$2:$B$400, MATCH(D100, 'Monit Non Financial'!$C$2:$C$400, 0)), IFERROR(INDEX('Monit Banks NBFC'!$B$2:$B$100, MATCH(D100, 'Monit Banks NBFC'!$C$2:$C$100, 0)), 0))</f>
        <v/>
      </c>
      <c r="C100" s="31">
        <f>IFERROR(INDEX('Monit Non Financial'!$L$2:$L$400, MATCH(D100, 'Monit Non Financial'!$C$2:$C$400, 0)), IFERROR(INDEX('Monit Banks NBFC'!$L$2:$L$100, MATCH(D100, 'Monit Banks NBFC'!$C$2:$C$100, 0)), ""))</f>
        <v/>
      </c>
      <c r="D100" s="31" t="inlineStr">
        <is>
          <t>RAMRAT</t>
        </is>
      </c>
      <c r="E100" s="31" t="inlineStr">
        <is>
          <t>Ram Ratna Wires Ltd</t>
        </is>
      </c>
      <c r="F100" s="31" t="inlineStr">
        <is>
          <t>Copper Wires</t>
        </is>
      </c>
      <c r="G100" s="31" t="n">
        <v>2</v>
      </c>
      <c r="H100" s="31" t="inlineStr">
        <is>
          <t>No</t>
        </is>
      </c>
      <c r="I100" s="31" t="inlineStr">
        <is>
          <t>Yes</t>
        </is>
      </c>
      <c r="J100" s="31" t="n">
        <v>22</v>
      </c>
      <c r="K100" s="31" t="n">
        <v>24</v>
      </c>
    </row>
    <row r="101">
      <c r="A101" s="31">
        <f>IF(B101=0,"",ROW()-1)</f>
        <v/>
      </c>
      <c r="B101" s="32">
        <f>IFERROR(INDEX('Monit Non Financial'!$B$2:$B$400, MATCH(D101, 'Monit Non Financial'!$C$2:$C$400, 0)), IFERROR(INDEX('Monit Banks NBFC'!$B$2:$B$100, MATCH(D101, 'Monit Banks NBFC'!$C$2:$C$100, 0)), 0))</f>
        <v/>
      </c>
      <c r="C101" s="31">
        <f>IFERROR(INDEX('Monit Non Financial'!$L$2:$L$400, MATCH(D101, 'Monit Non Financial'!$C$2:$C$400, 0)), IFERROR(INDEX('Monit Banks NBFC'!$L$2:$L$100, MATCH(D101, 'Monit Banks NBFC'!$C$2:$C$100, 0)), ""))</f>
        <v/>
      </c>
      <c r="D101" s="31" t="inlineStr">
        <is>
          <t>HATSUN</t>
        </is>
      </c>
      <c r="E101" s="31" t="inlineStr">
        <is>
          <t>Hatsun Agro Product Limited</t>
        </is>
      </c>
      <c r="F101" s="31" t="inlineStr">
        <is>
          <t>unknown</t>
        </is>
      </c>
      <c r="G101" s="31" t="n">
        <v>2</v>
      </c>
      <c r="H101" s="31" t="inlineStr">
        <is>
          <t>No</t>
        </is>
      </c>
      <c r="I101" s="31" t="inlineStr">
        <is>
          <t>Yes</t>
        </is>
      </c>
      <c r="J101" s="31" t="n">
        <v>0</v>
      </c>
      <c r="K101" s="31" t="n">
        <v>14</v>
      </c>
    </row>
  </sheetData>
  <autoFilter ref="A1:K101"/>
  <conditionalFormatting sqref="G2:G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01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IF(B2=0,"",RANK(B2,$B$2:$B$374,0))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KEI</t>
        </is>
      </c>
      <c r="D2" s="31" t="inlineStr">
        <is>
          <t>Kei Industries Limited</t>
        </is>
      </c>
      <c r="E2" s="31" t="inlineStr">
        <is>
          <t>industrials</t>
        </is>
      </c>
      <c r="F2" s="31" t="inlineStr">
        <is>
          <t>cables - power</t>
        </is>
      </c>
      <c r="G2" s="31" t="inlineStr">
        <is>
          <t>largecap</t>
        </is>
      </c>
      <c r="H2" s="32" t="n">
        <v>53249.53</v>
      </c>
      <c r="I2" s="32" t="n">
        <v>5740.3</v>
      </c>
      <c r="J2" s="32" t="n">
        <v>3.06</v>
      </c>
      <c r="K2" s="32" t="n">
        <v>297706</v>
      </c>
      <c r="L2" s="31" t="n">
        <v>30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61.74</v>
      </c>
      <c r="P2" s="32" t="n">
        <v>23.69</v>
      </c>
      <c r="Q2" s="32" t="inlineStr"/>
      <c r="R2" s="31" t="inlineStr">
        <is>
          <t>Earnings / Momentum Support</t>
        </is>
      </c>
      <c r="S2" s="31" t="inlineStr">
        <is>
          <t>Nifty Energy</t>
        </is>
      </c>
      <c r="T2" s="32" t="n">
        <v>8.41</v>
      </c>
      <c r="U2" s="32" t="n">
        <v>25.03</v>
      </c>
      <c r="V2" s="32" t="n">
        <v>15.34</v>
      </c>
      <c r="W2" s="32" t="n">
        <v>4.92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Fully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Yes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Yes, More Than 10%</t>
        </is>
      </c>
      <c r="CE2" s="31">
        <f>IF(CD2="Yes, more than 10%",-10,IF(CD2="No",10,0))</f>
        <v/>
      </c>
    </row>
    <row r="3">
      <c r="A3" s="31">
        <f>IF(B3=0,"",RANK(B3,$B$2:$B$374,0))</f>
        <v/>
      </c>
      <c r="B3" s="32">
        <f>SUM(N3,Y3,AA3,AC3,AE3,AG3,AI3,AK3,AM3,AO3,AQ3,AS3,AU3,AW3,AY3,BA3,BC3,BE3,BG3,BI3,BK3,BM3,BO3,BQ3,BS3,BU3,BW3,BY3,CA3,CC3,CE3)</f>
        <v/>
      </c>
      <c r="C3" s="33" t="inlineStr">
        <is>
          <t>SBCL</t>
        </is>
      </c>
      <c r="D3" s="33" t="inlineStr">
        <is>
          <t>Shivalik Bimetal Controls Ltd</t>
        </is>
      </c>
      <c r="E3" s="31" t="inlineStr">
        <is>
          <t>metals &amp; mining</t>
        </is>
      </c>
      <c r="F3" s="31" t="inlineStr">
        <is>
          <t>mining / minerals / metals</t>
        </is>
      </c>
      <c r="G3" s="31" t="inlineStr">
        <is>
          <t>midcap</t>
        </is>
      </c>
      <c r="H3" s="32" t="n">
        <v>6043.83</v>
      </c>
      <c r="I3" s="32" t="n">
        <v>1070</v>
      </c>
      <c r="J3" s="32" t="n">
        <v>1.98</v>
      </c>
      <c r="K3" s="32" t="n">
        <v>466545</v>
      </c>
      <c r="L3" s="31" t="n">
        <v>66</v>
      </c>
      <c r="M3" s="31" t="inlineStr">
        <is>
          <t>Underperforming</t>
        </is>
      </c>
      <c r="N3" s="32">
        <f>IF(M3="Underperforming",-5,IF(L3&gt;=95,15,IF(L3&gt;=90,10,IF(L3&gt;=80,5,0))))</f>
        <v/>
      </c>
      <c r="O3" s="32" t="n">
        <v>77</v>
      </c>
      <c r="P3" s="32" t="n">
        <v>50.79</v>
      </c>
      <c r="Q3" s="32" t="inlineStr"/>
      <c r="R3" s="31" t="inlineStr">
        <is>
          <t>Earnings / Momentum Support</t>
        </is>
      </c>
      <c r="S3" s="31" t="inlineStr">
        <is>
          <t>Nifty Metal</t>
        </is>
      </c>
      <c r="T3" s="32" t="n">
        <v>31.49</v>
      </c>
      <c r="U3" s="32" t="n">
        <v>23.64</v>
      </c>
      <c r="V3" s="32" t="n">
        <v>-5.97</v>
      </c>
      <c r="W3" s="32" t="n">
        <v>14.67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Monopoly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Yes due to Product Mix change or Operating Leverage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Less than 50%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IF(B4=0,"",RANK(B4,$B$2:$B$374,0))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APOLLOPIPE</t>
        </is>
      </c>
      <c r="D4" s="31" t="inlineStr">
        <is>
          <t>Apollo Pipes Ltd</t>
        </is>
      </c>
      <c r="E4" s="31" t="inlineStr">
        <is>
          <t>plastic products</t>
        </is>
      </c>
      <c r="F4" s="31" t="inlineStr">
        <is>
          <t>plastics products</t>
        </is>
      </c>
      <c r="G4" s="31" t="inlineStr">
        <is>
          <t>smallcap</t>
        </is>
      </c>
      <c r="H4" s="32" t="n">
        <v>2779.44</v>
      </c>
      <c r="I4" s="32" t="n">
        <v>627.05</v>
      </c>
      <c r="J4" s="32" t="n">
        <v>-0.63</v>
      </c>
      <c r="K4" s="32" t="n">
        <v>217305</v>
      </c>
      <c r="L4" s="31" t="n">
        <v>70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78.14</v>
      </c>
      <c r="P4" s="32" t="n">
        <v>44.96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-1.03</v>
      </c>
      <c r="U4" s="32" t="n">
        <v>56.19</v>
      </c>
      <c r="V4" s="32" t="n">
        <v>57.82</v>
      </c>
      <c r="W4" s="32" t="n">
        <v>16.8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Cyclical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IF(B5=0,"",RANK(B5,$B$2:$B$374,0))</f>
        <v/>
      </c>
      <c r="B5" s="32">
        <f>SUM(N5,Y5,AA5,AC5,AE5,AG5,AI5,AK5,AM5,AO5,AQ5,AS5,AU5,AW5,AY5,BA5,BC5,BE5,BG5,BI5,BK5,BM5,BO5,BQ5,BS5,BU5,BW5,BY5,CA5,CC5,CE5)</f>
        <v/>
      </c>
      <c r="C5" s="33" t="inlineStr">
        <is>
          <t>APLAPOLLO</t>
        </is>
      </c>
      <c r="D5" s="33" t="inlineStr">
        <is>
          <t>Apl Apollo Tubes Limited</t>
        </is>
      </c>
      <c r="E5" s="31" t="inlineStr">
        <is>
          <t>industrials</t>
        </is>
      </c>
      <c r="F5" s="31" t="inlineStr">
        <is>
          <t>steel - large</t>
        </is>
      </c>
      <c r="G5" s="31" t="inlineStr">
        <is>
          <t>largecap</t>
        </is>
      </c>
      <c r="H5" s="32" t="n">
        <v>62906.29</v>
      </c>
      <c r="I5" s="32" t="n">
        <v>2223.4</v>
      </c>
      <c r="J5" s="32" t="n">
        <v>-1.86</v>
      </c>
      <c r="K5" s="32" t="n">
        <v>1081058</v>
      </c>
      <c r="L5" s="31" t="n">
        <v>8</v>
      </c>
      <c r="M5" s="31" t="inlineStr">
        <is>
          <t>Underperforming</t>
        </is>
      </c>
      <c r="N5" s="32">
        <f>IF(M5="Underperforming",-5,IF(L5&gt;=95,15,IF(L5&gt;=90,10,IF(L5&gt;=80,5,0))))</f>
        <v/>
      </c>
      <c r="O5" s="32" t="n">
        <v>69.73999999999999</v>
      </c>
      <c r="P5" s="32" t="n">
        <v>19.39</v>
      </c>
      <c r="Q5" s="32" t="inlineStr"/>
      <c r="R5" s="31" t="inlineStr">
        <is>
          <t>Earnings / Momentum Support</t>
        </is>
      </c>
      <c r="S5" s="31" t="inlineStr">
        <is>
          <t>Nifty Metal</t>
        </is>
      </c>
      <c r="T5" s="32" t="n">
        <v>31.49</v>
      </c>
      <c r="U5" s="32" t="n">
        <v>8.119999999999999</v>
      </c>
      <c r="V5" s="32" t="n">
        <v>-17.78</v>
      </c>
      <c r="W5" s="32" t="n">
        <v>-0.9399999999999999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IF(B6=0,"",RANK(B6,$B$2:$B$374,0))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NAVINFLUOR</t>
        </is>
      </c>
      <c r="D6" s="31" t="inlineStr">
        <is>
          <t>Navin Fluorine International Limited</t>
        </is>
      </c>
      <c r="E6" s="31" t="inlineStr">
        <is>
          <t>chemicals</t>
        </is>
      </c>
      <c r="F6" s="31" t="inlineStr">
        <is>
          <t>chemicals</t>
        </is>
      </c>
      <c r="G6" s="31" t="inlineStr">
        <is>
          <t>largecap</t>
        </is>
      </c>
      <c r="H6" s="32" t="n">
        <v>43687.24</v>
      </c>
      <c r="I6" s="32" t="n">
        <v>8675.5</v>
      </c>
      <c r="J6" s="32" t="n">
        <v>1.86</v>
      </c>
      <c r="K6" s="32" t="n">
        <v>216396</v>
      </c>
      <c r="L6" s="31" t="n">
        <v>71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77.67</v>
      </c>
      <c r="P6" s="32" t="n">
        <v>59.13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-1.03</v>
      </c>
      <c r="U6" s="32" t="n">
        <v>82.12</v>
      </c>
      <c r="V6" s="32" t="n">
        <v>84.01000000000001</v>
      </c>
      <c r="W6" s="32" t="n">
        <v>16.95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Oligopoly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Shallow Cyclical (2 to 3 Years Growth)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IF(B7=0,"",RANK(B7,$B$2:$B$374,0))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APCOTEXIND</t>
        </is>
      </c>
      <c r="D7" s="31" t="inlineStr">
        <is>
          <t>Apcotex Industries Limited</t>
        </is>
      </c>
      <c r="E7" s="31" t="inlineStr">
        <is>
          <t>chemicals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3241.61</v>
      </c>
      <c r="I7" s="32" t="n">
        <v>646.3</v>
      </c>
      <c r="J7" s="32" t="n">
        <v>3.37</v>
      </c>
      <c r="K7" s="32" t="n">
        <v>460194</v>
      </c>
      <c r="L7" s="31" t="n">
        <v>73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72.63</v>
      </c>
      <c r="P7" s="32" t="n">
        <v>65.19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-1.03</v>
      </c>
      <c r="U7" s="32" t="n">
        <v>63.85</v>
      </c>
      <c r="V7" s="32" t="n">
        <v>65.56</v>
      </c>
      <c r="W7" s="32" t="n">
        <v>18.04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Oligopoly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Cyclical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Fully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1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Sideways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Overhead supply in last 2 years in last 2 years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IF(B8=0,"",RANK(B8,$B$2:$B$374,0))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PREMIERPOL</t>
        </is>
      </c>
      <c r="D8" s="31" t="inlineStr">
        <is>
          <t>Premier Polyfilm Limited</t>
        </is>
      </c>
      <c r="E8" s="31" t="inlineStr">
        <is>
          <t>plastic products</t>
        </is>
      </c>
      <c r="F8" s="31" t="inlineStr">
        <is>
          <t>plastics products</t>
        </is>
      </c>
      <c r="G8" s="31" t="inlineStr">
        <is>
          <t>smallcap</t>
        </is>
      </c>
      <c r="H8" s="32" t="n">
        <v>983.11</v>
      </c>
      <c r="I8" s="32" t="n">
        <v>90.58</v>
      </c>
      <c r="J8" s="32" t="n">
        <v>-3.49</v>
      </c>
      <c r="K8" s="32" t="n">
        <v>356650</v>
      </c>
      <c r="L8" s="31" t="n">
        <v>92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73.38</v>
      </c>
      <c r="P8" s="32" t="n">
        <v>55.75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-1.03</v>
      </c>
      <c r="U8" s="32" t="n">
        <v>95.47</v>
      </c>
      <c r="V8" s="32" t="n">
        <v>97.5</v>
      </c>
      <c r="W8" s="32" t="n">
        <v>31.6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IF(B9=0,"",RANK(B9,$B$2:$B$374,0))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PRICOLLTD</t>
        </is>
      </c>
      <c r="D9" s="31" t="inlineStr">
        <is>
          <t>Pricol Ltd.</t>
        </is>
      </c>
      <c r="E9" s="31" t="inlineStr">
        <is>
          <t>auto</t>
        </is>
      </c>
      <c r="F9" s="31" t="inlineStr">
        <is>
          <t>auto ancillaries</t>
        </is>
      </c>
      <c r="G9" s="31" t="inlineStr">
        <is>
          <t>midcap</t>
        </is>
      </c>
      <c r="H9" s="32" t="n">
        <v>9392.799999999999</v>
      </c>
      <c r="I9" s="32" t="n">
        <v>803.25</v>
      </c>
      <c r="J9" s="32" t="n">
        <v>4.23</v>
      </c>
      <c r="K9" s="32" t="n">
        <v>796849</v>
      </c>
      <c r="L9" s="31" t="n">
        <v>44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69.98999999999999</v>
      </c>
      <c r="P9" s="32" t="n">
        <v>34.5</v>
      </c>
      <c r="Q9" s="32" t="inlineStr"/>
      <c r="R9" s="31" t="inlineStr">
        <is>
          <t>Earnings / Momentum Support</t>
        </is>
      </c>
      <c r="S9" s="31" t="inlineStr">
        <is>
          <t>Nifty Auto</t>
        </is>
      </c>
      <c r="T9" s="32" t="n">
        <v>13.41</v>
      </c>
      <c r="U9" s="32" t="n">
        <v>36.08</v>
      </c>
      <c r="V9" s="32" t="n">
        <v>19.98</v>
      </c>
      <c r="W9" s="32" t="n">
        <v>7.62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Oligopoly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Shallow Cyclical (2 to 3 Years Growth)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Fully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Allocated capital in Non-core Areas</t>
        </is>
      </c>
      <c r="AU9" s="31">
        <f>IF(AT9="Good",10,0)</f>
        <v/>
      </c>
      <c r="AV9" s="31" t="inlineStr">
        <is>
          <t>Yes only for next 1 to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Between 12 to 20%</t>
        </is>
      </c>
      <c r="BO9" s="31">
        <f>IF(BN9="More than 20%",10,IF(BN9="Between 12 to 20%",5,IF(BN9="Less than 12%",0,0)))</f>
        <v/>
      </c>
      <c r="BP9" s="31" t="inlineStr">
        <is>
          <t>Yes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Between 1.5 to 2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IF(B10=0,"",RANK(B10,$B$2:$B$374,0))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ALIVUS</t>
        </is>
      </c>
      <c r="D10" s="31" t="inlineStr">
        <is>
          <t>Alivus Life Sciences Ltd</t>
        </is>
      </c>
      <c r="E10" s="31" t="inlineStr">
        <is>
          <t>healthcare</t>
        </is>
      </c>
      <c r="F10" s="31" t="inlineStr">
        <is>
          <t>pharmaceuticals - indian - bulk drugs &amp; formln</t>
        </is>
      </c>
      <c r="G10" s="31" t="inlineStr">
        <is>
          <t>midcap</t>
        </is>
      </c>
      <c r="H10" s="32" t="n">
        <v>16571.86</v>
      </c>
      <c r="I10" s="32" t="n">
        <v>1405.7</v>
      </c>
      <c r="J10" s="32" t="n">
        <v>4.11</v>
      </c>
      <c r="K10" s="32" t="n">
        <v>1220512</v>
      </c>
      <c r="L10" s="31" t="n">
        <v>63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73.31</v>
      </c>
      <c r="P10" s="32" t="n">
        <v>46.04</v>
      </c>
      <c r="Q10" s="32" t="inlineStr"/>
      <c r="R10" s="31" t="inlineStr">
        <is>
          <t>Volume Spike / Accumulation</t>
        </is>
      </c>
      <c r="S10" s="31" t="inlineStr">
        <is>
          <t>Nifty Pharma</t>
        </is>
      </c>
      <c r="T10" s="32" t="n">
        <v>23.79</v>
      </c>
      <c r="U10" s="32" t="n">
        <v>43.67</v>
      </c>
      <c r="V10" s="32" t="n">
        <v>16.06</v>
      </c>
      <c r="W10" s="32" t="n">
        <v>13.74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IF(B11=0,"",RANK(B11,$B$2:$B$374,0))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DIFFNKG</t>
        </is>
      </c>
      <c r="D11" s="31" t="inlineStr">
        <is>
          <t>Diffusion Engineers Ltd</t>
        </is>
      </c>
      <c r="E11" s="31" t="inlineStr">
        <is>
          <t>industrials</t>
        </is>
      </c>
      <c r="F11" s="31" t="inlineStr">
        <is>
          <t>electrodes - welding equipment</t>
        </is>
      </c>
      <c r="G11" s="31" t="inlineStr">
        <is>
          <t>smallcap</t>
        </is>
      </c>
      <c r="H11" s="32" t="n">
        <v>1538.22</v>
      </c>
      <c r="I11" s="32" t="n">
        <v>485.5</v>
      </c>
      <c r="J11" s="32" t="n">
        <v>18.13</v>
      </c>
      <c r="K11" s="32" t="n">
        <v>7817913</v>
      </c>
      <c r="L11" s="31" t="n">
        <v>51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60.92</v>
      </c>
      <c r="P11" s="32" t="n">
        <v>41.46</v>
      </c>
      <c r="Q11" s="32" t="inlineStr"/>
      <c r="R11" s="31" t="inlineStr">
        <is>
          <t>Volume Spike / Accumulation</t>
        </is>
      </c>
      <c r="S11" s="31" t="inlineStr">
        <is>
          <t>Nifty 50</t>
        </is>
      </c>
      <c r="T11" s="32" t="n">
        <v>-1.03</v>
      </c>
      <c r="U11" s="32" t="n">
        <v>14.04</v>
      </c>
      <c r="V11" s="32" t="n">
        <v>15.23</v>
      </c>
      <c r="W11" s="32" t="n">
        <v>9.32</v>
      </c>
      <c r="X11" s="31" t="inlineStr">
        <is>
          <t>Cyclical in an Upturn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IF(B12=0,"",RANK(B12,$B$2:$B$374,0))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PGIL</t>
        </is>
      </c>
      <c r="D12" s="31" t="inlineStr">
        <is>
          <t>Pearl Global Industries Limited</t>
        </is>
      </c>
      <c r="E12" s="31" t="inlineStr">
        <is>
          <t>consumer discretionary</t>
        </is>
      </c>
      <c r="F12" s="31" t="inlineStr">
        <is>
          <t>textiles - products</t>
        </is>
      </c>
      <c r="G12" s="31" t="inlineStr">
        <is>
          <t>midcap</t>
        </is>
      </c>
      <c r="H12" s="32" t="n">
        <v>10688.39</v>
      </c>
      <c r="I12" s="32" t="n">
        <v>2463.8</v>
      </c>
      <c r="J12" s="32" t="n">
        <v>6.46</v>
      </c>
      <c r="K12" s="32" t="n">
        <v>267169</v>
      </c>
      <c r="L12" s="31" t="n">
        <v>84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66.93000000000001</v>
      </c>
      <c r="P12" s="32" t="n">
        <v>57.68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-1.03</v>
      </c>
      <c r="U12" s="32" t="n">
        <v>89.3</v>
      </c>
      <c r="V12" s="32" t="n">
        <v>91.27</v>
      </c>
      <c r="W12" s="32" t="n">
        <v>23.29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IF(B13=0,"",RANK(B13,$B$2:$B$374,0))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MSTCLTD</t>
        </is>
      </c>
      <c r="D13" s="31" t="inlineStr">
        <is>
          <t>MSTC Ltd</t>
        </is>
      </c>
      <c r="E13" s="31" t="inlineStr">
        <is>
          <t>i.t</t>
        </is>
      </c>
      <c r="F13" s="31" t="inlineStr">
        <is>
          <t>trading</t>
        </is>
      </c>
      <c r="G13" s="31" t="inlineStr">
        <is>
          <t>midcap</t>
        </is>
      </c>
      <c r="H13" s="32" t="n">
        <v>5136.74</v>
      </c>
      <c r="I13" s="32" t="n">
        <v>751.1</v>
      </c>
      <c r="J13" s="32" t="n">
        <v>2.94</v>
      </c>
      <c r="K13" s="32" t="n">
        <v>730593</v>
      </c>
      <c r="L13" s="31" t="n">
        <v>88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66.58</v>
      </c>
      <c r="P13" s="32" t="n">
        <v>45.19</v>
      </c>
      <c r="Q13" s="32" t="inlineStr"/>
      <c r="R13" s="31" t="inlineStr">
        <is>
          <t>Earnings / Momentum Support</t>
        </is>
      </c>
      <c r="S13" s="31" t="inlineStr">
        <is>
          <t>Nifty IT</t>
        </is>
      </c>
      <c r="T13" s="32" t="n">
        <v>-11.08</v>
      </c>
      <c r="U13" s="32" t="n">
        <v>64.29000000000001</v>
      </c>
      <c r="V13" s="32" t="n">
        <v>84.77</v>
      </c>
      <c r="W13" s="32" t="n">
        <v>26.22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IF(B14=0,"",RANK(B14,$B$2:$B$374,0))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BLUSPRING</t>
        </is>
      </c>
      <c r="D14" s="31" t="inlineStr">
        <is>
          <t>Bluspring Enterprises Ltd</t>
        </is>
      </c>
      <c r="E14" s="31" t="inlineStr">
        <is>
          <t>miscellaneous</t>
        </is>
      </c>
      <c r="F14" s="31" t="inlineStr">
        <is>
          <t>diversified - large</t>
        </is>
      </c>
      <c r="G14" s="31" t="inlineStr">
        <is>
          <t>smallcap</t>
        </is>
      </c>
      <c r="H14" s="32" t="n">
        <v>1904.33</v>
      </c>
      <c r="I14" s="32" t="n">
        <v>126.4</v>
      </c>
      <c r="J14" s="32" t="n">
        <v>-0.8100000000000001</v>
      </c>
      <c r="K14" s="32" t="n">
        <v>238056</v>
      </c>
      <c r="L14" s="31" t="n">
        <v>89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70.34</v>
      </c>
      <c r="P14" s="32" t="n">
        <v>64.3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-1.03</v>
      </c>
      <c r="U14" s="32" t="n">
        <v>60.25</v>
      </c>
      <c r="V14" s="32" t="n">
        <v>61.91</v>
      </c>
      <c r="W14" s="32" t="n">
        <v>27.83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IF(B15=0,"",RANK(B15,$B$2:$B$374,0))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REDINGTON</t>
        </is>
      </c>
      <c r="D15" s="31" t="inlineStr">
        <is>
          <t>Redington (india) Limited</t>
        </is>
      </c>
      <c r="E15" s="31" t="inlineStr">
        <is>
          <t>services</t>
        </is>
      </c>
      <c r="F15" s="31" t="inlineStr">
        <is>
          <t>trading</t>
        </is>
      </c>
      <c r="G15" s="31" t="inlineStr">
        <is>
          <t>largecap</t>
        </is>
      </c>
      <c r="H15" s="32" t="n">
        <v>28612.94</v>
      </c>
      <c r="I15" s="32" t="n">
        <v>357.75</v>
      </c>
      <c r="J15" s="32" t="n">
        <v>-2.25</v>
      </c>
      <c r="K15" s="32" t="n">
        <v>4353084</v>
      </c>
      <c r="L15" s="31" t="n">
        <v>87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70.72</v>
      </c>
      <c r="P15" s="32" t="n">
        <v>42.54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-1.03</v>
      </c>
      <c r="U15" s="32" t="n">
        <v>55.3</v>
      </c>
      <c r="V15" s="32" t="n">
        <v>56.91</v>
      </c>
      <c r="W15" s="32" t="n">
        <v>25.99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IF(B16=0,"",RANK(B16,$B$2:$B$374,0))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SUVEN</t>
        </is>
      </c>
      <c r="D16" s="31" t="inlineStr">
        <is>
          <t>Suven Life Sciences Limited</t>
        </is>
      </c>
      <c r="E16" s="31" t="inlineStr">
        <is>
          <t>healthcare</t>
        </is>
      </c>
      <c r="F16" s="31" t="inlineStr">
        <is>
          <t>miscellaneous</t>
        </is>
      </c>
      <c r="G16" s="31" t="inlineStr">
        <is>
          <t>smallcap</t>
        </is>
      </c>
      <c r="H16" s="32" t="n">
        <v>705.04</v>
      </c>
      <c r="I16" s="32" t="n">
        <v>392.05</v>
      </c>
      <c r="J16" s="32" t="n">
        <v>7.43</v>
      </c>
      <c r="K16" s="32" t="n">
        <v>1703616</v>
      </c>
      <c r="L16" s="31" t="n">
        <v>84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69.72</v>
      </c>
      <c r="P16" s="32" t="n">
        <v>47.18</v>
      </c>
      <c r="Q16" s="32" t="inlineStr"/>
      <c r="R16" s="31" t="inlineStr">
        <is>
          <t>Earnings / Momentum Support</t>
        </is>
      </c>
      <c r="S16" s="31" t="inlineStr">
        <is>
          <t>Nifty Pharma</t>
        </is>
      </c>
      <c r="T16" s="32" t="n">
        <v>23.79</v>
      </c>
      <c r="U16" s="32" t="n">
        <v>70.58</v>
      </c>
      <c r="V16" s="32" t="n">
        <v>37.79</v>
      </c>
      <c r="W16" s="32" t="n">
        <v>23.57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IF(B17=0,"",RANK(B17,$B$2:$B$374,0))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ICIL</t>
        </is>
      </c>
      <c r="D17" s="31" t="inlineStr">
        <is>
          <t>Indo Count Industries Limited</t>
        </is>
      </c>
      <c r="E17" s="31" t="inlineStr">
        <is>
          <t>textiles</t>
        </is>
      </c>
      <c r="F17" s="31" t="inlineStr">
        <is>
          <t>textiles - cotton/blended</t>
        </is>
      </c>
      <c r="G17" s="31" t="inlineStr">
        <is>
          <t>midcap</t>
        </is>
      </c>
      <c r="H17" s="32" t="n">
        <v>8614.370000000001</v>
      </c>
      <c r="I17" s="32" t="n">
        <v>469.45</v>
      </c>
      <c r="J17" s="32" t="n">
        <v>7.93</v>
      </c>
      <c r="K17" s="32" t="n">
        <v>2744850</v>
      </c>
      <c r="L17" s="31" t="n">
        <v>86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64.15000000000001</v>
      </c>
      <c r="P17" s="32" t="n">
        <v>55.66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-1.03</v>
      </c>
      <c r="U17" s="32" t="n">
        <v>89.08</v>
      </c>
      <c r="V17" s="32" t="n">
        <v>91.04000000000001</v>
      </c>
      <c r="W17" s="32" t="n">
        <v>23.93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IF(B18=0,"",RANK(B18,$B$2:$B$374,0))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INDOBORAX</t>
        </is>
      </c>
      <c r="D18" s="31" t="inlineStr">
        <is>
          <t>Indo Borax &amp; Chemicals Ltd</t>
        </is>
      </c>
      <c r="E18" s="31" t="inlineStr">
        <is>
          <t>chemicals</t>
        </is>
      </c>
      <c r="F18" s="31" t="inlineStr">
        <is>
          <t>chemicals</t>
        </is>
      </c>
      <c r="G18" s="31" t="inlineStr">
        <is>
          <t>smallcap</t>
        </is>
      </c>
      <c r="H18" s="32" t="n">
        <v>1588.78</v>
      </c>
      <c r="I18" s="32" t="n">
        <v>508.45</v>
      </c>
      <c r="J18" s="32" t="n">
        <v>2.7</v>
      </c>
      <c r="K18" s="32" t="n">
        <v>263866</v>
      </c>
      <c r="L18" s="31" t="n">
        <v>91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76.56</v>
      </c>
      <c r="P18" s="32" t="n">
        <v>75.31999999999999</v>
      </c>
      <c r="Q18" s="32" t="inlineStr"/>
      <c r="R18" s="31" t="inlineStr">
        <is>
          <t>Earnings / Momentum Support</t>
        </is>
      </c>
      <c r="S18" s="31" t="inlineStr">
        <is>
          <t>Nifty 50</t>
        </is>
      </c>
      <c r="T18" s="32" t="n">
        <v>-1.03</v>
      </c>
      <c r="U18" s="32" t="n">
        <v>126.65</v>
      </c>
      <c r="V18" s="32" t="n">
        <v>129.01</v>
      </c>
      <c r="W18" s="32" t="n">
        <v>31.44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IF(B19=0,"",RANK(B19,$B$2:$B$374,0))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QUESS</t>
        </is>
      </c>
      <c r="D19" s="31" t="inlineStr">
        <is>
          <t>Quess Corp Limited</t>
        </is>
      </c>
      <c r="E19" s="31" t="inlineStr">
        <is>
          <t>miscellaneous</t>
        </is>
      </c>
      <c r="F19" s="31" t="inlineStr">
        <is>
          <t>diversified - large</t>
        </is>
      </c>
      <c r="G19" s="31" t="inlineStr">
        <is>
          <t>midcap</t>
        </is>
      </c>
      <c r="H19" s="32" t="n">
        <v>5559.92</v>
      </c>
      <c r="I19" s="32" t="n">
        <v>381.75</v>
      </c>
      <c r="J19" s="32" t="n">
        <v>2.55</v>
      </c>
      <c r="K19" s="32" t="n">
        <v>1028367</v>
      </c>
      <c r="L19" s="31" t="n">
        <v>90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78.95999999999999</v>
      </c>
      <c r="P19" s="32" t="n">
        <v>62.21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-1.03</v>
      </c>
      <c r="U19" s="32" t="n">
        <v>45.41</v>
      </c>
      <c r="V19" s="32" t="n">
        <v>46.92</v>
      </c>
      <c r="W19" s="32" t="n">
        <v>28.22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IF(B20=0,"",RANK(B20,$B$2:$B$374,0))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VISHNU</t>
        </is>
      </c>
      <c r="D20" s="31" t="inlineStr">
        <is>
          <t>Vishnu Chemicals Limited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smallcap</t>
        </is>
      </c>
      <c r="H20" s="32" t="n">
        <v>4390.3</v>
      </c>
      <c r="I20" s="32" t="n">
        <v>652.15</v>
      </c>
      <c r="J20" s="32" t="n">
        <v>-0.01</v>
      </c>
      <c r="K20" s="32" t="n">
        <v>91047</v>
      </c>
      <c r="L20" s="31" t="n">
        <v>48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63.89</v>
      </c>
      <c r="P20" s="32" t="n">
        <v>43.89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-1.03</v>
      </c>
      <c r="U20" s="32" t="n">
        <v>32.56</v>
      </c>
      <c r="V20" s="32" t="n">
        <v>33.93</v>
      </c>
      <c r="W20" s="32" t="n">
        <v>8.609999999999999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IF(B21=0,"",RANK(B21,$B$2:$B$374,0))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KANORICHEM</t>
        </is>
      </c>
      <c r="D21" s="31" t="inlineStr">
        <is>
          <t>Kanoria Chemicals &amp; Industries Limited</t>
        </is>
      </c>
      <c r="E21" s="31" t="inlineStr">
        <is>
          <t>chemicals</t>
        </is>
      </c>
      <c r="F21" s="31" t="inlineStr">
        <is>
          <t>chemicals</t>
        </is>
      </c>
      <c r="G21" s="31" t="inlineStr">
        <is>
          <t>smallcap</t>
        </is>
      </c>
      <c r="H21" s="32" t="n">
        <v>695.8200000000001</v>
      </c>
      <c r="I21" s="32" t="n">
        <v>159.08</v>
      </c>
      <c r="J21" s="32" t="n">
        <v>-0.11</v>
      </c>
      <c r="K21" s="32" t="n">
        <v>25870</v>
      </c>
      <c r="L21" s="31" t="n">
        <v>91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73.05</v>
      </c>
      <c r="P21" s="32" t="n">
        <v>63.35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-1.03</v>
      </c>
      <c r="U21" s="32" t="n">
        <v>93.22</v>
      </c>
      <c r="V21" s="32" t="n">
        <v>95.23</v>
      </c>
      <c r="W21" s="32" t="n">
        <v>29.85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IF(B22=0,"",RANK(B22,$B$2:$B$374,0))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VINDHYATEL</t>
        </is>
      </c>
      <c r="D22" s="31" t="inlineStr">
        <is>
          <t>Vindhya Telelinks Limited</t>
        </is>
      </c>
      <c r="E22" s="31" t="inlineStr">
        <is>
          <t>realty</t>
        </is>
      </c>
      <c r="F22" s="31" t="inlineStr">
        <is>
          <t>construction</t>
        </is>
      </c>
      <c r="G22" s="31" t="inlineStr">
        <is>
          <t>smallcap</t>
        </is>
      </c>
      <c r="H22" s="32" t="n">
        <v>3064.04</v>
      </c>
      <c r="I22" s="32" t="n">
        <v>2535.5</v>
      </c>
      <c r="J22" s="32" t="n">
        <v>-1.93</v>
      </c>
      <c r="K22" s="32" t="n">
        <v>60287</v>
      </c>
      <c r="L22" s="31" t="n">
        <v>50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69.08</v>
      </c>
      <c r="P22" s="32" t="n">
        <v>51.97</v>
      </c>
      <c r="Q22" s="32" t="inlineStr"/>
      <c r="R22" s="31" t="inlineStr">
        <is>
          <t>Earnings / Momentum Support</t>
        </is>
      </c>
      <c r="S22" s="31" t="inlineStr">
        <is>
          <t>Nifty Realty</t>
        </is>
      </c>
      <c r="T22" s="32" t="n">
        <v>-8.119999999999999</v>
      </c>
      <c r="U22" s="32" t="n">
        <v>7.21</v>
      </c>
      <c r="V22" s="32" t="n">
        <v>16.68</v>
      </c>
      <c r="W22" s="32" t="n">
        <v>9.01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IF(B23=0,"",RANK(B23,$B$2:$B$374,0))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VENKEYS</t>
        </is>
      </c>
      <c r="D23" s="31" t="inlineStr">
        <is>
          <t>Venky's (india) Limited</t>
        </is>
      </c>
      <c r="E23" s="31" t="inlineStr">
        <is>
          <t>fmcg</t>
        </is>
      </c>
      <c r="F23" s="31" t="inlineStr">
        <is>
          <t>miscellaneous</t>
        </is>
      </c>
      <c r="G23" s="31" t="inlineStr">
        <is>
          <t>smallcap</t>
        </is>
      </c>
      <c r="H23" s="32" t="n">
        <v>2214.39</v>
      </c>
      <c r="I23" s="32" t="n">
        <v>1702</v>
      </c>
      <c r="J23" s="32" t="n">
        <v>8.279999999999999</v>
      </c>
      <c r="K23" s="32" t="n">
        <v>1282528</v>
      </c>
      <c r="L23" s="31" t="n">
        <v>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56.95</v>
      </c>
      <c r="P23" s="32" t="n">
        <v>38.17</v>
      </c>
      <c r="Q23" s="32" t="inlineStr"/>
      <c r="R23" s="31" t="inlineStr">
        <is>
          <t>Volume Spike / Accumulation</t>
        </is>
      </c>
      <c r="S23" s="31" t="inlineStr">
        <is>
          <t>Nifty FMCG</t>
        </is>
      </c>
      <c r="T23" s="32" t="n">
        <v>-13.73</v>
      </c>
      <c r="U23" s="32" t="n">
        <v>-7.57</v>
      </c>
      <c r="V23" s="32" t="n">
        <v>7.13</v>
      </c>
      <c r="W23" s="32" t="n">
        <v>-3.14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IF(B24=0,"",RANK(B24,$B$2:$B$374,0))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AVTNPL</t>
        </is>
      </c>
      <c r="D24" s="31" t="inlineStr">
        <is>
          <t>Avt Natural Products Limited</t>
        </is>
      </c>
      <c r="E24" s="31" t="inlineStr">
        <is>
          <t>fmcg</t>
        </is>
      </c>
      <c r="F24" s="31" t="inlineStr">
        <is>
          <t>solvent extraction</t>
        </is>
      </c>
      <c r="G24" s="31" t="inlineStr">
        <is>
          <t>smallcap</t>
        </is>
      </c>
      <c r="H24" s="32" t="n">
        <v>1297.31</v>
      </c>
      <c r="I24" s="32" t="n">
        <v>92.06</v>
      </c>
      <c r="J24" s="32" t="n">
        <v>8.06</v>
      </c>
      <c r="K24" s="32" t="n">
        <v>741243</v>
      </c>
      <c r="L24" s="31" t="n">
        <v>16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71.43000000000001</v>
      </c>
      <c r="P24" s="32" t="n">
        <v>40.3</v>
      </c>
      <c r="Q24" s="32" t="inlineStr"/>
      <c r="R24" s="31" t="inlineStr">
        <is>
          <t>Earnings / Momentum Support</t>
        </is>
      </c>
      <c r="S24" s="31" t="inlineStr">
        <is>
          <t>Nifty FMCG</t>
        </is>
      </c>
      <c r="T24" s="32" t="n">
        <v>-13.73</v>
      </c>
      <c r="U24" s="32" t="n">
        <v>2.14</v>
      </c>
      <c r="V24" s="32" t="n">
        <v>18.39</v>
      </c>
      <c r="W24" s="32" t="n">
        <v>1.38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IF(B25=0,"",RANK(B25,$B$2:$B$374,0))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AUROPHARMA</t>
        </is>
      </c>
      <c r="D25" s="31" t="inlineStr">
        <is>
          <t>Aurobindo Pharma Limited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largecap</t>
        </is>
      </c>
      <c r="H25" s="32" t="n">
        <v>94666.92999999999</v>
      </c>
      <c r="I25" s="32" t="n">
        <v>1717</v>
      </c>
      <c r="J25" s="32" t="n">
        <v>4.36</v>
      </c>
      <c r="K25" s="32" t="n">
        <v>2416718</v>
      </c>
      <c r="L25" s="31" t="n">
        <v>62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68.64</v>
      </c>
      <c r="P25" s="32" t="n">
        <v>40.64</v>
      </c>
      <c r="Q25" s="32" t="inlineStr"/>
      <c r="R25" s="31" t="inlineStr">
        <is>
          <t>Earnings / Momentum Support</t>
        </is>
      </c>
      <c r="S25" s="31" t="inlineStr">
        <is>
          <t>Nifty Pharma</t>
        </is>
      </c>
      <c r="T25" s="32" t="n">
        <v>23.79</v>
      </c>
      <c r="U25" s="32" t="n">
        <v>60.06</v>
      </c>
      <c r="V25" s="32" t="n">
        <v>29.3</v>
      </c>
      <c r="W25" s="32" t="n">
        <v>13.28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IF(B26=0,"",RANK(B26,$B$2:$B$374,0))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AJANTPHARM</t>
        </is>
      </c>
      <c r="D26" s="31" t="inlineStr">
        <is>
          <t>Ajanta Pharma Limited</t>
        </is>
      </c>
      <c r="E26" s="31" t="inlineStr">
        <is>
          <t>healthcare</t>
        </is>
      </c>
      <c r="F26" s="31" t="inlineStr">
        <is>
          <t>pharmaceuticals - indian - formulations</t>
        </is>
      </c>
      <c r="G26" s="31" t="inlineStr">
        <is>
          <t>largecap</t>
        </is>
      </c>
      <c r="H26" s="32" t="n">
        <v>44439.6</v>
      </c>
      <c r="I26" s="32" t="n">
        <v>3601.9</v>
      </c>
      <c r="J26" s="32" t="n">
        <v>1.26</v>
      </c>
      <c r="K26" s="32" t="n">
        <v>61976</v>
      </c>
      <c r="L26" s="31" t="n">
        <v>61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67.72</v>
      </c>
      <c r="P26" s="32" t="n">
        <v>47.1</v>
      </c>
      <c r="Q26" s="32" t="inlineStr"/>
      <c r="R26" s="31" t="inlineStr">
        <is>
          <t>Earnings / Momentum Support</t>
        </is>
      </c>
      <c r="S26" s="31" t="inlineStr">
        <is>
          <t>Nifty Pharma</t>
        </is>
      </c>
      <c r="T26" s="32" t="n">
        <v>23.79</v>
      </c>
      <c r="U26" s="32" t="n">
        <v>46.51</v>
      </c>
      <c r="V26" s="32" t="n">
        <v>18.35</v>
      </c>
      <c r="W26" s="32" t="n">
        <v>12.87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IF(B27=0,"",RANK(B27,$B$2:$B$374,0))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IPCALAB</t>
        </is>
      </c>
      <c r="D27" s="31" t="inlineStr">
        <is>
          <t>Ipca Laboratories Limited</t>
        </is>
      </c>
      <c r="E27" s="31" t="inlineStr">
        <is>
          <t>healthcare</t>
        </is>
      </c>
      <c r="F27" s="31" t="inlineStr">
        <is>
          <t>pharmaceuticals - indian - bulk drugs &amp; formln</t>
        </is>
      </c>
      <c r="G27" s="31" t="inlineStr">
        <is>
          <t>largecap</t>
        </is>
      </c>
      <c r="H27" s="32" t="n">
        <v>49479.93</v>
      </c>
      <c r="I27" s="32" t="n">
        <v>1974.9</v>
      </c>
      <c r="J27" s="32" t="n">
        <v>1.26</v>
      </c>
      <c r="K27" s="32" t="n">
        <v>357067</v>
      </c>
      <c r="L27" s="31" t="n">
        <v>62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68.76000000000001</v>
      </c>
      <c r="P27" s="32" t="n">
        <v>40.72</v>
      </c>
      <c r="Q27" s="32" t="inlineStr"/>
      <c r="R27" s="31" t="inlineStr">
        <is>
          <t>Earnings / Momentum Support</t>
        </is>
      </c>
      <c r="S27" s="31" t="inlineStr">
        <is>
          <t>Nifty Pharma</t>
        </is>
      </c>
      <c r="T27" s="32" t="n">
        <v>23.79</v>
      </c>
      <c r="U27" s="32" t="n">
        <v>41.37</v>
      </c>
      <c r="V27" s="32" t="n">
        <v>14.2</v>
      </c>
      <c r="W27" s="32" t="n">
        <v>13.33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IF(B28=0,"",RANK(B28,$B$2:$B$374,0))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AKUMS</t>
        </is>
      </c>
      <c r="D28" s="31" t="inlineStr">
        <is>
          <t>Akums Drugs &amp; Pharmaceuticals Ltd</t>
        </is>
      </c>
      <c r="E28" s="31" t="inlineStr">
        <is>
          <t>healthcare</t>
        </is>
      </c>
      <c r="F28" s="31" t="inlineStr">
        <is>
          <t>pharmaceuticals - indian - bulk drugs &amp; formln</t>
        </is>
      </c>
      <c r="G28" s="31" t="inlineStr">
        <is>
          <t>midcap</t>
        </is>
      </c>
      <c r="H28" s="32" t="n">
        <v>12160.26</v>
      </c>
      <c r="I28" s="32" t="n">
        <v>776.7</v>
      </c>
      <c r="J28" s="32" t="n">
        <v>0.53</v>
      </c>
      <c r="K28" s="32" t="n">
        <v>258396</v>
      </c>
      <c r="L28" s="31" t="n">
        <v>81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74.68000000000001</v>
      </c>
      <c r="P28" s="32" t="n">
        <v>60.31</v>
      </c>
      <c r="Q28" s="32" t="inlineStr"/>
      <c r="R28" s="31" t="inlineStr">
        <is>
          <t>Earnings / Momentum Support</t>
        </is>
      </c>
      <c r="S28" s="31" t="inlineStr">
        <is>
          <t>Nifty Pharma</t>
        </is>
      </c>
      <c r="T28" s="32" t="n">
        <v>23.79</v>
      </c>
      <c r="U28" s="32" t="n">
        <v>70.89</v>
      </c>
      <c r="V28" s="32" t="n">
        <v>38.04</v>
      </c>
      <c r="W28" s="32" t="n">
        <v>22.36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IF(B29=0,"",RANK(B29,$B$2:$B$374,0))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E2E</t>
        </is>
      </c>
      <c r="D29" s="31" t="inlineStr">
        <is>
          <t>E2E Networks Ltd</t>
        </is>
      </c>
      <c r="E29" s="31" t="inlineStr">
        <is>
          <t>i.t</t>
        </is>
      </c>
      <c r="F29" s="31" t="inlineStr">
        <is>
          <t>computers - software - medium / small</t>
        </is>
      </c>
      <c r="G29" s="31" t="inlineStr">
        <is>
          <t>midcap</t>
        </is>
      </c>
      <c r="H29" s="32" t="n">
        <v>12671.02</v>
      </c>
      <c r="I29" s="32" t="n">
        <v>618.75</v>
      </c>
      <c r="J29" s="32" t="n">
        <v>0.38</v>
      </c>
      <c r="K29" s="32" t="n">
        <v>310124</v>
      </c>
      <c r="L29" s="31" t="n">
        <v>94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71.72</v>
      </c>
      <c r="P29" s="32" t="n">
        <v>51.91</v>
      </c>
      <c r="Q29" s="32" t="inlineStr"/>
      <c r="R29" s="31" t="inlineStr">
        <is>
          <t>Earnings / Momentum Support</t>
        </is>
      </c>
      <c r="S29" s="31" t="inlineStr">
        <is>
          <t>Nifty IT</t>
        </is>
      </c>
      <c r="T29" s="32" t="n">
        <v>-11.08</v>
      </c>
      <c r="U29" s="32" t="n">
        <v>168.57</v>
      </c>
      <c r="V29" s="32" t="n">
        <v>202.05</v>
      </c>
      <c r="W29" s="32" t="n">
        <v>35.81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IF(B30=0,"",RANK(B30,$B$2:$B$374,0))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GOKULAGRO</t>
        </is>
      </c>
      <c r="D30" s="31" t="inlineStr">
        <is>
          <t>Gokul Agro Resources Limited</t>
        </is>
      </c>
      <c r="E30" s="31" t="inlineStr">
        <is>
          <t>fmcg</t>
        </is>
      </c>
      <c r="F30" s="31" t="inlineStr">
        <is>
          <t>solvent extraction</t>
        </is>
      </c>
      <c r="G30" s="31" t="inlineStr">
        <is>
          <t>midcap</t>
        </is>
      </c>
      <c r="H30" s="32" t="n">
        <v>7210.15</v>
      </c>
      <c r="I30" s="32" t="n">
        <v>244.1</v>
      </c>
      <c r="J30" s="32" t="n">
        <v>-0.1</v>
      </c>
      <c r="K30" s="32" t="n">
        <v>382544</v>
      </c>
      <c r="L30" s="31" t="n">
        <v>38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66.20999999999999</v>
      </c>
      <c r="P30" s="32" t="n">
        <v>25.96</v>
      </c>
      <c r="Q30" s="32" t="inlineStr"/>
      <c r="R30" s="31" t="inlineStr">
        <is>
          <t>Earnings / Momentum Support</t>
        </is>
      </c>
      <c r="S30" s="31" t="inlineStr">
        <is>
          <t>Nifty FMCG</t>
        </is>
      </c>
      <c r="T30" s="32" t="n">
        <v>-13.73</v>
      </c>
      <c r="U30" s="32" t="n">
        <v>30.85</v>
      </c>
      <c r="V30" s="32" t="n">
        <v>51.67</v>
      </c>
      <c r="W30" s="32" t="n">
        <v>6.46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IF(B31=0,"",RANK(B31,$B$2:$B$374,0))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IOLCP</t>
        </is>
      </c>
      <c r="D31" s="31" t="inlineStr">
        <is>
          <t>Iol Chemicals And Pharmaceuticals Limited</t>
        </is>
      </c>
      <c r="E31" s="31" t="inlineStr">
        <is>
          <t>healthcare</t>
        </is>
      </c>
      <c r="F31" s="31" t="inlineStr">
        <is>
          <t>pharmaceuticals - indian - bulk drugs &amp; formln</t>
        </is>
      </c>
      <c r="G31" s="31" t="inlineStr">
        <is>
          <t>midcap</t>
        </is>
      </c>
      <c r="H31" s="32" t="n">
        <v>5722.32</v>
      </c>
      <c r="I31" s="32" t="n">
        <v>193.69</v>
      </c>
      <c r="J31" s="32" t="n">
        <v>-0.65</v>
      </c>
      <c r="K31" s="32" t="n">
        <v>2853525</v>
      </c>
      <c r="L31" s="31" t="n">
        <v>92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78.33</v>
      </c>
      <c r="P31" s="32" t="n">
        <v>80.53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23.79</v>
      </c>
      <c r="U31" s="32" t="n">
        <v>117.76</v>
      </c>
      <c r="V31" s="32" t="n">
        <v>75.90000000000001</v>
      </c>
      <c r="W31" s="32" t="n">
        <v>32.06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IF(B32=0,"",RANK(B32,$B$2:$B$374,0))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CUPID</t>
        </is>
      </c>
      <c r="D32" s="31" t="inlineStr">
        <is>
          <t>Cupid Limited</t>
        </is>
      </c>
      <c r="E32" s="31" t="inlineStr">
        <is>
          <t>fmcg</t>
        </is>
      </c>
      <c r="F32" s="31" t="inlineStr">
        <is>
          <t>personal care - indian</t>
        </is>
      </c>
      <c r="G32" s="31" t="inlineStr">
        <is>
          <t>largecap</t>
        </is>
      </c>
      <c r="H32" s="32" t="n">
        <v>37963.81</v>
      </c>
      <c r="I32" s="32" t="n">
        <v>280.46</v>
      </c>
      <c r="J32" s="32" t="n">
        <v>-0.66</v>
      </c>
      <c r="K32" s="32" t="n">
        <v>10862737</v>
      </c>
      <c r="L32" s="31" t="n">
        <v>99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86.75</v>
      </c>
      <c r="P32" s="32" t="n">
        <v>73.52</v>
      </c>
      <c r="Q32" s="32" t="inlineStr"/>
      <c r="R32" s="31" t="inlineStr">
        <is>
          <t>Earnings / Momentum Support</t>
        </is>
      </c>
      <c r="S32" s="31" t="inlineStr">
        <is>
          <t>Nifty FMCG</t>
        </is>
      </c>
      <c r="T32" s="32" t="n">
        <v>-13.73</v>
      </c>
      <c r="U32" s="32" t="n">
        <v>631.6900000000001</v>
      </c>
      <c r="V32" s="32" t="n">
        <v>748.13</v>
      </c>
      <c r="W32" s="32" t="n">
        <v>76.51000000000001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IF(B33=0,"",RANK(B33,$B$2:$B$374,0))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VADILALIND</t>
        </is>
      </c>
      <c r="D33" s="31" t="inlineStr">
        <is>
          <t>Vadilal Industries Limited</t>
        </is>
      </c>
      <c r="E33" s="31" t="inlineStr">
        <is>
          <t>fmcg</t>
        </is>
      </c>
      <c r="F33" s="31" t="inlineStr">
        <is>
          <t>food - processing - indian</t>
        </is>
      </c>
      <c r="G33" s="31" t="inlineStr">
        <is>
          <t>midcap</t>
        </is>
      </c>
      <c r="H33" s="32" t="n">
        <v>5678.39</v>
      </c>
      <c r="I33" s="32" t="n">
        <v>7672</v>
      </c>
      <c r="J33" s="32" t="n">
        <v>-2.89</v>
      </c>
      <c r="K33" s="32" t="n">
        <v>20143</v>
      </c>
      <c r="L33" s="31" t="n">
        <v>69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76.53</v>
      </c>
      <c r="P33" s="32" t="n">
        <v>52.65</v>
      </c>
      <c r="Q33" s="32" t="inlineStr"/>
      <c r="R33" s="31" t="inlineStr">
        <is>
          <t>Earnings / Momentum Support</t>
        </is>
      </c>
      <c r="S33" s="31" t="inlineStr">
        <is>
          <t>Nifty FMCG</t>
        </is>
      </c>
      <c r="T33" s="32" t="n">
        <v>-13.73</v>
      </c>
      <c r="U33" s="32" t="n">
        <v>26.81</v>
      </c>
      <c r="V33" s="32" t="n">
        <v>46.99</v>
      </c>
      <c r="W33" s="32" t="n">
        <v>15.98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IF(B34=0,"",RANK(B34,$B$2:$B$374,0))</f>
        <v/>
      </c>
      <c r="B34" s="32">
        <f>SUM(N34,Y34,AA34,AC34,AE34,AG34,AI34,AK34,AM34,AO34,AQ34,AS34,AU34,AW34,AY34,BA34,BC34,BE34,BG34,BI34,BK34,BM34,BO34,BQ34,BS34,BU34,BW34,BY34,CA34,CC34,CE34)</f>
        <v/>
      </c>
      <c r="C34" s="33" t="inlineStr">
        <is>
          <t>ASIANHOTNR</t>
        </is>
      </c>
      <c r="D34" s="33" t="inlineStr">
        <is>
          <t>Asian Hotels (north) Limited</t>
        </is>
      </c>
      <c r="E34" s="31" t="inlineStr">
        <is>
          <t>services</t>
        </is>
      </c>
      <c r="F34" s="31" t="inlineStr">
        <is>
          <t>hotels</t>
        </is>
      </c>
      <c r="G34" s="31" t="inlineStr">
        <is>
          <t>smallcap</t>
        </is>
      </c>
      <c r="H34" s="32" t="n">
        <v>1347</v>
      </c>
      <c r="I34" s="32" t="n">
        <v>366.4</v>
      </c>
      <c r="J34" s="32" t="n">
        <v>15.97</v>
      </c>
      <c r="K34" s="32" t="n">
        <v>1007905</v>
      </c>
      <c r="L34" s="31" t="n">
        <v>10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54.4</v>
      </c>
      <c r="P34" s="32" t="n">
        <v>29.32</v>
      </c>
      <c r="Q34" s="32" t="inlineStr"/>
      <c r="R34" s="31" t="inlineStr">
        <is>
          <t>Volume Spike / Accumulation</t>
        </is>
      </c>
      <c r="S34" s="31" t="inlineStr">
        <is>
          <t>Nifty 50</t>
        </is>
      </c>
      <c r="T34" s="32" t="n">
        <v>-1.03</v>
      </c>
      <c r="U34" s="32" t="n">
        <v>-3.73</v>
      </c>
      <c r="V34" s="32" t="n">
        <v>-2.73</v>
      </c>
      <c r="W34" s="32" t="n">
        <v>-0.42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IF(B35=0,"",RANK(B35,$B$2:$B$374,0))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STOVEKRAFT</t>
        </is>
      </c>
      <c r="D35" s="31" t="inlineStr">
        <is>
          <t>Stove Kraft Ltd</t>
        </is>
      </c>
      <c r="E35" s="31" t="inlineStr">
        <is>
          <t>consumer discretionary</t>
        </is>
      </c>
      <c r="F35" s="31" t="inlineStr">
        <is>
          <t>domestic appliances</t>
        </is>
      </c>
      <c r="G35" s="31" t="inlineStr">
        <is>
          <t>smallcap</t>
        </is>
      </c>
      <c r="H35" s="32" t="n">
        <v>2640.31</v>
      </c>
      <c r="I35" s="32" t="n">
        <v>849.2</v>
      </c>
      <c r="J35" s="32" t="n">
        <v>6.48</v>
      </c>
      <c r="K35" s="32" t="n">
        <v>794805</v>
      </c>
      <c r="L35" s="31" t="n">
        <v>59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68.51000000000001</v>
      </c>
      <c r="P35" s="32" t="n">
        <v>49.19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-1.03</v>
      </c>
      <c r="U35" s="32" t="n">
        <v>25.42</v>
      </c>
      <c r="V35" s="32" t="n">
        <v>26.73</v>
      </c>
      <c r="W35" s="32" t="n">
        <v>12.4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IF(B36=0,"",RANK(B36,$B$2:$B$374,0))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ATHERENERG</t>
        </is>
      </c>
      <c r="D36" s="31" t="inlineStr">
        <is>
          <t>Ather Energy Ltd</t>
        </is>
      </c>
      <c r="E36" s="31" t="inlineStr">
        <is>
          <t>auto</t>
        </is>
      </c>
      <c r="F36" s="31" t="inlineStr">
        <is>
          <t>automobiles - scooters and 3 - wheelers</t>
        </is>
      </c>
      <c r="G36" s="31" t="inlineStr">
        <is>
          <t>largecap</t>
        </is>
      </c>
      <c r="H36" s="32" t="n">
        <v>63702.47</v>
      </c>
      <c r="I36" s="32" t="n">
        <v>1717.7</v>
      </c>
      <c r="J36" s="32" t="n">
        <v>6.27</v>
      </c>
      <c r="K36" s="32" t="n">
        <v>19768043</v>
      </c>
      <c r="L36" s="31" t="n">
        <v>97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79.97</v>
      </c>
      <c r="P36" s="32" t="n">
        <v>65.56999999999999</v>
      </c>
      <c r="Q36" s="32" t="inlineStr"/>
      <c r="R36" s="31" t="inlineStr">
        <is>
          <t>Earnings / Momentum Support</t>
        </is>
      </c>
      <c r="S36" s="31" t="inlineStr">
        <is>
          <t>Nifty Auto</t>
        </is>
      </c>
      <c r="T36" s="32" t="n">
        <v>13.41</v>
      </c>
      <c r="U36" s="32" t="n">
        <v>275.68</v>
      </c>
      <c r="V36" s="32" t="n">
        <v>231.25</v>
      </c>
      <c r="W36" s="32" t="n">
        <v>46.25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IF(B37=0,"",RANK(B37,$B$2:$B$374,0))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BIRLACABLE</t>
        </is>
      </c>
      <c r="D37" s="31" t="inlineStr">
        <is>
          <t>Birla Cable Limited</t>
        </is>
      </c>
      <c r="E37" s="31" t="inlineStr">
        <is>
          <t>industrials</t>
        </is>
      </c>
      <c r="F37" s="31" t="inlineStr">
        <is>
          <t>cables - telephone</t>
        </is>
      </c>
      <c r="G37" s="31" t="inlineStr">
        <is>
          <t>smallcap</t>
        </is>
      </c>
      <c r="H37" s="32" t="n">
        <v>885.33</v>
      </c>
      <c r="I37" s="32" t="n">
        <v>309.86</v>
      </c>
      <c r="J37" s="32" t="n">
        <v>5</v>
      </c>
      <c r="K37" s="32" t="n">
        <v>370744</v>
      </c>
      <c r="L37" s="31" t="n">
        <v>26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71.84999999999999</v>
      </c>
      <c r="P37" s="32" t="n">
        <v>49.42</v>
      </c>
      <c r="Q37" s="32" t="inlineStr"/>
      <c r="R37" s="31" t="inlineStr">
        <is>
          <t>Earnings / Momentum Support</t>
        </is>
      </c>
      <c r="S37" s="31" t="inlineStr">
        <is>
          <t>Nifty Infra</t>
        </is>
      </c>
      <c r="T37" s="32" t="n">
        <v>1.74</v>
      </c>
      <c r="U37" s="32" t="n">
        <v>2.54</v>
      </c>
      <c r="V37" s="32" t="n">
        <v>0.78</v>
      </c>
      <c r="W37" s="32" t="n">
        <v>4.22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IF(B38=0,"",RANK(B38,$B$2:$B$374,0))</f>
        <v/>
      </c>
      <c r="B38" s="32">
        <f>SUM(N38,Y38,AA38,AC38,AE38,AG38,AI38,AK38,AM38,AO38,AQ38,AS38,AU38,AW38,AY38,BA38,BC38,BE38,BG38,BI38,BK38,BM38,BO38,BQ38,BS38,BU38,BW38,BY38,CA38,CC38,CE38)</f>
        <v/>
      </c>
      <c r="C38" s="33" t="inlineStr">
        <is>
          <t>ORIENTBELL</t>
        </is>
      </c>
      <c r="D38" s="33" t="inlineStr">
        <is>
          <t>Orient Bell Limited</t>
        </is>
      </c>
      <c r="E38" s="31" t="inlineStr">
        <is>
          <t>building materials</t>
        </is>
      </c>
      <c r="F38" s="31" t="inlineStr">
        <is>
          <t>ceramics - tiles / sanitaryware</t>
        </is>
      </c>
      <c r="G38" s="31" t="inlineStr">
        <is>
          <t>smallcap</t>
        </is>
      </c>
      <c r="H38" s="32" t="n">
        <v>557.89</v>
      </c>
      <c r="I38" s="32" t="n">
        <v>390.4</v>
      </c>
      <c r="J38" s="32" t="n">
        <v>2.94</v>
      </c>
      <c r="K38" s="32" t="n">
        <v>104827</v>
      </c>
      <c r="L38" s="31" t="n">
        <v>11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68.03</v>
      </c>
      <c r="P38" s="32" t="n">
        <v>40.37</v>
      </c>
      <c r="Q38" s="32" t="inlineStr"/>
      <c r="R38" s="31" t="inlineStr">
        <is>
          <t>Earnings / Momentum Support</t>
        </is>
      </c>
      <c r="S38" s="31" t="inlineStr">
        <is>
          <t>Nifty Infra</t>
        </is>
      </c>
      <c r="T38" s="32" t="n">
        <v>1.74</v>
      </c>
      <c r="U38" s="32" t="n">
        <v>-1.57</v>
      </c>
      <c r="V38" s="32" t="n">
        <v>-3.25</v>
      </c>
      <c r="W38" s="32" t="n">
        <v>-0.16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IF(B39=0,"",RANK(B39,$B$2:$B$374,0))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SPAL</t>
        </is>
      </c>
      <c r="D39" s="31" t="inlineStr">
        <is>
          <t>S. P. Apparels Limited</t>
        </is>
      </c>
      <c r="E39" s="31" t="inlineStr">
        <is>
          <t>consumer discretionary</t>
        </is>
      </c>
      <c r="F39" s="31" t="inlineStr">
        <is>
          <t>textiles - products</t>
        </is>
      </c>
      <c r="G39" s="31" t="inlineStr">
        <is>
          <t>smallcap</t>
        </is>
      </c>
      <c r="H39" s="32" t="n">
        <v>2569.19</v>
      </c>
      <c r="I39" s="32" t="n">
        <v>1050.25</v>
      </c>
      <c r="J39" s="32" t="n">
        <v>2.76</v>
      </c>
      <c r="K39" s="32" t="n">
        <v>263158</v>
      </c>
      <c r="L39" s="31" t="n">
        <v>64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59.72</v>
      </c>
      <c r="P39" s="32" t="n">
        <v>40.38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-1.03</v>
      </c>
      <c r="U39" s="32" t="n">
        <v>40.65</v>
      </c>
      <c r="V39" s="32" t="n">
        <v>42.11</v>
      </c>
      <c r="W39" s="32" t="n">
        <v>14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Between 12 to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IF(B40=0,"",RANK(B40,$B$2:$B$374,0))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UNIPARTS</t>
        </is>
      </c>
      <c r="D40" s="31" t="inlineStr">
        <is>
          <t>Uniparts India Ltd</t>
        </is>
      </c>
      <c r="E40" s="31" t="inlineStr">
        <is>
          <t>industrials</t>
        </is>
      </c>
      <c r="F40" s="31" t="inlineStr">
        <is>
          <t>engineering</t>
        </is>
      </c>
      <c r="G40" s="31" t="inlineStr">
        <is>
          <t>smallcap</t>
        </is>
      </c>
      <c r="H40" s="32" t="n">
        <v>3941.67</v>
      </c>
      <c r="I40" s="32" t="n">
        <v>893.45</v>
      </c>
      <c r="J40" s="32" t="n">
        <v>2.32</v>
      </c>
      <c r="K40" s="32" t="n">
        <v>443265</v>
      </c>
      <c r="L40" s="31" t="n">
        <v>91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82.42</v>
      </c>
      <c r="P40" s="32" t="n">
        <v>67.90000000000001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-1.03</v>
      </c>
      <c r="U40" s="32" t="n">
        <v>136.33</v>
      </c>
      <c r="V40" s="32" t="n">
        <v>138.79</v>
      </c>
      <c r="W40" s="32" t="n">
        <v>29.92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IF(B41=0,"",RANK(B41,$B$2:$B$374,0))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GARFIBRES</t>
        </is>
      </c>
      <c r="D41" s="31" t="inlineStr">
        <is>
          <t>Garware Technical Fibres Ltd</t>
        </is>
      </c>
      <c r="E41" s="31" t="inlineStr">
        <is>
          <t>textiles</t>
        </is>
      </c>
      <c r="F41" s="31" t="inlineStr">
        <is>
          <t>textiles - products</t>
        </is>
      </c>
      <c r="G41" s="31" t="inlineStr">
        <is>
          <t>midcap</t>
        </is>
      </c>
      <c r="H41" s="32" t="n">
        <v>7802.1</v>
      </c>
      <c r="I41" s="32" t="n">
        <v>813.85</v>
      </c>
      <c r="J41" s="32" t="n">
        <v>1.86</v>
      </c>
      <c r="K41" s="32" t="n">
        <v>53462</v>
      </c>
      <c r="L41" s="31" t="n">
        <v>35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60.11</v>
      </c>
      <c r="P41" s="32" t="n">
        <v>46.6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-1.03</v>
      </c>
      <c r="U41" s="32" t="n">
        <v>5.43</v>
      </c>
      <c r="V41" s="32" t="n">
        <v>6.53</v>
      </c>
      <c r="W41" s="32" t="n">
        <v>5.82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IF(B42=0,"",RANK(B42,$B$2:$B$374,0))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SPORTKING</t>
        </is>
      </c>
      <c r="D42" s="31" t="inlineStr">
        <is>
          <t>Sportking India Ltd</t>
        </is>
      </c>
      <c r="E42" s="31" t="inlineStr">
        <is>
          <t>textiles</t>
        </is>
      </c>
      <c r="F42" s="31" t="inlineStr">
        <is>
          <t>textiles - spinning - synthetic / blended</t>
        </is>
      </c>
      <c r="G42" s="31" t="inlineStr">
        <is>
          <t>smallcap</t>
        </is>
      </c>
      <c r="H42" s="32" t="n">
        <v>2832.94</v>
      </c>
      <c r="I42" s="32" t="n">
        <v>226.71</v>
      </c>
      <c r="J42" s="32" t="n">
        <v>1.69</v>
      </c>
      <c r="K42" s="32" t="n">
        <v>338311</v>
      </c>
      <c r="L42" s="31" t="n">
        <v>86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73.36</v>
      </c>
      <c r="P42" s="32" t="n">
        <v>72.98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-1.03</v>
      </c>
      <c r="U42" s="32" t="n">
        <v>107.7</v>
      </c>
      <c r="V42" s="32" t="n">
        <v>109.85</v>
      </c>
      <c r="W42" s="32" t="n">
        <v>23.9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IF(B43=0,"",RANK(B43,$B$2:$B$374,0))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MENONBE</t>
        </is>
      </c>
      <c r="D43" s="31" t="inlineStr">
        <is>
          <t>Menon Bearings Limited</t>
        </is>
      </c>
      <c r="E43" s="31" t="inlineStr">
        <is>
          <t>auto</t>
        </is>
      </c>
      <c r="F43" s="31" t="inlineStr">
        <is>
          <t>auto ancillaries</t>
        </is>
      </c>
      <c r="G43" s="31" t="inlineStr">
        <is>
          <t>smallcap</t>
        </is>
      </c>
      <c r="H43" s="32" t="n">
        <v>1595.01</v>
      </c>
      <c r="I43" s="32" t="n">
        <v>287.01</v>
      </c>
      <c r="J43" s="32" t="n">
        <v>0.84</v>
      </c>
      <c r="K43" s="32" t="n">
        <v>60959</v>
      </c>
      <c r="L43" s="31" t="n">
        <v>85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82.66</v>
      </c>
      <c r="P43" s="32" t="n">
        <v>60.04</v>
      </c>
      <c r="Q43" s="32" t="inlineStr"/>
      <c r="R43" s="31" t="inlineStr">
        <is>
          <t>Earnings / Momentum Support</t>
        </is>
      </c>
      <c r="S43" s="31" t="inlineStr">
        <is>
          <t>Nifty Auto</t>
        </is>
      </c>
      <c r="T43" s="32" t="n">
        <v>13.41</v>
      </c>
      <c r="U43" s="32" t="n">
        <v>59.56</v>
      </c>
      <c r="V43" s="32" t="n">
        <v>40.68</v>
      </c>
      <c r="W43" s="32" t="n">
        <v>23.69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IF(B44=0,"",RANK(B44,$B$2:$B$374,0))</f>
        <v/>
      </c>
      <c r="B44" s="32">
        <f>SUM(N44,Y44,AA44,AC44,AE44,AG44,AI44,AK44,AM44,AO44,AQ44,AS44,AU44,AW44,AY44,BA44,BC44,BE44,BG44,BI44,BK44,BM44,BO44,BQ44,BS44,BU44,BW44,BY44,CA44,CC44,CE44)</f>
        <v/>
      </c>
      <c r="C44" s="33" t="inlineStr">
        <is>
          <t>ROLEXRINGS</t>
        </is>
      </c>
      <c r="D44" s="33" t="inlineStr">
        <is>
          <t>Rolex Rings Ltd</t>
        </is>
      </c>
      <c r="E44" s="31" t="inlineStr">
        <is>
          <t>auto</t>
        </is>
      </c>
      <c r="F44" s="31" t="inlineStr">
        <is>
          <t>auto ancillaries</t>
        </is>
      </c>
      <c r="G44" s="31" t="inlineStr">
        <is>
          <t>smallcap</t>
        </is>
      </c>
      <c r="H44" s="32" t="n">
        <v>4916.97</v>
      </c>
      <c r="I44" s="32" t="n">
        <v>180.59</v>
      </c>
      <c r="J44" s="32" t="n">
        <v>0.02</v>
      </c>
      <c r="K44" s="32" t="n">
        <v>1413873</v>
      </c>
      <c r="L44" s="31" t="n">
        <v>30</v>
      </c>
      <c r="M44" s="31" t="inlineStr">
        <is>
          <t>Underperforming</t>
        </is>
      </c>
      <c r="N44" s="32">
        <f>IF(M44="Underperforming",-5,IF(L44&gt;=95,15,IF(L44&gt;=90,10,IF(L44&gt;=80,5,0))))</f>
        <v/>
      </c>
      <c r="O44" s="32" t="n">
        <v>65.84999999999999</v>
      </c>
      <c r="P44" s="32" t="n">
        <v>40.51</v>
      </c>
      <c r="Q44" s="32" t="inlineStr"/>
      <c r="R44" s="31" t="inlineStr">
        <is>
          <t>Earnings / Momentum Support</t>
        </is>
      </c>
      <c r="S44" s="31" t="inlineStr">
        <is>
          <t>Nifty Auto</t>
        </is>
      </c>
      <c r="T44" s="32" t="n">
        <v>13.41</v>
      </c>
      <c r="U44" s="32" t="n">
        <v>5.86</v>
      </c>
      <c r="V44" s="32" t="n">
        <v>-6.66</v>
      </c>
      <c r="W44" s="32" t="n">
        <v>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IF(B45=0,"",RANK(B45,$B$2:$B$374,0))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IRISDOREME</t>
        </is>
      </c>
      <c r="D45" s="31" t="inlineStr">
        <is>
          <t>Iris Clothings Ltd</t>
        </is>
      </c>
      <c r="E45" s="31" t="inlineStr">
        <is>
          <t>consumer discretionary</t>
        </is>
      </c>
      <c r="F45" s="31" t="inlineStr">
        <is>
          <t>textiles - products</t>
        </is>
      </c>
      <c r="G45" s="31" t="inlineStr">
        <is>
          <t>smallcap</t>
        </is>
      </c>
      <c r="H45" s="32" t="n">
        <v>1117.25</v>
      </c>
      <c r="I45" s="32" t="n">
        <v>58.48</v>
      </c>
      <c r="J45" s="32" t="n">
        <v>-0.37</v>
      </c>
      <c r="K45" s="32" t="n">
        <v>378733</v>
      </c>
      <c r="L45" s="31" t="n">
        <v>90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82.77</v>
      </c>
      <c r="P45" s="32" t="n">
        <v>48.72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-1.03</v>
      </c>
      <c r="U45" s="32" t="n">
        <v>85.76000000000001</v>
      </c>
      <c r="V45" s="32" t="n">
        <v>87.69</v>
      </c>
      <c r="W45" s="32" t="n">
        <v>28.23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IF(B46=0,"",RANK(B46,$B$2:$B$374,0))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PARAS</t>
        </is>
      </c>
      <c r="D46" s="31" t="inlineStr">
        <is>
          <t>Paras Defence and Space Technologies Ltd</t>
        </is>
      </c>
      <c r="E46" s="31" t="inlineStr">
        <is>
          <t>aerospace &amp; defence</t>
        </is>
      </c>
      <c r="F46" s="31" t="inlineStr">
        <is>
          <t>engineering</t>
        </is>
      </c>
      <c r="G46" s="31" t="inlineStr">
        <is>
          <t>midcap</t>
        </is>
      </c>
      <c r="H46" s="32" t="n">
        <v>11602.16</v>
      </c>
      <c r="I46" s="32" t="n">
        <v>1432.9</v>
      </c>
      <c r="J46" s="32" t="n">
        <v>-0.47</v>
      </c>
      <c r="K46" s="32" t="n">
        <v>786335</v>
      </c>
      <c r="L46" s="31" t="n">
        <v>94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69.16</v>
      </c>
      <c r="P46" s="32" t="n">
        <v>67.18000000000001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-1.03</v>
      </c>
      <c r="U46" s="32" t="n">
        <v>122.09</v>
      </c>
      <c r="V46" s="32" t="n">
        <v>124.4</v>
      </c>
      <c r="W46" s="32" t="n">
        <v>35.93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IF(B47=0,"",RANK(B47,$B$2:$B$374,0))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ASTRAL</t>
        </is>
      </c>
      <c r="D47" s="31" t="inlineStr">
        <is>
          <t>Astral Ltd</t>
        </is>
      </c>
      <c r="E47" s="31" t="inlineStr">
        <is>
          <t>plastic products</t>
        </is>
      </c>
      <c r="F47" s="31" t="inlineStr">
        <is>
          <t>plastics products</t>
        </is>
      </c>
      <c r="G47" s="31" t="inlineStr">
        <is>
          <t>largecap</t>
        </is>
      </c>
      <c r="H47" s="32" t="n">
        <v>41165.26</v>
      </c>
      <c r="I47" s="32" t="n">
        <v>1522.2</v>
      </c>
      <c r="J47" s="32" t="n">
        <v>-0.66</v>
      </c>
      <c r="K47" s="32" t="n">
        <v>11516278</v>
      </c>
      <c r="L47" s="31" t="n">
        <v>19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52.94</v>
      </c>
      <c r="P47" s="32" t="n">
        <v>20.44</v>
      </c>
      <c r="Q47" s="32" t="inlineStr"/>
      <c r="R47" s="31" t="inlineStr">
        <is>
          <t>Volume Spike / Accumulation</t>
        </is>
      </c>
      <c r="S47" s="31" t="inlineStr">
        <is>
          <t>Nifty 500</t>
        </is>
      </c>
      <c r="T47" s="32" t="n">
        <v>4.74</v>
      </c>
      <c r="U47" s="32" t="n">
        <v>12.97</v>
      </c>
      <c r="V47" s="32" t="n">
        <v>7.85</v>
      </c>
      <c r="W47" s="32" t="n">
        <v>2.19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IF(B48=0,"",RANK(B48,$B$2:$B$374,0))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NRL</t>
        </is>
      </c>
      <c r="D48" s="31" t="inlineStr">
        <is>
          <t>Nupur Recyclers Ltd</t>
        </is>
      </c>
      <c r="E48" s="31" t="inlineStr">
        <is>
          <t>services</t>
        </is>
      </c>
      <c r="F48" s="31" t="inlineStr">
        <is>
          <t>trading</t>
        </is>
      </c>
      <c r="G48" s="31" t="inlineStr">
        <is>
          <t>smallcap</t>
        </is>
      </c>
      <c r="H48" s="32" t="n">
        <v>863.36</v>
      </c>
      <c r="I48" s="32" t="n">
        <v>122.5</v>
      </c>
      <c r="J48" s="32" t="n">
        <v>-2</v>
      </c>
      <c r="K48" s="32" t="n">
        <v>65909</v>
      </c>
      <c r="L48" s="31" t="n">
        <v>93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86.91</v>
      </c>
      <c r="P48" s="32" t="n">
        <v>65.37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-1.03</v>
      </c>
      <c r="U48" s="32" t="n">
        <v>74.14</v>
      </c>
      <c r="V48" s="32" t="n">
        <v>75.95</v>
      </c>
      <c r="W48" s="32" t="n">
        <v>34.52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IF(B49=0,"",RANK(B49,$B$2:$B$374,0))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NILKAMAL</t>
        </is>
      </c>
      <c r="D49" s="31" t="inlineStr">
        <is>
          <t>Nilkamal Limited</t>
        </is>
      </c>
      <c r="E49" s="31" t="inlineStr">
        <is>
          <t>plastic products</t>
        </is>
      </c>
      <c r="F49" s="31" t="inlineStr">
        <is>
          <t>plastics products</t>
        </is>
      </c>
      <c r="G49" s="31" t="inlineStr">
        <is>
          <t>smallcap</t>
        </is>
      </c>
      <c r="H49" s="32" t="n">
        <v>3091.8</v>
      </c>
      <c r="I49" s="32" t="n">
        <v>2006.2</v>
      </c>
      <c r="J49" s="32" t="n">
        <v>-3.17</v>
      </c>
      <c r="K49" s="32" t="n">
        <v>49450</v>
      </c>
      <c r="L49" s="31" t="n">
        <v>80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82.05</v>
      </c>
      <c r="P49" s="32" t="n">
        <v>43.72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-1.03</v>
      </c>
      <c r="U49" s="32" t="n">
        <v>34.95</v>
      </c>
      <c r="V49" s="32" t="n">
        <v>36.35</v>
      </c>
      <c r="W49" s="32" t="n">
        <v>21.99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IF(B50=0,"",RANK(B50,$B$2:$B$374,0))</f>
        <v/>
      </c>
      <c r="B50" s="32">
        <f>SUM(N50,Y50,AA50,AC50,AE50,AG50,AI50,AK50,AM50,AO50,AQ50,AS50,AU50,AW50,AY50,BA50,BC50,BE50,BG50,BI50,BK50,BM50,BO50,BQ50,BS50,BU50,BW50,BY50,CA50,CC50,CE50)</f>
        <v/>
      </c>
      <c r="C50" s="33" t="inlineStr">
        <is>
          <t>CLSEL</t>
        </is>
      </c>
      <c r="D50" s="33" t="inlineStr">
        <is>
          <t>Chamanlal Setia Exports Ltd</t>
        </is>
      </c>
      <c r="E50" s="31" t="inlineStr">
        <is>
          <t>fmcg</t>
        </is>
      </c>
      <c r="F50" s="31" t="inlineStr">
        <is>
          <t>food - processing - indian</t>
        </is>
      </c>
      <c r="G50" s="31" t="inlineStr">
        <is>
          <t>smallcap</t>
        </is>
      </c>
      <c r="H50" s="32" t="n">
        <v>1457.21</v>
      </c>
      <c r="I50" s="32" t="n">
        <v>300.65</v>
      </c>
      <c r="J50" s="32" t="n">
        <v>2.59</v>
      </c>
      <c r="K50" s="32" t="n">
        <v>200671</v>
      </c>
      <c r="L50" s="31" t="n">
        <v>3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55.55</v>
      </c>
      <c r="P50" s="32" t="n">
        <v>27.55</v>
      </c>
      <c r="Q50" s="32" t="inlineStr"/>
      <c r="R50" s="31" t="inlineStr">
        <is>
          <t>Earnings / Momentum Support</t>
        </is>
      </c>
      <c r="S50" s="31" t="inlineStr">
        <is>
          <t>Nifty FMCG</t>
        </is>
      </c>
      <c r="T50" s="32" t="n">
        <v>-13.73</v>
      </c>
      <c r="U50" s="32" t="n">
        <v>-18.55</v>
      </c>
      <c r="V50" s="32" t="n">
        <v>-5.58</v>
      </c>
      <c r="W50" s="32" t="n">
        <v>-4.41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IF(B51=0,"",RANK(B51,$B$2:$B$374,0))</f>
        <v/>
      </c>
      <c r="B51" s="32">
        <f>SUM(N51,Y51,AA51,AC51,AE51,AG51,AI51,AK51,AM51,AO51,AQ51,AS51,AU51,AW51,AY51,BA51,BC51,BE51,BG51,BI51,BK51,BM51,BO51,BQ51,BS51,BU51,BW51,BY51,CA51,CC51,CE51)</f>
        <v/>
      </c>
      <c r="C51" s="33" t="inlineStr">
        <is>
          <t>JAGSNPHARM</t>
        </is>
      </c>
      <c r="D51" s="33" t="inlineStr">
        <is>
          <t>Jagsonpal Pharmaceuticals Limited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smallcap</t>
        </is>
      </c>
      <c r="H51" s="32" t="n">
        <v>1573.86</v>
      </c>
      <c r="I51" s="32" t="n">
        <v>240.84</v>
      </c>
      <c r="J51" s="32" t="n">
        <v>0.74</v>
      </c>
      <c r="K51" s="32" t="n">
        <v>235599</v>
      </c>
      <c r="L51" s="31" t="n">
        <v>31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64.81999999999999</v>
      </c>
      <c r="P51" s="32" t="n">
        <v>47.74</v>
      </c>
      <c r="Q51" s="32" t="inlineStr"/>
      <c r="R51" s="31" t="inlineStr">
        <is>
          <t>Earnings / Momentum Support</t>
        </is>
      </c>
      <c r="S51" s="31" t="inlineStr">
        <is>
          <t>Nifty Pharma</t>
        </is>
      </c>
      <c r="T51" s="32" t="n">
        <v>23.79</v>
      </c>
      <c r="U51" s="32" t="n">
        <v>3.27</v>
      </c>
      <c r="V51" s="32" t="n">
        <v>-16.58</v>
      </c>
      <c r="W51" s="32" t="n">
        <v>5.05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IF(B52=0,"",RANK(B52,$B$2:$B$374,0))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MANORAMA</t>
        </is>
      </c>
      <c r="D52" s="31" t="inlineStr">
        <is>
          <t>Manorama Industries Ltd</t>
        </is>
      </c>
      <c r="E52" s="31" t="inlineStr">
        <is>
          <t>fmcg</t>
        </is>
      </c>
      <c r="F52" s="31" t="inlineStr">
        <is>
          <t>food - processing - indian</t>
        </is>
      </c>
      <c r="G52" s="31" t="inlineStr">
        <is>
          <t>midcap</t>
        </is>
      </c>
      <c r="H52" s="32" t="n">
        <v>11281.33</v>
      </c>
      <c r="I52" s="32" t="n">
        <v>1890.8</v>
      </c>
      <c r="J52" s="32" t="n">
        <v>0.07000000000000001</v>
      </c>
      <c r="K52" s="32" t="n">
        <v>442413</v>
      </c>
      <c r="L52" s="31" t="n">
        <v>23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71.56</v>
      </c>
      <c r="P52" s="32" t="n">
        <v>25.89</v>
      </c>
      <c r="Q52" s="32" t="inlineStr"/>
      <c r="R52" s="31" t="inlineStr">
        <is>
          <t>Earnings / Momentum Support</t>
        </is>
      </c>
      <c r="S52" s="31" t="inlineStr">
        <is>
          <t>Nifty FMCG</t>
        </is>
      </c>
      <c r="T52" s="32" t="n">
        <v>-13.73</v>
      </c>
      <c r="U52" s="32" t="n">
        <v>2.05</v>
      </c>
      <c r="V52" s="32" t="n">
        <v>18.29</v>
      </c>
      <c r="W52" s="32" t="n">
        <v>3.39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IF(B53=0,"",RANK(B53,$B$2:$B$374,0))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GLAND</t>
        </is>
      </c>
      <c r="D53" s="31" t="inlineStr">
        <is>
          <t>Gland Pharma Ltd</t>
        </is>
      </c>
      <c r="E53" s="31" t="inlineStr">
        <is>
          <t>healthcare</t>
        </is>
      </c>
      <c r="F53" s="31" t="inlineStr">
        <is>
          <t>pharmaceuticals - indian - formulations</t>
        </is>
      </c>
      <c r="G53" s="31" t="inlineStr">
        <is>
          <t>largecap</t>
        </is>
      </c>
      <c r="H53" s="32" t="n">
        <v>47640.36</v>
      </c>
      <c r="I53" s="32" t="n">
        <v>2885.8</v>
      </c>
      <c r="J53" s="32" t="n">
        <v>-0.08</v>
      </c>
      <c r="K53" s="32" t="n">
        <v>370779</v>
      </c>
      <c r="L53" s="31" t="n">
        <v>69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73.03</v>
      </c>
      <c r="P53" s="32" t="n">
        <v>61.89</v>
      </c>
      <c r="Q53" s="32" t="inlineStr"/>
      <c r="R53" s="31" t="inlineStr">
        <is>
          <t>Earnings / Momentum Support</t>
        </is>
      </c>
      <c r="S53" s="31" t="inlineStr">
        <is>
          <t>Nifty Pharma</t>
        </is>
      </c>
      <c r="T53" s="32" t="n">
        <v>23.79</v>
      </c>
      <c r="U53" s="32" t="n">
        <v>55.48</v>
      </c>
      <c r="V53" s="32" t="n">
        <v>25.6</v>
      </c>
      <c r="W53" s="32" t="n">
        <v>15.94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IF(B54=0,"",RANK(B54,$B$2:$B$374,0))</f>
        <v/>
      </c>
      <c r="B54" s="32">
        <f>SUM(N54,Y54,AA54,AC54,AE54,AG54,AI54,AK54,AM54,AO54,AQ54,AS54,AU54,AW54,AY54,BA54,BC54,BE54,BG54,BI54,BK54,BM54,BO54,BQ54,BS54,BU54,BW54,BY54,CA54,CC54,CE54)</f>
        <v/>
      </c>
      <c r="C54" s="33" t="inlineStr">
        <is>
          <t>UNICHEMLAB</t>
        </is>
      </c>
      <c r="D54" s="33" t="inlineStr">
        <is>
          <t>Unichem Laboratories Limited</t>
        </is>
      </c>
      <c r="E54" s="31" t="inlineStr">
        <is>
          <t>healthcare</t>
        </is>
      </c>
      <c r="F54" s="31" t="inlineStr">
        <is>
          <t>pharmaceuticals - indian - bulk drugs &amp; formln</t>
        </is>
      </c>
      <c r="G54" s="31" t="inlineStr">
        <is>
          <t>smallcap</t>
        </is>
      </c>
      <c r="H54" s="32" t="n">
        <v>3972.64</v>
      </c>
      <c r="I54" s="32" t="n">
        <v>556.55</v>
      </c>
      <c r="J54" s="32" t="n">
        <v>-1.36</v>
      </c>
      <c r="K54" s="32" t="n">
        <v>321470</v>
      </c>
      <c r="L54" s="31" t="n">
        <v>74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61.72</v>
      </c>
      <c r="P54" s="32" t="n">
        <v>46.19</v>
      </c>
      <c r="Q54" s="32" t="inlineStr"/>
      <c r="R54" s="31" t="inlineStr">
        <is>
          <t>Earnings / Momentum Support</t>
        </is>
      </c>
      <c r="S54" s="31" t="inlineStr">
        <is>
          <t>Nifty Pharma</t>
        </is>
      </c>
      <c r="T54" s="32" t="n">
        <v>23.79</v>
      </c>
      <c r="U54" s="32" t="n">
        <v>12</v>
      </c>
      <c r="V54" s="32" t="n">
        <v>-9.529999999999999</v>
      </c>
      <c r="W54" s="32" t="n">
        <v>18.15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IF(B55=0,"",RANK(B55,$B$2:$B$374,0))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MARKSANS</t>
        </is>
      </c>
      <c r="D55" s="31" t="inlineStr">
        <is>
          <t>Marksans Pharma Limited</t>
        </is>
      </c>
      <c r="E55" s="31" t="inlineStr">
        <is>
          <t>healthcare</t>
        </is>
      </c>
      <c r="F55" s="31" t="inlineStr">
        <is>
          <t>pharmaceuticals - indian - formulations</t>
        </is>
      </c>
      <c r="G55" s="31" t="inlineStr">
        <is>
          <t>midcap</t>
        </is>
      </c>
      <c r="H55" s="32" t="n">
        <v>14940.81</v>
      </c>
      <c r="I55" s="32" t="n">
        <v>321.6</v>
      </c>
      <c r="J55" s="32" t="n">
        <v>-2.46</v>
      </c>
      <c r="K55" s="32" t="n">
        <v>2486251</v>
      </c>
      <c r="L55" s="31" t="n">
        <v>82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74.63</v>
      </c>
      <c r="P55" s="32" t="n">
        <v>58.9</v>
      </c>
      <c r="Q55" s="32" t="inlineStr"/>
      <c r="R55" s="31" t="inlineStr">
        <is>
          <t>Earnings / Momentum Support</t>
        </is>
      </c>
      <c r="S55" s="31" t="inlineStr">
        <is>
          <t>Nifty Pharma</t>
        </is>
      </c>
      <c r="T55" s="32" t="n">
        <v>23.79</v>
      </c>
      <c r="U55" s="32" t="n">
        <v>96.09</v>
      </c>
      <c r="V55" s="32" t="n">
        <v>58.4</v>
      </c>
      <c r="W55" s="32" t="n">
        <v>22.83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IF(B56=0,"",RANK(B56,$B$2:$B$374,0))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MODISONLTD</t>
        </is>
      </c>
      <c r="D56" s="31" t="inlineStr">
        <is>
          <t>Modison Ltd</t>
        </is>
      </c>
      <c r="E56" s="31" t="inlineStr">
        <is>
          <t>industrials</t>
        </is>
      </c>
      <c r="F56" s="31" t="inlineStr">
        <is>
          <t>electric equipment</t>
        </is>
      </c>
      <c r="G56" s="31" t="inlineStr">
        <is>
          <t>smallcap</t>
        </is>
      </c>
      <c r="H56" s="32" t="n">
        <v>1339.54</v>
      </c>
      <c r="I56" s="32" t="n">
        <v>454.05</v>
      </c>
      <c r="J56" s="32" t="n">
        <v>9.99</v>
      </c>
      <c r="K56" s="32" t="n">
        <v>392989</v>
      </c>
      <c r="L56" s="31" t="n">
        <v>95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76.76000000000001</v>
      </c>
      <c r="P56" s="32" t="n">
        <v>58.89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-1.03</v>
      </c>
      <c r="U56" s="32" t="n">
        <v>175.57</v>
      </c>
      <c r="V56" s="32" t="n">
        <v>178.44</v>
      </c>
      <c r="W56" s="32" t="n">
        <v>38.21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IF(B57=0,"",RANK(B57,$B$2:$B$374,0))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HAPPYFORGE</t>
        </is>
      </c>
      <c r="D57" s="31" t="inlineStr">
        <is>
          <t>Happy Forgings Ltd</t>
        </is>
      </c>
      <c r="E57" s="31" t="inlineStr">
        <is>
          <t>industrials</t>
        </is>
      </c>
      <c r="F57" s="31" t="inlineStr">
        <is>
          <t>castings &amp; forgings</t>
        </is>
      </c>
      <c r="G57" s="31" t="inlineStr">
        <is>
          <t>largecap</t>
        </is>
      </c>
      <c r="H57" s="32" t="n">
        <v>21773.17</v>
      </c>
      <c r="I57" s="32" t="n">
        <v>2412</v>
      </c>
      <c r="J57" s="32" t="n">
        <v>4.55</v>
      </c>
      <c r="K57" s="32" t="n">
        <v>241750</v>
      </c>
      <c r="L57" s="31" t="n">
        <v>95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88.70999999999999</v>
      </c>
      <c r="P57" s="32" t="n">
        <v>61.84</v>
      </c>
      <c r="Q57" s="32" t="inlineStr"/>
      <c r="R57" s="31" t="inlineStr">
        <is>
          <t>Earnings / Momentum Support</t>
        </is>
      </c>
      <c r="S57" s="31" t="inlineStr">
        <is>
          <t>Nifty 50</t>
        </is>
      </c>
      <c r="T57" s="32" t="n">
        <v>-1.03</v>
      </c>
      <c r="U57" s="32" t="n">
        <v>156.56</v>
      </c>
      <c r="V57" s="32" t="n">
        <v>159.23</v>
      </c>
      <c r="W57" s="32" t="n">
        <v>36.22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Between 1.5 to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IF(B58=0,"",RANK(B58,$B$2:$B$374,0))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VINCOFE</t>
        </is>
      </c>
      <c r="D58" s="31" t="inlineStr">
        <is>
          <t>Vintage Coffee &amp; Beverages Ltd</t>
        </is>
      </c>
      <c r="E58" s="31" t="inlineStr">
        <is>
          <t>consumer discretionary</t>
        </is>
      </c>
      <c r="F58" s="31" t="inlineStr">
        <is>
          <t>trading</t>
        </is>
      </c>
      <c r="G58" s="31" t="inlineStr">
        <is>
          <t>smallcap</t>
        </is>
      </c>
      <c r="H58" s="32" t="n">
        <v>2592.82</v>
      </c>
      <c r="I58" s="32" t="n">
        <v>185.77</v>
      </c>
      <c r="J58" s="32" t="n">
        <v>4.38</v>
      </c>
      <c r="K58" s="32" t="n">
        <v>10994745</v>
      </c>
      <c r="L58" s="31" t="n">
        <v>50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66.98999999999999</v>
      </c>
      <c r="P58" s="32" t="n">
        <v>27.26</v>
      </c>
      <c r="Q58" s="32" t="inlineStr"/>
      <c r="R58" s="31" t="inlineStr">
        <is>
          <t>Earnings / Momentum Support</t>
        </is>
      </c>
      <c r="S58" s="31" t="inlineStr">
        <is>
          <t>Nifty 50</t>
        </is>
      </c>
      <c r="T58" s="32" t="n">
        <v>-1.03</v>
      </c>
      <c r="U58" s="32" t="n">
        <v>21.79</v>
      </c>
      <c r="V58" s="32" t="n">
        <v>23.05</v>
      </c>
      <c r="W58" s="32" t="n">
        <v>9.16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IF(B59=0,"",RANK(B59,$B$2:$B$374,0))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ADOR</t>
        </is>
      </c>
      <c r="D59" s="31" t="inlineStr">
        <is>
          <t>Ador Welding Ltd</t>
        </is>
      </c>
      <c r="E59" s="31" t="inlineStr">
        <is>
          <t>industrials</t>
        </is>
      </c>
      <c r="F59" s="31" t="inlineStr">
        <is>
          <t>electrodes - welding equipment</t>
        </is>
      </c>
      <c r="G59" s="31" t="inlineStr">
        <is>
          <t>smallcap</t>
        </is>
      </c>
      <c r="H59" s="32" t="n">
        <v>2846.4</v>
      </c>
      <c r="I59" s="32" t="n">
        <v>1705.2</v>
      </c>
      <c r="J59" s="32" t="n">
        <v>4.26</v>
      </c>
      <c r="K59" s="32" t="n">
        <v>220404</v>
      </c>
      <c r="L59" s="31" t="n">
        <v>83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81.98</v>
      </c>
      <c r="P59" s="32" t="n">
        <v>63.28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-1.03</v>
      </c>
      <c r="U59" s="32" t="n">
        <v>82.44</v>
      </c>
      <c r="V59" s="32" t="n">
        <v>84.34</v>
      </c>
      <c r="W59" s="32" t="n">
        <v>23.24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IF(B60=0,"",RANK(B60,$B$2:$B$374,0))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RBZJEWEL</t>
        </is>
      </c>
      <c r="D60" s="31" t="inlineStr">
        <is>
          <t>RBZ Jewellers Ltd</t>
        </is>
      </c>
      <c r="E60" s="31" t="inlineStr">
        <is>
          <t>consumer discretionary</t>
        </is>
      </c>
      <c r="F60" s="31" t="inlineStr">
        <is>
          <t>diamond cutting / jewellery</t>
        </is>
      </c>
      <c r="G60" s="31" t="inlineStr">
        <is>
          <t>smallcap</t>
        </is>
      </c>
      <c r="H60" s="32" t="n">
        <v>584.8</v>
      </c>
      <c r="I60" s="32" t="n">
        <v>150.79</v>
      </c>
      <c r="J60" s="32" t="n">
        <v>3.14</v>
      </c>
      <c r="K60" s="32" t="n">
        <v>146694</v>
      </c>
      <c r="L60" s="31" t="n">
        <v>31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53.66</v>
      </c>
      <c r="P60" s="32" t="n">
        <v>26.99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-1.03</v>
      </c>
      <c r="U60" s="32" t="n">
        <v>6.54</v>
      </c>
      <c r="V60" s="32" t="n">
        <v>7.65</v>
      </c>
      <c r="W60" s="32" t="n">
        <v>5.16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IF(B61=0,"",RANK(B61,$B$2:$B$374,0))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GHCLTEXTIL</t>
        </is>
      </c>
      <c r="D61" s="31" t="inlineStr">
        <is>
          <t>GHCL Textiles Ltd</t>
        </is>
      </c>
      <c r="E61" s="31" t="inlineStr">
        <is>
          <t>textiles</t>
        </is>
      </c>
      <c r="F61" s="31" t="inlineStr">
        <is>
          <t>textiles - spinning - synthetic / blended</t>
        </is>
      </c>
      <c r="G61" s="31" t="inlineStr">
        <is>
          <t>smallcap</t>
        </is>
      </c>
      <c r="H61" s="32" t="n">
        <v>1250.17</v>
      </c>
      <c r="I61" s="32" t="n">
        <v>134.77</v>
      </c>
      <c r="J61" s="32" t="n">
        <v>3.04</v>
      </c>
      <c r="K61" s="32" t="n">
        <v>1321896</v>
      </c>
      <c r="L61" s="31" t="n">
        <v>76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74.95999999999999</v>
      </c>
      <c r="P61" s="32" t="n">
        <v>42.3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-1.03</v>
      </c>
      <c r="U61" s="32" t="n">
        <v>65.44</v>
      </c>
      <c r="V61" s="32" t="n">
        <v>67.16</v>
      </c>
      <c r="W61" s="32" t="n">
        <v>19.24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IF(B62=0,"",RANK(B62,$B$2:$B$374,0))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MUNJALAU</t>
        </is>
      </c>
      <c r="D62" s="31" t="inlineStr">
        <is>
          <t>Munjal Auto Industries Limited</t>
        </is>
      </c>
      <c r="E62" s="31" t="inlineStr">
        <is>
          <t>auto</t>
        </is>
      </c>
      <c r="F62" s="31" t="inlineStr">
        <is>
          <t>auto ancillaries</t>
        </is>
      </c>
      <c r="G62" s="31" t="inlineStr">
        <is>
          <t>smallcap</t>
        </is>
      </c>
      <c r="H62" s="32" t="n">
        <v>1124</v>
      </c>
      <c r="I62" s="32" t="n">
        <v>115.79</v>
      </c>
      <c r="J62" s="32" t="n">
        <v>3.02</v>
      </c>
      <c r="K62" s="32" t="n">
        <v>984874</v>
      </c>
      <c r="L62" s="31" t="n">
        <v>59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66.87</v>
      </c>
      <c r="P62" s="32" t="n">
        <v>52.02</v>
      </c>
      <c r="Q62" s="32" t="inlineStr"/>
      <c r="R62" s="31" t="inlineStr">
        <is>
          <t>Earnings / Momentum Support</t>
        </is>
      </c>
      <c r="S62" s="31" t="inlineStr">
        <is>
          <t>Nifty Auto</t>
        </is>
      </c>
      <c r="T62" s="32" t="n">
        <v>13.41</v>
      </c>
      <c r="U62" s="32" t="n">
        <v>32.99</v>
      </c>
      <c r="V62" s="32" t="n">
        <v>17.26</v>
      </c>
      <c r="W62" s="32" t="n">
        <v>12.5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IF(B63=0,"",RANK(B63,$B$2:$B$374,0))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KAJARIACER</t>
        </is>
      </c>
      <c r="D63" s="31" t="inlineStr">
        <is>
          <t>Kajaria Ceramics Limited</t>
        </is>
      </c>
      <c r="E63" s="31" t="inlineStr">
        <is>
          <t>building materials</t>
        </is>
      </c>
      <c r="F63" s="31" t="inlineStr">
        <is>
          <t>ceramics - tiles / sanitaryware</t>
        </is>
      </c>
      <c r="G63" s="31" t="inlineStr">
        <is>
          <t>midcap</t>
        </is>
      </c>
      <c r="H63" s="32" t="n">
        <v>19359.55</v>
      </c>
      <c r="I63" s="32" t="n">
        <v>1244.8</v>
      </c>
      <c r="J63" s="32" t="n">
        <v>2.41</v>
      </c>
      <c r="K63" s="32" t="n">
        <v>541157</v>
      </c>
      <c r="L63" s="31" t="n">
        <v>19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58.5</v>
      </c>
      <c r="P63" s="32" t="n">
        <v>29.74</v>
      </c>
      <c r="Q63" s="32" t="inlineStr"/>
      <c r="R63" s="31" t="inlineStr">
        <is>
          <t>Earnings / Momentum Support</t>
        </is>
      </c>
      <c r="S63" s="31" t="inlineStr">
        <is>
          <t>Nifty Infra</t>
        </is>
      </c>
      <c r="T63" s="32" t="n">
        <v>1.74</v>
      </c>
      <c r="U63" s="32" t="n">
        <v>2.08</v>
      </c>
      <c r="V63" s="32" t="n">
        <v>0.33</v>
      </c>
      <c r="W63" s="32" t="n">
        <v>2.19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IF(B64=0,"",RANK(B64,$B$2:$B$374,0))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CONFIPET</t>
        </is>
      </c>
      <c r="D64" s="31" t="inlineStr">
        <is>
          <t>Confidence Petroleum India Ltd</t>
        </is>
      </c>
      <c r="E64" s="31" t="inlineStr">
        <is>
          <t>miscellaneous</t>
        </is>
      </c>
      <c r="F64" s="31" t="inlineStr">
        <is>
          <t>miscellaneous</t>
        </is>
      </c>
      <c r="G64" s="31" t="inlineStr">
        <is>
          <t>smallcap</t>
        </is>
      </c>
      <c r="H64" s="32" t="n">
        <v>2653.61</v>
      </c>
      <c r="I64" s="32" t="n">
        <v>81.37</v>
      </c>
      <c r="J64" s="32" t="n">
        <v>1.88</v>
      </c>
      <c r="K64" s="32" t="n">
        <v>3471549</v>
      </c>
      <c r="L64" s="31" t="n">
        <v>73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65.48999999999999</v>
      </c>
      <c r="P64" s="32" t="n">
        <v>62.01</v>
      </c>
      <c r="Q64" s="32" t="inlineStr"/>
      <c r="R64" s="31" t="inlineStr">
        <is>
          <t>Earnings / Momentum Support</t>
        </is>
      </c>
      <c r="S64" s="31" t="inlineStr">
        <is>
          <t>Nifty Energy</t>
        </is>
      </c>
      <c r="T64" s="32" t="n">
        <v>8.41</v>
      </c>
      <c r="U64" s="32" t="n">
        <v>32.94</v>
      </c>
      <c r="V64" s="32" t="n">
        <v>22.63</v>
      </c>
      <c r="W64" s="32" t="n">
        <v>17.98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IF(B65=0,"",RANK(B65,$B$2:$B$374,0))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KINGFA</t>
        </is>
      </c>
      <c r="D65" s="31" t="inlineStr">
        <is>
          <t>Kingfa Science &amp; Technology (india) Limited</t>
        </is>
      </c>
      <c r="E65" s="31" t="inlineStr">
        <is>
          <t>plastic products</t>
        </is>
      </c>
      <c r="F65" s="31" t="inlineStr">
        <is>
          <t>plastics products</t>
        </is>
      </c>
      <c r="G65" s="31" t="inlineStr">
        <is>
          <t>midcap</t>
        </is>
      </c>
      <c r="H65" s="32" t="n">
        <v>8059.01</v>
      </c>
      <c r="I65" s="32" t="n">
        <v>6050.5</v>
      </c>
      <c r="J65" s="32" t="n">
        <v>1.74</v>
      </c>
      <c r="K65" s="32" t="n">
        <v>9546</v>
      </c>
      <c r="L65" s="31" t="n">
        <v>55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69.73999999999999</v>
      </c>
      <c r="P65" s="32" t="n">
        <v>35.1</v>
      </c>
      <c r="Q65" s="32" t="inlineStr"/>
      <c r="R65" s="31" t="inlineStr">
        <is>
          <t>Earnings / Momentum Support</t>
        </is>
      </c>
      <c r="S65" s="31" t="inlineStr">
        <is>
          <t>Nifty Infra</t>
        </is>
      </c>
      <c r="T65" s="32" t="n">
        <v>1.74</v>
      </c>
      <c r="U65" s="32" t="n">
        <v>49.6</v>
      </c>
      <c r="V65" s="32" t="n">
        <v>47.04</v>
      </c>
      <c r="W65" s="32" t="n">
        <v>10.82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IF(B66=0,"",RANK(B66,$B$2:$B$374,0))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TBZ</t>
        </is>
      </c>
      <c r="D66" s="31" t="inlineStr">
        <is>
          <t>Tribhovandas Bhimji Zaveri Limited</t>
        </is>
      </c>
      <c r="E66" s="31" t="inlineStr">
        <is>
          <t>consumer discretionary</t>
        </is>
      </c>
      <c r="F66" s="31" t="inlineStr">
        <is>
          <t>diamond cutting / jewellery</t>
        </is>
      </c>
      <c r="G66" s="31" t="inlineStr">
        <is>
          <t>smallcap</t>
        </is>
      </c>
      <c r="H66" s="32" t="n">
        <v>2013.26</v>
      </c>
      <c r="I66" s="32" t="n">
        <v>305.7</v>
      </c>
      <c r="J66" s="32" t="n">
        <v>1.33</v>
      </c>
      <c r="K66" s="32" t="n">
        <v>1158968</v>
      </c>
      <c r="L66" s="31" t="n">
        <v>91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76.52</v>
      </c>
      <c r="P66" s="32" t="n">
        <v>47.14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-1.03</v>
      </c>
      <c r="U66" s="32" t="n">
        <v>64.78</v>
      </c>
      <c r="V66" s="32" t="n">
        <v>66.5</v>
      </c>
      <c r="W66" s="32" t="n">
        <v>31.36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IF(B67=0,"",RANK(B67,$B$2:$B$374,0))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RPEL</t>
        </is>
      </c>
      <c r="D67" s="31" t="inlineStr">
        <is>
          <t>Raghav Productivity Enhancers Ltd</t>
        </is>
      </c>
      <c r="E67" s="31" t="inlineStr">
        <is>
          <t>building materials</t>
        </is>
      </c>
      <c r="F67" s="31" t="inlineStr">
        <is>
          <t>refractories / intermediates</t>
        </is>
      </c>
      <c r="G67" s="31" t="inlineStr">
        <is>
          <t>midcap</t>
        </is>
      </c>
      <c r="H67" s="32" t="n">
        <v>8028.99</v>
      </c>
      <c r="I67" s="32" t="n">
        <v>1771.2</v>
      </c>
      <c r="J67" s="32" t="n">
        <v>1.3</v>
      </c>
      <c r="K67" s="32" t="n">
        <v>122182</v>
      </c>
      <c r="L67" s="31" t="n">
        <v>94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83.65000000000001</v>
      </c>
      <c r="P67" s="32" t="n">
        <v>62.17</v>
      </c>
      <c r="Q67" s="32" t="inlineStr"/>
      <c r="R67" s="31" t="inlineStr">
        <is>
          <t>Earnings / Momentum Support</t>
        </is>
      </c>
      <c r="S67" s="31" t="inlineStr">
        <is>
          <t>Nifty Infra</t>
        </is>
      </c>
      <c r="T67" s="32" t="n">
        <v>1.74</v>
      </c>
      <c r="U67" s="32" t="n">
        <v>89.84999999999999</v>
      </c>
      <c r="V67" s="32" t="n">
        <v>86.59999999999999</v>
      </c>
      <c r="W67" s="32" t="n">
        <v>35.04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IF(B68=0,"",RANK(B68,$B$2:$B$374,0))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KPIL</t>
        </is>
      </c>
      <c r="D68" s="31" t="inlineStr">
        <is>
          <t>Kalpataru Projects International Ltd</t>
        </is>
      </c>
      <c r="E68" s="31" t="inlineStr">
        <is>
          <t>realty</t>
        </is>
      </c>
      <c r="F68" s="31" t="inlineStr">
        <is>
          <t>transmisson line towers / equipment</t>
        </is>
      </c>
      <c r="G68" s="31" t="inlineStr">
        <is>
          <t>largecap</t>
        </is>
      </c>
      <c r="H68" s="32" t="n">
        <v>23674.2</v>
      </c>
      <c r="I68" s="32" t="n">
        <v>1400.9</v>
      </c>
      <c r="J68" s="32" t="n">
        <v>1.05</v>
      </c>
      <c r="K68" s="32" t="n">
        <v>219589</v>
      </c>
      <c r="L68" s="31" t="n">
        <v>24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62.67</v>
      </c>
      <c r="P68" s="32" t="n">
        <v>32.74</v>
      </c>
      <c r="Q68" s="32" t="inlineStr"/>
      <c r="R68" s="31" t="inlineStr">
        <is>
          <t>Earnings / Momentum Support</t>
        </is>
      </c>
      <c r="S68" s="31" t="inlineStr">
        <is>
          <t>Nifty Realty</t>
        </is>
      </c>
      <c r="T68" s="32" t="n">
        <v>-8.119999999999999</v>
      </c>
      <c r="U68" s="32" t="n">
        <v>10.41</v>
      </c>
      <c r="V68" s="32" t="n">
        <v>20.17</v>
      </c>
      <c r="W68" s="32" t="n">
        <v>3.65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IF(B69=0,"",RANK(B69,$B$2:$B$374,0))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MTARTECH</t>
        </is>
      </c>
      <c r="D69" s="31" t="inlineStr">
        <is>
          <t>MTAR Technologies Ltd</t>
        </is>
      </c>
      <c r="E69" s="31" t="inlineStr">
        <is>
          <t>aerospace &amp; defence</t>
        </is>
      </c>
      <c r="F69" s="31" t="inlineStr">
        <is>
          <t>engineering</t>
        </is>
      </c>
      <c r="G69" s="31" t="inlineStr">
        <is>
          <t>largecap</t>
        </is>
      </c>
      <c r="H69" s="32" t="n">
        <v>21522.49</v>
      </c>
      <c r="I69" s="32" t="n">
        <v>7043.5</v>
      </c>
      <c r="J69" s="32" t="n">
        <v>0.66</v>
      </c>
      <c r="K69" s="32" t="n">
        <v>102068</v>
      </c>
      <c r="L69" s="31" t="n">
        <v>97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59.71</v>
      </c>
      <c r="P69" s="32" t="n">
        <v>25.96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-1.03</v>
      </c>
      <c r="U69" s="32" t="n">
        <v>401.22</v>
      </c>
      <c r="V69" s="32" t="n">
        <v>406.43</v>
      </c>
      <c r="W69" s="32" t="n">
        <v>43.26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IF(B70=0,"",RANK(B70,$B$2:$B$374,0))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HITECHCORP</t>
        </is>
      </c>
      <c r="D70" s="31" t="inlineStr">
        <is>
          <t>Hitech Corporation</t>
        </is>
      </c>
      <c r="E70" s="31" t="inlineStr">
        <is>
          <t>industrials</t>
        </is>
      </c>
      <c r="F70" s="31" t="inlineStr">
        <is>
          <t>packaging</t>
        </is>
      </c>
      <c r="G70" s="31" t="inlineStr">
        <is>
          <t>smallcap</t>
        </is>
      </c>
      <c r="H70" s="32" t="n">
        <v>571.95</v>
      </c>
      <c r="I70" s="32" t="n">
        <v>334.6</v>
      </c>
      <c r="J70" s="32" t="n">
        <v>0.48</v>
      </c>
      <c r="K70" s="32" t="n">
        <v>11521</v>
      </c>
      <c r="L70" s="31" t="n">
        <v>84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81.48999999999999</v>
      </c>
      <c r="P70" s="32" t="n">
        <v>67.36</v>
      </c>
      <c r="Q70" s="32" t="inlineStr"/>
      <c r="R70" s="31" t="inlineStr">
        <is>
          <t>Earnings / Momentum Support</t>
        </is>
      </c>
      <c r="S70" s="31" t="inlineStr">
        <is>
          <t>Nifty 50</t>
        </is>
      </c>
      <c r="T70" s="32" t="n">
        <v>-1.03</v>
      </c>
      <c r="U70" s="32" t="n">
        <v>67.89</v>
      </c>
      <c r="V70" s="32" t="n">
        <v>69.63</v>
      </c>
      <c r="W70" s="32" t="n">
        <v>23.26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IF(B71=0,"",RANK(B71,$B$2:$B$374,0))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IGPL</t>
        </is>
      </c>
      <c r="D71" s="31" t="inlineStr">
        <is>
          <t>Ig Petrochemicals Limited</t>
        </is>
      </c>
      <c r="E71" s="31" t="inlineStr">
        <is>
          <t>chemicals</t>
        </is>
      </c>
      <c r="F71" s="31" t="inlineStr">
        <is>
          <t>chemicals</t>
        </is>
      </c>
      <c r="G71" s="31" t="inlineStr">
        <is>
          <t>smallcap</t>
        </is>
      </c>
      <c r="H71" s="32" t="n">
        <v>1639.52</v>
      </c>
      <c r="I71" s="32" t="n">
        <v>534.8</v>
      </c>
      <c r="J71" s="32" t="n">
        <v>0.45</v>
      </c>
      <c r="K71" s="32" t="n">
        <v>131004</v>
      </c>
      <c r="L71" s="31" t="n">
        <v>55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67.69</v>
      </c>
      <c r="P71" s="32" t="n">
        <v>26.01</v>
      </c>
      <c r="Q71" s="32" t="inlineStr"/>
      <c r="R71" s="31" t="inlineStr">
        <is>
          <t>Earnings / Momentum Support</t>
        </is>
      </c>
      <c r="S71" s="31" t="inlineStr">
        <is>
          <t>Nifty IT</t>
        </is>
      </c>
      <c r="T71" s="32" t="n">
        <v>-11.08</v>
      </c>
      <c r="U71" s="32" t="n">
        <v>25.51</v>
      </c>
      <c r="V71" s="32" t="n">
        <v>41.16</v>
      </c>
      <c r="W71" s="32" t="n">
        <v>10.89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IF(B72=0,"",RANK(B72,$B$2:$B$374,0))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NITINSPIN</t>
        </is>
      </c>
      <c r="D72" s="31" t="inlineStr">
        <is>
          <t>Nitin Spinners Limited</t>
        </is>
      </c>
      <c r="E72" s="31" t="inlineStr">
        <is>
          <t>textiles</t>
        </is>
      </c>
      <c r="F72" s="31" t="inlineStr">
        <is>
          <t>textiles - cotton/blended</t>
        </is>
      </c>
      <c r="G72" s="31" t="inlineStr">
        <is>
          <t>smallcap</t>
        </is>
      </c>
      <c r="H72" s="32" t="n">
        <v>3521.62</v>
      </c>
      <c r="I72" s="32" t="n">
        <v>627.4</v>
      </c>
      <c r="J72" s="32" t="n">
        <v>0.16</v>
      </c>
      <c r="K72" s="32" t="n">
        <v>143546</v>
      </c>
      <c r="L72" s="31" t="n">
        <v>75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73.87</v>
      </c>
      <c r="P72" s="32" t="n">
        <v>65.47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-1.03</v>
      </c>
      <c r="U72" s="32" t="n">
        <v>79.79000000000001</v>
      </c>
      <c r="V72" s="32" t="n">
        <v>81.66</v>
      </c>
      <c r="W72" s="32" t="n">
        <v>18.95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IF(B73=0,"",RANK(B73,$B$2:$B$374,0))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CEIGALL</t>
        </is>
      </c>
      <c r="D73" s="31" t="inlineStr">
        <is>
          <t>Ceigall India Ltd</t>
        </is>
      </c>
      <c r="E73" s="31" t="inlineStr">
        <is>
          <t>realty</t>
        </is>
      </c>
      <c r="F73" s="31" t="inlineStr">
        <is>
          <t>construction</t>
        </is>
      </c>
      <c r="G73" s="31" t="inlineStr">
        <is>
          <t>midcap</t>
        </is>
      </c>
      <c r="H73" s="32" t="n">
        <v>5940.39</v>
      </c>
      <c r="I73" s="32" t="n">
        <v>341.35</v>
      </c>
      <c r="J73" s="32" t="n">
        <v>0.1</v>
      </c>
      <c r="K73" s="32" t="n">
        <v>334208</v>
      </c>
      <c r="L73" s="31" t="n">
        <v>43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54.41</v>
      </c>
      <c r="P73" s="32" t="n">
        <v>31.76</v>
      </c>
      <c r="Q73" s="32" t="inlineStr"/>
      <c r="R73" s="31" t="inlineStr">
        <is>
          <t>Earnings / Momentum Support</t>
        </is>
      </c>
      <c r="S73" s="31" t="inlineStr">
        <is>
          <t>Nifty Realty</t>
        </is>
      </c>
      <c r="T73" s="32" t="n">
        <v>-8.119999999999999</v>
      </c>
      <c r="U73" s="32" t="n">
        <v>26.94</v>
      </c>
      <c r="V73" s="32" t="n">
        <v>38.16</v>
      </c>
      <c r="W73" s="32" t="n">
        <v>7.44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IF(B74=0,"",RANK(B74,$B$2:$B$374,0))</f>
        <v/>
      </c>
      <c r="B74" s="32">
        <f>SUM(N74,Y74,AA74,AC74,AE74,AG74,AI74,AK74,AM74,AO74,AQ74,AS74,AU74,AW74,AY74,BA74,BC74,BE74,BG74,BI74,BK74,BM74,BO74,BQ74,BS74,BU74,BW74,BY74,CA74,CC74,CE74)</f>
        <v/>
      </c>
      <c r="C74" s="33" t="inlineStr">
        <is>
          <t>POLYPLEX</t>
        </is>
      </c>
      <c r="D74" s="33" t="inlineStr">
        <is>
          <t>Polyplex Corporation Limited</t>
        </is>
      </c>
      <c r="E74" s="31" t="inlineStr">
        <is>
          <t>industrials</t>
        </is>
      </c>
      <c r="F74" s="31" t="inlineStr">
        <is>
          <t>packaging</t>
        </is>
      </c>
      <c r="G74" s="31" t="inlineStr">
        <is>
          <t>smallcap</t>
        </is>
      </c>
      <c r="H74" s="32" t="n">
        <v>3718.12</v>
      </c>
      <c r="I74" s="32" t="n">
        <v>1182.6</v>
      </c>
      <c r="J74" s="32" t="n">
        <v>-0.15</v>
      </c>
      <c r="K74" s="32" t="n">
        <v>87851</v>
      </c>
      <c r="L74" s="31" t="n">
        <v>27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71.68000000000001</v>
      </c>
      <c r="P74" s="32" t="n">
        <v>55.74</v>
      </c>
      <c r="Q74" s="32" t="inlineStr"/>
      <c r="R74" s="31" t="inlineStr">
        <is>
          <t>Earnings / Momentum Support</t>
        </is>
      </c>
      <c r="S74" s="31" t="inlineStr">
        <is>
          <t>Nifty Infra</t>
        </is>
      </c>
      <c r="T74" s="32" t="n">
        <v>1.74</v>
      </c>
      <c r="U74" s="32" t="n">
        <v>-4.42</v>
      </c>
      <c r="V74" s="32" t="n">
        <v>-6.05</v>
      </c>
      <c r="W74" s="32" t="n">
        <v>4.23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IF(B75=0,"",RANK(B75,$B$2:$B$374,0))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SANGAMIND</t>
        </is>
      </c>
      <c r="D75" s="31" t="inlineStr">
        <is>
          <t>Sangam (india) Limited</t>
        </is>
      </c>
      <c r="E75" s="31" t="inlineStr">
        <is>
          <t>textiles</t>
        </is>
      </c>
      <c r="F75" s="31" t="inlineStr">
        <is>
          <t>textiles - spinning - synthetic / blended</t>
        </is>
      </c>
      <c r="G75" s="31" t="inlineStr">
        <is>
          <t>smallcap</t>
        </is>
      </c>
      <c r="H75" s="32" t="n">
        <v>3030.62</v>
      </c>
      <c r="I75" s="32" t="n">
        <v>600.2</v>
      </c>
      <c r="J75" s="32" t="n">
        <v>-0.49</v>
      </c>
      <c r="K75" s="32" t="n">
        <v>15394</v>
      </c>
      <c r="L75" s="31" t="n">
        <v>65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64.79000000000001</v>
      </c>
      <c r="P75" s="32" t="n">
        <v>47.95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-1.03</v>
      </c>
      <c r="U75" s="32" t="n">
        <v>63.53</v>
      </c>
      <c r="V75" s="32" t="n">
        <v>65.23</v>
      </c>
      <c r="W75" s="32" t="n">
        <v>14.07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IF(B76=0,"",RANK(B76,$B$2:$B$374,0))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SREEL</t>
        </is>
      </c>
      <c r="D76" s="31" t="inlineStr">
        <is>
          <t>Sreeleathers Limited</t>
        </is>
      </c>
      <c r="E76" s="31" t="inlineStr">
        <is>
          <t>consumer discretionary</t>
        </is>
      </c>
      <c r="F76" s="31" t="inlineStr">
        <is>
          <t>trading</t>
        </is>
      </c>
      <c r="G76" s="31" t="inlineStr">
        <is>
          <t>smallcap</t>
        </is>
      </c>
      <c r="H76" s="32" t="n">
        <v>577.67</v>
      </c>
      <c r="I76" s="32" t="n">
        <v>247.8</v>
      </c>
      <c r="J76" s="32" t="n">
        <v>-0.67</v>
      </c>
      <c r="K76" s="32" t="n">
        <v>13275</v>
      </c>
      <c r="L76" s="31" t="n">
        <v>47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70</v>
      </c>
      <c r="P76" s="32" t="n">
        <v>50.31</v>
      </c>
      <c r="Q76" s="32" t="inlineStr"/>
      <c r="R76" s="31" t="inlineStr">
        <is>
          <t>Earnings / Momentum Support</t>
        </is>
      </c>
      <c r="S76" s="31" t="inlineStr">
        <is>
          <t>Nifty 50</t>
        </is>
      </c>
      <c r="T76" s="32" t="n">
        <v>-1.03</v>
      </c>
      <c r="U76" s="32" t="n">
        <v>6.68</v>
      </c>
      <c r="V76" s="32" t="n">
        <v>7.79</v>
      </c>
      <c r="W76" s="32" t="n">
        <v>8.199999999999999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IF(B77=0,"",RANK(B77,$B$2:$B$374,0))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CARTRADE</t>
        </is>
      </c>
      <c r="D77" s="31" t="inlineStr">
        <is>
          <t>Cartrade Tech Ltd</t>
        </is>
      </c>
      <c r="E77" s="31" t="inlineStr">
        <is>
          <t>consumer discretionary</t>
        </is>
      </c>
      <c r="F77" s="31" t="inlineStr">
        <is>
          <t>miscellaneous</t>
        </is>
      </c>
      <c r="G77" s="31" t="inlineStr">
        <is>
          <t>midcap</t>
        </is>
      </c>
      <c r="H77" s="32" t="n">
        <v>14477.02</v>
      </c>
      <c r="I77" s="32" t="n">
        <v>2991.5</v>
      </c>
      <c r="J77" s="32" t="n">
        <v>-0.77</v>
      </c>
      <c r="K77" s="32" t="n">
        <v>358615</v>
      </c>
      <c r="L77" s="31" t="n">
        <v>88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67.84</v>
      </c>
      <c r="P77" s="32" t="n">
        <v>45.81</v>
      </c>
      <c r="Q77" s="32" t="inlineStr"/>
      <c r="R77" s="31" t="inlineStr">
        <is>
          <t>Earnings / Momentum Support</t>
        </is>
      </c>
      <c r="S77" s="31" t="inlineStr">
        <is>
          <t>Nifty 50</t>
        </is>
      </c>
      <c r="T77" s="32" t="n">
        <v>-1.03</v>
      </c>
      <c r="U77" s="32" t="n">
        <v>25.71</v>
      </c>
      <c r="V77" s="32" t="n">
        <v>27.02</v>
      </c>
      <c r="W77" s="32" t="n">
        <v>26.18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IF(B78=0,"",RANK(B78,$B$2:$B$374,0))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SJS</t>
        </is>
      </c>
      <c r="D78" s="31" t="inlineStr">
        <is>
          <t>S J S Enterprises Ltd</t>
        </is>
      </c>
      <c r="E78" s="31" t="inlineStr">
        <is>
          <t>auto</t>
        </is>
      </c>
      <c r="F78" s="31" t="inlineStr">
        <is>
          <t>plastics products</t>
        </is>
      </c>
      <c r="G78" s="31" t="inlineStr">
        <is>
          <t>midcap</t>
        </is>
      </c>
      <c r="H78" s="32" t="n">
        <v>8031.69</v>
      </c>
      <c r="I78" s="32" t="n">
        <v>2488.6</v>
      </c>
      <c r="J78" s="32" t="n">
        <v>-0.83</v>
      </c>
      <c r="K78" s="32" t="n">
        <v>79007</v>
      </c>
      <c r="L78" s="31" t="n">
        <v>74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71.81</v>
      </c>
      <c r="P78" s="32" t="n">
        <v>48.34</v>
      </c>
      <c r="Q78" s="32" t="inlineStr"/>
      <c r="R78" s="31" t="inlineStr">
        <is>
          <t>Earnings / Momentum Support</t>
        </is>
      </c>
      <c r="S78" s="31" t="inlineStr">
        <is>
          <t>Nifty Auto</t>
        </is>
      </c>
      <c r="T78" s="32" t="n">
        <v>13.41</v>
      </c>
      <c r="U78" s="32" t="n">
        <v>76.45</v>
      </c>
      <c r="V78" s="32" t="n">
        <v>55.58</v>
      </c>
      <c r="W78" s="32" t="n">
        <v>18.09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IF(B79=0,"",RANK(B79,$B$2:$B$374,0))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UNIMECH</t>
        </is>
      </c>
      <c r="D79" s="31" t="inlineStr">
        <is>
          <t>Unimech Aerospace and Manufacturing Ltd</t>
        </is>
      </c>
      <c r="E79" s="31" t="inlineStr">
        <is>
          <t>aerospace &amp; defence</t>
        </is>
      </c>
      <c r="F79" s="31" t="inlineStr">
        <is>
          <t>engineering</t>
        </is>
      </c>
      <c r="G79" s="31" t="inlineStr">
        <is>
          <t>midcap</t>
        </is>
      </c>
      <c r="H79" s="32" t="n">
        <v>7644.3</v>
      </c>
      <c r="I79" s="32" t="n">
        <v>1490</v>
      </c>
      <c r="J79" s="32" t="n">
        <v>-0.87</v>
      </c>
      <c r="K79" s="32" t="n">
        <v>317241</v>
      </c>
      <c r="L79" s="31" t="n">
        <v>81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73.23</v>
      </c>
      <c r="P79" s="32" t="n">
        <v>42.04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-1.03</v>
      </c>
      <c r="U79" s="32" t="n">
        <v>43.55</v>
      </c>
      <c r="V79" s="32" t="n">
        <v>45.04</v>
      </c>
      <c r="W79" s="32" t="n">
        <v>22.06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IF(B80=0,"",RANK(B80,$B$2:$B$374,0))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JGCHEM</t>
        </is>
      </c>
      <c r="D80" s="31" t="inlineStr">
        <is>
          <t>J.G.Chemicals Ltd</t>
        </is>
      </c>
      <c r="E80" s="31" t="inlineStr">
        <is>
          <t>chemicals</t>
        </is>
      </c>
      <c r="F80" s="31" t="inlineStr">
        <is>
          <t>chemicals</t>
        </is>
      </c>
      <c r="G80" s="31" t="inlineStr">
        <is>
          <t>smallcap</t>
        </is>
      </c>
      <c r="H80" s="32" t="n">
        <v>2552.19</v>
      </c>
      <c r="I80" s="32" t="n">
        <v>633.3</v>
      </c>
      <c r="J80" s="32" t="n">
        <v>-2.76</v>
      </c>
      <c r="K80" s="32" t="n">
        <v>550496</v>
      </c>
      <c r="L80" s="31" t="n">
        <v>76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80.65000000000001</v>
      </c>
      <c r="P80" s="32" t="n">
        <v>40.91</v>
      </c>
      <c r="Q80" s="32" t="inlineStr"/>
      <c r="R80" s="31" t="inlineStr">
        <is>
          <t>Earnings / Momentum Support</t>
        </is>
      </c>
      <c r="S80" s="31" t="inlineStr">
        <is>
          <t>Nifty 50</t>
        </is>
      </c>
      <c r="T80" s="32" t="n">
        <v>-1.03</v>
      </c>
      <c r="U80" s="32" t="n">
        <v>40.31</v>
      </c>
      <c r="V80" s="32" t="n">
        <v>41.76</v>
      </c>
      <c r="W80" s="32" t="n">
        <v>19.17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IF(B81=0,"",RANK(B81,$B$2:$B$374,0))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KMEW</t>
        </is>
      </c>
      <c r="D81" s="31" t="inlineStr">
        <is>
          <t>Knowledge Marine &amp; Engineering Works Ltd</t>
        </is>
      </c>
      <c r="E81" s="31" t="inlineStr">
        <is>
          <t>transportation</t>
        </is>
      </c>
      <c r="F81" s="31" t="inlineStr">
        <is>
          <t>miscellaneous</t>
        </is>
      </c>
      <c r="G81" s="31" t="inlineStr">
        <is>
          <t>midcap</t>
        </is>
      </c>
      <c r="H81" s="32" t="n">
        <v>7460.1</v>
      </c>
      <c r="I81" s="32" t="n">
        <v>2924.4</v>
      </c>
      <c r="J81" s="32" t="n">
        <v>-4.18</v>
      </c>
      <c r="K81" s="32" t="n">
        <v>197892</v>
      </c>
      <c r="L81" s="31" t="n">
        <v>96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82.02</v>
      </c>
      <c r="P81" s="32" t="n">
        <v>54.17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-1.03</v>
      </c>
      <c r="U81" s="32" t="n">
        <v>224.58</v>
      </c>
      <c r="V81" s="32" t="n">
        <v>227.96</v>
      </c>
      <c r="W81" s="32" t="n">
        <v>40.22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IF(B82=0,"",RANK(B82,$B$2:$B$374,0))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BALRAMCHIN</t>
        </is>
      </c>
      <c r="D82" s="31" t="inlineStr">
        <is>
          <t>Balrampur Chini Mills Limited</t>
        </is>
      </c>
      <c r="E82" s="31" t="inlineStr">
        <is>
          <t>fmcg</t>
        </is>
      </c>
      <c r="F82" s="31" t="inlineStr">
        <is>
          <t>sugar</t>
        </is>
      </c>
      <c r="G82" s="31" t="inlineStr">
        <is>
          <t>midcap</t>
        </is>
      </c>
      <c r="H82" s="32" t="n">
        <v>13834.83</v>
      </c>
      <c r="I82" s="32" t="n">
        <v>693.5</v>
      </c>
      <c r="J82" s="32" t="n">
        <v>5.9</v>
      </c>
      <c r="K82" s="32" t="n">
        <v>39555765</v>
      </c>
      <c r="L82" s="31" t="n">
        <v>37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63.66</v>
      </c>
      <c r="P82" s="32" t="n">
        <v>53.17</v>
      </c>
      <c r="Q82" s="32" t="inlineStr"/>
      <c r="R82" s="31" t="inlineStr">
        <is>
          <t>Volume Spike / Accumulation</t>
        </is>
      </c>
      <c r="S82" s="31" t="inlineStr">
        <is>
          <t>Nifty FMCG</t>
        </is>
      </c>
      <c r="T82" s="32" t="n">
        <v>-13.73</v>
      </c>
      <c r="U82" s="32" t="n">
        <v>-1.41</v>
      </c>
      <c r="V82" s="32" t="n">
        <v>14.28</v>
      </c>
      <c r="W82" s="32" t="n">
        <v>6.14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B2C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IF(B83=0,"",RANK(B83,$B$2:$B$374,0))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SHILPAMED</t>
        </is>
      </c>
      <c r="D83" s="31" t="inlineStr">
        <is>
          <t>Shilpa Medicare Limited</t>
        </is>
      </c>
      <c r="E83" s="31" t="inlineStr">
        <is>
          <t>healthcare</t>
        </is>
      </c>
      <c r="F83" s="31" t="inlineStr">
        <is>
          <t>pharmaceuticals - indian - formulations</t>
        </is>
      </c>
      <c r="G83" s="31" t="inlineStr">
        <is>
          <t>midcap</t>
        </is>
      </c>
      <c r="H83" s="32" t="n">
        <v>17676.68</v>
      </c>
      <c r="I83" s="32" t="n">
        <v>949.3</v>
      </c>
      <c r="J83" s="32" t="n">
        <v>5.03</v>
      </c>
      <c r="K83" s="32" t="n">
        <v>2572207</v>
      </c>
      <c r="L83" s="31" t="n">
        <v>95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90.20999999999999</v>
      </c>
      <c r="P83" s="32" t="n">
        <v>77.7</v>
      </c>
      <c r="Q83" s="32" t="inlineStr"/>
      <c r="R83" s="31" t="inlineStr">
        <is>
          <t>Earnings / Momentum Support</t>
        </is>
      </c>
      <c r="S83" s="31" t="inlineStr">
        <is>
          <t>Nifty Pharma</t>
        </is>
      </c>
      <c r="T83" s="32" t="n">
        <v>23.79</v>
      </c>
      <c r="U83" s="32" t="n">
        <v>113.86</v>
      </c>
      <c r="V83" s="32" t="n">
        <v>72.76000000000001</v>
      </c>
      <c r="W83" s="32" t="n">
        <v>37.98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IF(B84=0,"",RANK(B84,$B$2:$B$374,0))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BAFNAPH</t>
        </is>
      </c>
      <c r="D84" s="31" t="inlineStr">
        <is>
          <t>Bafna Pharmaceuticals Ltd</t>
        </is>
      </c>
      <c r="E84" s="31" t="inlineStr">
        <is>
          <t>healthcare</t>
        </is>
      </c>
      <c r="F84" s="31" t="inlineStr">
        <is>
          <t>pharmaceuticals - indian - formulations</t>
        </is>
      </c>
      <c r="G84" s="31" t="inlineStr">
        <is>
          <t>smallcap</t>
        </is>
      </c>
      <c r="H84" s="32" t="n">
        <v>688.64</v>
      </c>
      <c r="I84" s="32" t="n">
        <v>304.25</v>
      </c>
      <c r="J84" s="32" t="n">
        <v>4.52</v>
      </c>
      <c r="K84" s="32" t="n">
        <v>29517</v>
      </c>
      <c r="L84" s="31" t="n">
        <v>98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71.01000000000001</v>
      </c>
      <c r="P84" s="32" t="n">
        <v>57.47</v>
      </c>
      <c r="Q84" s="32" t="inlineStr"/>
      <c r="R84" s="31" t="inlineStr">
        <is>
          <t>Earnings / Momentum Support</t>
        </is>
      </c>
      <c r="S84" s="31" t="inlineStr">
        <is>
          <t>Nifty Pharma</t>
        </is>
      </c>
      <c r="T84" s="32" t="n">
        <v>23.79</v>
      </c>
      <c r="U84" s="32" t="n">
        <v>180.28</v>
      </c>
      <c r="V84" s="32" t="n">
        <v>126.41</v>
      </c>
      <c r="W84" s="32" t="n">
        <v>56.29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Less than 12%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IF(B85=0,"",RANK(B85,$B$2:$B$374,0))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HNDFDS</t>
        </is>
      </c>
      <c r="D85" s="31" t="inlineStr">
        <is>
          <t>Hindustan Foods Ltd</t>
        </is>
      </c>
      <c r="E85" s="31" t="inlineStr">
        <is>
          <t>fmcg</t>
        </is>
      </c>
      <c r="F85" s="31" t="inlineStr">
        <is>
          <t>diversified - large</t>
        </is>
      </c>
      <c r="G85" s="31" t="inlineStr">
        <is>
          <t>midcap</t>
        </is>
      </c>
      <c r="H85" s="32" t="n">
        <v>7687.17</v>
      </c>
      <c r="I85" s="32" t="n">
        <v>658.2</v>
      </c>
      <c r="J85" s="32" t="n">
        <v>3.74</v>
      </c>
      <c r="K85" s="32" t="n">
        <v>148418</v>
      </c>
      <c r="L85" s="31" t="n">
        <v>18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70.48999999999999</v>
      </c>
      <c r="P85" s="32" t="n">
        <v>40.03</v>
      </c>
      <c r="Q85" s="32" t="inlineStr"/>
      <c r="R85" s="31" t="inlineStr">
        <is>
          <t>Earnings / Momentum Support</t>
        </is>
      </c>
      <c r="S85" s="31" t="inlineStr">
        <is>
          <t>Nifty FMCG</t>
        </is>
      </c>
      <c r="T85" s="32" t="n">
        <v>-13.73</v>
      </c>
      <c r="U85" s="32" t="n">
        <v>-1.7</v>
      </c>
      <c r="V85" s="32" t="n">
        <v>13.95</v>
      </c>
      <c r="W85" s="32" t="n">
        <v>1.82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Between 1.5 to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IF(B86=0,"",RANK(B86,$B$2:$B$374,0))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NESTLEIND</t>
        </is>
      </c>
      <c r="D86" s="31" t="inlineStr">
        <is>
          <t>Nestle India Limited</t>
        </is>
      </c>
      <c r="E86" s="31" t="inlineStr">
        <is>
          <t>fmcg</t>
        </is>
      </c>
      <c r="F86" s="31" t="inlineStr">
        <is>
          <t>food - processing - mnc</t>
        </is>
      </c>
      <c r="G86" s="31" t="inlineStr">
        <is>
          <t>largecap</t>
        </is>
      </c>
      <c r="H86" s="32" t="n">
        <v>280492.6</v>
      </c>
      <c r="I86" s="32" t="n">
        <v>1496.5</v>
      </c>
      <c r="J86" s="32" t="n">
        <v>2.88</v>
      </c>
      <c r="K86" s="32" t="n">
        <v>2320372</v>
      </c>
      <c r="L86" s="31" t="n">
        <v>33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57.31</v>
      </c>
      <c r="P86" s="32" t="n">
        <v>31.33</v>
      </c>
      <c r="Q86" s="32" t="inlineStr"/>
      <c r="R86" s="31" t="inlineStr">
        <is>
          <t>Earnings / Momentum Support</t>
        </is>
      </c>
      <c r="S86" s="31" t="inlineStr">
        <is>
          <t>Nifty FMCG</t>
        </is>
      </c>
      <c r="T86" s="32" t="n">
        <v>-13.73</v>
      </c>
      <c r="U86" s="32" t="n">
        <v>16.64</v>
      </c>
      <c r="V86" s="32" t="n">
        <v>35.2</v>
      </c>
      <c r="W86" s="32" t="n">
        <v>5.54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B2C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Between 1.5 to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IF(B87=0,"",RANK(B87,$B$2:$B$374,0))</f>
        <v/>
      </c>
      <c r="B87" s="32">
        <f>SUM(N87,Y87,AA87,AC87,AE87,AG87,AI87,AK87,AM87,AO87,AQ87,AS87,AU87,AW87,AY87,BA87,BC87,BE87,BG87,BI87,BK87,BM87,BO87,BQ87,BS87,BU87,BW87,BY87,CA87,CC87,CE87)</f>
        <v/>
      </c>
      <c r="C87" s="33" t="inlineStr">
        <is>
          <t>INNOVACAP</t>
        </is>
      </c>
      <c r="D87" s="33" t="inlineStr">
        <is>
          <t>Innova Captab Ltd</t>
        </is>
      </c>
      <c r="E87" s="31" t="inlineStr">
        <is>
          <t>healthcare</t>
        </is>
      </c>
      <c r="F87" s="31" t="inlineStr">
        <is>
          <t>pharmaceuticals - indian - bulk drugs &amp; formln</t>
        </is>
      </c>
      <c r="G87" s="31" t="inlineStr">
        <is>
          <t>midcap</t>
        </is>
      </c>
      <c r="H87" s="32" t="n">
        <v>6037.8</v>
      </c>
      <c r="I87" s="32" t="n">
        <v>1078.1</v>
      </c>
      <c r="J87" s="32" t="n">
        <v>2.18</v>
      </c>
      <c r="K87" s="32" t="n">
        <v>105170</v>
      </c>
      <c r="L87" s="31" t="n">
        <v>52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68.81999999999999</v>
      </c>
      <c r="P87" s="32" t="n">
        <v>61.62</v>
      </c>
      <c r="Q87" s="32" t="inlineStr"/>
      <c r="R87" s="31" t="inlineStr">
        <is>
          <t>Earnings / Momentum Support</t>
        </is>
      </c>
      <c r="S87" s="31" t="inlineStr">
        <is>
          <t>Nifty Pharma</t>
        </is>
      </c>
      <c r="T87" s="32" t="n">
        <v>23.79</v>
      </c>
      <c r="U87" s="32" t="n">
        <v>17.31</v>
      </c>
      <c r="V87" s="32" t="n">
        <v>-5.23</v>
      </c>
      <c r="W87" s="32" t="n">
        <v>9.67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IF(B88=0,"",RANK(B88,$B$2:$B$374,0))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MOREPENLAB</t>
        </is>
      </c>
      <c r="D88" s="31" t="inlineStr">
        <is>
          <t>Morepen Laboratories Limited</t>
        </is>
      </c>
      <c r="E88" s="31" t="inlineStr">
        <is>
          <t>healthcare</t>
        </is>
      </c>
      <c r="F88" s="31" t="inlineStr">
        <is>
          <t>pharmaceuticals - indian - bulk drugs &amp; formln</t>
        </is>
      </c>
      <c r="G88" s="31" t="inlineStr">
        <is>
          <t>midcap</t>
        </is>
      </c>
      <c r="H88" s="32" t="n">
        <v>5818.72</v>
      </c>
      <c r="I88" s="32" t="n">
        <v>107.16</v>
      </c>
      <c r="J88" s="32" t="n">
        <v>0.91</v>
      </c>
      <c r="K88" s="32" t="n">
        <v>41094007</v>
      </c>
      <c r="L88" s="31" t="n">
        <v>98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85.87</v>
      </c>
      <c r="P88" s="32" t="n">
        <v>48.14</v>
      </c>
      <c r="Q88" s="32" t="inlineStr"/>
      <c r="R88" s="31" t="inlineStr">
        <is>
          <t>Earnings / Momentum Support</t>
        </is>
      </c>
      <c r="S88" s="31" t="inlineStr">
        <is>
          <t>Nifty Pharma</t>
        </is>
      </c>
      <c r="T88" s="32" t="n">
        <v>23.79</v>
      </c>
      <c r="U88" s="32" t="n">
        <v>127.73</v>
      </c>
      <c r="V88" s="32" t="n">
        <v>83.95999999999999</v>
      </c>
      <c r="W88" s="32" t="n">
        <v>56.78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IF(B89=0,"",RANK(B89,$B$2:$B$374,0))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INDSWFTLAB</t>
        </is>
      </c>
      <c r="D89" s="31" t="inlineStr">
        <is>
          <t>Ind-swift Laboratories Limited</t>
        </is>
      </c>
      <c r="E89" s="31" t="inlineStr">
        <is>
          <t>healthcare</t>
        </is>
      </c>
      <c r="F89" s="31" t="inlineStr">
        <is>
          <t>pharmaceuticals - indian - bulk drugs &amp; formln</t>
        </is>
      </c>
      <c r="G89" s="31" t="inlineStr">
        <is>
          <t>smallcap</t>
        </is>
      </c>
      <c r="H89" s="32" t="n">
        <v>3156.01</v>
      </c>
      <c r="I89" s="32" t="n">
        <v>364.87</v>
      </c>
      <c r="J89" s="32" t="n">
        <v>0.54</v>
      </c>
      <c r="K89" s="32" t="n">
        <v>667877</v>
      </c>
      <c r="L89" s="31" t="n">
        <v>98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89.25</v>
      </c>
      <c r="P89" s="32" t="n">
        <v>71.73</v>
      </c>
      <c r="Q89" s="32" t="inlineStr"/>
      <c r="R89" s="31" t="inlineStr">
        <is>
          <t>Earnings / Momentum Support</t>
        </is>
      </c>
      <c r="S89" s="31" t="inlineStr">
        <is>
          <t>Nifty Pharma</t>
        </is>
      </c>
      <c r="T89" s="32" t="n">
        <v>23.79</v>
      </c>
      <c r="U89" s="32" t="n">
        <v>277.81</v>
      </c>
      <c r="V89" s="32" t="n">
        <v>205.19</v>
      </c>
      <c r="W89" s="32" t="n">
        <v>66.48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IF(B90=0,"",RANK(B90,$B$2:$B$374,0))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LAURUSLABS</t>
        </is>
      </c>
      <c r="D90" s="31" t="inlineStr">
        <is>
          <t>Laurus Labs Limited</t>
        </is>
      </c>
      <c r="E90" s="31" t="inlineStr">
        <is>
          <t>healthcare</t>
        </is>
      </c>
      <c r="F90" s="31" t="inlineStr">
        <is>
          <t>pharmaceuticals - indian - bulk drugs &amp; formln</t>
        </is>
      </c>
      <c r="G90" s="31" t="inlineStr">
        <is>
          <t>largecap</t>
        </is>
      </c>
      <c r="H90" s="32" t="n">
        <v>104727.38</v>
      </c>
      <c r="I90" s="32" t="n">
        <v>1915</v>
      </c>
      <c r="J90" s="32" t="n">
        <v>-1.21</v>
      </c>
      <c r="K90" s="32" t="n">
        <v>30995343</v>
      </c>
      <c r="L90" s="31" t="n">
        <v>89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83.54000000000001</v>
      </c>
      <c r="P90" s="32" t="n">
        <v>69.86</v>
      </c>
      <c r="Q90" s="32" t="inlineStr"/>
      <c r="R90" s="31" t="inlineStr">
        <is>
          <t>Volume Spike / Accumulation</t>
        </is>
      </c>
      <c r="S90" s="31" t="inlineStr">
        <is>
          <t>Nifty Pharma</t>
        </is>
      </c>
      <c r="T90" s="32" t="n">
        <v>23.79</v>
      </c>
      <c r="U90" s="32" t="n">
        <v>126.63</v>
      </c>
      <c r="V90" s="32" t="n">
        <v>83.08</v>
      </c>
      <c r="W90" s="32" t="n">
        <v>27.23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IF(B91=0,"",RANK(B91,$B$2:$B$374,0))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AYMSYNTEX</t>
        </is>
      </c>
      <c r="D91" s="31" t="inlineStr">
        <is>
          <t>Aym Syntex Limited</t>
        </is>
      </c>
      <c r="E91" s="31" t="inlineStr">
        <is>
          <t>textiles</t>
        </is>
      </c>
      <c r="F91" s="31" t="inlineStr">
        <is>
          <t>textiles - processing</t>
        </is>
      </c>
      <c r="G91" s="31" t="inlineStr">
        <is>
          <t>smallcap</t>
        </is>
      </c>
      <c r="H91" s="32" t="n">
        <v>1494.2</v>
      </c>
      <c r="I91" s="32" t="n">
        <v>280.45</v>
      </c>
      <c r="J91" s="32" t="n">
        <v>10.24</v>
      </c>
      <c r="K91" s="32" t="n">
        <v>1511986</v>
      </c>
      <c r="L91" s="31" t="n">
        <v>49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58.81</v>
      </c>
      <c r="P91" s="32" t="n">
        <v>38.76</v>
      </c>
      <c r="Q91" s="32" t="inlineStr"/>
      <c r="R91" s="31" t="inlineStr">
        <is>
          <t>Volume Spike / Accumulation</t>
        </is>
      </c>
      <c r="S91" s="31" t="inlineStr">
        <is>
          <t>Nifty 50</t>
        </is>
      </c>
      <c r="T91" s="32" t="n">
        <v>-1.03</v>
      </c>
      <c r="U91" s="32" t="n">
        <v>32.51</v>
      </c>
      <c r="V91" s="32" t="n">
        <v>33.89</v>
      </c>
      <c r="W91" s="32" t="n">
        <v>8.970000000000001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IF(B92=0,"",RANK(B92,$B$2:$B$374,0))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AVALON</t>
        </is>
      </c>
      <c r="D92" s="31" t="inlineStr">
        <is>
          <t>Avalon Technologies Ltd</t>
        </is>
      </c>
      <c r="E92" s="31" t="inlineStr">
        <is>
          <t>consumer discretionary</t>
        </is>
      </c>
      <c r="F92" s="31" t="inlineStr">
        <is>
          <t>electronics - components</t>
        </is>
      </c>
      <c r="G92" s="31" t="inlineStr">
        <is>
          <t>midcap</t>
        </is>
      </c>
      <c r="H92" s="32" t="n">
        <v>14910.38</v>
      </c>
      <c r="I92" s="32" t="n">
        <v>2373.3</v>
      </c>
      <c r="J92" s="32" t="n">
        <v>6.34</v>
      </c>
      <c r="K92" s="32" t="n">
        <v>519200</v>
      </c>
      <c r="L92" s="31" t="n">
        <v>92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83.47</v>
      </c>
      <c r="P92" s="32" t="n">
        <v>59.51</v>
      </c>
      <c r="Q92" s="32" t="inlineStr"/>
      <c r="R92" s="31" t="inlineStr">
        <is>
          <t>Earnings / Momentum Support</t>
        </is>
      </c>
      <c r="S92" s="31" t="inlineStr">
        <is>
          <t>Nifty 50</t>
        </is>
      </c>
      <c r="T92" s="32" t="n">
        <v>-1.03</v>
      </c>
      <c r="U92" s="32" t="n">
        <v>168.65</v>
      </c>
      <c r="V92" s="32" t="n">
        <v>171.44</v>
      </c>
      <c r="W92" s="32" t="n">
        <v>32.91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IF(B93=0,"",RANK(B93,$B$2:$B$374,0))</f>
        <v/>
      </c>
      <c r="B93" s="32">
        <f>SUM(N93,Y93,AA93,AC93,AE93,AG93,AI93,AK93,AM93,AO93,AQ93,AS93,AU93,AW93,AY93,BA93,BC93,BE93,BG93,BI93,BK93,BM93,BO93,BQ93,BS93,BU93,BW93,BY93,CA93,CC93,CE93)</f>
        <v/>
      </c>
      <c r="C93" s="33" t="inlineStr">
        <is>
          <t>JAYAGROGN</t>
        </is>
      </c>
      <c r="D93" s="33" t="inlineStr">
        <is>
          <t>Jayant Agro Organics Limited</t>
        </is>
      </c>
      <c r="E93" s="31" t="inlineStr">
        <is>
          <t>chemicals</t>
        </is>
      </c>
      <c r="F93" s="31" t="inlineStr">
        <is>
          <t>chemicals</t>
        </is>
      </c>
      <c r="G93" s="31" t="inlineStr">
        <is>
          <t>smallcap</t>
        </is>
      </c>
      <c r="H93" s="32" t="n">
        <v>669.42</v>
      </c>
      <c r="I93" s="32" t="n">
        <v>232.93</v>
      </c>
      <c r="J93" s="32" t="n">
        <v>4.39</v>
      </c>
      <c r="K93" s="32" t="n">
        <v>18470</v>
      </c>
      <c r="L93" s="31" t="n">
        <v>12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57.82</v>
      </c>
      <c r="P93" s="32" t="n">
        <v>38.07</v>
      </c>
      <c r="Q93" s="32" t="inlineStr"/>
      <c r="R93" s="31" t="inlineStr">
        <is>
          <t>Earnings / Momentum Support</t>
        </is>
      </c>
      <c r="S93" s="31" t="inlineStr">
        <is>
          <t>Nifty 50</t>
        </is>
      </c>
      <c r="T93" s="32" t="n">
        <v>-1.03</v>
      </c>
      <c r="U93" s="32" t="n">
        <v>-5.06</v>
      </c>
      <c r="V93" s="32" t="n">
        <v>-4.07</v>
      </c>
      <c r="W93" s="32" t="n">
        <v>0.25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IF(B94=0,"",RANK(B94,$B$2:$B$374,0))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KPRMILL</t>
        </is>
      </c>
      <c r="D94" s="31" t="inlineStr">
        <is>
          <t>K.p.r. Mill Limited</t>
        </is>
      </c>
      <c r="E94" s="31" t="inlineStr">
        <is>
          <t>consumer discretionary</t>
        </is>
      </c>
      <c r="F94" s="31" t="inlineStr">
        <is>
          <t>textiles - products</t>
        </is>
      </c>
      <c r="G94" s="31" t="inlineStr">
        <is>
          <t>largecap</t>
        </is>
      </c>
      <c r="H94" s="32" t="n">
        <v>38631.82</v>
      </c>
      <c r="I94" s="32" t="n">
        <v>1177.6</v>
      </c>
      <c r="J94" s="32" t="n">
        <v>4.19</v>
      </c>
      <c r="K94" s="32" t="n">
        <v>909149</v>
      </c>
      <c r="L94" s="31" t="n">
        <v>41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59.21</v>
      </c>
      <c r="P94" s="32" t="n">
        <v>48.68</v>
      </c>
      <c r="Q94" s="32" t="inlineStr"/>
      <c r="R94" s="31" t="inlineStr">
        <is>
          <t>Earnings / Momentum Support</t>
        </is>
      </c>
      <c r="S94" s="31" t="inlineStr">
        <is>
          <t>Nifty 500</t>
        </is>
      </c>
      <c r="T94" s="32" t="n">
        <v>4.74</v>
      </c>
      <c r="U94" s="32" t="n">
        <v>15.15</v>
      </c>
      <c r="V94" s="32" t="n">
        <v>9.94</v>
      </c>
      <c r="W94" s="32" t="n">
        <v>6.98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IF(B95=0,"",RANK(B95,$B$2:$B$374,0))</f>
        <v/>
      </c>
      <c r="B95" s="32">
        <f>SUM(N95,Y95,AA95,AC95,AE95,AG95,AI95,AK95,AM95,AO95,AQ95,AS95,AU95,AW95,AY95,BA95,BC95,BE95,BG95,BI95,BK95,BM95,BO95,BQ95,BS95,BU95,BW95,BY95,CA95,CC95,CE95)</f>
        <v/>
      </c>
      <c r="C95" s="33" t="inlineStr">
        <is>
          <t>SSWL</t>
        </is>
      </c>
      <c r="D95" s="33" t="inlineStr">
        <is>
          <t>Steel Strips Wheels Limited</t>
        </is>
      </c>
      <c r="E95" s="31" t="inlineStr">
        <is>
          <t>auto</t>
        </is>
      </c>
      <c r="F95" s="31" t="inlineStr">
        <is>
          <t>auto ancillaries</t>
        </is>
      </c>
      <c r="G95" s="31" t="inlineStr">
        <is>
          <t>smallcap</t>
        </is>
      </c>
      <c r="H95" s="32" t="n">
        <v>4644.68</v>
      </c>
      <c r="I95" s="32" t="n">
        <v>305.65</v>
      </c>
      <c r="J95" s="32" t="n">
        <v>3.43</v>
      </c>
      <c r="K95" s="32" t="n">
        <v>636712</v>
      </c>
      <c r="L95" s="31" t="n">
        <v>35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67.36</v>
      </c>
      <c r="P95" s="32" t="n">
        <v>36.32</v>
      </c>
      <c r="Q95" s="32" t="inlineStr"/>
      <c r="R95" s="31" t="inlineStr">
        <is>
          <t>Earnings / Momentum Support</t>
        </is>
      </c>
      <c r="S95" s="31" t="inlineStr">
        <is>
          <t>Nifty Auto</t>
        </is>
      </c>
      <c r="T95" s="32" t="n">
        <v>13.41</v>
      </c>
      <c r="U95" s="32" t="n">
        <v>4.51</v>
      </c>
      <c r="V95" s="32" t="n">
        <v>-7.85</v>
      </c>
      <c r="W95" s="32" t="n">
        <v>5.81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IF(B96=0,"",RANK(B96,$B$2:$B$374,0))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MOTHERSON</t>
        </is>
      </c>
      <c r="D96" s="31" t="inlineStr">
        <is>
          <t>Samvardhana Motherson International Ltd</t>
        </is>
      </c>
      <c r="E96" s="31" t="inlineStr">
        <is>
          <t>auto</t>
        </is>
      </c>
      <c r="F96" s="31" t="inlineStr">
        <is>
          <t>auto ancillaries</t>
        </is>
      </c>
      <c r="G96" s="31" t="inlineStr">
        <is>
          <t>largecap</t>
        </is>
      </c>
      <c r="H96" s="32" t="n">
        <v>174781.57</v>
      </c>
      <c r="I96" s="32" t="n">
        <v>170.68</v>
      </c>
      <c r="J96" s="32" t="n">
        <v>3.07</v>
      </c>
      <c r="K96" s="32" t="n">
        <v>20098698</v>
      </c>
      <c r="L96" s="31" t="n">
        <v>55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70.23999999999999</v>
      </c>
      <c r="P96" s="32" t="n">
        <v>40.93</v>
      </c>
      <c r="Q96" s="32" t="inlineStr"/>
      <c r="R96" s="31" t="inlineStr">
        <is>
          <t>Earnings / Momentum Support</t>
        </is>
      </c>
      <c r="S96" s="31" t="inlineStr">
        <is>
          <t>Nifty Auto</t>
        </is>
      </c>
      <c r="T96" s="32" t="n">
        <v>13.41</v>
      </c>
      <c r="U96" s="32" t="n">
        <v>43.48</v>
      </c>
      <c r="V96" s="32" t="n">
        <v>26.51</v>
      </c>
      <c r="W96" s="32" t="n">
        <v>10.72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IF(B97=0,"",RANK(B97,$B$2:$B$374,0))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WELSPUNLIV</t>
        </is>
      </c>
      <c r="D97" s="31" t="inlineStr">
        <is>
          <t>Welspun Living Ltd</t>
        </is>
      </c>
      <c r="E97" s="31" t="inlineStr">
        <is>
          <t>textiles</t>
        </is>
      </c>
      <c r="F97" s="31" t="inlineStr">
        <is>
          <t>textiles - products</t>
        </is>
      </c>
      <c r="G97" s="31" t="inlineStr">
        <is>
          <t>midcap</t>
        </is>
      </c>
      <c r="H97" s="32" t="n">
        <v>17993.76</v>
      </c>
      <c r="I97" s="32" t="n">
        <v>196.21</v>
      </c>
      <c r="J97" s="32" t="n">
        <v>3.02</v>
      </c>
      <c r="K97" s="32" t="n">
        <v>3865770</v>
      </c>
      <c r="L97" s="31" t="n">
        <v>79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73.98</v>
      </c>
      <c r="P97" s="32" t="n">
        <v>37.77</v>
      </c>
      <c r="Q97" s="32" t="inlineStr"/>
      <c r="R97" s="31" t="inlineStr">
        <is>
          <t>Earnings / Momentum Support</t>
        </is>
      </c>
      <c r="S97" s="31" t="inlineStr">
        <is>
          <t>Nifty 50</t>
        </is>
      </c>
      <c r="T97" s="32" t="n">
        <v>-1.03</v>
      </c>
      <c r="U97" s="32" t="n">
        <v>74.33</v>
      </c>
      <c r="V97" s="32" t="n">
        <v>76.14</v>
      </c>
      <c r="W97" s="32" t="n">
        <v>21.34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IF(B98=0,"",RANK(B98,$B$2:$B$374,0))</f>
        <v/>
      </c>
      <c r="B98" s="32">
        <f>SUM(N98,Y98,AA98,AC98,AE98,AG98,AI98,AK98,AM98,AO98,AQ98,AS98,AU98,AW98,AY98,BA98,BC98,BE98,BG98,BI98,BK98,BM98,BO98,BQ98,BS98,BU98,BW98,BY98,CA98,CC98,CE98)</f>
        <v/>
      </c>
      <c r="C98" s="33" t="inlineStr">
        <is>
          <t>TTKHLTCARE</t>
        </is>
      </c>
      <c r="D98" s="33" t="inlineStr">
        <is>
          <t>Ttk Healthcare Limited</t>
        </is>
      </c>
      <c r="E98" s="31" t="inlineStr">
        <is>
          <t>miscellaneous</t>
        </is>
      </c>
      <c r="F98" s="31" t="inlineStr">
        <is>
          <t>diversified - medium / small</t>
        </is>
      </c>
      <c r="G98" s="31" t="inlineStr">
        <is>
          <t>smallcap</t>
        </is>
      </c>
      <c r="H98" s="32" t="n">
        <v>1602.66</v>
      </c>
      <c r="I98" s="32" t="n">
        <v>1159.7</v>
      </c>
      <c r="J98" s="32" t="n">
        <v>2.25</v>
      </c>
      <c r="K98" s="32" t="n">
        <v>100491</v>
      </c>
      <c r="L98" s="31" t="n">
        <v>39</v>
      </c>
      <c r="M98" s="31" t="inlineStr">
        <is>
          <t>Underperforming</t>
        </is>
      </c>
      <c r="N98" s="32">
        <f>IF(M98="Underperforming",-5,IF(L98&gt;=95,15,IF(L98&gt;=90,10,IF(L98&gt;=80,5,0))))</f>
        <v/>
      </c>
      <c r="O98" s="32" t="n">
        <v>66.56</v>
      </c>
      <c r="P98" s="32" t="n">
        <v>27.08</v>
      </c>
      <c r="Q98" s="32" t="inlineStr"/>
      <c r="R98" s="31" t="inlineStr">
        <is>
          <t>Earnings / Momentum Support</t>
        </is>
      </c>
      <c r="S98" s="31" t="inlineStr">
        <is>
          <t>Nifty 50</t>
        </is>
      </c>
      <c r="T98" s="32" t="n">
        <v>-1.03</v>
      </c>
      <c r="U98" s="32" t="n">
        <v>-1.1</v>
      </c>
      <c r="V98" s="32" t="n">
        <v>-0.07000000000000001</v>
      </c>
      <c r="W98" s="32" t="n">
        <v>6.57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IF(B99=0,"",RANK(B99,$B$2:$B$374,0))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SETL</t>
        </is>
      </c>
      <c r="D99" s="31" t="inlineStr">
        <is>
          <t>Standard Enginnering Technology Ltd</t>
        </is>
      </c>
      <c r="E99" s="31" t="inlineStr">
        <is>
          <t>industrials</t>
        </is>
      </c>
      <c r="F99" s="31" t="inlineStr">
        <is>
          <t>engineering</t>
        </is>
      </c>
      <c r="G99" s="31" t="inlineStr">
        <is>
          <t>midcap</t>
        </is>
      </c>
      <c r="H99" s="32" t="n">
        <v>7265.49</v>
      </c>
      <c r="I99" s="32" t="n">
        <v>369.5</v>
      </c>
      <c r="J99" s="32" t="n">
        <v>1.46</v>
      </c>
      <c r="K99" s="32" t="n">
        <v>2536650</v>
      </c>
      <c r="L99" s="31" t="n">
        <v>95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87.09</v>
      </c>
      <c r="P99" s="32" t="n">
        <v>62.79</v>
      </c>
      <c r="Q99" s="32" t="inlineStr"/>
      <c r="R99" s="31" t="inlineStr">
        <is>
          <t>Earnings / Momentum Support</t>
        </is>
      </c>
      <c r="S99" s="31" t="inlineStr">
        <is>
          <t>Nifty Infra</t>
        </is>
      </c>
      <c r="T99" s="32" t="n">
        <v>1.74</v>
      </c>
      <c r="U99" s="32" t="n">
        <v>52.76</v>
      </c>
      <c r="V99" s="32" t="n">
        <v>50.14</v>
      </c>
      <c r="W99" s="32" t="n">
        <v>37.4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IF(B100=0,"",RANK(B100,$B$2:$B$374,0))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3" t="inlineStr">
        <is>
          <t>JKPAPER</t>
        </is>
      </c>
      <c r="D100" s="33" t="inlineStr">
        <is>
          <t>Jk Paper Limited</t>
        </is>
      </c>
      <c r="E100" s="31" t="inlineStr">
        <is>
          <t>building materials</t>
        </is>
      </c>
      <c r="F100" s="31" t="inlineStr">
        <is>
          <t>paper</t>
        </is>
      </c>
      <c r="G100" s="31" t="inlineStr">
        <is>
          <t>midcap</t>
        </is>
      </c>
      <c r="H100" s="32" t="n">
        <v>7099.54</v>
      </c>
      <c r="I100" s="32" t="n">
        <v>396.25</v>
      </c>
      <c r="J100" s="32" t="n">
        <v>1.2</v>
      </c>
      <c r="K100" s="32" t="n">
        <v>270778</v>
      </c>
      <c r="L100" s="31" t="n">
        <v>9</v>
      </c>
      <c r="M100" s="31" t="inlineStr">
        <is>
          <t>Underperforming</t>
        </is>
      </c>
      <c r="N100" s="32">
        <f>IF(M100="Underperforming",-5,IF(L100&gt;=95,15,IF(L100&gt;=90,10,IF(L100&gt;=80,5,0))))</f>
        <v/>
      </c>
      <c r="O100" s="32" t="n">
        <v>59.91</v>
      </c>
      <c r="P100" s="32" t="n">
        <v>28.88</v>
      </c>
      <c r="Q100" s="32" t="inlineStr"/>
      <c r="R100" s="31" t="inlineStr">
        <is>
          <t>Earnings / Momentum Support</t>
        </is>
      </c>
      <c r="S100" s="31" t="inlineStr">
        <is>
          <t>Nifty Infra</t>
        </is>
      </c>
      <c r="T100" s="32" t="n">
        <v>1.74</v>
      </c>
      <c r="U100" s="32" t="n">
        <v>-4.04</v>
      </c>
      <c r="V100" s="32" t="n">
        <v>-5.68</v>
      </c>
      <c r="W100" s="32" t="n">
        <v>-0.71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IF(B101=0,"",RANK(B101,$B$2:$B$374,0))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JINDWORLD</t>
        </is>
      </c>
      <c r="D101" s="31" t="inlineStr">
        <is>
          <t>Jindal Worldwide Limited</t>
        </is>
      </c>
      <c r="E101" s="31" t="inlineStr">
        <is>
          <t>textiles</t>
        </is>
      </c>
      <c r="F101" s="31" t="inlineStr">
        <is>
          <t>textiles - products</t>
        </is>
      </c>
      <c r="G101" s="31" t="inlineStr">
        <is>
          <t>smallcap</t>
        </is>
      </c>
      <c r="H101" s="32" t="n">
        <v>3795.85</v>
      </c>
      <c r="I101" s="32" t="n">
        <v>38.31</v>
      </c>
      <c r="J101" s="32" t="n">
        <v>1.19</v>
      </c>
      <c r="K101" s="32" t="n">
        <v>6010851</v>
      </c>
      <c r="L101" s="31" t="n">
        <v>43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62.9</v>
      </c>
      <c r="P101" s="32" t="n">
        <v>37.26</v>
      </c>
      <c r="Q101" s="32" t="inlineStr"/>
      <c r="R101" s="31" t="inlineStr">
        <is>
          <t>Earnings / Momentum Support</t>
        </is>
      </c>
      <c r="S101" s="31" t="inlineStr">
        <is>
          <t>Nifty 50</t>
        </is>
      </c>
      <c r="T101" s="32" t="n">
        <v>-1.03</v>
      </c>
      <c r="U101" s="32" t="n">
        <v>1.8</v>
      </c>
      <c r="V101" s="32" t="n">
        <v>2.86</v>
      </c>
      <c r="W101" s="32" t="n">
        <v>7.33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IF(B102=0,"",RANK(B102,$B$2:$B$374,0))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DIVGIITTS</t>
        </is>
      </c>
      <c r="D102" s="31" t="inlineStr">
        <is>
          <t>Divgi Torqtransfer Systems Ltd</t>
        </is>
      </c>
      <c r="E102" s="31" t="inlineStr">
        <is>
          <t>auto</t>
        </is>
      </c>
      <c r="F102" s="31" t="inlineStr">
        <is>
          <t>auto ancillaries</t>
        </is>
      </c>
      <c r="G102" s="31" t="inlineStr">
        <is>
          <t>smallcap</t>
        </is>
      </c>
      <c r="H102" s="32" t="n">
        <v>3593.95</v>
      </c>
      <c r="I102" s="32" t="n">
        <v>1186.7</v>
      </c>
      <c r="J102" s="32" t="n">
        <v>0.98</v>
      </c>
      <c r="K102" s="32" t="n">
        <v>81341</v>
      </c>
      <c r="L102" s="31" t="n">
        <v>58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67.27</v>
      </c>
      <c r="P102" s="32" t="n">
        <v>53.9</v>
      </c>
      <c r="Q102" s="32" t="inlineStr"/>
      <c r="R102" s="31" t="inlineStr">
        <is>
          <t>Earnings / Momentum Support</t>
        </is>
      </c>
      <c r="S102" s="31" t="inlineStr">
        <is>
          <t>Nifty Auto</t>
        </is>
      </c>
      <c r="T102" s="32" t="n">
        <v>13.41</v>
      </c>
      <c r="U102" s="32" t="n">
        <v>45.56</v>
      </c>
      <c r="V102" s="32" t="n">
        <v>28.35</v>
      </c>
      <c r="W102" s="32" t="n">
        <v>12.18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IF(B103=0,"",RANK(B103,$B$2:$B$374,0))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NAHARINDUS</t>
        </is>
      </c>
      <c r="D103" s="31" t="inlineStr">
        <is>
          <t>Nahar Industrial Enterprises Limited</t>
        </is>
      </c>
      <c r="E103" s="31" t="inlineStr">
        <is>
          <t>textiles</t>
        </is>
      </c>
      <c r="F103" s="31" t="inlineStr">
        <is>
          <t>textiles - cotton/blended</t>
        </is>
      </c>
      <c r="G103" s="31" t="inlineStr">
        <is>
          <t>smallcap</t>
        </is>
      </c>
      <c r="H103" s="32" t="n">
        <v>587.55</v>
      </c>
      <c r="I103" s="32" t="n">
        <v>136.45</v>
      </c>
      <c r="J103" s="32" t="n">
        <v>0.34</v>
      </c>
      <c r="K103" s="32" t="n">
        <v>31994</v>
      </c>
      <c r="L103" s="31" t="n">
        <v>51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66.89</v>
      </c>
      <c r="P103" s="32" t="n">
        <v>28.27</v>
      </c>
      <c r="Q103" s="32" t="inlineStr"/>
      <c r="R103" s="31" t="inlineStr">
        <is>
          <t>Earnings / Momentum Support</t>
        </is>
      </c>
      <c r="S103" s="31" t="inlineStr">
        <is>
          <t>Nifty 50</t>
        </is>
      </c>
      <c r="T103" s="32" t="n">
        <v>-1.03</v>
      </c>
      <c r="U103" s="32" t="n">
        <v>24.54</v>
      </c>
      <c r="V103" s="32" t="n">
        <v>25.84</v>
      </c>
      <c r="W103" s="32" t="n">
        <v>9.25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Between 1.5 to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IF(B104=0,"",RANK(B104,$B$2:$B$374,0))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3" t="inlineStr">
        <is>
          <t>INDIGOPNTS</t>
        </is>
      </c>
      <c r="D104" s="33" t="inlineStr">
        <is>
          <t>Indigo Paints Ltd</t>
        </is>
      </c>
      <c r="E104" s="31" t="inlineStr">
        <is>
          <t>building materials</t>
        </is>
      </c>
      <c r="F104" s="31" t="inlineStr">
        <is>
          <t>paints / varnishes</t>
        </is>
      </c>
      <c r="G104" s="31" t="inlineStr">
        <is>
          <t>midcap</t>
        </is>
      </c>
      <c r="H104" s="32" t="n">
        <v>5491.28</v>
      </c>
      <c r="I104" s="32" t="n">
        <v>1152.9</v>
      </c>
      <c r="J104" s="32" t="n">
        <v>0.1</v>
      </c>
      <c r="K104" s="32" t="n">
        <v>43048</v>
      </c>
      <c r="L104" s="31" t="n">
        <v>33</v>
      </c>
      <c r="M104" s="31" t="inlineStr">
        <is>
          <t>Underperforming</t>
        </is>
      </c>
      <c r="N104" s="32">
        <f>IF(M104="Underperforming",-5,IF(L104&gt;=95,15,IF(L104&gt;=90,10,IF(L104&gt;=80,5,0))))</f>
        <v/>
      </c>
      <c r="O104" s="32" t="n">
        <v>65.15000000000001</v>
      </c>
      <c r="P104" s="32" t="n">
        <v>21.8</v>
      </c>
      <c r="Q104" s="32" t="inlineStr"/>
      <c r="R104" s="31" t="inlineStr">
        <is>
          <t>Earnings / Momentum Support</t>
        </is>
      </c>
      <c r="S104" s="31" t="inlineStr">
        <is>
          <t>Nifty Infra</t>
        </is>
      </c>
      <c r="T104" s="32" t="n">
        <v>1.74</v>
      </c>
      <c r="U104" s="32" t="n">
        <v>-11.05</v>
      </c>
      <c r="V104" s="32" t="n">
        <v>-12.57</v>
      </c>
      <c r="W104" s="32" t="n">
        <v>5.62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IF(B105=0,"",RANK(B105,$B$2:$B$374,0))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ETERNAL</t>
        </is>
      </c>
      <c r="D105" s="31" t="inlineStr">
        <is>
          <t>Eternal Ltd</t>
        </is>
      </c>
      <c r="E105" s="31" t="inlineStr">
        <is>
          <t>i.t</t>
        </is>
      </c>
      <c r="F105" s="31" t="inlineStr">
        <is>
          <t>miscellaneous</t>
        </is>
      </c>
      <c r="G105" s="31" t="inlineStr">
        <is>
          <t>largecap</t>
        </is>
      </c>
      <c r="H105" s="32" t="n">
        <v>316531.5</v>
      </c>
      <c r="I105" s="32" t="n">
        <v>328.1</v>
      </c>
      <c r="J105" s="32" t="n">
        <v>0.03</v>
      </c>
      <c r="K105" s="32" t="n">
        <v>272151922</v>
      </c>
      <c r="L105" s="31" t="n">
        <v>47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68.19</v>
      </c>
      <c r="P105" s="32" t="n">
        <v>24.84</v>
      </c>
      <c r="Q105" s="32" t="inlineStr"/>
      <c r="R105" s="31" t="inlineStr">
        <is>
          <t>Volume Spike / Accumulation</t>
        </is>
      </c>
      <c r="S105" s="31" t="inlineStr">
        <is>
          <t>Nifty IT</t>
        </is>
      </c>
      <c r="T105" s="32" t="n">
        <v>-11.08</v>
      </c>
      <c r="U105" s="32" t="n">
        <v>4.48</v>
      </c>
      <c r="V105" s="32" t="n">
        <v>17.5</v>
      </c>
      <c r="W105" s="32" t="n">
        <v>8.24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IF(B106=0,"",RANK(B106,$B$2:$B$374,0))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PANACHE</t>
        </is>
      </c>
      <c r="D106" s="31" t="inlineStr">
        <is>
          <t>Panache Digilife Ltd</t>
        </is>
      </c>
      <c r="E106" s="31" t="inlineStr">
        <is>
          <t>i.t</t>
        </is>
      </c>
      <c r="F106" s="31" t="inlineStr">
        <is>
          <t>computers - hardware</t>
        </is>
      </c>
      <c r="G106" s="31" t="inlineStr">
        <is>
          <t>smallcap</t>
        </is>
      </c>
      <c r="H106" s="32" t="n">
        <v>849.0599999999999</v>
      </c>
      <c r="I106" s="32" t="n">
        <v>530</v>
      </c>
      <c r="J106" s="32" t="n">
        <v>-0.04</v>
      </c>
      <c r="K106" s="32" t="n">
        <v>2969</v>
      </c>
      <c r="L106" s="31" t="n">
        <v>92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72.31</v>
      </c>
      <c r="P106" s="32" t="n">
        <v>32.7</v>
      </c>
      <c r="Q106" s="32" t="inlineStr"/>
      <c r="R106" s="31" t="inlineStr">
        <is>
          <t>Earnings / Momentum Support</t>
        </is>
      </c>
      <c r="S106" s="31" t="inlineStr">
        <is>
          <t>Nifty IT</t>
        </is>
      </c>
      <c r="T106" s="32" t="n">
        <v>-11.08</v>
      </c>
      <c r="U106" s="32" t="n">
        <v>120.37</v>
      </c>
      <c r="V106" s="32" t="n">
        <v>147.84</v>
      </c>
      <c r="W106" s="32" t="n">
        <v>32.47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IF(B107=0,"",RANK(B107,$B$2:$B$374,0))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WHEELS</t>
        </is>
      </c>
      <c r="D107" s="31" t="inlineStr">
        <is>
          <t>Wheels India Limited</t>
        </is>
      </c>
      <c r="E107" s="31" t="inlineStr">
        <is>
          <t>auto</t>
        </is>
      </c>
      <c r="F107" s="31" t="inlineStr">
        <is>
          <t>auto ancillaries</t>
        </is>
      </c>
      <c r="G107" s="31" t="inlineStr">
        <is>
          <t>smallcap</t>
        </is>
      </c>
      <c r="H107" s="32" t="n">
        <v>3781.5</v>
      </c>
      <c r="I107" s="32" t="n">
        <v>1546.4</v>
      </c>
      <c r="J107" s="32" t="n">
        <v>-0.08</v>
      </c>
      <c r="K107" s="32" t="n">
        <v>117709</v>
      </c>
      <c r="L107" s="31" t="n">
        <v>82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62.08</v>
      </c>
      <c r="P107" s="32" t="n">
        <v>54.02</v>
      </c>
      <c r="Q107" s="32" t="inlineStr"/>
      <c r="R107" s="31" t="inlineStr">
        <is>
          <t>Earnings / Momentum Support</t>
        </is>
      </c>
      <c r="S107" s="31" t="inlineStr">
        <is>
          <t>Nifty Auto</t>
        </is>
      </c>
      <c r="T107" s="32" t="n">
        <v>13.41</v>
      </c>
      <c r="U107" s="32" t="n">
        <v>83.06</v>
      </c>
      <c r="V107" s="32" t="n">
        <v>61.41</v>
      </c>
      <c r="W107" s="32" t="n">
        <v>22.54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IF(B108=0,"",RANK(B108,$B$2:$B$374,0))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3" t="inlineStr">
        <is>
          <t>WSTCSTPAPR</t>
        </is>
      </c>
      <c r="D108" s="33" t="inlineStr">
        <is>
          <t>West Coast Paper Mills Limited</t>
        </is>
      </c>
      <c r="E108" s="31" t="inlineStr">
        <is>
          <t>building materials</t>
        </is>
      </c>
      <c r="F108" s="31" t="inlineStr">
        <is>
          <t>paper</t>
        </is>
      </c>
      <c r="G108" s="31" t="inlineStr">
        <is>
          <t>smallcap</t>
        </is>
      </c>
      <c r="H108" s="32" t="n">
        <v>4045.5</v>
      </c>
      <c r="I108" s="32" t="n">
        <v>611.8</v>
      </c>
      <c r="J108" s="32" t="n">
        <v>-0.11</v>
      </c>
      <c r="K108" s="32" t="n">
        <v>254827</v>
      </c>
      <c r="L108" s="31" t="n">
        <v>14</v>
      </c>
      <c r="M108" s="31" t="inlineStr">
        <is>
          <t>Underperforming</t>
        </is>
      </c>
      <c r="N108" s="32">
        <f>IF(M108="Underperforming",-5,IF(L108&gt;=95,15,IF(L108&gt;=90,10,IF(L108&gt;=80,5,0))))</f>
        <v/>
      </c>
      <c r="O108" s="32" t="n">
        <v>66.81</v>
      </c>
      <c r="P108" s="32" t="n">
        <v>48.5</v>
      </c>
      <c r="Q108" s="32" t="inlineStr"/>
      <c r="R108" s="31" t="inlineStr">
        <is>
          <t>Earnings / Momentum Support</t>
        </is>
      </c>
      <c r="S108" s="31" t="inlineStr">
        <is>
          <t>Nifty Infra</t>
        </is>
      </c>
      <c r="T108" s="32" t="n">
        <v>1.74</v>
      </c>
      <c r="U108" s="32" t="n">
        <v>-6.14</v>
      </c>
      <c r="V108" s="32" t="n">
        <v>-7.75</v>
      </c>
      <c r="W108" s="32" t="n">
        <v>0.65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IF(B109=0,"",RANK(B109,$B$2:$B$374,0))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KDDL</t>
        </is>
      </c>
      <c r="D109" s="31" t="inlineStr">
        <is>
          <t>Kddl Limited</t>
        </is>
      </c>
      <c r="E109" s="31" t="inlineStr">
        <is>
          <t>consumer discretionary</t>
        </is>
      </c>
      <c r="F109" s="31" t="inlineStr">
        <is>
          <t>miscellaneous</t>
        </is>
      </c>
      <c r="G109" s="31" t="inlineStr">
        <is>
          <t>smallcap</t>
        </is>
      </c>
      <c r="H109" s="32" t="n">
        <v>4842.1</v>
      </c>
      <c r="I109" s="32" t="n">
        <v>3929.6</v>
      </c>
      <c r="J109" s="32" t="n">
        <v>-0.19</v>
      </c>
      <c r="K109" s="32" t="n">
        <v>14881</v>
      </c>
      <c r="L109" s="31" t="n">
        <v>77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75.47</v>
      </c>
      <c r="P109" s="32" t="n">
        <v>45.39</v>
      </c>
      <c r="Q109" s="32" t="inlineStr"/>
      <c r="R109" s="31" t="inlineStr">
        <is>
          <t>Earnings / Momentum Support</t>
        </is>
      </c>
      <c r="S109" s="31" t="inlineStr">
        <is>
          <t>Nifty 50</t>
        </is>
      </c>
      <c r="T109" s="32" t="n">
        <v>-1.03</v>
      </c>
      <c r="U109" s="32" t="n">
        <v>66.44</v>
      </c>
      <c r="V109" s="32" t="n">
        <v>68.17</v>
      </c>
      <c r="W109" s="32" t="n">
        <v>20.12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IF(B110=0,"",RANK(B110,$B$2:$B$374,0))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AETHER</t>
        </is>
      </c>
      <c r="D110" s="31" t="inlineStr">
        <is>
          <t>Aether Industries Ltd</t>
        </is>
      </c>
      <c r="E110" s="31" t="inlineStr">
        <is>
          <t>chemicals</t>
        </is>
      </c>
      <c r="F110" s="31" t="inlineStr">
        <is>
          <t>chemicals</t>
        </is>
      </c>
      <c r="G110" s="31" t="inlineStr">
        <is>
          <t>largecap</t>
        </is>
      </c>
      <c r="H110" s="32" t="n">
        <v>22518.67</v>
      </c>
      <c r="I110" s="32" t="n">
        <v>1691.3</v>
      </c>
      <c r="J110" s="32" t="n">
        <v>-0.32</v>
      </c>
      <c r="K110" s="32" t="n">
        <v>354417</v>
      </c>
      <c r="L110" s="31" t="n">
        <v>91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78.26000000000001</v>
      </c>
      <c r="P110" s="32" t="n">
        <v>55.07</v>
      </c>
      <c r="Q110" s="32" t="inlineStr"/>
      <c r="R110" s="31" t="inlineStr">
        <is>
          <t>Earnings / Momentum Support</t>
        </is>
      </c>
      <c r="S110" s="31" t="inlineStr">
        <is>
          <t>Nifty 50</t>
        </is>
      </c>
      <c r="T110" s="32" t="n">
        <v>-1.03</v>
      </c>
      <c r="U110" s="32" t="n">
        <v>130.51</v>
      </c>
      <c r="V110" s="32" t="n">
        <v>132.91</v>
      </c>
      <c r="W110" s="32" t="n">
        <v>30.41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IF(B111=0,"",RANK(B111,$B$2:$B$374,0))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DPABHUSHAN</t>
        </is>
      </c>
      <c r="D111" s="33" t="inlineStr">
        <is>
          <t>D.P. Abhushan Ltd</t>
        </is>
      </c>
      <c r="E111" s="31" t="inlineStr">
        <is>
          <t>consumer discretionary</t>
        </is>
      </c>
      <c r="F111" s="31" t="inlineStr">
        <is>
          <t>diamond cutting / jewellery</t>
        </is>
      </c>
      <c r="G111" s="31" t="inlineStr">
        <is>
          <t>smallcap</t>
        </is>
      </c>
      <c r="H111" s="32" t="n">
        <v>3385.38</v>
      </c>
      <c r="I111" s="32" t="n">
        <v>1475.1</v>
      </c>
      <c r="J111" s="32" t="n">
        <v>-0.53</v>
      </c>
      <c r="K111" s="32" t="n">
        <v>10619</v>
      </c>
      <c r="L111" s="31" t="n">
        <v>63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67.61</v>
      </c>
      <c r="P111" s="32" t="n">
        <v>37.88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-1.03</v>
      </c>
      <c r="U111" s="32" t="n">
        <v>-5.6</v>
      </c>
      <c r="V111" s="32" t="n">
        <v>-4.61</v>
      </c>
      <c r="W111" s="32" t="n">
        <v>13.47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IF(B112=0,"",RANK(B112,$B$2:$B$374,0))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APARINDS</t>
        </is>
      </c>
      <c r="D112" s="31" t="inlineStr">
        <is>
          <t>Apar Industries Limited</t>
        </is>
      </c>
      <c r="E112" s="31" t="inlineStr">
        <is>
          <t>industrials</t>
        </is>
      </c>
      <c r="F112" s="31" t="inlineStr">
        <is>
          <t>electric equipment</t>
        </is>
      </c>
      <c r="G112" s="31" t="inlineStr">
        <is>
          <t>largecap</t>
        </is>
      </c>
      <c r="H112" s="32" t="n">
        <v>74545.32000000001</v>
      </c>
      <c r="I112" s="32" t="n">
        <v>17702</v>
      </c>
      <c r="J112" s="32" t="n">
        <v>-0.57</v>
      </c>
      <c r="K112" s="32" t="n">
        <v>88241</v>
      </c>
      <c r="L112" s="31" t="n">
        <v>87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75.06</v>
      </c>
      <c r="P112" s="32" t="n">
        <v>44.38</v>
      </c>
      <c r="Q112" s="32" t="inlineStr"/>
      <c r="R112" s="31" t="inlineStr">
        <is>
          <t>Earnings / Momentum Support</t>
        </is>
      </c>
      <c r="S112" s="31" t="inlineStr">
        <is>
          <t>Nifty 500</t>
        </is>
      </c>
      <c r="T112" s="32" t="n">
        <v>4.74</v>
      </c>
      <c r="U112" s="32" t="n">
        <v>130.25</v>
      </c>
      <c r="V112" s="32" t="n">
        <v>119.82</v>
      </c>
      <c r="W112" s="32" t="n">
        <v>25.86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IF(B113=0,"",RANK(B113,$B$2:$B$374,0))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KROSS</t>
        </is>
      </c>
      <c r="D113" s="33" t="inlineStr">
        <is>
          <t>Kross Ltd</t>
        </is>
      </c>
      <c r="E113" s="31" t="inlineStr">
        <is>
          <t>auto</t>
        </is>
      </c>
      <c r="F113" s="31" t="inlineStr">
        <is>
          <t>auto ancillaries</t>
        </is>
      </c>
      <c r="G113" s="31" t="inlineStr">
        <is>
          <t>smallcap</t>
        </is>
      </c>
      <c r="H113" s="32" t="n">
        <v>1380.44</v>
      </c>
      <c r="I113" s="32" t="n">
        <v>212.71</v>
      </c>
      <c r="J113" s="32" t="n">
        <v>-0.6</v>
      </c>
      <c r="K113" s="32" t="n">
        <v>295238</v>
      </c>
      <c r="L113" s="31" t="n">
        <v>11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58.64</v>
      </c>
      <c r="P113" s="32" t="n">
        <v>24.94</v>
      </c>
      <c r="Q113" s="32" t="inlineStr"/>
      <c r="R113" s="31" t="inlineStr">
        <is>
          <t>Earnings / Momentum Support</t>
        </is>
      </c>
      <c r="S113" s="31" t="inlineStr">
        <is>
          <t>Nifty Auto</t>
        </is>
      </c>
      <c r="T113" s="32" t="n">
        <v>13.41</v>
      </c>
      <c r="U113" s="32" t="n">
        <v>-0.02</v>
      </c>
      <c r="V113" s="32" t="n">
        <v>-11.84</v>
      </c>
      <c r="W113" s="32" t="n">
        <v>-0.08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IF(B114=0,"",RANK(B114,$B$2:$B$374,0))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MACPOWER</t>
        </is>
      </c>
      <c r="D114" s="31" t="inlineStr">
        <is>
          <t>Macpower CNC Machines Ltd</t>
        </is>
      </c>
      <c r="E114" s="31" t="inlineStr">
        <is>
          <t>industrials</t>
        </is>
      </c>
      <c r="F114" s="31" t="inlineStr">
        <is>
          <t>engineering</t>
        </is>
      </c>
      <c r="G114" s="31" t="inlineStr">
        <is>
          <t>smallcap</t>
        </is>
      </c>
      <c r="H114" s="32" t="n">
        <v>2007.94</v>
      </c>
      <c r="I114" s="32" t="n">
        <v>1989.3</v>
      </c>
      <c r="J114" s="32" t="n">
        <v>-0.89</v>
      </c>
      <c r="K114" s="32" t="n">
        <v>50074</v>
      </c>
      <c r="L114" s="31" t="n">
        <v>97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80.03</v>
      </c>
      <c r="P114" s="32" t="n">
        <v>40.15</v>
      </c>
      <c r="Q114" s="32" t="inlineStr"/>
      <c r="R114" s="31" t="inlineStr">
        <is>
          <t>Earnings / Momentum Support</t>
        </is>
      </c>
      <c r="S114" s="31" t="inlineStr">
        <is>
          <t>Nifty 50</t>
        </is>
      </c>
      <c r="T114" s="32" t="n">
        <v>-1.03</v>
      </c>
      <c r="U114" s="32" t="n">
        <v>148.27</v>
      </c>
      <c r="V114" s="32" t="n">
        <v>150.85</v>
      </c>
      <c r="W114" s="32" t="n">
        <v>46.82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IF(B115=0,"",RANK(B115,$B$2:$B$374,0))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HFCL</t>
        </is>
      </c>
      <c r="D115" s="31" t="inlineStr">
        <is>
          <t>HFCL Ltd</t>
        </is>
      </c>
      <c r="E115" s="31" t="inlineStr">
        <is>
          <t>telecom</t>
        </is>
      </c>
      <c r="F115" s="31" t="inlineStr">
        <is>
          <t>cables - telephone</t>
        </is>
      </c>
      <c r="G115" s="31" t="inlineStr">
        <is>
          <t>largecap</t>
        </is>
      </c>
      <c r="H115" s="32" t="n">
        <v>38490.06</v>
      </c>
      <c r="I115" s="32" t="n">
        <v>249.09</v>
      </c>
      <c r="J115" s="32" t="n">
        <v>-0.95</v>
      </c>
      <c r="K115" s="32" t="n">
        <v>16617911</v>
      </c>
      <c r="L115" s="31" t="n">
        <v>98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81.08</v>
      </c>
      <c r="P115" s="32" t="n">
        <v>62.04</v>
      </c>
      <c r="Q115" s="32" t="inlineStr"/>
      <c r="R115" s="31" t="inlineStr">
        <is>
          <t>Earnings / Momentum Support</t>
        </is>
      </c>
      <c r="S115" s="31" t="inlineStr">
        <is>
          <t>Nifty Infra</t>
        </is>
      </c>
      <c r="T115" s="32" t="n">
        <v>1.74</v>
      </c>
      <c r="U115" s="32" t="n">
        <v>161.74</v>
      </c>
      <c r="V115" s="32" t="n">
        <v>157.26</v>
      </c>
      <c r="W115" s="32" t="n">
        <v>53.93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Oligopoly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IF(B116=0,"",RANK(B116,$B$2:$B$374,0))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SOLARINDS</t>
        </is>
      </c>
      <c r="D116" s="31" t="inlineStr">
        <is>
          <t>Solar Industries India Limited</t>
        </is>
      </c>
      <c r="E116" s="31" t="inlineStr">
        <is>
          <t>aerospace &amp; defence</t>
        </is>
      </c>
      <c r="F116" s="31" t="inlineStr">
        <is>
          <t>chemicals</t>
        </is>
      </c>
      <c r="G116" s="31" t="inlineStr">
        <is>
          <t>largecap</t>
        </is>
      </c>
      <c r="H116" s="32" t="n">
        <v>184599.71</v>
      </c>
      <c r="I116" s="32" t="n">
        <v>20108</v>
      </c>
      <c r="J116" s="32" t="n">
        <v>-1.43</v>
      </c>
      <c r="K116" s="32" t="n">
        <v>100997</v>
      </c>
      <c r="L116" s="31" t="n">
        <v>57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72.70999999999999</v>
      </c>
      <c r="P116" s="32" t="n">
        <v>38.99</v>
      </c>
      <c r="Q116" s="32" t="inlineStr"/>
      <c r="R116" s="31" t="inlineStr">
        <is>
          <t>Earnings / Momentum Support</t>
        </is>
      </c>
      <c r="S116" s="31" t="inlineStr">
        <is>
          <t>Nifty 500</t>
        </is>
      </c>
      <c r="T116" s="32" t="n">
        <v>4.74</v>
      </c>
      <c r="U116" s="32" t="n">
        <v>47.97</v>
      </c>
      <c r="V116" s="32" t="n">
        <v>41.27</v>
      </c>
      <c r="W116" s="32" t="n">
        <v>11.36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IF(B117=0,"",RANK(B117,$B$2:$B$374,0))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MARINE</t>
        </is>
      </c>
      <c r="D117" s="31" t="inlineStr">
        <is>
          <t>Marine Electricals (India) Ltd</t>
        </is>
      </c>
      <c r="E117" s="31" t="inlineStr">
        <is>
          <t>industrials</t>
        </is>
      </c>
      <c r="F117" s="31" t="inlineStr">
        <is>
          <t>electric equipment</t>
        </is>
      </c>
      <c r="G117" s="31" t="inlineStr">
        <is>
          <t>midcap</t>
        </is>
      </c>
      <c r="H117" s="32" t="n">
        <v>5692.94</v>
      </c>
      <c r="I117" s="32" t="n">
        <v>400.85</v>
      </c>
      <c r="J117" s="32" t="n">
        <v>-1.46</v>
      </c>
      <c r="K117" s="32" t="n">
        <v>1844097</v>
      </c>
      <c r="L117" s="31" t="n">
        <v>93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78.95</v>
      </c>
      <c r="P117" s="32" t="n">
        <v>43.25</v>
      </c>
      <c r="Q117" s="32" t="inlineStr"/>
      <c r="R117" s="31" t="inlineStr">
        <is>
          <t>Earnings / Momentum Support</t>
        </is>
      </c>
      <c r="S117" s="31" t="inlineStr">
        <is>
          <t>Nifty 50</t>
        </is>
      </c>
      <c r="T117" s="32" t="n">
        <v>-1.03</v>
      </c>
      <c r="U117" s="32" t="n">
        <v>144.82</v>
      </c>
      <c r="V117" s="32" t="n">
        <v>147.37</v>
      </c>
      <c r="W117" s="32" t="n">
        <v>33.01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Between 1.5 to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IF(B118=0,"",RANK(B118,$B$2:$B$374,0))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IDEA</t>
        </is>
      </c>
      <c r="D118" s="31" t="inlineStr">
        <is>
          <t>Vodafone Idea Ltd</t>
        </is>
      </c>
      <c r="E118" s="31" t="inlineStr">
        <is>
          <t>telecom-service</t>
        </is>
      </c>
      <c r="F118" s="31" t="inlineStr">
        <is>
          <t>telecommunications - service provider</t>
        </is>
      </c>
      <c r="G118" s="31" t="inlineStr">
        <is>
          <t>largecap</t>
        </is>
      </c>
      <c r="H118" s="32" t="n">
        <v>159047.58</v>
      </c>
      <c r="I118" s="32" t="n">
        <v>14.33</v>
      </c>
      <c r="J118" s="32" t="n">
        <v>-2.38</v>
      </c>
      <c r="K118" s="32" t="n">
        <v>419238465</v>
      </c>
      <c r="L118" s="31" t="n">
        <v>78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64.79000000000001</v>
      </c>
      <c r="P118" s="32" t="n">
        <v>34.61</v>
      </c>
      <c r="Q118" s="32" t="inlineStr"/>
      <c r="R118" s="31" t="inlineStr">
        <is>
          <t>Earnings / Momentum Support</t>
        </is>
      </c>
      <c r="S118" s="31" t="inlineStr">
        <is>
          <t>Nifty 50</t>
        </is>
      </c>
      <c r="T118" s="32" t="n">
        <v>-1.03</v>
      </c>
      <c r="U118" s="32" t="n">
        <v>126.19</v>
      </c>
      <c r="V118" s="32" t="n">
        <v>128.54</v>
      </c>
      <c r="W118" s="32" t="n">
        <v>20.35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Oligopoly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IF(B119=0,"",RANK(B119,$B$2:$B$374,0))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FINCABLES</t>
        </is>
      </c>
      <c r="D119" s="31" t="inlineStr">
        <is>
          <t>Finolex Cables Limited</t>
        </is>
      </c>
      <c r="E119" s="31" t="inlineStr">
        <is>
          <t>industrials</t>
        </is>
      </c>
      <c r="F119" s="31" t="inlineStr">
        <is>
          <t>cables - power</t>
        </is>
      </c>
      <c r="G119" s="31" t="inlineStr">
        <is>
          <t>midcap</t>
        </is>
      </c>
      <c r="H119" s="32" t="n">
        <v>19850</v>
      </c>
      <c r="I119" s="32" t="n">
        <v>1247.15</v>
      </c>
      <c r="J119" s="32" t="n">
        <v>-3.91</v>
      </c>
      <c r="K119" s="32" t="n">
        <v>1132169</v>
      </c>
      <c r="L119" s="31" t="n">
        <v>27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68.19</v>
      </c>
      <c r="P119" s="32" t="n">
        <v>35.42</v>
      </c>
      <c r="Q119" s="32" t="inlineStr"/>
      <c r="R119" s="31" t="inlineStr">
        <is>
          <t>Earnings / Momentum Support</t>
        </is>
      </c>
      <c r="S119" s="31" t="inlineStr">
        <is>
          <t>Nifty Energy</t>
        </is>
      </c>
      <c r="T119" s="32" t="n">
        <v>8.41</v>
      </c>
      <c r="U119" s="32" t="n">
        <v>10.55</v>
      </c>
      <c r="V119" s="32" t="n">
        <v>1.98</v>
      </c>
      <c r="W119" s="32" t="n">
        <v>4.32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IF(B120=0,"",RANK(B120,$B$2:$B$374,0))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BLISSGVS</t>
        </is>
      </c>
      <c r="D120" s="31" t="inlineStr">
        <is>
          <t>Bliss Gvs Pharma Limited</t>
        </is>
      </c>
      <c r="E120" s="31" t="inlineStr">
        <is>
          <t>healthcare</t>
        </is>
      </c>
      <c r="F120" s="31" t="inlineStr">
        <is>
          <t>pharmaceuticals - indian - formulations</t>
        </is>
      </c>
      <c r="G120" s="31" t="inlineStr">
        <is>
          <t>midcap</t>
        </is>
      </c>
      <c r="H120" s="32" t="n">
        <v>6237.17</v>
      </c>
      <c r="I120" s="32" t="n">
        <v>616.75</v>
      </c>
      <c r="J120" s="32" t="n">
        <v>4.87</v>
      </c>
      <c r="K120" s="32" t="n">
        <v>746998</v>
      </c>
      <c r="L120" s="31" t="n">
        <v>96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82.88</v>
      </c>
      <c r="P120" s="32" t="n">
        <v>74.43000000000001</v>
      </c>
      <c r="Q120" s="32" t="inlineStr"/>
      <c r="R120" s="31" t="inlineStr">
        <is>
          <t>Earnings / Momentum Support</t>
        </is>
      </c>
      <c r="S120" s="31" t="inlineStr">
        <is>
          <t>Nifty Pharma</t>
        </is>
      </c>
      <c r="T120" s="32" t="n">
        <v>23.79</v>
      </c>
      <c r="U120" s="32" t="n">
        <v>279.27</v>
      </c>
      <c r="V120" s="32" t="n">
        <v>206.38</v>
      </c>
      <c r="W120" s="32" t="n">
        <v>42.46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Yes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Between 12 to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IF(B121=0,"",RANK(B121,$B$2:$B$374,0))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VIJAYA</t>
        </is>
      </c>
      <c r="D121" s="31" t="inlineStr">
        <is>
          <t>Vijaya Diagnostic Centre Ltd</t>
        </is>
      </c>
      <c r="E121" s="31" t="inlineStr">
        <is>
          <t>healthcare</t>
        </is>
      </c>
      <c r="F121" s="31" t="inlineStr">
        <is>
          <t>healthcare</t>
        </is>
      </c>
      <c r="G121" s="31" t="inlineStr">
        <is>
          <t>midcap</t>
        </is>
      </c>
      <c r="H121" s="32" t="n">
        <v>14945.75</v>
      </c>
      <c r="I121" s="32" t="n">
        <v>1518.4</v>
      </c>
      <c r="J121" s="32" t="n">
        <v>4.54</v>
      </c>
      <c r="K121" s="32" t="n">
        <v>336878</v>
      </c>
      <c r="L121" s="31" t="n">
        <v>54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65.33</v>
      </c>
      <c r="P121" s="32" t="n">
        <v>59.59</v>
      </c>
      <c r="Q121" s="32" t="inlineStr"/>
      <c r="R121" s="31" t="inlineStr">
        <is>
          <t>Earnings / Momentum Support</t>
        </is>
      </c>
      <c r="S121" s="31" t="inlineStr">
        <is>
          <t>Nifty Pharma</t>
        </is>
      </c>
      <c r="T121" s="32" t="n">
        <v>23.79</v>
      </c>
      <c r="U121" s="32" t="n">
        <v>44.13</v>
      </c>
      <c r="V121" s="32" t="n">
        <v>16.43</v>
      </c>
      <c r="W121" s="32" t="n">
        <v>10.39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IF(B122=0,"",RANK(B122,$B$2:$B$374,0))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3" t="inlineStr">
        <is>
          <t>SUNPHARMA</t>
        </is>
      </c>
      <c r="D122" s="33" t="inlineStr">
        <is>
          <t>Sun Pharmaceuticals Industries Limited</t>
        </is>
      </c>
      <c r="E122" s="31" t="inlineStr">
        <is>
          <t>healthcare</t>
        </is>
      </c>
      <c r="F122" s="31" t="inlineStr">
        <is>
          <t>pharmaceuticals - indian - bulk drugs &amp; formln</t>
        </is>
      </c>
      <c r="G122" s="31" t="inlineStr">
        <is>
          <t>largecap</t>
        </is>
      </c>
      <c r="H122" s="32" t="n">
        <v>460672.31</v>
      </c>
      <c r="I122" s="32" t="n">
        <v>1984.8</v>
      </c>
      <c r="J122" s="32" t="n">
        <v>3.38</v>
      </c>
      <c r="K122" s="32" t="n">
        <v>2413221</v>
      </c>
      <c r="L122" s="31" t="n">
        <v>33</v>
      </c>
      <c r="M122" s="31" t="inlineStr">
        <is>
          <t>Underperforming</t>
        </is>
      </c>
      <c r="N122" s="32">
        <f>IF(M122="Underperforming",-5,IF(L122&gt;=95,15,IF(L122&gt;=90,10,IF(L122&gt;=80,5,0))))</f>
        <v/>
      </c>
      <c r="O122" s="32" t="n">
        <v>58.89</v>
      </c>
      <c r="P122" s="32" t="n">
        <v>27.91</v>
      </c>
      <c r="Q122" s="32" t="inlineStr"/>
      <c r="R122" s="31" t="inlineStr">
        <is>
          <t>Earnings / Momentum Support</t>
        </is>
      </c>
      <c r="S122" s="31" t="inlineStr">
        <is>
          <t>Nifty Pharma</t>
        </is>
      </c>
      <c r="T122" s="32" t="n">
        <v>23.79</v>
      </c>
      <c r="U122" s="32" t="n">
        <v>21.51</v>
      </c>
      <c r="V122" s="32" t="n">
        <v>-1.84</v>
      </c>
      <c r="W122" s="32" t="n">
        <v>5.58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IF(B123=0,"",RANK(B123,$B$2:$B$374,0))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DIVISLAB</t>
        </is>
      </c>
      <c r="D123" s="31" t="inlineStr">
        <is>
          <t>Divi's Laboratories Limited</t>
        </is>
      </c>
      <c r="E123" s="31" t="inlineStr">
        <is>
          <t>healthcare</t>
        </is>
      </c>
      <c r="F123" s="31" t="inlineStr">
        <is>
          <t>pharmaceuticals - indian - bulk drugs</t>
        </is>
      </c>
      <c r="G123" s="31" t="inlineStr">
        <is>
          <t>largecap</t>
        </is>
      </c>
      <c r="H123" s="32" t="n">
        <v>245266.42</v>
      </c>
      <c r="I123" s="32" t="n">
        <v>9467</v>
      </c>
      <c r="J123" s="32" t="n">
        <v>2.47</v>
      </c>
      <c r="K123" s="32" t="n">
        <v>680805</v>
      </c>
      <c r="L123" s="31" t="n">
        <v>71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87.89</v>
      </c>
      <c r="P123" s="32" t="n">
        <v>40.84</v>
      </c>
      <c r="Q123" s="32" t="inlineStr"/>
      <c r="R123" s="31" t="inlineStr">
        <is>
          <t>Earnings / Momentum Support</t>
        </is>
      </c>
      <c r="S123" s="31" t="inlineStr">
        <is>
          <t>Nifty Pharma</t>
        </is>
      </c>
      <c r="T123" s="32" t="n">
        <v>23.79</v>
      </c>
      <c r="U123" s="32" t="n">
        <v>51.3</v>
      </c>
      <c r="V123" s="32" t="n">
        <v>22.22</v>
      </c>
      <c r="W123" s="32" t="n">
        <v>17.38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IF(B124=0,"",RANK(B124,$B$2:$B$374,0))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SUBEXLTD</t>
        </is>
      </c>
      <c r="D124" s="31" t="inlineStr">
        <is>
          <t>Subex Ltd</t>
        </is>
      </c>
      <c r="E124" s="31" t="inlineStr">
        <is>
          <t>i.t</t>
        </is>
      </c>
      <c r="F124" s="31" t="inlineStr">
        <is>
          <t>computers - software - medium / small</t>
        </is>
      </c>
      <c r="G124" s="31" t="inlineStr">
        <is>
          <t>smallcap</t>
        </is>
      </c>
      <c r="H124" s="32" t="n">
        <v>1018.91</v>
      </c>
      <c r="I124" s="32" t="n">
        <v>18.48</v>
      </c>
      <c r="J124" s="32" t="n">
        <v>1.93</v>
      </c>
      <c r="K124" s="32" t="n">
        <v>3529283</v>
      </c>
      <c r="L124" s="31" t="n">
        <v>87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74.04000000000001</v>
      </c>
      <c r="P124" s="32" t="n">
        <v>32.69</v>
      </c>
      <c r="Q124" s="32" t="inlineStr"/>
      <c r="R124" s="31" t="inlineStr">
        <is>
          <t>Earnings / Momentum Support</t>
        </is>
      </c>
      <c r="S124" s="31" t="inlineStr">
        <is>
          <t>Nifty IT</t>
        </is>
      </c>
      <c r="T124" s="32" t="n">
        <v>-11.08</v>
      </c>
      <c r="U124" s="32" t="n">
        <v>44.92</v>
      </c>
      <c r="V124" s="32" t="n">
        <v>62.99</v>
      </c>
      <c r="W124" s="32" t="n">
        <v>25.52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Between 12 to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IF(B125=0,"",RANK(B125,$B$2:$B$374,0))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3" t="inlineStr">
        <is>
          <t>SOLARA</t>
        </is>
      </c>
      <c r="D125" s="33" t="inlineStr">
        <is>
          <t>Solara Active Pharma Sciences Ltd</t>
        </is>
      </c>
      <c r="E125" s="31" t="inlineStr">
        <is>
          <t>healthcare</t>
        </is>
      </c>
      <c r="F125" s="31" t="inlineStr">
        <is>
          <t>pharmaceuticals - indian - bulk drugs &amp; formln</t>
        </is>
      </c>
      <c r="G125" s="31" t="inlineStr">
        <is>
          <t>smallcap</t>
        </is>
      </c>
      <c r="H125" s="32" t="n">
        <v>3009.1</v>
      </c>
      <c r="I125" s="32" t="n">
        <v>632.65</v>
      </c>
      <c r="J125" s="32" t="n">
        <v>1.44</v>
      </c>
      <c r="K125" s="32" t="n">
        <v>225921</v>
      </c>
      <c r="L125" s="31" t="n">
        <v>28</v>
      </c>
      <c r="M125" s="31" t="inlineStr">
        <is>
          <t>Underperforming</t>
        </is>
      </c>
      <c r="N125" s="32">
        <f>IF(M125="Underperforming",-5,IF(L125&gt;=95,15,IF(L125&gt;=90,10,IF(L125&gt;=80,5,0))))</f>
        <v/>
      </c>
      <c r="O125" s="32" t="n">
        <v>61.38</v>
      </c>
      <c r="P125" s="32" t="n">
        <v>26.04</v>
      </c>
      <c r="Q125" s="32" t="inlineStr"/>
      <c r="R125" s="31" t="inlineStr">
        <is>
          <t>Earnings / Momentum Support</t>
        </is>
      </c>
      <c r="S125" s="31" t="inlineStr">
        <is>
          <t>Nifty Pharma</t>
        </is>
      </c>
      <c r="T125" s="32" t="n">
        <v>23.79</v>
      </c>
      <c r="U125" s="32" t="n">
        <v>1.75</v>
      </c>
      <c r="V125" s="32" t="n">
        <v>-17.8</v>
      </c>
      <c r="W125" s="32" t="n">
        <v>4.64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IF(B126=0,"",RANK(B126,$B$2:$B$374,0))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3" t="inlineStr">
        <is>
          <t>SYNCOMF</t>
        </is>
      </c>
      <c r="D126" s="33" t="inlineStr">
        <is>
          <t>Syncom Formulations (India) Ltd</t>
        </is>
      </c>
      <c r="E126" s="31" t="inlineStr">
        <is>
          <t>healthcare</t>
        </is>
      </c>
      <c r="F126" s="31" t="inlineStr">
        <is>
          <t>pharmaceuticals - indian - bulk drugs &amp; formln</t>
        </is>
      </c>
      <c r="G126" s="31" t="inlineStr">
        <is>
          <t>smallcap</t>
        </is>
      </c>
      <c r="H126" s="32" t="n">
        <v>1829.24</v>
      </c>
      <c r="I126" s="32" t="n">
        <v>19.49</v>
      </c>
      <c r="J126" s="32" t="n">
        <v>0.15</v>
      </c>
      <c r="K126" s="32" t="n">
        <v>16267062</v>
      </c>
      <c r="L126" s="31" t="n">
        <v>54</v>
      </c>
      <c r="M126" s="31" t="inlineStr">
        <is>
          <t>Underperforming</t>
        </is>
      </c>
      <c r="N126" s="32">
        <f>IF(M126="Underperforming",-5,IF(L126&gt;=95,15,IF(L126&gt;=90,10,IF(L126&gt;=80,5,0))))</f>
        <v/>
      </c>
      <c r="O126" s="32" t="n">
        <v>74.29000000000001</v>
      </c>
      <c r="P126" s="32" t="n">
        <v>22.94</v>
      </c>
      <c r="Q126" s="32" t="inlineStr"/>
      <c r="R126" s="31" t="inlineStr">
        <is>
          <t>Earnings / Momentum Support</t>
        </is>
      </c>
      <c r="S126" s="31" t="inlineStr">
        <is>
          <t>Nifty Pharma</t>
        </is>
      </c>
      <c r="T126" s="32" t="n">
        <v>23.79</v>
      </c>
      <c r="U126" s="32" t="n">
        <v>16.32</v>
      </c>
      <c r="V126" s="32" t="n">
        <v>-6.04</v>
      </c>
      <c r="W126" s="32" t="n">
        <v>10.38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IF(B127=0,"",RANK(B127,$B$2:$B$374,0))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BANARISUG</t>
        </is>
      </c>
      <c r="D127" s="31" t="inlineStr">
        <is>
          <t>Bannari Amman Sugars Limited</t>
        </is>
      </c>
      <c r="E127" s="31" t="inlineStr">
        <is>
          <t>fmcg</t>
        </is>
      </c>
      <c r="F127" s="31" t="inlineStr">
        <is>
          <t>sugar</t>
        </is>
      </c>
      <c r="G127" s="31" t="inlineStr">
        <is>
          <t>smallcap</t>
        </is>
      </c>
      <c r="H127" s="32" t="n">
        <v>4928.98</v>
      </c>
      <c r="I127" s="32" t="n">
        <v>3925.7</v>
      </c>
      <c r="J127" s="32" t="n">
        <v>-0.13</v>
      </c>
      <c r="K127" s="32" t="n">
        <v>5097</v>
      </c>
      <c r="L127" s="31" t="n">
        <v>5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65.58</v>
      </c>
      <c r="P127" s="32" t="n">
        <v>29.58</v>
      </c>
      <c r="Q127" s="32" t="inlineStr"/>
      <c r="R127" s="31" t="inlineStr">
        <is>
          <t>Earnings / Momentum Support</t>
        </is>
      </c>
      <c r="S127" s="31" t="inlineStr">
        <is>
          <t>Nifty FMCG</t>
        </is>
      </c>
      <c r="T127" s="32" t="n">
        <v>-13.73</v>
      </c>
      <c r="U127" s="32" t="n">
        <v>-8.01</v>
      </c>
      <c r="V127" s="32" t="n">
        <v>6.63</v>
      </c>
      <c r="W127" s="32" t="n">
        <v>-2.32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B2C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IF(B128=0,"",RANK(B128,$B$2:$B$374,0))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ZIMLAB</t>
        </is>
      </c>
      <c r="D128" s="31" t="inlineStr">
        <is>
          <t>Zim Laboratories Ltd</t>
        </is>
      </c>
      <c r="E128" s="31" t="inlineStr">
        <is>
          <t>healthcare</t>
        </is>
      </c>
      <c r="F128" s="31" t="inlineStr">
        <is>
          <t>pharmaceuticals - indian - bulk drugs &amp; formln</t>
        </is>
      </c>
      <c r="G128" s="31" t="inlineStr">
        <is>
          <t>smallcap</t>
        </is>
      </c>
      <c r="H128" s="32" t="n">
        <v>671.83</v>
      </c>
      <c r="I128" s="32" t="n">
        <v>122.69</v>
      </c>
      <c r="J128" s="32" t="n">
        <v>-2.21</v>
      </c>
      <c r="K128" s="32" t="n">
        <v>78786</v>
      </c>
      <c r="L128" s="31" t="n">
        <v>70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66.59</v>
      </c>
      <c r="P128" s="32" t="n">
        <v>60.61</v>
      </c>
      <c r="Q128" s="32" t="inlineStr"/>
      <c r="R128" s="31" t="inlineStr">
        <is>
          <t>Earnings / Momentum Support</t>
        </is>
      </c>
      <c r="S128" s="31" t="inlineStr">
        <is>
          <t>Nifty Pharma</t>
        </is>
      </c>
      <c r="T128" s="32" t="n">
        <v>23.79</v>
      </c>
      <c r="U128" s="32" t="n">
        <v>66.39</v>
      </c>
      <c r="V128" s="32" t="n">
        <v>34.41</v>
      </c>
      <c r="W128" s="32" t="n">
        <v>16.86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IF(B129=0,"",RANK(B129,$B$2:$B$374,0))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KRBL</t>
        </is>
      </c>
      <c r="D129" s="31" t="inlineStr">
        <is>
          <t>Krbl Limited</t>
        </is>
      </c>
      <c r="E129" s="31" t="inlineStr">
        <is>
          <t>fmcg</t>
        </is>
      </c>
      <c r="F129" s="31" t="inlineStr">
        <is>
          <t>food - processing - indian</t>
        </is>
      </c>
      <c r="G129" s="31" t="inlineStr">
        <is>
          <t>midcap</t>
        </is>
      </c>
      <c r="H129" s="32" t="n">
        <v>10017.37</v>
      </c>
      <c r="I129" s="32" t="n">
        <v>422.25</v>
      </c>
      <c r="J129" s="32" t="n">
        <v>-3.52</v>
      </c>
      <c r="K129" s="32" t="n">
        <v>731450</v>
      </c>
      <c r="L129" s="31" t="n">
        <v>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68.98</v>
      </c>
      <c r="P129" s="32" t="n">
        <v>12.5</v>
      </c>
      <c r="Q129" s="32" t="inlineStr"/>
      <c r="R129" s="31" t="inlineStr">
        <is>
          <t>Earnings / Momentum Support</t>
        </is>
      </c>
      <c r="S129" s="31" t="inlineStr">
        <is>
          <t>Nifty FMCG</t>
        </is>
      </c>
      <c r="T129" s="32" t="n">
        <v>-13.73</v>
      </c>
      <c r="U129" s="32" t="n">
        <v>-11.1</v>
      </c>
      <c r="V129" s="32" t="n">
        <v>3.05</v>
      </c>
      <c r="W129" s="32" t="n">
        <v>-1.82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B2C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IF(B130=0,"",RANK(B130,$B$2:$B$374,0))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LOKESHMACH</t>
        </is>
      </c>
      <c r="D130" s="31" t="inlineStr">
        <is>
          <t>Lokesh Machines Limited</t>
        </is>
      </c>
      <c r="E130" s="31" t="inlineStr">
        <is>
          <t>industrials</t>
        </is>
      </c>
      <c r="F130" s="31" t="inlineStr">
        <is>
          <t>engineering</t>
        </is>
      </c>
      <c r="G130" s="31" t="inlineStr">
        <is>
          <t>smallcap</t>
        </is>
      </c>
      <c r="H130" s="32" t="n">
        <v>681.04</v>
      </c>
      <c r="I130" s="32" t="n">
        <v>345.25</v>
      </c>
      <c r="J130" s="32" t="n">
        <v>10.5</v>
      </c>
      <c r="K130" s="32" t="n">
        <v>351870</v>
      </c>
      <c r="L130" s="31" t="n">
        <v>69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60.94</v>
      </c>
      <c r="P130" s="32" t="n">
        <v>41.37</v>
      </c>
      <c r="Q130" s="32" t="inlineStr"/>
      <c r="R130" s="31" t="inlineStr">
        <is>
          <t>Volume Spike / Accumulation</t>
        </is>
      </c>
      <c r="S130" s="31" t="inlineStr">
        <is>
          <t>Nifty 50</t>
        </is>
      </c>
      <c r="T130" s="32" t="n">
        <v>-1.03</v>
      </c>
      <c r="U130" s="32" t="n">
        <v>52.1</v>
      </c>
      <c r="V130" s="32" t="n">
        <v>53.68</v>
      </c>
      <c r="W130" s="32" t="n">
        <v>15.74</v>
      </c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IF(B131=0,"",RANK(B131,$B$2:$B$374,0))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COMSYN</t>
        </is>
      </c>
      <c r="D131" s="31" t="inlineStr">
        <is>
          <t>Commercial Syn Bags Ltd</t>
        </is>
      </c>
      <c r="E131" s="31" t="inlineStr">
        <is>
          <t>industrials</t>
        </is>
      </c>
      <c r="F131" s="31" t="inlineStr">
        <is>
          <t>packaging</t>
        </is>
      </c>
      <c r="G131" s="31" t="inlineStr">
        <is>
          <t>smallcap</t>
        </is>
      </c>
      <c r="H131" s="32" t="n">
        <v>1137.57</v>
      </c>
      <c r="I131" s="32" t="n">
        <v>297.1</v>
      </c>
      <c r="J131" s="32" t="n">
        <v>5.35</v>
      </c>
      <c r="K131" s="32" t="n">
        <v>495370</v>
      </c>
      <c r="L131" s="31" t="n">
        <v>94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78.58</v>
      </c>
      <c r="P131" s="32" t="n">
        <v>67.91</v>
      </c>
      <c r="Q131" s="32" t="inlineStr"/>
      <c r="R131" s="31" t="inlineStr">
        <is>
          <t>Earnings / Momentum Support</t>
        </is>
      </c>
      <c r="S131" s="31" t="inlineStr">
        <is>
          <t>Nifty 50</t>
        </is>
      </c>
      <c r="T131" s="32" t="n">
        <v>-1.03</v>
      </c>
      <c r="U131" s="32" t="n">
        <v>96.75</v>
      </c>
      <c r="V131" s="32" t="n">
        <v>98.79000000000001</v>
      </c>
      <c r="W131" s="32" t="n">
        <v>34.9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IF(B132=0,"",RANK(B132,$B$2:$B$374,0))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BHAGERIA</t>
        </is>
      </c>
      <c r="D132" s="31" t="inlineStr">
        <is>
          <t>Bhageria Industries Limited</t>
        </is>
      </c>
      <c r="E132" s="31" t="inlineStr">
        <is>
          <t>chemicals</t>
        </is>
      </c>
      <c r="F132" s="31" t="inlineStr">
        <is>
          <t>dyes and pigments</t>
        </is>
      </c>
      <c r="G132" s="31" t="inlineStr">
        <is>
          <t>smallcap</t>
        </is>
      </c>
      <c r="H132" s="32" t="n">
        <v>1042</v>
      </c>
      <c r="I132" s="32" t="n">
        <v>250.68</v>
      </c>
      <c r="J132" s="32" t="n">
        <v>5</v>
      </c>
      <c r="K132" s="32" t="n">
        <v>147630</v>
      </c>
      <c r="L132" s="31" t="n">
        <v>71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64.45999999999999</v>
      </c>
      <c r="P132" s="32" t="n">
        <v>33.32</v>
      </c>
      <c r="Q132" s="32" t="inlineStr"/>
      <c r="R132" s="31" t="inlineStr">
        <is>
          <t>Earnings / Momentum Support</t>
        </is>
      </c>
      <c r="S132" s="31" t="inlineStr">
        <is>
          <t>Nifty 50</t>
        </is>
      </c>
      <c r="T132" s="32" t="n">
        <v>-1.03</v>
      </c>
      <c r="U132" s="32" t="n">
        <v>25.45</v>
      </c>
      <c r="V132" s="32" t="n">
        <v>26.75</v>
      </c>
      <c r="W132" s="32" t="n">
        <v>17.31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IF(B133=0,"",RANK(B133,$B$2:$B$374,0))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3" t="inlineStr">
        <is>
          <t>ASKAUTOLTD</t>
        </is>
      </c>
      <c r="D133" s="33" t="inlineStr">
        <is>
          <t>ASK Automotive Ltd</t>
        </is>
      </c>
      <c r="E133" s="31" t="inlineStr">
        <is>
          <t>auto</t>
        </is>
      </c>
      <c r="F133" s="31" t="inlineStr">
        <is>
          <t>auto ancillaries</t>
        </is>
      </c>
      <c r="G133" s="31" t="inlineStr">
        <is>
          <t>midcap</t>
        </is>
      </c>
      <c r="H133" s="32" t="n">
        <v>12481.1</v>
      </c>
      <c r="I133" s="32" t="n">
        <v>659.9</v>
      </c>
      <c r="J133" s="32" t="n">
        <v>4.23</v>
      </c>
      <c r="K133" s="32" t="n">
        <v>943528</v>
      </c>
      <c r="L133" s="31" t="n">
        <v>13</v>
      </c>
      <c r="M133" s="31" t="inlineStr">
        <is>
          <t>Underperforming</t>
        </is>
      </c>
      <c r="N133" s="32">
        <f>IF(M133="Underperforming",-5,IF(L133&gt;=95,15,IF(L133&gt;=90,10,IF(L133&gt;=80,5,0))))</f>
        <v/>
      </c>
      <c r="O133" s="32" t="n">
        <v>74.75</v>
      </c>
      <c r="P133" s="32" t="n">
        <v>28.2</v>
      </c>
      <c r="Q133" s="32" t="inlineStr"/>
      <c r="R133" s="31" t="inlineStr">
        <is>
          <t>Earnings / Momentum Support</t>
        </is>
      </c>
      <c r="S133" s="31" t="inlineStr">
        <is>
          <t>Nifty Auto</t>
        </is>
      </c>
      <c r="T133" s="32" t="n">
        <v>13.41</v>
      </c>
      <c r="U133" s="32" t="n">
        <v>-8.220000000000001</v>
      </c>
      <c r="V133" s="32" t="n">
        <v>-19.08</v>
      </c>
      <c r="W133" s="32" t="n">
        <v>0.58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IF(B134=0,"",RANK(B134,$B$2:$B$374,0))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SANSERA</t>
        </is>
      </c>
      <c r="D134" s="31" t="inlineStr">
        <is>
          <t>Sansera Engineering Ltd</t>
        </is>
      </c>
      <c r="E134" s="31" t="inlineStr">
        <is>
          <t>auto</t>
        </is>
      </c>
      <c r="F134" s="31" t="inlineStr">
        <is>
          <t>auto ancillaries</t>
        </is>
      </c>
      <c r="G134" s="31" t="inlineStr">
        <is>
          <t>largecap</t>
        </is>
      </c>
      <c r="H134" s="32" t="n">
        <v>24081.54</v>
      </c>
      <c r="I134" s="32" t="n">
        <v>4018</v>
      </c>
      <c r="J134" s="32" t="n">
        <v>4.12</v>
      </c>
      <c r="K134" s="32" t="n">
        <v>292153</v>
      </c>
      <c r="L134" s="31" t="n">
        <v>89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80.14</v>
      </c>
      <c r="P134" s="32" t="n">
        <v>61.48</v>
      </c>
      <c r="Q134" s="32" t="inlineStr"/>
      <c r="R134" s="31" t="inlineStr">
        <is>
          <t>Earnings / Momentum Support</t>
        </is>
      </c>
      <c r="S134" s="31" t="inlineStr">
        <is>
          <t>Nifty Auto</t>
        </is>
      </c>
      <c r="T134" s="32" t="n">
        <v>13.41</v>
      </c>
      <c r="U134" s="32" t="n">
        <v>137.65</v>
      </c>
      <c r="V134" s="32" t="n">
        <v>109.54</v>
      </c>
      <c r="W134" s="32" t="n">
        <v>26.81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Above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IF(B135=0,"",RANK(B135,$B$2:$B$374,0))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INDORAMA</t>
        </is>
      </c>
      <c r="D135" s="31" t="inlineStr">
        <is>
          <t>Indo Rama Synthetics (india) Limited</t>
        </is>
      </c>
      <c r="E135" s="31" t="inlineStr">
        <is>
          <t>textiles</t>
        </is>
      </c>
      <c r="F135" s="31" t="inlineStr">
        <is>
          <t>textiles - manmade</t>
        </is>
      </c>
      <c r="G135" s="31" t="inlineStr">
        <is>
          <t>smallcap</t>
        </is>
      </c>
      <c r="H135" s="32" t="n">
        <v>1661.99</v>
      </c>
      <c r="I135" s="32" t="n">
        <v>65.92</v>
      </c>
      <c r="J135" s="32" t="n">
        <v>3.57</v>
      </c>
      <c r="K135" s="32" t="n">
        <v>1880656</v>
      </c>
      <c r="L135" s="31" t="n">
        <v>76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70.94</v>
      </c>
      <c r="P135" s="32" t="n">
        <v>48.24</v>
      </c>
      <c r="Q135" s="32" t="inlineStr"/>
      <c r="R135" s="31" t="inlineStr">
        <is>
          <t>Earnings / Momentum Support</t>
        </is>
      </c>
      <c r="S135" s="31" t="inlineStr">
        <is>
          <t>Nifty 50</t>
        </is>
      </c>
      <c r="T135" s="32" t="n">
        <v>-1.03</v>
      </c>
      <c r="U135" s="32" t="n">
        <v>26.06</v>
      </c>
      <c r="V135" s="32" t="n">
        <v>27.37</v>
      </c>
      <c r="W135" s="32" t="n">
        <v>19.27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More than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IF(B136=0,"",RANK(B136,$B$2:$B$374,0))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CYIENTDLM</t>
        </is>
      </c>
      <c r="D136" s="31" t="inlineStr">
        <is>
          <t>Cyient DLM Ltd</t>
        </is>
      </c>
      <c r="E136" s="31" t="inlineStr">
        <is>
          <t>aerospace &amp; defence</t>
        </is>
      </c>
      <c r="F136" s="31" t="inlineStr">
        <is>
          <t>electronics - components</t>
        </is>
      </c>
      <c r="G136" s="31" t="inlineStr">
        <is>
          <t>midcap</t>
        </is>
      </c>
      <c r="H136" s="32" t="n">
        <v>6502.29</v>
      </c>
      <c r="I136" s="32" t="n">
        <v>843</v>
      </c>
      <c r="J136" s="32" t="n">
        <v>2.92</v>
      </c>
      <c r="K136" s="32" t="n">
        <v>731178</v>
      </c>
      <c r="L136" s="31" t="n">
        <v>80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89.08</v>
      </c>
      <c r="P136" s="32" t="n">
        <v>70.43000000000001</v>
      </c>
      <c r="Q136" s="32" t="inlineStr"/>
      <c r="R136" s="31" t="inlineStr">
        <is>
          <t>Earnings / Momentum Support</t>
        </is>
      </c>
      <c r="S136" s="31" t="inlineStr">
        <is>
          <t>Nifty Infra</t>
        </is>
      </c>
      <c r="T136" s="32" t="n">
        <v>1.74</v>
      </c>
      <c r="U136" s="32" t="n">
        <v>20.92</v>
      </c>
      <c r="V136" s="32" t="n">
        <v>18.85</v>
      </c>
      <c r="W136" s="32" t="n">
        <v>21.45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IF(B137=0,"",RANK(B137,$B$2:$B$374,0))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BLUESTONE</t>
        </is>
      </c>
      <c r="D137" s="31" t="inlineStr">
        <is>
          <t>Bluestone Jewellery and Lifestyle Ltd</t>
        </is>
      </c>
      <c r="E137" s="31" t="inlineStr">
        <is>
          <t>consumer discretionary</t>
        </is>
      </c>
      <c r="F137" s="31" t="inlineStr">
        <is>
          <t>diamond cutting / jewellery</t>
        </is>
      </c>
      <c r="G137" s="31" t="inlineStr">
        <is>
          <t>midcap</t>
        </is>
      </c>
      <c r="H137" s="32" t="n">
        <v>12111.37</v>
      </c>
      <c r="I137" s="32" t="n">
        <v>817.4</v>
      </c>
      <c r="J137" s="32" t="n">
        <v>2.86</v>
      </c>
      <c r="K137" s="32" t="n">
        <v>1264097</v>
      </c>
      <c r="L137" s="31" t="n">
        <v>86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69</v>
      </c>
      <c r="P137" s="32" t="n">
        <v>46.8</v>
      </c>
      <c r="Q137" s="32" t="inlineStr"/>
      <c r="R137" s="31" t="inlineStr">
        <is>
          <t>Earnings / Momentum Support</t>
        </is>
      </c>
      <c r="S137" s="31" t="inlineStr">
        <is>
          <t>Nifty 50</t>
        </is>
      </c>
      <c r="T137" s="32" t="n">
        <v>-1.03</v>
      </c>
      <c r="U137" s="32" t="n">
        <v>48.6</v>
      </c>
      <c r="V137" s="32" t="n">
        <v>50.14</v>
      </c>
      <c r="W137" s="32" t="n">
        <v>24.76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Between 0.7 to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IF(B138=0,"",RANK(B138,$B$2:$B$374,0))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VRLLOG</t>
        </is>
      </c>
      <c r="D138" s="31" t="inlineStr">
        <is>
          <t>Vrl Logistics Limited</t>
        </is>
      </c>
      <c r="E138" s="31" t="inlineStr">
        <is>
          <t>transportation</t>
        </is>
      </c>
      <c r="F138" s="31" t="inlineStr">
        <is>
          <t>miscellaneous</t>
        </is>
      </c>
      <c r="G138" s="31" t="inlineStr">
        <is>
          <t>midcap</t>
        </is>
      </c>
      <c r="H138" s="32" t="n">
        <v>5177.26</v>
      </c>
      <c r="I138" s="32" t="n">
        <v>303.15</v>
      </c>
      <c r="J138" s="32" t="n">
        <v>2.43</v>
      </c>
      <c r="K138" s="32" t="n">
        <v>261050</v>
      </c>
      <c r="L138" s="31" t="n">
        <v>49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65.01000000000001</v>
      </c>
      <c r="P138" s="32" t="n">
        <v>22.18</v>
      </c>
      <c r="Q138" s="32" t="inlineStr"/>
      <c r="R138" s="31" t="inlineStr">
        <is>
          <t>Earnings / Momentum Support</t>
        </is>
      </c>
      <c r="S138" s="31" t="inlineStr">
        <is>
          <t>Nifty 50</t>
        </is>
      </c>
      <c r="T138" s="32" t="n">
        <v>-1.03</v>
      </c>
      <c r="U138" s="32" t="n">
        <v>13.93</v>
      </c>
      <c r="V138" s="32" t="n">
        <v>15.11</v>
      </c>
      <c r="W138" s="32" t="n">
        <v>8.84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IF(B139=0,"",RANK(B139,$B$2:$B$374,0))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ARVIND</t>
        </is>
      </c>
      <c r="D139" s="31" t="inlineStr">
        <is>
          <t>Arvind Limited</t>
        </is>
      </c>
      <c r="E139" s="31" t="inlineStr">
        <is>
          <t>textiles</t>
        </is>
      </c>
      <c r="F139" s="31" t="inlineStr">
        <is>
          <t>textiles - cotton/blended</t>
        </is>
      </c>
      <c r="G139" s="31" t="inlineStr">
        <is>
          <t>midcap</t>
        </is>
      </c>
      <c r="H139" s="32" t="n">
        <v>14781.33</v>
      </c>
      <c r="I139" s="32" t="n">
        <v>555.65</v>
      </c>
      <c r="J139" s="32" t="n">
        <v>2.26</v>
      </c>
      <c r="K139" s="32" t="n">
        <v>838704</v>
      </c>
      <c r="L139" s="31" t="n">
        <v>72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63.65</v>
      </c>
      <c r="P139" s="32" t="n">
        <v>59.37</v>
      </c>
      <c r="Q139" s="32" t="inlineStr"/>
      <c r="R139" s="31" t="inlineStr">
        <is>
          <t>Earnings / Momentum Support</t>
        </is>
      </c>
      <c r="S139" s="31" t="inlineStr">
        <is>
          <t>Nifty 50</t>
        </is>
      </c>
      <c r="T139" s="32" t="n">
        <v>-1.03</v>
      </c>
      <c r="U139" s="32" t="n">
        <v>93.47</v>
      </c>
      <c r="V139" s="32" t="n">
        <v>95.48</v>
      </c>
      <c r="W139" s="32" t="n">
        <v>17.89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IF(B140=0,"",RANK(B140,$B$2:$B$374,0))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STEELCAS</t>
        </is>
      </c>
      <c r="D140" s="31" t="inlineStr">
        <is>
          <t>Steelcast Ltd</t>
        </is>
      </c>
      <c r="E140" s="31" t="inlineStr">
        <is>
          <t>industrials</t>
        </is>
      </c>
      <c r="F140" s="31" t="inlineStr">
        <is>
          <t>castings &amp; forgings</t>
        </is>
      </c>
      <c r="G140" s="31" t="inlineStr">
        <is>
          <t>smallcap</t>
        </is>
      </c>
      <c r="H140" s="32" t="n">
        <v>3464.08</v>
      </c>
      <c r="I140" s="32" t="n">
        <v>349.8</v>
      </c>
      <c r="J140" s="32" t="n">
        <v>2.19</v>
      </c>
      <c r="K140" s="32" t="n">
        <v>56252</v>
      </c>
      <c r="L140" s="31" t="n">
        <v>41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71.34999999999999</v>
      </c>
      <c r="P140" s="32" t="n">
        <v>43.87</v>
      </c>
      <c r="Q140" s="32" t="inlineStr"/>
      <c r="R140" s="31" t="inlineStr">
        <is>
          <t>Earnings / Momentum Support</t>
        </is>
      </c>
      <c r="S140" s="31" t="inlineStr">
        <is>
          <t>Nifty Infra</t>
        </is>
      </c>
      <c r="T140" s="32" t="n">
        <v>1.74</v>
      </c>
      <c r="U140" s="32" t="n">
        <v>28.65</v>
      </c>
      <c r="V140" s="32" t="n">
        <v>26.45</v>
      </c>
      <c r="W140" s="32" t="n">
        <v>7.11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Between 12 to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IF(B141=0,"",RANK(B141,$B$2:$B$374,0))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RISHABH</t>
        </is>
      </c>
      <c r="D141" s="31" t="inlineStr">
        <is>
          <t>Rishabh Instruments Ltd</t>
        </is>
      </c>
      <c r="E141" s="31" t="inlineStr">
        <is>
          <t>industrials</t>
        </is>
      </c>
      <c r="F141" s="31" t="inlineStr">
        <is>
          <t>electric equipment</t>
        </is>
      </c>
      <c r="G141" s="31" t="inlineStr">
        <is>
          <t>smallcap</t>
        </is>
      </c>
      <c r="H141" s="32" t="n">
        <v>2665.84</v>
      </c>
      <c r="I141" s="32" t="n">
        <v>705.45</v>
      </c>
      <c r="J141" s="32" t="n">
        <v>2</v>
      </c>
      <c r="K141" s="32" t="n">
        <v>182177</v>
      </c>
      <c r="L141" s="31" t="n">
        <v>88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71.41</v>
      </c>
      <c r="P141" s="32" t="n">
        <v>45.24</v>
      </c>
      <c r="Q141" s="32" t="inlineStr"/>
      <c r="R141" s="31" t="inlineStr">
        <is>
          <t>Earnings / Momentum Support</t>
        </is>
      </c>
      <c r="S141" s="31" t="inlineStr">
        <is>
          <t>Nifty Infra</t>
        </is>
      </c>
      <c r="T141" s="32" t="n">
        <v>1.74</v>
      </c>
      <c r="U141" s="32" t="n">
        <v>118.81</v>
      </c>
      <c r="V141" s="32" t="n">
        <v>115.07</v>
      </c>
      <c r="W141" s="32" t="n">
        <v>26.68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IF(B142=0,"",RANK(B142,$B$2:$B$374,0))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SUTLEJTEX</t>
        </is>
      </c>
      <c r="D142" s="31" t="inlineStr">
        <is>
          <t>Sutlej Textiles And Industries Limited</t>
        </is>
      </c>
      <c r="E142" s="31" t="inlineStr">
        <is>
          <t>textiles</t>
        </is>
      </c>
      <c r="F142" s="31" t="inlineStr">
        <is>
          <t>textiles - cotton/blended</t>
        </is>
      </c>
      <c r="G142" s="31" t="inlineStr">
        <is>
          <t>smallcap</t>
        </is>
      </c>
      <c r="H142" s="32" t="n">
        <v>643.85</v>
      </c>
      <c r="I142" s="32" t="n">
        <v>40.07</v>
      </c>
      <c r="J142" s="32" t="n">
        <v>1.96</v>
      </c>
      <c r="K142" s="32" t="n">
        <v>19342</v>
      </c>
      <c r="L142" s="31" t="n">
        <v>23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58.75</v>
      </c>
      <c r="P142" s="32" t="n">
        <v>27.96</v>
      </c>
      <c r="Q142" s="32" t="inlineStr"/>
      <c r="R142" s="31" t="inlineStr">
        <is>
          <t>Earnings / Momentum Support</t>
        </is>
      </c>
      <c r="S142" s="31" t="inlineStr">
        <is>
          <t>Nifty 50</t>
        </is>
      </c>
      <c r="T142" s="32" t="n">
        <v>-1.03</v>
      </c>
      <c r="U142" s="32" t="n">
        <v>3.83</v>
      </c>
      <c r="V142" s="32" t="n">
        <v>4.91</v>
      </c>
      <c r="W142" s="32" t="n">
        <v>3.27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IF(B143=0,"",RANK(B143,$B$2:$B$374,0))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BAJAJ-AUTO</t>
        </is>
      </c>
      <c r="D143" s="31" t="inlineStr">
        <is>
          <t>Bajaj Auto Limited</t>
        </is>
      </c>
      <c r="E143" s="31" t="inlineStr">
        <is>
          <t>auto</t>
        </is>
      </c>
      <c r="F143" s="31" t="inlineStr">
        <is>
          <t>automobiles - scooters and 3 - wheelers</t>
        </is>
      </c>
      <c r="G143" s="31" t="inlineStr">
        <is>
          <t>largecap</t>
        </is>
      </c>
      <c r="H143" s="32" t="n">
        <v>332881.93</v>
      </c>
      <c r="I143" s="32" t="n">
        <v>12130</v>
      </c>
      <c r="J143" s="32" t="n">
        <v>1.85</v>
      </c>
      <c r="K143" s="32" t="n">
        <v>355561</v>
      </c>
      <c r="L143" s="31" t="n">
        <v>39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75.01000000000001</v>
      </c>
      <c r="P143" s="32" t="n">
        <v>25.91</v>
      </c>
      <c r="Q143" s="32" t="inlineStr"/>
      <c r="R143" s="31" t="inlineStr">
        <is>
          <t>Earnings / Momentum Support</t>
        </is>
      </c>
      <c r="S143" s="31" t="inlineStr">
        <is>
          <t>Nifty Auto</t>
        </is>
      </c>
      <c r="T143" s="32" t="n">
        <v>13.41</v>
      </c>
      <c r="U143" s="32" t="n">
        <v>26.86</v>
      </c>
      <c r="V143" s="32" t="n">
        <v>11.86</v>
      </c>
      <c r="W143" s="32" t="n">
        <v>6.6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IF(B144=0,"",RANK(B144,$B$2:$B$374,0))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FCL</t>
        </is>
      </c>
      <c r="D144" s="31" t="inlineStr">
        <is>
          <t>Fineotex Chemical Limited</t>
        </is>
      </c>
      <c r="E144" s="31" t="inlineStr">
        <is>
          <t>chemicals</t>
        </is>
      </c>
      <c r="F144" s="31" t="inlineStr">
        <is>
          <t>chemicals</t>
        </is>
      </c>
      <c r="G144" s="31" t="inlineStr">
        <is>
          <t>midcap</t>
        </is>
      </c>
      <c r="H144" s="32" t="n">
        <v>5826</v>
      </c>
      <c r="I144" s="32" t="n">
        <v>50.79</v>
      </c>
      <c r="J144" s="32" t="n">
        <v>1.52</v>
      </c>
      <c r="K144" s="32" t="n">
        <v>17237022</v>
      </c>
      <c r="L144" s="31" t="n">
        <v>85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75.70999999999999</v>
      </c>
      <c r="P144" s="32" t="n">
        <v>49.02</v>
      </c>
      <c r="Q144" s="32" t="inlineStr"/>
      <c r="R144" s="31" t="inlineStr">
        <is>
          <t>Earnings / Momentum Support</t>
        </is>
      </c>
      <c r="S144" s="31" t="inlineStr">
        <is>
          <t>Nifty 50</t>
        </is>
      </c>
      <c r="T144" s="32" t="n">
        <v>-1.03</v>
      </c>
      <c r="U144" s="32" t="n">
        <v>110.84</v>
      </c>
      <c r="V144" s="32" t="n">
        <v>113.03</v>
      </c>
      <c r="W144" s="32" t="n">
        <v>23.89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Above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IF(B145=0,"",RANK(B145,$B$2:$B$374,0))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3" t="inlineStr">
        <is>
          <t>DYCL</t>
        </is>
      </c>
      <c r="D145" s="33" t="inlineStr">
        <is>
          <t>Dynamic Cables Ltd</t>
        </is>
      </c>
      <c r="E145" s="31" t="inlineStr">
        <is>
          <t>industrials</t>
        </is>
      </c>
      <c r="F145" s="31" t="inlineStr">
        <is>
          <t>cables - power</t>
        </is>
      </c>
      <c r="G145" s="31" t="inlineStr">
        <is>
          <t>smallcap</t>
        </is>
      </c>
      <c r="H145" s="32" t="n">
        <v>2362.84</v>
      </c>
      <c r="I145" s="32" t="n">
        <v>493.2</v>
      </c>
      <c r="J145" s="32" t="n">
        <v>1.15</v>
      </c>
      <c r="K145" s="32" t="n">
        <v>1249206</v>
      </c>
      <c r="L145" s="31" t="n">
        <v>14</v>
      </c>
      <c r="M145" s="31" t="inlineStr">
        <is>
          <t>Underperforming</t>
        </is>
      </c>
      <c r="N145" s="32">
        <f>IF(M145="Underperforming",-5,IF(L145&gt;=95,15,IF(L145&gt;=90,10,IF(L145&gt;=80,5,0))))</f>
        <v/>
      </c>
      <c r="O145" s="32" t="n">
        <v>71.12</v>
      </c>
      <c r="P145" s="32" t="n">
        <v>31.89</v>
      </c>
      <c r="Q145" s="32" t="inlineStr"/>
      <c r="R145" s="31" t="inlineStr">
        <is>
          <t>Earnings / Momentum Support</t>
        </is>
      </c>
      <c r="S145" s="31" t="inlineStr">
        <is>
          <t>Nifty Energy</t>
        </is>
      </c>
      <c r="T145" s="32" t="n">
        <v>8.41</v>
      </c>
      <c r="U145" s="32" t="n">
        <v>-17.15</v>
      </c>
      <c r="V145" s="32" t="n">
        <v>-23.57</v>
      </c>
      <c r="W145" s="32" t="n">
        <v>0.62</v>
      </c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IF(B146=0,"",RANK(B146,$B$2:$B$374,0))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NRBBEARING</t>
        </is>
      </c>
      <c r="D146" s="31" t="inlineStr">
        <is>
          <t>Nrb Bearing Limited</t>
        </is>
      </c>
      <c r="E146" s="31" t="inlineStr">
        <is>
          <t>industrials</t>
        </is>
      </c>
      <c r="F146" s="31" t="inlineStr">
        <is>
          <t>bearings</t>
        </is>
      </c>
      <c r="G146" s="31" t="inlineStr">
        <is>
          <t>smallcap</t>
        </is>
      </c>
      <c r="H146" s="32" t="n">
        <v>4551.97</v>
      </c>
      <c r="I146" s="32" t="n">
        <v>473.85</v>
      </c>
      <c r="J146" s="32" t="n">
        <v>0.89</v>
      </c>
      <c r="K146" s="32" t="n">
        <v>356380</v>
      </c>
      <c r="L146" s="31" t="n">
        <v>74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71.44</v>
      </c>
      <c r="P146" s="32" t="n">
        <v>51.12</v>
      </c>
      <c r="Q146" s="32" t="inlineStr"/>
      <c r="R146" s="31" t="inlineStr">
        <is>
          <t>Earnings / Momentum Support</t>
        </is>
      </c>
      <c r="S146" s="31" t="inlineStr">
        <is>
          <t>Nifty 50</t>
        </is>
      </c>
      <c r="T146" s="32" t="n">
        <v>-1.03</v>
      </c>
      <c r="U146" s="32" t="n">
        <v>73.64</v>
      </c>
      <c r="V146" s="32" t="n">
        <v>75.45</v>
      </c>
      <c r="W146" s="32" t="n">
        <v>18.24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Between 12 to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IF(B147=0,"",RANK(B147,$B$2:$B$374,0))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IKIO</t>
        </is>
      </c>
      <c r="D147" s="31" t="inlineStr">
        <is>
          <t>IKIO Lighting Ltd</t>
        </is>
      </c>
      <c r="E147" s="31" t="inlineStr">
        <is>
          <t>consumer discretionary</t>
        </is>
      </c>
      <c r="F147" s="31" t="inlineStr">
        <is>
          <t>electric equipment</t>
        </is>
      </c>
      <c r="G147" s="31" t="inlineStr">
        <is>
          <t>smallcap</t>
        </is>
      </c>
      <c r="H147" s="32" t="n">
        <v>1651.64</v>
      </c>
      <c r="I147" s="32" t="n">
        <v>215.48</v>
      </c>
      <c r="J147" s="32" t="n">
        <v>0.82</v>
      </c>
      <c r="K147" s="32" t="n">
        <v>1279645</v>
      </c>
      <c r="L147" s="31" t="n">
        <v>56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62.41</v>
      </c>
      <c r="P147" s="32" t="n">
        <v>39.33</v>
      </c>
      <c r="Q147" s="32" t="inlineStr"/>
      <c r="R147" s="31" t="inlineStr">
        <is>
          <t>Earnings / Momentum Support</t>
        </is>
      </c>
      <c r="S147" s="31" t="inlineStr">
        <is>
          <t>Nifty 50</t>
        </is>
      </c>
      <c r="T147" s="32" t="n">
        <v>-1.03</v>
      </c>
      <c r="U147" s="32" t="n">
        <v>3.4</v>
      </c>
      <c r="V147" s="32" t="n">
        <v>4.48</v>
      </c>
      <c r="W147" s="32" t="n">
        <v>10.9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IF(B148=0,"",RANK(B148,$B$2:$B$374,0))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SHRIPISTON</t>
        </is>
      </c>
      <c r="D148" s="31" t="inlineStr">
        <is>
          <t>Shriram Pistons &amp; Rings Limited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largecap</t>
        </is>
      </c>
      <c r="H148" s="32" t="n">
        <v>21208.73</v>
      </c>
      <c r="I148" s="32" t="n">
        <v>4609.2</v>
      </c>
      <c r="J148" s="32" t="n">
        <v>0.8100000000000001</v>
      </c>
      <c r="K148" s="32" t="n">
        <v>106315</v>
      </c>
      <c r="L148" s="31" t="n">
        <v>65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74.65000000000001</v>
      </c>
      <c r="P148" s="32" t="n">
        <v>54.16</v>
      </c>
      <c r="Q148" s="32" t="inlineStr"/>
      <c r="R148" s="31" t="inlineStr">
        <is>
          <t>Earnings / Momentum Support</t>
        </is>
      </c>
      <c r="S148" s="31" t="inlineStr">
        <is>
          <t>Nifty Auto</t>
        </is>
      </c>
      <c r="T148" s="32" t="n">
        <v>13.41</v>
      </c>
      <c r="U148" s="32" t="n">
        <v>71.08</v>
      </c>
      <c r="V148" s="32" t="n">
        <v>50.84</v>
      </c>
      <c r="W148" s="32" t="n">
        <v>14.07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IF(B149=0,"",RANK(B149,$B$2:$B$374,0))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WELCORP</t>
        </is>
      </c>
      <c r="D149" s="31" t="inlineStr">
        <is>
          <t>Welspun Corp Limited</t>
        </is>
      </c>
      <c r="E149" s="31" t="inlineStr">
        <is>
          <t>industrials</t>
        </is>
      </c>
      <c r="F149" s="31" t="inlineStr">
        <is>
          <t>steel - large</t>
        </is>
      </c>
      <c r="G149" s="31" t="inlineStr">
        <is>
          <t>largecap</t>
        </is>
      </c>
      <c r="H149" s="32" t="n">
        <v>62618.62</v>
      </c>
      <c r="I149" s="32" t="n">
        <v>2391</v>
      </c>
      <c r="J149" s="32" t="n">
        <v>0.72</v>
      </c>
      <c r="K149" s="32" t="n">
        <v>1286940</v>
      </c>
      <c r="L149" s="31" t="n">
        <v>85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93.56999999999999</v>
      </c>
      <c r="P149" s="32" t="n">
        <v>75.3</v>
      </c>
      <c r="Q149" s="32" t="inlineStr"/>
      <c r="R149" s="31" t="inlineStr">
        <is>
          <t>Earnings / Momentum Support</t>
        </is>
      </c>
      <c r="S149" s="31" t="inlineStr">
        <is>
          <t>Nifty Metal</t>
        </is>
      </c>
      <c r="T149" s="32" t="n">
        <v>31.49</v>
      </c>
      <c r="U149" s="32" t="n">
        <v>71.81999999999999</v>
      </c>
      <c r="V149" s="32" t="n">
        <v>30.67</v>
      </c>
      <c r="W149" s="32" t="n">
        <v>23.89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IF(B150=0,"",RANK(B150,$B$2:$B$374,0))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MATRIMONY</t>
        </is>
      </c>
      <c r="D150" s="31" t="inlineStr">
        <is>
          <t>Matrimony.com Ltd</t>
        </is>
      </c>
      <c r="E150" s="31" t="inlineStr">
        <is>
          <t>miscellaneous</t>
        </is>
      </c>
      <c r="F150" s="31" t="inlineStr">
        <is>
          <t>miscellaneous</t>
        </is>
      </c>
      <c r="G150" s="31" t="inlineStr">
        <is>
          <t>smallcap</t>
        </is>
      </c>
      <c r="H150" s="32" t="n">
        <v>1064.68</v>
      </c>
      <c r="I150" s="32" t="n">
        <v>518.7</v>
      </c>
      <c r="J150" s="32" t="n">
        <v>0.72</v>
      </c>
      <c r="K150" s="32" t="n">
        <v>12218</v>
      </c>
      <c r="L150" s="31" t="n">
        <v>36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62.45</v>
      </c>
      <c r="P150" s="32" t="n">
        <v>30.27</v>
      </c>
      <c r="Q150" s="32" t="inlineStr"/>
      <c r="R150" s="31" t="inlineStr">
        <is>
          <t>Earnings / Momentum Support</t>
        </is>
      </c>
      <c r="S150" s="31" t="inlineStr">
        <is>
          <t>Nifty 50</t>
        </is>
      </c>
      <c r="T150" s="32" t="n">
        <v>-1.03</v>
      </c>
      <c r="U150" s="32" t="n">
        <v>2.36</v>
      </c>
      <c r="V150" s="32" t="n">
        <v>3.42</v>
      </c>
      <c r="W150" s="32" t="n">
        <v>5.97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IF(B151=0,"",RANK(B151,$B$2:$B$374,0))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AZAD</t>
        </is>
      </c>
      <c r="D151" s="31" t="inlineStr">
        <is>
          <t>Azad Engineering Ltd</t>
        </is>
      </c>
      <c r="E151" s="31" t="inlineStr">
        <is>
          <t>aerospace &amp; defence</t>
        </is>
      </c>
      <c r="F151" s="31" t="inlineStr">
        <is>
          <t>engineering</t>
        </is>
      </c>
      <c r="G151" s="31" t="inlineStr">
        <is>
          <t>midcap</t>
        </is>
      </c>
      <c r="H151" s="32" t="n">
        <v>18409.03</v>
      </c>
      <c r="I151" s="32" t="n">
        <v>2861.8</v>
      </c>
      <c r="J151" s="32" t="n">
        <v>0.4</v>
      </c>
      <c r="K151" s="32" t="n">
        <v>791445</v>
      </c>
      <c r="L151" s="31" t="n">
        <v>81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70.89</v>
      </c>
      <c r="P151" s="32" t="n">
        <v>39.33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-1.03</v>
      </c>
      <c r="U151" s="32" t="n">
        <v>86.31</v>
      </c>
      <c r="V151" s="32" t="n">
        <v>88.23999999999999</v>
      </c>
      <c r="W151" s="32" t="n">
        <v>22.44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IF(B152=0,"",RANK(B152,$B$2:$B$374,0))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LMW</t>
        </is>
      </c>
      <c r="D152" s="31" t="inlineStr">
        <is>
          <t>LMW Ltd</t>
        </is>
      </c>
      <c r="E152" s="31" t="inlineStr">
        <is>
          <t>industrials</t>
        </is>
      </c>
      <c r="F152" s="31" t="inlineStr">
        <is>
          <t>textile machinery</t>
        </is>
      </c>
      <c r="G152" s="31" t="inlineStr">
        <is>
          <t>largecap</t>
        </is>
      </c>
      <c r="H152" s="32" t="n">
        <v>20191.94</v>
      </c>
      <c r="I152" s="32" t="n">
        <v>18975</v>
      </c>
      <c r="J152" s="32" t="n">
        <v>0.39</v>
      </c>
      <c r="K152" s="32" t="n">
        <v>23753</v>
      </c>
      <c r="L152" s="31" t="n">
        <v>54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67.14</v>
      </c>
      <c r="P152" s="32" t="n">
        <v>46.18</v>
      </c>
      <c r="Q152" s="32" t="inlineStr"/>
      <c r="R152" s="31" t="inlineStr">
        <is>
          <t>Earnings / Momentum Support</t>
        </is>
      </c>
      <c r="S152" s="31" t="inlineStr">
        <is>
          <t>Nifty 50</t>
        </is>
      </c>
      <c r="T152" s="32" t="n">
        <v>-1.03</v>
      </c>
      <c r="U152" s="32" t="n">
        <v>34.28</v>
      </c>
      <c r="V152" s="32" t="n">
        <v>35.67</v>
      </c>
      <c r="W152" s="32" t="n">
        <v>10.47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IF(B153=0,"",RANK(B153,$B$2:$B$374,0))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RACLGEAR</t>
        </is>
      </c>
      <c r="D153" s="31" t="inlineStr">
        <is>
          <t>RACL Geartech Ltd</t>
        </is>
      </c>
      <c r="E153" s="31" t="inlineStr">
        <is>
          <t>auto</t>
        </is>
      </c>
      <c r="F153" s="31" t="inlineStr">
        <is>
          <t>auto ancillaries</t>
        </is>
      </c>
      <c r="G153" s="31" t="inlineStr">
        <is>
          <t>smallcap</t>
        </is>
      </c>
      <c r="H153" s="32" t="n">
        <v>1813.71</v>
      </c>
      <c r="I153" s="32" t="n">
        <v>1535.8</v>
      </c>
      <c r="J153" s="32" t="n">
        <v>-0.18</v>
      </c>
      <c r="K153" s="32" t="n">
        <v>24297</v>
      </c>
      <c r="L153" s="31" t="n">
        <v>48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61.06</v>
      </c>
      <c r="P153" s="32" t="n">
        <v>49.62</v>
      </c>
      <c r="Q153" s="32" t="inlineStr"/>
      <c r="R153" s="31" t="inlineStr">
        <is>
          <t>Earnings / Momentum Support</t>
        </is>
      </c>
      <c r="S153" s="31" t="inlineStr">
        <is>
          <t>Nifty Auto</t>
        </is>
      </c>
      <c r="T153" s="32" t="n">
        <v>13.41</v>
      </c>
      <c r="U153" s="32" t="n">
        <v>47.44</v>
      </c>
      <c r="V153" s="32" t="n">
        <v>30</v>
      </c>
      <c r="W153" s="32" t="n">
        <v>8.640000000000001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IF(B154=0,"",RANK(B154,$B$2:$B$374,0))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SONACOMS</t>
        </is>
      </c>
      <c r="D154" s="31" t="inlineStr">
        <is>
          <t>Sona BLW Precision Forgings Ltd</t>
        </is>
      </c>
      <c r="E154" s="31" t="inlineStr">
        <is>
          <t>auto</t>
        </is>
      </c>
      <c r="F154" s="31" t="inlineStr">
        <is>
          <t>auto ancillaries</t>
        </is>
      </c>
      <c r="G154" s="31" t="inlineStr">
        <is>
          <t>largecap</t>
        </is>
      </c>
      <c r="H154" s="32" t="n">
        <v>50695.84</v>
      </c>
      <c r="I154" s="32" t="n">
        <v>813.05</v>
      </c>
      <c r="J154" s="32" t="n">
        <v>-0.24</v>
      </c>
      <c r="K154" s="32" t="n">
        <v>1604737</v>
      </c>
      <c r="L154" s="31" t="n">
        <v>59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77.63</v>
      </c>
      <c r="P154" s="32" t="n">
        <v>58.8</v>
      </c>
      <c r="Q154" s="32" t="inlineStr"/>
      <c r="R154" s="31" t="inlineStr">
        <is>
          <t>Earnings / Momentum Support</t>
        </is>
      </c>
      <c r="S154" s="31" t="inlineStr">
        <is>
          <t>Nifty Auto</t>
        </is>
      </c>
      <c r="T154" s="32" t="n">
        <v>13.41</v>
      </c>
      <c r="U154" s="32" t="n">
        <v>47.83</v>
      </c>
      <c r="V154" s="32" t="n">
        <v>30.34</v>
      </c>
      <c r="W154" s="32" t="n">
        <v>12.69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Between 1.5 to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IF(B155=0,"",RANK(B155,$B$2:$B$374,0))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SKYGOLD</t>
        </is>
      </c>
      <c r="D155" s="31" t="inlineStr">
        <is>
          <t>Sky Gold Ltd</t>
        </is>
      </c>
      <c r="E155" s="31" t="inlineStr">
        <is>
          <t>consumer discretionary</t>
        </is>
      </c>
      <c r="F155" s="31" t="inlineStr">
        <is>
          <t>diamond cutting / jewellery</t>
        </is>
      </c>
      <c r="G155" s="31" t="inlineStr">
        <is>
          <t>midcap</t>
        </is>
      </c>
      <c r="H155" s="32" t="n">
        <v>12566.47</v>
      </c>
      <c r="I155" s="32" t="n">
        <v>807.1</v>
      </c>
      <c r="J155" s="32" t="n">
        <v>-0.53</v>
      </c>
      <c r="K155" s="32" t="n">
        <v>847848</v>
      </c>
      <c r="L155" s="31" t="n">
        <v>94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81.81</v>
      </c>
      <c r="P155" s="32" t="n">
        <v>67.42</v>
      </c>
      <c r="Q155" s="32" t="inlineStr"/>
      <c r="R155" s="31" t="inlineStr">
        <is>
          <t>Earnings / Momentum Support</t>
        </is>
      </c>
      <c r="S155" s="31" t="inlineStr">
        <is>
          <t>Nifty 50</t>
        </is>
      </c>
      <c r="T155" s="32" t="n">
        <v>-1.03</v>
      </c>
      <c r="U155" s="32" t="n">
        <v>181.83</v>
      </c>
      <c r="V155" s="32" t="n">
        <v>184.76</v>
      </c>
      <c r="W155" s="32" t="n">
        <v>35.96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IF(B156=0,"",RANK(B156,$B$2:$B$374,0))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ESABINDIA</t>
        </is>
      </c>
      <c r="D156" s="31" t="inlineStr">
        <is>
          <t>Esab India Limited</t>
        </is>
      </c>
      <c r="E156" s="31" t="inlineStr">
        <is>
          <t>industrials</t>
        </is>
      </c>
      <c r="F156" s="31" t="inlineStr">
        <is>
          <t>electrodes - welding equipment</t>
        </is>
      </c>
      <c r="G156" s="31" t="inlineStr">
        <is>
          <t>midcap</t>
        </is>
      </c>
      <c r="H156" s="32" t="n">
        <v>9485.18</v>
      </c>
      <c r="I156" s="32" t="n">
        <v>6119.5</v>
      </c>
      <c r="J156" s="32" t="n">
        <v>-0.6899999999999999</v>
      </c>
      <c r="K156" s="32" t="n">
        <v>4019</v>
      </c>
      <c r="L156" s="31" t="n">
        <v>15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56.61</v>
      </c>
      <c r="P156" s="32" t="n">
        <v>21.64</v>
      </c>
      <c r="Q156" s="32" t="inlineStr"/>
      <c r="R156" s="31" t="inlineStr">
        <is>
          <t>Earnings / Momentum Support</t>
        </is>
      </c>
      <c r="S156" s="31" t="inlineStr">
        <is>
          <t>Nifty Infra</t>
        </is>
      </c>
      <c r="T156" s="32" t="n">
        <v>1.74</v>
      </c>
      <c r="U156" s="32" t="n">
        <v>3.35</v>
      </c>
      <c r="V156" s="32" t="n">
        <v>1.58</v>
      </c>
      <c r="W156" s="32" t="n">
        <v>0.8</v>
      </c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IF(B157=0,"",RANK(B157,$B$2:$B$374,0))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GALAXYSURF</t>
        </is>
      </c>
      <c r="D157" s="31" t="inlineStr">
        <is>
          <t>Galaxy Surfactants Ltd</t>
        </is>
      </c>
      <c r="E157" s="31" t="inlineStr">
        <is>
          <t>chemicals</t>
        </is>
      </c>
      <c r="F157" s="31" t="inlineStr">
        <is>
          <t>chemicals</t>
        </is>
      </c>
      <c r="G157" s="31" t="inlineStr">
        <is>
          <t>midcap</t>
        </is>
      </c>
      <c r="H157" s="32" t="n">
        <v>8101.41</v>
      </c>
      <c r="I157" s="32" t="n">
        <v>2255.6</v>
      </c>
      <c r="J157" s="32" t="n">
        <v>-1.29</v>
      </c>
      <c r="K157" s="32" t="n">
        <v>34392</v>
      </c>
      <c r="L157" s="31" t="n">
        <v>41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61.76</v>
      </c>
      <c r="P157" s="32" t="n">
        <v>25.26</v>
      </c>
      <c r="Q157" s="32" t="inlineStr"/>
      <c r="R157" s="31" t="inlineStr">
        <is>
          <t>Earnings / Momentum Support</t>
        </is>
      </c>
      <c r="S157" s="31" t="inlineStr">
        <is>
          <t>Nifty IT</t>
        </is>
      </c>
      <c r="T157" s="32" t="n">
        <v>-11.08</v>
      </c>
      <c r="U157" s="32" t="n">
        <v>2.05</v>
      </c>
      <c r="V157" s="32" t="n">
        <v>14.77</v>
      </c>
      <c r="W157" s="32" t="n">
        <v>7.06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IF(B158=0,"",RANK(B158,$B$2:$B$374,0))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QUADFUTURE</t>
        </is>
      </c>
      <c r="D158" s="33" t="inlineStr">
        <is>
          <t>Quadrant Future Tek Ltd</t>
        </is>
      </c>
      <c r="E158" s="31" t="inlineStr">
        <is>
          <t>industrials</t>
        </is>
      </c>
      <c r="F158" s="31" t="inlineStr">
        <is>
          <t>cables - power</t>
        </is>
      </c>
      <c r="G158" s="31" t="inlineStr">
        <is>
          <t>smallcap</t>
        </is>
      </c>
      <c r="H158" s="32" t="n">
        <v>1716.8</v>
      </c>
      <c r="I158" s="32" t="n">
        <v>421.55</v>
      </c>
      <c r="J158" s="32" t="n">
        <v>-1.78</v>
      </c>
      <c r="K158" s="32" t="n">
        <v>186934</v>
      </c>
      <c r="L158" s="31" t="n">
        <v>17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60.9</v>
      </c>
      <c r="P158" s="32" t="n">
        <v>35.6</v>
      </c>
      <c r="Q158" s="32" t="inlineStr"/>
      <c r="R158" s="31" t="inlineStr">
        <is>
          <t>Earnings / Momentum Support</t>
        </is>
      </c>
      <c r="S158" s="31" t="inlineStr">
        <is>
          <t>Nifty Energy</t>
        </is>
      </c>
      <c r="T158" s="32" t="n">
        <v>8.41</v>
      </c>
      <c r="U158" s="32" t="n">
        <v>-21.81</v>
      </c>
      <c r="V158" s="32" t="n">
        <v>-27.87</v>
      </c>
      <c r="W158" s="32" t="n">
        <v>1.4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IF(B159=0,"",RANK(B159,$B$2:$B$374,0))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NETWEB</t>
        </is>
      </c>
      <c r="D159" s="31" t="inlineStr">
        <is>
          <t>Netweb Technologies India Ltd</t>
        </is>
      </c>
      <c r="E159" s="31" t="inlineStr">
        <is>
          <t>i.t</t>
        </is>
      </c>
      <c r="F159" s="31" t="inlineStr">
        <is>
          <t>computers - hardware</t>
        </is>
      </c>
      <c r="G159" s="31" t="inlineStr">
        <is>
          <t>largecap</t>
        </is>
      </c>
      <c r="H159" s="32" t="n">
        <v>30308.96</v>
      </c>
      <c r="I159" s="32" t="n">
        <v>5188.6</v>
      </c>
      <c r="J159" s="32" t="n">
        <v>-2.52</v>
      </c>
      <c r="K159" s="32" t="n">
        <v>1058849</v>
      </c>
      <c r="L159" s="31" t="n">
        <v>83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64.48999999999999</v>
      </c>
      <c r="P159" s="32" t="n">
        <v>37.39</v>
      </c>
      <c r="Q159" s="32" t="inlineStr"/>
      <c r="R159" s="31" t="inlineStr">
        <is>
          <t>Earnings / Momentum Support</t>
        </is>
      </c>
      <c r="S159" s="31" t="inlineStr">
        <is>
          <t>Nifty IT</t>
        </is>
      </c>
      <c r="T159" s="32" t="n">
        <v>-11.08</v>
      </c>
      <c r="U159" s="32" t="n">
        <v>141.27</v>
      </c>
      <c r="V159" s="32" t="n">
        <v>171.34</v>
      </c>
      <c r="W159" s="32" t="n">
        <v>23.09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IF(B160=0,"",RANK(B160,$B$2:$B$374,0))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RGL</t>
        </is>
      </c>
      <c r="D160" s="31" t="inlineStr">
        <is>
          <t>Renaissance Global Ltd</t>
        </is>
      </c>
      <c r="E160" s="31" t="inlineStr">
        <is>
          <t>consumer discretionary</t>
        </is>
      </c>
      <c r="F160" s="31" t="inlineStr">
        <is>
          <t>diamond cutting / jewellery</t>
        </is>
      </c>
      <c r="G160" s="31" t="inlineStr">
        <is>
          <t>smallcap</t>
        </is>
      </c>
      <c r="H160" s="32" t="n">
        <v>1496.61</v>
      </c>
      <c r="I160" s="32" t="n">
        <v>135.22</v>
      </c>
      <c r="J160" s="32" t="n">
        <v>-2.99</v>
      </c>
      <c r="K160" s="32" t="n">
        <v>652607</v>
      </c>
      <c r="L160" s="31" t="n">
        <v>60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67.95</v>
      </c>
      <c r="P160" s="32" t="n">
        <v>21.48</v>
      </c>
      <c r="Q160" s="32" t="inlineStr"/>
      <c r="R160" s="31" t="inlineStr">
        <is>
          <t>Earnings / Momentum Support</t>
        </is>
      </c>
      <c r="S160" s="31" t="inlineStr">
        <is>
          <t>Nifty 50</t>
        </is>
      </c>
      <c r="T160" s="32" t="n">
        <v>-1.03</v>
      </c>
      <c r="U160" s="32" t="n">
        <v>25.45</v>
      </c>
      <c r="V160" s="32" t="n">
        <v>26.76</v>
      </c>
      <c r="W160" s="32" t="n">
        <v>12.76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IF(B161=0,"",RANK(B161,$B$2:$B$374,0))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EBGNG</t>
        </is>
      </c>
      <c r="D161" s="31" t="inlineStr">
        <is>
          <t>GNG Electronics Ltd</t>
        </is>
      </c>
      <c r="E161" s="31" t="inlineStr">
        <is>
          <t>services</t>
        </is>
      </c>
      <c r="F161" s="31" t="inlineStr">
        <is>
          <t>trading</t>
        </is>
      </c>
      <c r="G161" s="31" t="inlineStr">
        <is>
          <t>midcap</t>
        </is>
      </c>
      <c r="H161" s="32" t="n">
        <v>7240.87</v>
      </c>
      <c r="I161" s="32" t="n">
        <v>612.5</v>
      </c>
      <c r="J161" s="32" t="n">
        <v>-3.56</v>
      </c>
      <c r="K161" s="32" t="n">
        <v>424867</v>
      </c>
      <c r="L161" s="31" t="n">
        <v>84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67.70999999999999</v>
      </c>
      <c r="P161" s="32" t="n">
        <v>33.32</v>
      </c>
      <c r="Q161" s="32" t="inlineStr"/>
      <c r="R161" s="31" t="inlineStr">
        <is>
          <t>Earnings / Momentum Support</t>
        </is>
      </c>
      <c r="S161" s="31" t="inlineStr">
        <is>
          <t>Nifty 50</t>
        </is>
      </c>
      <c r="T161" s="32" t="n">
        <v>-1.03</v>
      </c>
      <c r="U161" s="32" t="n">
        <v>85.81</v>
      </c>
      <c r="V161" s="32" t="n">
        <v>87.73999999999999</v>
      </c>
      <c r="W161" s="32" t="n">
        <v>23.3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IF(B162=0,"",RANK(B162,$B$2:$B$374,0))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NIITLTD</t>
        </is>
      </c>
      <c r="D162" s="31" t="inlineStr">
        <is>
          <t>Niit Limited</t>
        </is>
      </c>
      <c r="E162" s="31" t="inlineStr">
        <is>
          <t>i.t</t>
        </is>
      </c>
      <c r="F162" s="31" t="inlineStr">
        <is>
          <t>computers - education</t>
        </is>
      </c>
      <c r="G162" s="31" t="inlineStr">
        <is>
          <t>smallcap</t>
        </is>
      </c>
      <c r="H162" s="32" t="n">
        <v>1441.97</v>
      </c>
      <c r="I162" s="32" t="n">
        <v>101.44</v>
      </c>
      <c r="J162" s="32" t="n">
        <v>-3.87</v>
      </c>
      <c r="K162" s="32" t="n">
        <v>1128924</v>
      </c>
      <c r="L162" s="31" t="n">
        <v>67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64.5</v>
      </c>
      <c r="P162" s="32" t="n">
        <v>30.76</v>
      </c>
      <c r="Q162" s="32" t="inlineStr"/>
      <c r="R162" s="31" t="inlineStr">
        <is>
          <t>Earnings / Momentum Support</t>
        </is>
      </c>
      <c r="S162" s="31" t="inlineStr">
        <is>
          <t>Nifty IT</t>
        </is>
      </c>
      <c r="T162" s="32" t="n">
        <v>-11.08</v>
      </c>
      <c r="U162" s="32" t="n">
        <v>0.31</v>
      </c>
      <c r="V162" s="32" t="n">
        <v>12.81</v>
      </c>
      <c r="W162" s="32" t="n">
        <v>14.77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Between 1.5 to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IF(B163=0,"",RANK(B163,$B$2:$B$374,0))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KENNAMET</t>
        </is>
      </c>
      <c r="D163" s="31" t="inlineStr">
        <is>
          <t>Kennametal India Ltd</t>
        </is>
      </c>
      <c r="E163" s="31" t="inlineStr">
        <is>
          <t>industrials</t>
        </is>
      </c>
      <c r="F163" s="31" t="inlineStr">
        <is>
          <t>castings &amp; forgings</t>
        </is>
      </c>
      <c r="G163" s="31" t="inlineStr">
        <is>
          <t>midcap</t>
        </is>
      </c>
      <c r="H163" s="32" t="n">
        <v>10066.69</v>
      </c>
      <c r="I163" s="32" t="n">
        <v>4396.1</v>
      </c>
      <c r="J163" s="32" t="n">
        <v>-4.02</v>
      </c>
      <c r="K163" s="32" t="n">
        <v>38870</v>
      </c>
      <c r="L163" s="31" t="n">
        <v>90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84.61</v>
      </c>
      <c r="P163" s="32" t="n">
        <v>47.04</v>
      </c>
      <c r="Q163" s="32" t="inlineStr"/>
      <c r="R163" s="31" t="inlineStr">
        <is>
          <t>Earnings / Momentum Support</t>
        </is>
      </c>
      <c r="S163" s="31" t="inlineStr">
        <is>
          <t>Nifty 50</t>
        </is>
      </c>
      <c r="T163" s="32" t="n">
        <v>-1.03</v>
      </c>
      <c r="U163" s="32" t="n">
        <v>110.89</v>
      </c>
      <c r="V163" s="32" t="n">
        <v>113.08</v>
      </c>
      <c r="W163" s="32" t="n">
        <v>29.34</v>
      </c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IF(B164=0,"",RANK(B164,$B$2:$B$374,0))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3" t="inlineStr">
        <is>
          <t>LTFOODS</t>
        </is>
      </c>
      <c r="D164" s="33" t="inlineStr">
        <is>
          <t>L T Foods Ltd</t>
        </is>
      </c>
      <c r="E164" s="31" t="inlineStr">
        <is>
          <t>fmcg</t>
        </is>
      </c>
      <c r="F164" s="31" t="inlineStr">
        <is>
          <t>food - processing - indian</t>
        </is>
      </c>
      <c r="G164" s="31" t="inlineStr">
        <is>
          <t>midcap</t>
        </is>
      </c>
      <c r="H164" s="32" t="n">
        <v>15256.56</v>
      </c>
      <c r="I164" s="32" t="n">
        <v>446.55</v>
      </c>
      <c r="J164" s="32" t="n">
        <v>1.64</v>
      </c>
      <c r="K164" s="32" t="n">
        <v>1011116</v>
      </c>
      <c r="L164" s="31" t="n">
        <v>2</v>
      </c>
      <c r="M164" s="31" t="inlineStr">
        <is>
          <t>Underperforming</t>
        </is>
      </c>
      <c r="N164" s="32">
        <f>IF(M164="Underperforming",-5,IF(L164&gt;=95,15,IF(L164&gt;=90,10,IF(L164&gt;=80,5,0))))</f>
        <v/>
      </c>
      <c r="O164" s="32" t="n">
        <v>62.32</v>
      </c>
      <c r="P164" s="32" t="n">
        <v>19.27</v>
      </c>
      <c r="Q164" s="32" t="inlineStr"/>
      <c r="R164" s="31" t="inlineStr">
        <is>
          <t>Earnings / Momentum Support</t>
        </is>
      </c>
      <c r="S164" s="31" t="inlineStr">
        <is>
          <t>Nifty FMCG</t>
        </is>
      </c>
      <c r="T164" s="32" t="n">
        <v>-13.73</v>
      </c>
      <c r="U164" s="32" t="n">
        <v>-23.43</v>
      </c>
      <c r="V164" s="32" t="n">
        <v>-11.25</v>
      </c>
      <c r="W164" s="32" t="n">
        <v>-6.38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B2C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IF(B165=0,"",RANK(B165,$B$2:$B$374,0))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SAGILITY</t>
        </is>
      </c>
      <c r="D165" s="31" t="inlineStr">
        <is>
          <t>Sagility India Ltd</t>
        </is>
      </c>
      <c r="E165" s="31" t="inlineStr">
        <is>
          <t>i.t</t>
        </is>
      </c>
      <c r="F165" s="31" t="inlineStr">
        <is>
          <t>computers - software - medium / small</t>
        </is>
      </c>
      <c r="G165" s="31" t="inlineStr">
        <is>
          <t>largecap</t>
        </is>
      </c>
      <c r="H165" s="32" t="n">
        <v>21693.28</v>
      </c>
      <c r="I165" s="32" t="n">
        <v>47.05</v>
      </c>
      <c r="J165" s="32" t="n">
        <v>1.53</v>
      </c>
      <c r="K165" s="32" t="n">
        <v>64918282</v>
      </c>
      <c r="L165" s="31" t="n">
        <v>29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59.54</v>
      </c>
      <c r="P165" s="32" t="n">
        <v>14.1</v>
      </c>
      <c r="Q165" s="32" t="inlineStr"/>
      <c r="R165" s="31" t="inlineStr">
        <is>
          <t>Earnings / Momentum Support</t>
        </is>
      </c>
      <c r="S165" s="31" t="inlineStr">
        <is>
          <t>Nifty IT</t>
        </is>
      </c>
      <c r="T165" s="32" t="n">
        <v>-11.08</v>
      </c>
      <c r="U165" s="32" t="n">
        <v>5.98</v>
      </c>
      <c r="V165" s="32" t="n">
        <v>19.19</v>
      </c>
      <c r="W165" s="32" t="n">
        <v>4.67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IF(B166=0,"",RANK(B166,$B$2:$B$374,0))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DBOL</t>
        </is>
      </c>
      <c r="D166" s="31" t="inlineStr">
        <is>
          <t>Dhampur Bio Organics Ltd</t>
        </is>
      </c>
      <c r="E166" s="31" t="inlineStr">
        <is>
          <t>fmcg</t>
        </is>
      </c>
      <c r="F166" s="31" t="inlineStr">
        <is>
          <t>sugar</t>
        </is>
      </c>
      <c r="G166" s="31" t="inlineStr">
        <is>
          <t>smallcap</t>
        </is>
      </c>
      <c r="H166" s="32" t="n">
        <v>832.63</v>
      </c>
      <c r="I166" s="32" t="n">
        <v>127.24</v>
      </c>
      <c r="J166" s="32" t="n">
        <v>1.45</v>
      </c>
      <c r="K166" s="32" t="n">
        <v>375959</v>
      </c>
      <c r="L166" s="31" t="n">
        <v>28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61.45</v>
      </c>
      <c r="P166" s="32" t="n">
        <v>37.3</v>
      </c>
      <c r="Q166" s="32" t="inlineStr"/>
      <c r="R166" s="31" t="inlineStr">
        <is>
          <t>Earnings / Momentum Support</t>
        </is>
      </c>
      <c r="S166" s="31" t="inlineStr">
        <is>
          <t>Nifty FMCG</t>
        </is>
      </c>
      <c r="T166" s="32" t="n">
        <v>-13.73</v>
      </c>
      <c r="U166" s="32" t="n">
        <v>9.539999999999999</v>
      </c>
      <c r="V166" s="32" t="n">
        <v>26.97</v>
      </c>
      <c r="W166" s="32" t="n">
        <v>4.56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B2C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IF(B167=0,"",RANK(B167,$B$2:$B$374,0))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DALMIASUG</t>
        </is>
      </c>
      <c r="D167" s="31" t="inlineStr">
        <is>
          <t>Dalmia Bharat Sugar And Industries Limited</t>
        </is>
      </c>
      <c r="E167" s="31" t="inlineStr">
        <is>
          <t>fmcg</t>
        </is>
      </c>
      <c r="F167" s="31" t="inlineStr">
        <is>
          <t>sugar</t>
        </is>
      </c>
      <c r="G167" s="31" t="inlineStr">
        <is>
          <t>smallcap</t>
        </is>
      </c>
      <c r="H167" s="32" t="n">
        <v>3868.49</v>
      </c>
      <c r="I167" s="32" t="n">
        <v>484.15</v>
      </c>
      <c r="J167" s="32" t="n">
        <v>1.3</v>
      </c>
      <c r="K167" s="32" t="n">
        <v>999987</v>
      </c>
      <c r="L167" s="31" t="n">
        <v>11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70.95999999999999</v>
      </c>
      <c r="P167" s="32" t="n">
        <v>33.94</v>
      </c>
      <c r="Q167" s="32" t="inlineStr"/>
      <c r="R167" s="31" t="inlineStr">
        <is>
          <t>Earnings / Momentum Support</t>
        </is>
      </c>
      <c r="S167" s="31" t="inlineStr">
        <is>
          <t>Nifty FMCG</t>
        </is>
      </c>
      <c r="T167" s="32" t="n">
        <v>-13.73</v>
      </c>
      <c r="U167" s="32" t="n">
        <v>-5.55</v>
      </c>
      <c r="V167" s="32" t="n">
        <v>9.48</v>
      </c>
      <c r="W167" s="32" t="n">
        <v>-0.23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B2C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IF(B168=0,"",RANK(B168,$B$2:$B$374,0))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3" t="inlineStr">
        <is>
          <t>TASTYBITE</t>
        </is>
      </c>
      <c r="D168" s="33" t="inlineStr">
        <is>
          <t>Tasty Bite Eatables Ltd</t>
        </is>
      </c>
      <c r="E168" s="31" t="inlineStr">
        <is>
          <t>fmcg</t>
        </is>
      </c>
      <c r="F168" s="31" t="inlineStr">
        <is>
          <t>food - processing - indian</t>
        </is>
      </c>
      <c r="G168" s="31" t="inlineStr">
        <is>
          <t>smallcap</t>
        </is>
      </c>
      <c r="H168" s="32" t="n">
        <v>2584.73</v>
      </c>
      <c r="I168" s="32" t="n">
        <v>10139</v>
      </c>
      <c r="J168" s="32" t="n">
        <v>0.66</v>
      </c>
      <c r="K168" s="32" t="n">
        <v>3378</v>
      </c>
      <c r="L168" s="31" t="n">
        <v>16</v>
      </c>
      <c r="M168" s="31" t="inlineStr">
        <is>
          <t>Underperforming</t>
        </is>
      </c>
      <c r="N168" s="32">
        <f>IF(M168="Underperforming",-5,IF(L168&gt;=95,15,IF(L168&gt;=90,10,IF(L168&gt;=80,5,0))))</f>
        <v/>
      </c>
      <c r="O168" s="32" t="n">
        <v>71.61</v>
      </c>
      <c r="P168" s="32" t="n">
        <v>49.21</v>
      </c>
      <c r="Q168" s="32" t="inlineStr"/>
      <c r="R168" s="31" t="inlineStr">
        <is>
          <t>Earnings / Momentum Support</t>
        </is>
      </c>
      <c r="S168" s="31" t="inlineStr">
        <is>
          <t>Nifty FMCG</t>
        </is>
      </c>
      <c r="T168" s="32" t="n">
        <v>-13.73</v>
      </c>
      <c r="U168" s="32" t="n">
        <v>-20.28</v>
      </c>
      <c r="V168" s="32" t="n">
        <v>-7.6</v>
      </c>
      <c r="W168" s="32" t="n">
        <v>1.25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B2C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IF(B169=0,"",RANK(B169,$B$2:$B$374,0))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LALPATHLAB</t>
        </is>
      </c>
      <c r="D169" s="33" t="inlineStr">
        <is>
          <t>Dr. Lal Path Labs Ltd.</t>
        </is>
      </c>
      <c r="E169" s="31" t="inlineStr">
        <is>
          <t>healthcare</t>
        </is>
      </c>
      <c r="F169" s="31" t="inlineStr">
        <is>
          <t>healthcare</t>
        </is>
      </c>
      <c r="G169" s="31" t="inlineStr">
        <is>
          <t>largecap</t>
        </is>
      </c>
      <c r="H169" s="32" t="n">
        <v>32372.53</v>
      </c>
      <c r="I169" s="32" t="n">
        <v>1934.6</v>
      </c>
      <c r="J169" s="32" t="n">
        <v>0.18</v>
      </c>
      <c r="K169" s="32" t="n">
        <v>157780</v>
      </c>
      <c r="L169" s="31" t="n">
        <v>46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72.25</v>
      </c>
      <c r="P169" s="32" t="n">
        <v>43.03</v>
      </c>
      <c r="Q169" s="32" t="inlineStr"/>
      <c r="R169" s="31" t="inlineStr">
        <is>
          <t>Earnings / Momentum Support</t>
        </is>
      </c>
      <c r="S169" s="31" t="inlineStr">
        <is>
          <t>Nifty Pharma</t>
        </is>
      </c>
      <c r="T169" s="32" t="n">
        <v>23.79</v>
      </c>
      <c r="U169" s="32" t="n">
        <v>17.87</v>
      </c>
      <c r="V169" s="32" t="n">
        <v>-4.78</v>
      </c>
      <c r="W169" s="32" t="n">
        <v>8.15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IF(B170=0,"",RANK(B170,$B$2:$B$374,0))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THEMISMED</t>
        </is>
      </c>
      <c r="D170" s="31" t="inlineStr">
        <is>
          <t>Themis Medicare Limited</t>
        </is>
      </c>
      <c r="E170" s="31" t="inlineStr">
        <is>
          <t>healthcare</t>
        </is>
      </c>
      <c r="F170" s="31" t="inlineStr">
        <is>
          <t>pharmaceuticals - indian - bulk drugs &amp; formln</t>
        </is>
      </c>
      <c r="G170" s="31" t="inlineStr">
        <is>
          <t>smallcap</t>
        </is>
      </c>
      <c r="H170" s="32" t="n">
        <v>1155.67</v>
      </c>
      <c r="I170" s="32" t="n">
        <v>124.76</v>
      </c>
      <c r="J170" s="32" t="n">
        <v>-0.57</v>
      </c>
      <c r="K170" s="32" t="n">
        <v>131074</v>
      </c>
      <c r="L170" s="31" t="n">
        <v>50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64.54000000000001</v>
      </c>
      <c r="P170" s="32" t="n">
        <v>37.42</v>
      </c>
      <c r="Q170" s="32" t="inlineStr"/>
      <c r="R170" s="31" t="inlineStr">
        <is>
          <t>Earnings / Momentum Support</t>
        </is>
      </c>
      <c r="S170" s="31" t="inlineStr">
        <is>
          <t>Nifty Pharma</t>
        </is>
      </c>
      <c r="T170" s="32" t="n">
        <v>23.79</v>
      </c>
      <c r="U170" s="32" t="n">
        <v>27.26</v>
      </c>
      <c r="V170" s="32" t="n">
        <v>2.8</v>
      </c>
      <c r="W170" s="32" t="n">
        <v>9.140000000000001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IF(B171=0,"",RANK(B171,$B$2:$B$374,0))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TECHM</t>
        </is>
      </c>
      <c r="D171" s="31" t="inlineStr">
        <is>
          <t>Tech Mahindra Limited</t>
        </is>
      </c>
      <c r="E171" s="31" t="inlineStr">
        <is>
          <t>i.t</t>
        </is>
      </c>
      <c r="F171" s="31" t="inlineStr">
        <is>
          <t>computers - software - large</t>
        </is>
      </c>
      <c r="G171" s="31" t="inlineStr">
        <is>
          <t>largecap</t>
        </is>
      </c>
      <c r="H171" s="32" t="n">
        <v>160817.71</v>
      </c>
      <c r="I171" s="32" t="n">
        <v>1628</v>
      </c>
      <c r="J171" s="32" t="n">
        <v>-0.79</v>
      </c>
      <c r="K171" s="32" t="n">
        <v>2975369</v>
      </c>
      <c r="L171" s="31" t="n">
        <v>35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61.98</v>
      </c>
      <c r="P171" s="32" t="n">
        <v>13.84</v>
      </c>
      <c r="Q171" s="32" t="inlineStr"/>
      <c r="R171" s="31" t="inlineStr">
        <is>
          <t>Earnings / Momentum Support</t>
        </is>
      </c>
      <c r="S171" s="31" t="inlineStr">
        <is>
          <t>Nifty IT</t>
        </is>
      </c>
      <c r="T171" s="32" t="n">
        <v>-11.08</v>
      </c>
      <c r="U171" s="32" t="n">
        <v>14.84</v>
      </c>
      <c r="V171" s="32" t="n">
        <v>29.15</v>
      </c>
      <c r="W171" s="32" t="n">
        <v>5.84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IF(B172=0,"",RANK(B172,$B$2:$B$374,0))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NEULANDLAB</t>
        </is>
      </c>
      <c r="D172" s="31" t="inlineStr">
        <is>
          <t>Neuland Laboratories Limited</t>
        </is>
      </c>
      <c r="E172" s="31" t="inlineStr">
        <is>
          <t>healthcare</t>
        </is>
      </c>
      <c r="F172" s="31" t="inlineStr">
        <is>
          <t>pharmaceuticals - indian - bulk drugs</t>
        </is>
      </c>
      <c r="G172" s="31" t="inlineStr">
        <is>
          <t>largecap</t>
        </is>
      </c>
      <c r="H172" s="32" t="n">
        <v>29771.76</v>
      </c>
      <c r="I172" s="32" t="n">
        <v>23010</v>
      </c>
      <c r="J172" s="32" t="n">
        <v>-0.84</v>
      </c>
      <c r="K172" s="32" t="n">
        <v>41464</v>
      </c>
      <c r="L172" s="31" t="n">
        <v>80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76.66</v>
      </c>
      <c r="P172" s="32" t="n">
        <v>57.23</v>
      </c>
      <c r="Q172" s="32" t="inlineStr"/>
      <c r="R172" s="31" t="inlineStr">
        <is>
          <t>Earnings / Momentum Support</t>
        </is>
      </c>
      <c r="S172" s="31" t="inlineStr">
        <is>
          <t>Nifty Pharma</t>
        </is>
      </c>
      <c r="T172" s="32" t="n">
        <v>23.79</v>
      </c>
      <c r="U172" s="32" t="n">
        <v>72.78</v>
      </c>
      <c r="V172" s="32" t="n">
        <v>39.57</v>
      </c>
      <c r="W172" s="32" t="n">
        <v>21.6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Yes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IF(B173=0,"",RANK(B173,$B$2:$B$374,0))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VARROC</t>
        </is>
      </c>
      <c r="D173" s="31" t="inlineStr">
        <is>
          <t>Varroc Engineering Ltd</t>
        </is>
      </c>
      <c r="E173" s="31" t="inlineStr">
        <is>
          <t>auto</t>
        </is>
      </c>
      <c r="F173" s="31" t="inlineStr">
        <is>
          <t>auto ancillaries</t>
        </is>
      </c>
      <c r="G173" s="31" t="inlineStr">
        <is>
          <t>midcap</t>
        </is>
      </c>
      <c r="H173" s="32" t="n">
        <v>12556.75</v>
      </c>
      <c r="I173" s="32" t="n">
        <v>862</v>
      </c>
      <c r="J173" s="32" t="n">
        <v>4.89</v>
      </c>
      <c r="K173" s="32" t="n">
        <v>623239</v>
      </c>
      <c r="L173" s="31" t="n">
        <v>44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74.90000000000001</v>
      </c>
      <c r="P173" s="32" t="n">
        <v>49.77</v>
      </c>
      <c r="Q173" s="32" t="inlineStr"/>
      <c r="R173" s="31" t="inlineStr">
        <is>
          <t>Earnings / Momentum Support</t>
        </is>
      </c>
      <c r="S173" s="31" t="inlineStr">
        <is>
          <t>Nifty Auto</t>
        </is>
      </c>
      <c r="T173" s="32" t="n">
        <v>13.41</v>
      </c>
      <c r="U173" s="32" t="n">
        <v>16.11</v>
      </c>
      <c r="V173" s="32" t="n">
        <v>2.38</v>
      </c>
      <c r="W173" s="32" t="n">
        <v>7.58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IF(B174=0,"",RANK(B174,$B$2:$B$374,0))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TVSSRICHAK</t>
        </is>
      </c>
      <c r="D174" s="31" t="inlineStr">
        <is>
          <t>Tvs Srichakra Limited</t>
        </is>
      </c>
      <c r="E174" s="31" t="inlineStr">
        <is>
          <t>auto</t>
        </is>
      </c>
      <c r="F174" s="31" t="inlineStr">
        <is>
          <t>tyres</t>
        </is>
      </c>
      <c r="G174" s="31" t="inlineStr">
        <is>
          <t>smallcap</t>
        </is>
      </c>
      <c r="H174" s="32" t="n">
        <v>4052.34</v>
      </c>
      <c r="I174" s="32" t="n">
        <v>5519.6</v>
      </c>
      <c r="J174" s="32" t="n">
        <v>4.29</v>
      </c>
      <c r="K174" s="32" t="n">
        <v>81248</v>
      </c>
      <c r="L174" s="31" t="n">
        <v>41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74.92</v>
      </c>
      <c r="P174" s="32" t="n">
        <v>28.88</v>
      </c>
      <c r="Q174" s="32" t="inlineStr"/>
      <c r="R174" s="31" t="inlineStr">
        <is>
          <t>Earnings / Momentum Support</t>
        </is>
      </c>
      <c r="S174" s="31" t="inlineStr">
        <is>
          <t>Nifty Auto</t>
        </is>
      </c>
      <c r="T174" s="32" t="n">
        <v>13.41</v>
      </c>
      <c r="U174" s="32" t="n">
        <v>30.29</v>
      </c>
      <c r="V174" s="32" t="n">
        <v>14.88</v>
      </c>
      <c r="W174" s="32" t="n">
        <v>7.03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IF(B175=0,"",RANK(B175,$B$2:$B$374,0))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NYKAA</t>
        </is>
      </c>
      <c r="D175" s="31" t="inlineStr">
        <is>
          <t>FSN E-Commerce Ventures Ltd</t>
        </is>
      </c>
      <c r="E175" s="31" t="inlineStr">
        <is>
          <t>i.t</t>
        </is>
      </c>
      <c r="F175" s="31" t="inlineStr">
        <is>
          <t>trading</t>
        </is>
      </c>
      <c r="G175" s="31" t="inlineStr">
        <is>
          <t>largecap</t>
        </is>
      </c>
      <c r="H175" s="32" t="n">
        <v>96124.25999999999</v>
      </c>
      <c r="I175" s="32" t="n">
        <v>349.55</v>
      </c>
      <c r="J175" s="32" t="n">
        <v>4.14</v>
      </c>
      <c r="K175" s="32" t="n">
        <v>7930224</v>
      </c>
      <c r="L175" s="31" t="n">
        <v>64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72.16</v>
      </c>
      <c r="P175" s="32" t="n">
        <v>48.2</v>
      </c>
      <c r="Q175" s="32" t="inlineStr"/>
      <c r="R175" s="31" t="inlineStr">
        <is>
          <t>Earnings / Momentum Support</t>
        </is>
      </c>
      <c r="S175" s="31" t="inlineStr">
        <is>
          <t>Nifty IT</t>
        </is>
      </c>
      <c r="T175" s="32" t="n">
        <v>-11.08</v>
      </c>
      <c r="U175" s="32" t="n">
        <v>45.84</v>
      </c>
      <c r="V175" s="32" t="n">
        <v>64.02</v>
      </c>
      <c r="W175" s="32" t="n">
        <v>14.04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Between 0.7 to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IF(B176=0,"",RANK(B176,$B$2:$B$374,0))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POLYCAB</t>
        </is>
      </c>
      <c r="D176" s="31" t="inlineStr">
        <is>
          <t>Polycab India Ltd</t>
        </is>
      </c>
      <c r="E176" s="31" t="inlineStr">
        <is>
          <t>industrials</t>
        </is>
      </c>
      <c r="F176" s="31" t="inlineStr">
        <is>
          <t>cables - power</t>
        </is>
      </c>
      <c r="G176" s="31" t="inlineStr">
        <is>
          <t>largecap</t>
        </is>
      </c>
      <c r="H176" s="32" t="n">
        <v>136897.14</v>
      </c>
      <c r="I176" s="32" t="n">
        <v>9445</v>
      </c>
      <c r="J176" s="32" t="n">
        <v>3.93</v>
      </c>
      <c r="K176" s="32" t="n">
        <v>387155</v>
      </c>
      <c r="L176" s="31" t="n">
        <v>42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55.44</v>
      </c>
      <c r="P176" s="32" t="n">
        <v>32.6</v>
      </c>
      <c r="Q176" s="32" t="inlineStr"/>
      <c r="R176" s="31" t="inlineStr">
        <is>
          <t>Earnings / Momentum Support</t>
        </is>
      </c>
      <c r="S176" s="31" t="inlineStr">
        <is>
          <t>Nifty Energy</t>
        </is>
      </c>
      <c r="T176" s="32" t="n">
        <v>8.41</v>
      </c>
      <c r="U176" s="32" t="n">
        <v>28.56</v>
      </c>
      <c r="V176" s="32" t="n">
        <v>18.59</v>
      </c>
      <c r="W176" s="32" t="n">
        <v>7.13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Between 1.5 to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IF(B177=0,"",RANK(B177,$B$2:$B$374,0))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VGUARD</t>
        </is>
      </c>
      <c r="D177" s="33" t="inlineStr">
        <is>
          <t>V-guard Industries Limited</t>
        </is>
      </c>
      <c r="E177" s="31" t="inlineStr">
        <is>
          <t>industrials</t>
        </is>
      </c>
      <c r="F177" s="31" t="inlineStr">
        <is>
          <t>electric equipment</t>
        </is>
      </c>
      <c r="G177" s="31" t="inlineStr">
        <is>
          <t>midcap</t>
        </is>
      </c>
      <c r="H177" s="32" t="n">
        <v>14559.39</v>
      </c>
      <c r="I177" s="32" t="n">
        <v>346.35</v>
      </c>
      <c r="J177" s="32" t="n">
        <v>3.93</v>
      </c>
      <c r="K177" s="32" t="n">
        <v>1794487</v>
      </c>
      <c r="L177" s="31" t="n">
        <v>13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58.05</v>
      </c>
      <c r="P177" s="32" t="n">
        <v>21.87</v>
      </c>
      <c r="Q177" s="32" t="inlineStr"/>
      <c r="R177" s="31" t="inlineStr">
        <is>
          <t>Earnings / Momentum Support</t>
        </is>
      </c>
      <c r="S177" s="31" t="inlineStr">
        <is>
          <t>Nifty 50</t>
        </is>
      </c>
      <c r="T177" s="32" t="n">
        <v>-1.03</v>
      </c>
      <c r="U177" s="32" t="n">
        <v>-7.85</v>
      </c>
      <c r="V177" s="32" t="n">
        <v>-6.89</v>
      </c>
      <c r="W177" s="32" t="n">
        <v>0.4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IF(B178=0,"",RANK(B178,$B$2:$B$374,0))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TBOTEK</t>
        </is>
      </c>
      <c r="D178" s="31" t="inlineStr">
        <is>
          <t>TBO Tek Ltd</t>
        </is>
      </c>
      <c r="E178" s="31" t="inlineStr">
        <is>
          <t>i.t</t>
        </is>
      </c>
      <c r="F178" s="31" t="inlineStr">
        <is>
          <t>travel agencies</t>
        </is>
      </c>
      <c r="G178" s="31" t="inlineStr">
        <is>
          <t>midcap</t>
        </is>
      </c>
      <c r="H178" s="32" t="n">
        <v>18272.07</v>
      </c>
      <c r="I178" s="32" t="n">
        <v>1745.1</v>
      </c>
      <c r="J178" s="32" t="n">
        <v>3.71</v>
      </c>
      <c r="K178" s="32" t="n">
        <v>454414</v>
      </c>
      <c r="L178" s="31" t="n">
        <v>67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66.34999999999999</v>
      </c>
      <c r="P178" s="32" t="n">
        <v>25.32</v>
      </c>
      <c r="Q178" s="32" t="inlineStr"/>
      <c r="R178" s="31" t="inlineStr">
        <is>
          <t>Earnings / Momentum Support</t>
        </is>
      </c>
      <c r="S178" s="31" t="inlineStr">
        <is>
          <t>Nifty IT</t>
        </is>
      </c>
      <c r="T178" s="32" t="n">
        <v>-11.08</v>
      </c>
      <c r="U178" s="32" t="n">
        <v>28.72</v>
      </c>
      <c r="V178" s="32" t="n">
        <v>44.76</v>
      </c>
      <c r="W178" s="32" t="n">
        <v>14.92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IF(B179=0,"",RANK(B179,$B$2:$B$374,0))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PIDILITIND</t>
        </is>
      </c>
      <c r="D179" s="31" t="inlineStr">
        <is>
          <t>Pidilite Industries Limited</t>
        </is>
      </c>
      <c r="E179" s="31" t="inlineStr">
        <is>
          <t>chemicals</t>
        </is>
      </c>
      <c r="F179" s="31" t="inlineStr">
        <is>
          <t>chemicals</t>
        </is>
      </c>
      <c r="G179" s="31" t="inlineStr">
        <is>
          <t>largecap</t>
        </is>
      </c>
      <c r="H179" s="32" t="n">
        <v>165846.49</v>
      </c>
      <c r="I179" s="32" t="n">
        <v>1687.7</v>
      </c>
      <c r="J179" s="32" t="n">
        <v>3.57</v>
      </c>
      <c r="K179" s="32" t="n">
        <v>1907573</v>
      </c>
      <c r="L179" s="31" t="n">
        <v>25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62.6</v>
      </c>
      <c r="P179" s="32" t="n">
        <v>31.92</v>
      </c>
      <c r="Q179" s="32" t="inlineStr"/>
      <c r="R179" s="31" t="inlineStr">
        <is>
          <t>Earnings / Momentum Support</t>
        </is>
      </c>
      <c r="S179" s="31" t="inlineStr">
        <is>
          <t>Nifty 50</t>
        </is>
      </c>
      <c r="T179" s="32" t="n">
        <v>-1.03</v>
      </c>
      <c r="U179" s="32" t="n">
        <v>7.61</v>
      </c>
      <c r="V179" s="32" t="n">
        <v>8.73</v>
      </c>
      <c r="W179" s="32" t="n">
        <v>3.73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IF(B180=0,"",RANK(B180,$B$2:$B$374,0))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VMART</t>
        </is>
      </c>
      <c r="D180" s="31" t="inlineStr">
        <is>
          <t>V-mart Retail Limited</t>
        </is>
      </c>
      <c r="E180" s="31" t="inlineStr">
        <is>
          <t>consumer discretionary</t>
        </is>
      </c>
      <c r="F180" s="31" t="inlineStr">
        <is>
          <t>trading</t>
        </is>
      </c>
      <c r="G180" s="31" t="inlineStr">
        <is>
          <t>midcap</t>
        </is>
      </c>
      <c r="H180" s="32" t="n">
        <v>6520.15</v>
      </c>
      <c r="I180" s="32" t="n">
        <v>847.45</v>
      </c>
      <c r="J180" s="32" t="n">
        <v>3.39</v>
      </c>
      <c r="K180" s="32" t="n">
        <v>84716</v>
      </c>
      <c r="L180" s="31" t="n">
        <v>48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62.63</v>
      </c>
      <c r="P180" s="32" t="n">
        <v>30.33</v>
      </c>
      <c r="Q180" s="32" t="inlineStr"/>
      <c r="R180" s="31" t="inlineStr">
        <is>
          <t>Earnings / Momentum Support</t>
        </is>
      </c>
      <c r="S180" s="31" t="inlineStr">
        <is>
          <t>Nifty 50</t>
        </is>
      </c>
      <c r="T180" s="32" t="n">
        <v>-1.03</v>
      </c>
      <c r="U180" s="32" t="n">
        <v>10.52</v>
      </c>
      <c r="V180" s="32" t="n">
        <v>11.67</v>
      </c>
      <c r="W180" s="32" t="n">
        <v>8.550000000000001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Between 0.7 to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IF(B181=0,"",RANK(B181,$B$2:$B$374,0))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BHEL</t>
        </is>
      </c>
      <c r="D181" s="31" t="inlineStr">
        <is>
          <t>Bharat Heavy Electricals Limited</t>
        </is>
      </c>
      <c r="E181" s="31" t="inlineStr">
        <is>
          <t>industrials</t>
        </is>
      </c>
      <c r="F181" s="31" t="inlineStr">
        <is>
          <t>electric equipment</t>
        </is>
      </c>
      <c r="G181" s="31" t="inlineStr">
        <is>
          <t>largecap</t>
        </is>
      </c>
      <c r="H181" s="32" t="n">
        <v>150024.7</v>
      </c>
      <c r="I181" s="32" t="n">
        <v>442.65</v>
      </c>
      <c r="J181" s="32" t="n">
        <v>2.74</v>
      </c>
      <c r="K181" s="32" t="n">
        <v>9251968</v>
      </c>
      <c r="L181" s="31" t="n">
        <v>76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66.06999999999999</v>
      </c>
      <c r="P181" s="32" t="n">
        <v>36.88</v>
      </c>
      <c r="Q181" s="32" t="inlineStr"/>
      <c r="R181" s="31" t="inlineStr">
        <is>
          <t>Earnings / Momentum Support</t>
        </is>
      </c>
      <c r="S181" s="31" t="inlineStr">
        <is>
          <t>Nifty 50</t>
        </is>
      </c>
      <c r="T181" s="32" t="n">
        <v>-1.03</v>
      </c>
      <c r="U181" s="32" t="n">
        <v>107.8</v>
      </c>
      <c r="V181" s="32" t="n">
        <v>109.96</v>
      </c>
      <c r="W181" s="32" t="n">
        <v>19.13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Between 1.5 to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IF(B182=0,"",RANK(B182,$B$2:$B$374,0))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THELEELA</t>
        </is>
      </c>
      <c r="D182" s="31" t="inlineStr">
        <is>
          <t>Leela Palaces Hotels &amp; Resorts Ltd</t>
        </is>
      </c>
      <c r="E182" s="31" t="inlineStr">
        <is>
          <t>services</t>
        </is>
      </c>
      <c r="F182" s="31" t="inlineStr">
        <is>
          <t>hotels</t>
        </is>
      </c>
      <c r="G182" s="31" t="inlineStr">
        <is>
          <t>midcap</t>
        </is>
      </c>
      <c r="H182" s="32" t="n">
        <v>18543.01</v>
      </c>
      <c r="I182" s="32" t="n">
        <v>570.4</v>
      </c>
      <c r="J182" s="32" t="n">
        <v>2.73</v>
      </c>
      <c r="K182" s="32" t="n">
        <v>1539789</v>
      </c>
      <c r="L182" s="31" t="n">
        <v>66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68.84999999999999</v>
      </c>
      <c r="P182" s="32" t="n">
        <v>37.49</v>
      </c>
      <c r="Q182" s="32" t="inlineStr"/>
      <c r="R182" s="31" t="inlineStr">
        <is>
          <t>Earnings / Momentum Support</t>
        </is>
      </c>
      <c r="S182" s="31" t="inlineStr">
        <is>
          <t>Nifty 50</t>
        </is>
      </c>
      <c r="T182" s="32" t="n">
        <v>-1.03</v>
      </c>
      <c r="U182" s="32" t="n">
        <v>39</v>
      </c>
      <c r="V182" s="32" t="n">
        <v>40.45</v>
      </c>
      <c r="W182" s="32" t="n">
        <v>14.6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IF(B183=0,"",RANK(B183,$B$2:$B$374,0))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TCPLPACK</t>
        </is>
      </c>
      <c r="D183" s="31" t="inlineStr">
        <is>
          <t>TCPL Packaging Ltd</t>
        </is>
      </c>
      <c r="E183" s="31" t="inlineStr">
        <is>
          <t>industrials</t>
        </is>
      </c>
      <c r="F183" s="31" t="inlineStr">
        <is>
          <t>packaging</t>
        </is>
      </c>
      <c r="G183" s="31" t="inlineStr">
        <is>
          <t>smallcap</t>
        </is>
      </c>
      <c r="H183" s="32" t="n">
        <v>3477.75</v>
      </c>
      <c r="I183" s="32" t="n">
        <v>3908.1</v>
      </c>
      <c r="J183" s="32" t="n">
        <v>2.26</v>
      </c>
      <c r="K183" s="32" t="n">
        <v>17193</v>
      </c>
      <c r="L183" s="31" t="n">
        <v>67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67.43000000000001</v>
      </c>
      <c r="P183" s="32" t="n">
        <v>37.61</v>
      </c>
      <c r="Q183" s="32" t="inlineStr"/>
      <c r="R183" s="31" t="inlineStr">
        <is>
          <t>Earnings / Momentum Support</t>
        </is>
      </c>
      <c r="S183" s="31" t="inlineStr">
        <is>
          <t>Nifty 50</t>
        </is>
      </c>
      <c r="T183" s="32" t="n">
        <v>-1.03</v>
      </c>
      <c r="U183" s="32" t="n">
        <v>15.11</v>
      </c>
      <c r="V183" s="32" t="n">
        <v>16.31</v>
      </c>
      <c r="W183" s="32" t="n">
        <v>15.11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IF(B184=0,"",RANK(B184,$B$2:$B$374,0))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ACMESOLAR</t>
        </is>
      </c>
      <c r="D184" s="31" t="inlineStr">
        <is>
          <t>ACME Solar Holdings Ltd</t>
        </is>
      </c>
      <c r="E184" s="31" t="inlineStr">
        <is>
          <t>realty</t>
        </is>
      </c>
      <c r="F184" s="31" t="inlineStr">
        <is>
          <t>engineering - turnkey services</t>
        </is>
      </c>
      <c r="G184" s="31" t="inlineStr">
        <is>
          <t>largecap</t>
        </is>
      </c>
      <c r="H184" s="32" t="n">
        <v>27829.64</v>
      </c>
      <c r="I184" s="32" t="n">
        <v>401.95</v>
      </c>
      <c r="J184" s="32" t="n">
        <v>2.1</v>
      </c>
      <c r="K184" s="32" t="n">
        <v>3008269</v>
      </c>
      <c r="L184" s="31" t="n">
        <v>66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67.72</v>
      </c>
      <c r="P184" s="32" t="n">
        <v>46.52</v>
      </c>
      <c r="Q184" s="32" t="inlineStr"/>
      <c r="R184" s="31" t="inlineStr">
        <is>
          <t>Earnings / Momentum Support</t>
        </is>
      </c>
      <c r="S184" s="31" t="inlineStr">
        <is>
          <t>Nifty Realty</t>
        </is>
      </c>
      <c r="T184" s="32" t="n">
        <v>-8.119999999999999</v>
      </c>
      <c r="U184" s="32" t="n">
        <v>39.94</v>
      </c>
      <c r="V184" s="32" t="n">
        <v>52.31</v>
      </c>
      <c r="W184" s="32" t="n">
        <v>14.48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More than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IF(B185=0,"",RANK(B185,$B$2:$B$374,0))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ANDHRSUGAR</t>
        </is>
      </c>
      <c r="D185" s="31" t="inlineStr">
        <is>
          <t>The Andhra Sugars Limited</t>
        </is>
      </c>
      <c r="E185" s="31" t="inlineStr">
        <is>
          <t>chemicals</t>
        </is>
      </c>
      <c r="F185" s="31" t="inlineStr">
        <is>
          <t>chlor alkali / soda ash</t>
        </is>
      </c>
      <c r="G185" s="31" t="inlineStr">
        <is>
          <t>smallcap</t>
        </is>
      </c>
      <c r="H185" s="32" t="n">
        <v>1328.52</v>
      </c>
      <c r="I185" s="32" t="n">
        <v>99.64</v>
      </c>
      <c r="J185" s="32" t="n">
        <v>1.65</v>
      </c>
      <c r="K185" s="32" t="n">
        <v>1062628</v>
      </c>
      <c r="L185" s="31" t="n">
        <v>45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61.46</v>
      </c>
      <c r="P185" s="32" t="n">
        <v>13.34</v>
      </c>
      <c r="Q185" s="32" t="inlineStr"/>
      <c r="R185" s="31" t="inlineStr">
        <is>
          <t>Earnings / Momentum Support</t>
        </is>
      </c>
      <c r="S185" s="31" t="inlineStr">
        <is>
          <t>Nifty 50</t>
        </is>
      </c>
      <c r="T185" s="32" t="n">
        <v>-1.03</v>
      </c>
      <c r="U185" s="32" t="n">
        <v>31.27</v>
      </c>
      <c r="V185" s="32" t="n">
        <v>32.64</v>
      </c>
      <c r="W185" s="32" t="n">
        <v>7.87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IF(B186=0,"",RANK(B186,$B$2:$B$374,0))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MOLDTECH</t>
        </is>
      </c>
      <c r="D186" s="33" t="inlineStr">
        <is>
          <t>Mold-tek Technologies Limited</t>
        </is>
      </c>
      <c r="E186" s="31" t="inlineStr">
        <is>
          <t>realty</t>
        </is>
      </c>
      <c r="F186" s="31" t="inlineStr">
        <is>
          <t>engineering - turnkey services</t>
        </is>
      </c>
      <c r="G186" s="31" t="inlineStr">
        <is>
          <t>smallcap</t>
        </is>
      </c>
      <c r="H186" s="32" t="n">
        <v>559.02</v>
      </c>
      <c r="I186" s="32" t="n">
        <v>195.98</v>
      </c>
      <c r="J186" s="32" t="n">
        <v>0.98</v>
      </c>
      <c r="K186" s="32" t="n">
        <v>30564</v>
      </c>
      <c r="L186" s="31" t="n">
        <v>3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71.18000000000001</v>
      </c>
      <c r="P186" s="32" t="n">
        <v>36.68</v>
      </c>
      <c r="Q186" s="32" t="inlineStr"/>
      <c r="R186" s="31" t="inlineStr">
        <is>
          <t>Earnings / Momentum Support</t>
        </is>
      </c>
      <c r="S186" s="31" t="inlineStr">
        <is>
          <t>Nifty Realty</t>
        </is>
      </c>
      <c r="T186" s="32" t="n">
        <v>-8.119999999999999</v>
      </c>
      <c r="U186" s="32" t="n">
        <v>-19.67</v>
      </c>
      <c r="V186" s="32" t="n">
        <v>-12.57</v>
      </c>
      <c r="W186" s="32" t="n">
        <v>-4.45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IF(B187=0,"",RANK(B187,$B$2:$B$374,0))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ETHOSLTD</t>
        </is>
      </c>
      <c r="D187" s="31" t="inlineStr">
        <is>
          <t>Ethos Ltd</t>
        </is>
      </c>
      <c r="E187" s="31" t="inlineStr">
        <is>
          <t>consumer discretionary</t>
        </is>
      </c>
      <c r="F187" s="31" t="inlineStr">
        <is>
          <t>trading</t>
        </is>
      </c>
      <c r="G187" s="31" t="inlineStr">
        <is>
          <t>midcap</t>
        </is>
      </c>
      <c r="H187" s="32" t="n">
        <v>7693.1</v>
      </c>
      <c r="I187" s="32" t="n">
        <v>2898.7</v>
      </c>
      <c r="J187" s="32" t="n">
        <v>0.82</v>
      </c>
      <c r="K187" s="32" t="n">
        <v>36025</v>
      </c>
      <c r="L187" s="31" t="n">
        <v>55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63.59</v>
      </c>
      <c r="P187" s="32" t="n">
        <v>26.07</v>
      </c>
      <c r="Q187" s="32" t="inlineStr"/>
      <c r="R187" s="31" t="inlineStr">
        <is>
          <t>Earnings / Momentum Support</t>
        </is>
      </c>
      <c r="S187" s="31" t="inlineStr">
        <is>
          <t>Nifty 50</t>
        </is>
      </c>
      <c r="T187" s="32" t="n">
        <v>-1.03</v>
      </c>
      <c r="U187" s="32" t="n">
        <v>27.11</v>
      </c>
      <c r="V187" s="32" t="n">
        <v>28.43</v>
      </c>
      <c r="W187" s="32" t="n">
        <v>10.8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IF(B188=0,"",RANK(B188,$B$2:$B$374,0))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RRKABEL</t>
        </is>
      </c>
      <c r="D188" s="31" t="inlineStr">
        <is>
          <t>R R Kabel Ltd</t>
        </is>
      </c>
      <c r="E188" s="31" t="inlineStr">
        <is>
          <t>industrials</t>
        </is>
      </c>
      <c r="F188" s="31" t="inlineStr">
        <is>
          <t>cables - power</t>
        </is>
      </c>
      <c r="G188" s="31" t="inlineStr">
        <is>
          <t>largecap</t>
        </is>
      </c>
      <c r="H188" s="32" t="n">
        <v>32859.41</v>
      </c>
      <c r="I188" s="32" t="n">
        <v>2928.4</v>
      </c>
      <c r="J188" s="32" t="n">
        <v>0.8</v>
      </c>
      <c r="K188" s="32" t="n">
        <v>644107</v>
      </c>
      <c r="L188" s="31" t="n">
        <v>82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78.66</v>
      </c>
      <c r="P188" s="32" t="n">
        <v>69.34</v>
      </c>
      <c r="Q188" s="32" t="inlineStr"/>
      <c r="R188" s="31" t="inlineStr">
        <is>
          <t>Earnings / Momentum Support</t>
        </is>
      </c>
      <c r="S188" s="31" t="inlineStr">
        <is>
          <t>Nifty Energy</t>
        </is>
      </c>
      <c r="T188" s="32" t="n">
        <v>8.41</v>
      </c>
      <c r="U188" s="32" t="n">
        <v>56.69</v>
      </c>
      <c r="V188" s="32" t="n">
        <v>44.54</v>
      </c>
      <c r="W188" s="32" t="n">
        <v>22.92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IF(B189=0,"",RANK(B189,$B$2:$B$374,0))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CRAFTSMAN</t>
        </is>
      </c>
      <c r="D189" s="31" t="inlineStr">
        <is>
          <t>Craftsman Automation Ltd</t>
        </is>
      </c>
      <c r="E189" s="31" t="inlineStr">
        <is>
          <t>auto</t>
        </is>
      </c>
      <c r="F189" s="31" t="inlineStr">
        <is>
          <t>auto ancillaries</t>
        </is>
      </c>
      <c r="G189" s="31" t="inlineStr">
        <is>
          <t>largecap</t>
        </is>
      </c>
      <c r="H189" s="32" t="n">
        <v>29078.5</v>
      </c>
      <c r="I189" s="32" t="n">
        <v>11198.5</v>
      </c>
      <c r="J189" s="32" t="n">
        <v>0.72</v>
      </c>
      <c r="K189" s="32" t="n">
        <v>221148</v>
      </c>
      <c r="L189" s="31" t="n">
        <v>57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72.90000000000001</v>
      </c>
      <c r="P189" s="32" t="n">
        <v>65.77</v>
      </c>
      <c r="Q189" s="32" t="inlineStr"/>
      <c r="R189" s="31" t="inlineStr">
        <is>
          <t>Earnings / Momentum Support</t>
        </is>
      </c>
      <c r="S189" s="31" t="inlineStr">
        <is>
          <t>Nifty Auto</t>
        </is>
      </c>
      <c r="T189" s="32" t="n">
        <v>13.41</v>
      </c>
      <c r="U189" s="32" t="n">
        <v>42.38</v>
      </c>
      <c r="V189" s="32" t="n">
        <v>25.54</v>
      </c>
      <c r="W189" s="32" t="n">
        <v>11.32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Between 0.7 to 1.2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IF(B190=0,"",RANK(B190,$B$2:$B$374,0))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STLTECH</t>
        </is>
      </c>
      <c r="D190" s="31" t="inlineStr">
        <is>
          <t>Sterlite Technologies Limited</t>
        </is>
      </c>
      <c r="E190" s="31" t="inlineStr">
        <is>
          <t>industrials</t>
        </is>
      </c>
      <c r="F190" s="31" t="inlineStr">
        <is>
          <t>cables - telephone</t>
        </is>
      </c>
      <c r="G190" s="31" t="inlineStr">
        <is>
          <t>largecap</t>
        </is>
      </c>
      <c r="H190" s="32" t="n">
        <v>37193.23</v>
      </c>
      <c r="I190" s="32" t="n">
        <v>728.45</v>
      </c>
      <c r="J190" s="32" t="n">
        <v>0.65</v>
      </c>
      <c r="K190" s="32" t="n">
        <v>1785527</v>
      </c>
      <c r="L190" s="31" t="n">
        <v>99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76.33</v>
      </c>
      <c r="P190" s="32" t="n">
        <v>75.48999999999999</v>
      </c>
      <c r="Q190" s="32" t="inlineStr"/>
      <c r="R190" s="31" t="inlineStr">
        <is>
          <t>Earnings / Momentum Support</t>
        </is>
      </c>
      <c r="S190" s="31" t="inlineStr">
        <is>
          <t>Nifty Infra</t>
        </is>
      </c>
      <c r="T190" s="32" t="n">
        <v>1.74</v>
      </c>
      <c r="U190" s="32" t="n">
        <v>350.72</v>
      </c>
      <c r="V190" s="32" t="n">
        <v>343.01</v>
      </c>
      <c r="W190" s="32" t="n">
        <v>71.36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Above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Between 0.7 to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IF(B191=0,"",RANK(B191,$B$2:$B$374,0))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3" t="inlineStr">
        <is>
          <t>ARVSMART</t>
        </is>
      </c>
      <c r="D191" s="33" t="inlineStr">
        <is>
          <t>Arvind Smartspaces Limited</t>
        </is>
      </c>
      <c r="E191" s="31" t="inlineStr">
        <is>
          <t>realty</t>
        </is>
      </c>
      <c r="F191" s="31" t="inlineStr">
        <is>
          <t>construction</t>
        </is>
      </c>
      <c r="G191" s="31" t="inlineStr">
        <is>
          <t>smallcap</t>
        </is>
      </c>
      <c r="H191" s="32" t="n">
        <v>3033.64</v>
      </c>
      <c r="I191" s="32" t="n">
        <v>665.55</v>
      </c>
      <c r="J191" s="32" t="n">
        <v>0.63</v>
      </c>
      <c r="K191" s="32" t="n">
        <v>66987</v>
      </c>
      <c r="L191" s="31" t="n">
        <v>7</v>
      </c>
      <c r="M191" s="31" t="inlineStr">
        <is>
          <t>Underperforming</t>
        </is>
      </c>
      <c r="N191" s="32">
        <f>IF(M191="Underperforming",-5,IF(L191&gt;=95,15,IF(L191&gt;=90,10,IF(L191&gt;=80,5,0))))</f>
        <v/>
      </c>
      <c r="O191" s="32" t="n">
        <v>61.41</v>
      </c>
      <c r="P191" s="32" t="n">
        <v>33.96</v>
      </c>
      <c r="Q191" s="32" t="inlineStr"/>
      <c r="R191" s="31" t="inlineStr">
        <is>
          <t>Earnings / Momentum Support</t>
        </is>
      </c>
      <c r="S191" s="31" t="inlineStr">
        <is>
          <t>Nifty Realty</t>
        </is>
      </c>
      <c r="T191" s="32" t="n">
        <v>-8.119999999999999</v>
      </c>
      <c r="U191" s="32" t="n">
        <v>-9.24</v>
      </c>
      <c r="V191" s="32" t="n">
        <v>-1.22</v>
      </c>
      <c r="W191" s="32" t="n">
        <v>-1.71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IF(B192=0,"",RANK(B192,$B$2:$B$374,0))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ASAHIINDIA</t>
        </is>
      </c>
      <c r="D192" s="31" t="inlineStr">
        <is>
          <t>Asahi India Glass Limited</t>
        </is>
      </c>
      <c r="E192" s="31" t="inlineStr">
        <is>
          <t>building materials</t>
        </is>
      </c>
      <c r="F192" s="31" t="inlineStr">
        <is>
          <t>glass &amp; glass products</t>
        </is>
      </c>
      <c r="G192" s="31" t="inlineStr">
        <is>
          <t>largecap</t>
        </is>
      </c>
      <c r="H192" s="32" t="n">
        <v>24286.91</v>
      </c>
      <c r="I192" s="32" t="n">
        <v>952.05</v>
      </c>
      <c r="J192" s="32" t="n">
        <v>-0.07000000000000001</v>
      </c>
      <c r="K192" s="32" t="n">
        <v>139150</v>
      </c>
      <c r="L192" s="31" t="n">
        <v>18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59.07</v>
      </c>
      <c r="P192" s="32" t="n">
        <v>26.2</v>
      </c>
      <c r="Q192" s="32" t="inlineStr"/>
      <c r="R192" s="31" t="inlineStr">
        <is>
          <t>Earnings / Momentum Support</t>
        </is>
      </c>
      <c r="S192" s="31" t="inlineStr">
        <is>
          <t>Nifty Infra</t>
        </is>
      </c>
      <c r="T192" s="32" t="n">
        <v>1.74</v>
      </c>
      <c r="U192" s="32" t="n">
        <v>4.9</v>
      </c>
      <c r="V192" s="32" t="n">
        <v>3.11</v>
      </c>
      <c r="W192" s="32" t="n">
        <v>1.92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IF(B193=0,"",RANK(B193,$B$2:$B$374,0))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VIDHIING</t>
        </is>
      </c>
      <c r="D193" s="31" t="inlineStr">
        <is>
          <t>Vidhi Specialty Food Ingredients</t>
        </is>
      </c>
      <c r="E193" s="31" t="inlineStr">
        <is>
          <t>chemicals</t>
        </is>
      </c>
      <c r="F193" s="31" t="inlineStr">
        <is>
          <t>dyes and pigments</t>
        </is>
      </c>
      <c r="G193" s="31" t="inlineStr">
        <is>
          <t>smallcap</t>
        </is>
      </c>
      <c r="H193" s="32" t="n">
        <v>1776.54</v>
      </c>
      <c r="I193" s="32" t="n">
        <v>354.55</v>
      </c>
      <c r="J193" s="32" t="n">
        <v>-0.32</v>
      </c>
      <c r="K193" s="32" t="n">
        <v>40625</v>
      </c>
      <c r="L193" s="31" t="n">
        <v>21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64.15000000000001</v>
      </c>
      <c r="P193" s="32" t="n">
        <v>17.87</v>
      </c>
      <c r="Q193" s="32" t="inlineStr"/>
      <c r="R193" s="31" t="inlineStr">
        <is>
          <t>Earnings / Momentum Support</t>
        </is>
      </c>
      <c r="S193" s="31" t="inlineStr">
        <is>
          <t>Nifty IT</t>
        </is>
      </c>
      <c r="T193" s="32" t="n">
        <v>-11.08</v>
      </c>
      <c r="U193" s="32" t="n">
        <v>-5.37</v>
      </c>
      <c r="V193" s="32" t="n">
        <v>6.42</v>
      </c>
      <c r="W193" s="32" t="n">
        <v>2.83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IF(B194=0,"",RANK(B194,$B$2:$B$374,0))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KRISHANA</t>
        </is>
      </c>
      <c r="D194" s="31" t="inlineStr">
        <is>
          <t>Krishana Phoschem Ltd</t>
        </is>
      </c>
      <c r="E194" s="31" t="inlineStr">
        <is>
          <t>chemicals</t>
        </is>
      </c>
      <c r="F194" s="31" t="inlineStr">
        <is>
          <t>fertilizers</t>
        </is>
      </c>
      <c r="G194" s="31" t="inlineStr">
        <is>
          <t>smallcap</t>
        </is>
      </c>
      <c r="H194" s="32" t="n">
        <v>1192.72</v>
      </c>
      <c r="I194" s="32" t="n">
        <v>191.03</v>
      </c>
      <c r="J194" s="32" t="n">
        <v>-0.97</v>
      </c>
      <c r="K194" s="32" t="n">
        <v>584116</v>
      </c>
      <c r="L194" s="31" t="n">
        <v>81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75.16</v>
      </c>
      <c r="P194" s="32" t="n">
        <v>52.35</v>
      </c>
      <c r="Q194" s="32" t="inlineStr"/>
      <c r="R194" s="31" t="inlineStr">
        <is>
          <t>Earnings / Momentum Support</t>
        </is>
      </c>
      <c r="S194" s="31" t="inlineStr">
        <is>
          <t>Nifty 50</t>
        </is>
      </c>
      <c r="T194" s="32" t="n">
        <v>-1.03</v>
      </c>
      <c r="U194" s="32" t="n">
        <v>67.09999999999999</v>
      </c>
      <c r="V194" s="32" t="n">
        <v>68.84</v>
      </c>
      <c r="W194" s="32" t="n">
        <v>22.06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More than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IF(B195=0,"",RANK(B195,$B$2:$B$374,0))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EXICOM</t>
        </is>
      </c>
      <c r="D195" s="31" t="inlineStr">
        <is>
          <t>Exicom Tele-Systems Ltd</t>
        </is>
      </c>
      <c r="E195" s="31" t="inlineStr">
        <is>
          <t>industrials</t>
        </is>
      </c>
      <c r="F195" s="31" t="inlineStr">
        <is>
          <t>electric equipment</t>
        </is>
      </c>
      <c r="G195" s="31" t="inlineStr">
        <is>
          <t>smallcap</t>
        </is>
      </c>
      <c r="H195" s="32" t="n">
        <v>2335.57</v>
      </c>
      <c r="I195" s="32" t="n">
        <v>165.99</v>
      </c>
      <c r="J195" s="32" t="n">
        <v>-1.16</v>
      </c>
      <c r="K195" s="32" t="n">
        <v>1245937</v>
      </c>
      <c r="L195" s="31" t="n">
        <v>49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60.36</v>
      </c>
      <c r="P195" s="32" t="n">
        <v>37.6</v>
      </c>
      <c r="Q195" s="32" t="inlineStr"/>
      <c r="R195" s="31" t="inlineStr">
        <is>
          <t>Earnings / Momentum Support</t>
        </is>
      </c>
      <c r="S195" s="31" t="inlineStr">
        <is>
          <t>Nifty 50</t>
        </is>
      </c>
      <c r="T195" s="32" t="n">
        <v>-1.03</v>
      </c>
      <c r="U195" s="32" t="n">
        <v>17.99</v>
      </c>
      <c r="V195" s="32" t="n">
        <v>19.21</v>
      </c>
      <c r="W195" s="32" t="n">
        <v>8.789999999999999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Between 0.7 to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IF(B196=0,"",RANK(B196,$B$2:$B$374,0))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SOMANYCERA</t>
        </is>
      </c>
      <c r="D196" s="33" t="inlineStr">
        <is>
          <t>Somany Ceramics Limited</t>
        </is>
      </c>
      <c r="E196" s="31" t="inlineStr">
        <is>
          <t>building materials</t>
        </is>
      </c>
      <c r="F196" s="31" t="inlineStr">
        <is>
          <t>ceramics - tiles / sanitaryware</t>
        </is>
      </c>
      <c r="G196" s="31" t="inlineStr">
        <is>
          <t>smallcap</t>
        </is>
      </c>
      <c r="H196" s="32" t="n">
        <v>2315.17</v>
      </c>
      <c r="I196" s="32" t="n">
        <v>557.3</v>
      </c>
      <c r="J196" s="32" t="n">
        <v>-1.28</v>
      </c>
      <c r="K196" s="32" t="n">
        <v>155520</v>
      </c>
      <c r="L196" s="31" t="n">
        <v>24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66.69</v>
      </c>
      <c r="P196" s="32" t="n">
        <v>31.63</v>
      </c>
      <c r="Q196" s="32" t="inlineStr"/>
      <c r="R196" s="31" t="inlineStr">
        <is>
          <t>Earnings / Momentum Support</t>
        </is>
      </c>
      <c r="S196" s="31" t="inlineStr">
        <is>
          <t>Nifty Infra</t>
        </is>
      </c>
      <c r="T196" s="32" t="n">
        <v>1.74</v>
      </c>
      <c r="U196" s="32" t="n">
        <v>-5.67</v>
      </c>
      <c r="V196" s="32" t="n">
        <v>-7.28</v>
      </c>
      <c r="W196" s="32" t="n">
        <v>3.64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IF(B197=0,"",RANK(B197,$B$2:$B$374,0))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KANPRPLA</t>
        </is>
      </c>
      <c r="D197" s="31" t="inlineStr">
        <is>
          <t>Kanpur Plastipack Ltd</t>
        </is>
      </c>
      <c r="E197" s="31" t="inlineStr">
        <is>
          <t>industrials</t>
        </is>
      </c>
      <c r="F197" s="31" t="inlineStr">
        <is>
          <t>packaging</t>
        </is>
      </c>
      <c r="G197" s="31" t="inlineStr">
        <is>
          <t>smallcap</t>
        </is>
      </c>
      <c r="H197" s="32" t="n">
        <v>666.61</v>
      </c>
      <c r="I197" s="32" t="n">
        <v>267.71</v>
      </c>
      <c r="J197" s="32" t="n">
        <v>-1.69</v>
      </c>
      <c r="K197" s="32" t="n">
        <v>13338</v>
      </c>
      <c r="L197" s="31" t="n">
        <v>67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73.09</v>
      </c>
      <c r="P197" s="32" t="n">
        <v>26.45</v>
      </c>
      <c r="Q197" s="32" t="inlineStr"/>
      <c r="R197" s="31" t="inlineStr">
        <is>
          <t>Earnings / Momentum Support</t>
        </is>
      </c>
      <c r="S197" s="31" t="inlineStr">
        <is>
          <t>Nifty 50</t>
        </is>
      </c>
      <c r="T197" s="32" t="n">
        <v>-1.03</v>
      </c>
      <c r="U197" s="32" t="n">
        <v>38.79</v>
      </c>
      <c r="V197" s="32" t="n">
        <v>40.23</v>
      </c>
      <c r="W197" s="32" t="n">
        <v>15.4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IF(B198=0,"",RANK(B198,$B$2:$B$374,0))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UNIVASTU</t>
        </is>
      </c>
      <c r="D198" s="31" t="inlineStr">
        <is>
          <t>Univastu India Ltd</t>
        </is>
      </c>
      <c r="E198" s="31" t="inlineStr">
        <is>
          <t>realty</t>
        </is>
      </c>
      <c r="F198" s="31" t="inlineStr">
        <is>
          <t>construction</t>
        </is>
      </c>
      <c r="G198" s="31" t="inlineStr">
        <is>
          <t>smallcap</t>
        </is>
      </c>
      <c r="H198" s="32" t="n">
        <v>606.46</v>
      </c>
      <c r="I198" s="32" t="n">
        <v>157.25</v>
      </c>
      <c r="J198" s="32" t="n">
        <v>-2.01</v>
      </c>
      <c r="K198" s="32" t="n">
        <v>41414</v>
      </c>
      <c r="L198" s="31" t="n">
        <v>79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79.36</v>
      </c>
      <c r="P198" s="32" t="n">
        <v>75.8</v>
      </c>
      <c r="Q198" s="32" t="inlineStr"/>
      <c r="R198" s="31" t="inlineStr">
        <is>
          <t>Earnings / Momentum Support</t>
        </is>
      </c>
      <c r="S198" s="31" t="inlineStr">
        <is>
          <t>Nifty Realty</t>
        </is>
      </c>
      <c r="T198" s="32" t="n">
        <v>-8.119999999999999</v>
      </c>
      <c r="U198" s="32" t="n">
        <v>20.87</v>
      </c>
      <c r="V198" s="32" t="n">
        <v>31.55</v>
      </c>
      <c r="W198" s="32" t="n">
        <v>21.42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IF(B199=0,"",RANK(B199,$B$2:$B$374,0))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ALKYLAMINE</t>
        </is>
      </c>
      <c r="D199" s="31" t="inlineStr">
        <is>
          <t>Alkyl Amines Chemicals Limited</t>
        </is>
      </c>
      <c r="E199" s="31" t="inlineStr">
        <is>
          <t>chemicals</t>
        </is>
      </c>
      <c r="F199" s="31" t="inlineStr">
        <is>
          <t>chemicals</t>
        </is>
      </c>
      <c r="G199" s="31" t="inlineStr">
        <is>
          <t>midcap</t>
        </is>
      </c>
      <c r="H199" s="32" t="n">
        <v>10474.23</v>
      </c>
      <c r="I199" s="32" t="n">
        <v>2003.8</v>
      </c>
      <c r="J199" s="32" t="n">
        <v>-2.15</v>
      </c>
      <c r="K199" s="32" t="n">
        <v>62073</v>
      </c>
      <c r="L199" s="31" t="n">
        <v>39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68.37</v>
      </c>
      <c r="P199" s="32" t="n">
        <v>43.1</v>
      </c>
      <c r="Q199" s="32" t="inlineStr"/>
      <c r="R199" s="31" t="inlineStr">
        <is>
          <t>Earnings / Momentum Support</t>
        </is>
      </c>
      <c r="S199" s="31" t="inlineStr">
        <is>
          <t>Nifty 50</t>
        </is>
      </c>
      <c r="T199" s="32" t="n">
        <v>-1.03</v>
      </c>
      <c r="U199" s="32" t="n">
        <v>2.69</v>
      </c>
      <c r="V199" s="32" t="n">
        <v>3.76</v>
      </c>
      <c r="W199" s="32" t="n">
        <v>6.56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IF(B200=0,"",RANK(B200,$B$2:$B$374,0))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UNIVCABLES</t>
        </is>
      </c>
      <c r="D200" s="31" t="inlineStr">
        <is>
          <t>Universal Cables Limited</t>
        </is>
      </c>
      <c r="E200" s="31" t="inlineStr">
        <is>
          <t>industrials</t>
        </is>
      </c>
      <c r="F200" s="31" t="inlineStr">
        <is>
          <t>cables - power</t>
        </is>
      </c>
      <c r="G200" s="31" t="inlineStr">
        <is>
          <t>midcap</t>
        </is>
      </c>
      <c r="H200" s="32" t="n">
        <v>5874.62</v>
      </c>
      <c r="I200" s="32" t="n">
        <v>1648.2</v>
      </c>
      <c r="J200" s="32" t="n">
        <v>-2.66</v>
      </c>
      <c r="K200" s="32" t="n">
        <v>167932</v>
      </c>
      <c r="L200" s="31" t="n">
        <v>72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75.56999999999999</v>
      </c>
      <c r="P200" s="32" t="n">
        <v>60.65</v>
      </c>
      <c r="Q200" s="32" t="inlineStr"/>
      <c r="R200" s="31" t="inlineStr">
        <is>
          <t>Earnings / Momentum Support</t>
        </is>
      </c>
      <c r="S200" s="31" t="inlineStr">
        <is>
          <t>Nifty Energy</t>
        </is>
      </c>
      <c r="T200" s="32" t="n">
        <v>8.41</v>
      </c>
      <c r="U200" s="32" t="n">
        <v>52.2</v>
      </c>
      <c r="V200" s="32" t="n">
        <v>40.4</v>
      </c>
      <c r="W200" s="32" t="n">
        <v>17.73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Above 40</t>
        </is>
      </c>
      <c r="AY200" s="31">
        <f>IF(AX200="Above 40",20,IF(AX200="20 to 40",10,IF(AX200="0 to 20",-5,0)))</f>
        <v/>
      </c>
      <c r="AZ200" s="31" t="inlineStr">
        <is>
          <t>Above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IF(B201=0,"",RANK(B201,$B$2:$B$374,0))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OMAXE</t>
        </is>
      </c>
      <c r="D201" s="33" t="inlineStr">
        <is>
          <t>Omaxe Limited</t>
        </is>
      </c>
      <c r="E201" s="31" t="inlineStr">
        <is>
          <t>realty</t>
        </is>
      </c>
      <c r="F201" s="31" t="inlineStr">
        <is>
          <t>construction</t>
        </is>
      </c>
      <c r="G201" s="31" t="inlineStr">
        <is>
          <t>smallcap</t>
        </is>
      </c>
      <c r="H201" s="32" t="n">
        <v>2409.53</v>
      </c>
      <c r="I201" s="32" t="n">
        <v>125.52</v>
      </c>
      <c r="J201" s="32" t="n">
        <v>-4.72</v>
      </c>
      <c r="K201" s="32" t="n">
        <v>4347484</v>
      </c>
      <c r="L201" s="31" t="n">
        <v>20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80.03</v>
      </c>
      <c r="P201" s="32" t="n">
        <v>35.41</v>
      </c>
      <c r="Q201" s="32" t="inlineStr"/>
      <c r="R201" s="31" t="inlineStr">
        <is>
          <t>Earnings / Momentum Support</t>
        </is>
      </c>
      <c r="S201" s="31" t="inlineStr">
        <is>
          <t>Nifty Realty</t>
        </is>
      </c>
      <c r="T201" s="32" t="n">
        <v>-8.119999999999999</v>
      </c>
      <c r="U201" s="32" t="n">
        <v>-11.01</v>
      </c>
      <c r="V201" s="32" t="n">
        <v>-3.15</v>
      </c>
      <c r="W201" s="32" t="n">
        <v>2.25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IF(B202=0,"",RANK(B202,$B$2:$B$374,0))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OAL</t>
        </is>
      </c>
      <c r="D202" s="31" t="inlineStr">
        <is>
          <t>Oriental Aromatics Ltd</t>
        </is>
      </c>
      <c r="E202" s="31" t="inlineStr">
        <is>
          <t>chemicals</t>
        </is>
      </c>
      <c r="F202" s="31" t="inlineStr">
        <is>
          <t>chemicals</t>
        </is>
      </c>
      <c r="G202" s="31" t="inlineStr">
        <is>
          <t>smallcap</t>
        </is>
      </c>
      <c r="H202" s="32" t="n">
        <v>1641.62</v>
      </c>
      <c r="I202" s="32" t="n">
        <v>463.9</v>
      </c>
      <c r="J202" s="32" t="n">
        <v>-4.9</v>
      </c>
      <c r="K202" s="32" t="n">
        <v>124234</v>
      </c>
      <c r="L202" s="31" t="n">
        <v>77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73.98</v>
      </c>
      <c r="P202" s="32" t="n">
        <v>30.25</v>
      </c>
      <c r="Q202" s="32" t="inlineStr"/>
      <c r="R202" s="31" t="inlineStr">
        <is>
          <t>Earnings / Momentum Support</t>
        </is>
      </c>
      <c r="S202" s="31" t="inlineStr">
        <is>
          <t>Nifty IT</t>
        </is>
      </c>
      <c r="T202" s="32" t="n">
        <v>-11.08</v>
      </c>
      <c r="U202" s="32" t="n">
        <v>49.03</v>
      </c>
      <c r="V202" s="32" t="n">
        <v>67.61</v>
      </c>
      <c r="W202" s="32" t="n">
        <v>20.1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IF(B203=0,"",RANK(B203,$B$2:$B$374,0))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KOPRAN</t>
        </is>
      </c>
      <c r="D203" s="31" t="inlineStr">
        <is>
          <t>Kopran Limited</t>
        </is>
      </c>
      <c r="E203" s="31" t="inlineStr">
        <is>
          <t>healthcare</t>
        </is>
      </c>
      <c r="F203" s="31" t="inlineStr">
        <is>
          <t>pharmaceuticals - indian - bulk drugs &amp; formln</t>
        </is>
      </c>
      <c r="G203" s="31" t="inlineStr">
        <is>
          <t>smallcap</t>
        </is>
      </c>
      <c r="H203" s="32" t="n">
        <v>974.21</v>
      </c>
      <c r="I203" s="32" t="n">
        <v>217.83</v>
      </c>
      <c r="J203" s="32" t="n">
        <v>7.96</v>
      </c>
      <c r="K203" s="32" t="n">
        <v>1881351</v>
      </c>
      <c r="L203" s="31" t="n">
        <v>48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62.28</v>
      </c>
      <c r="P203" s="32" t="n">
        <v>39.21</v>
      </c>
      <c r="Q203" s="32" t="inlineStr"/>
      <c r="R203" s="31" t="inlineStr">
        <is>
          <t>Volume Spike / Accumulation</t>
        </is>
      </c>
      <c r="S203" s="31" t="inlineStr">
        <is>
          <t>Nifty Pharma</t>
        </is>
      </c>
      <c r="T203" s="32" t="n">
        <v>23.79</v>
      </c>
      <c r="U203" s="32" t="n">
        <v>34.9</v>
      </c>
      <c r="V203" s="32" t="n">
        <v>8.970000000000001</v>
      </c>
      <c r="W203" s="32" t="n">
        <v>8.380000000000001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IF(B204=0,"",RANK(B204,$B$2:$B$374,0))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UGARSUGAR</t>
        </is>
      </c>
      <c r="D204" s="33" t="inlineStr">
        <is>
          <t>The Ugar Sugar Works Limited</t>
        </is>
      </c>
      <c r="E204" s="31" t="inlineStr">
        <is>
          <t>fmcg</t>
        </is>
      </c>
      <c r="F204" s="31" t="inlineStr">
        <is>
          <t>sugar</t>
        </is>
      </c>
      <c r="G204" s="31" t="inlineStr">
        <is>
          <t>smallcap</t>
        </is>
      </c>
      <c r="H204" s="32" t="n">
        <v>608.96</v>
      </c>
      <c r="I204" s="32" t="n">
        <v>55.59</v>
      </c>
      <c r="J204" s="32" t="n">
        <v>2.7</v>
      </c>
      <c r="K204" s="32" t="n">
        <v>1211476</v>
      </c>
      <c r="L204" s="31" t="n">
        <v>4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72.84</v>
      </c>
      <c r="P204" s="32" t="n">
        <v>24.58</v>
      </c>
      <c r="Q204" s="32" t="inlineStr"/>
      <c r="R204" s="31" t="inlineStr">
        <is>
          <t>Earnings / Momentum Support</t>
        </is>
      </c>
      <c r="S204" s="31" t="inlineStr">
        <is>
          <t>Nifty FMCG</t>
        </is>
      </c>
      <c r="T204" s="32" t="n">
        <v>-13.73</v>
      </c>
      <c r="U204" s="32" t="n">
        <v>-17.32</v>
      </c>
      <c r="V204" s="32" t="n">
        <v>-4.17</v>
      </c>
      <c r="W204" s="32" t="n">
        <v>-3.8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B2C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More than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IF(B205=0,"",RANK(B205,$B$2:$B$374,0))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3" t="inlineStr">
        <is>
          <t>MAGADSUGAR</t>
        </is>
      </c>
      <c r="D205" s="33" t="inlineStr">
        <is>
          <t>Magadh Sugar &amp; Energy Ltd</t>
        </is>
      </c>
      <c r="E205" s="31" t="inlineStr">
        <is>
          <t>fmcg</t>
        </is>
      </c>
      <c r="F205" s="31" t="inlineStr">
        <is>
          <t>sugar</t>
        </is>
      </c>
      <c r="G205" s="31" t="inlineStr">
        <is>
          <t>smallcap</t>
        </is>
      </c>
      <c r="H205" s="32" t="n">
        <v>823.16</v>
      </c>
      <c r="I205" s="32" t="n">
        <v>595</v>
      </c>
      <c r="J205" s="32" t="n">
        <v>1.86</v>
      </c>
      <c r="K205" s="32" t="n">
        <v>77937</v>
      </c>
      <c r="L205" s="31" t="n">
        <v>5</v>
      </c>
      <c r="M205" s="31" t="inlineStr">
        <is>
          <t>Underperforming</t>
        </is>
      </c>
      <c r="N205" s="32">
        <f>IF(M205="Underperforming",-5,IF(L205&gt;=95,15,IF(L205&gt;=90,10,IF(L205&gt;=80,5,0))))</f>
        <v/>
      </c>
      <c r="O205" s="32" t="n">
        <v>68.56999999999999</v>
      </c>
      <c r="P205" s="32" t="n">
        <v>25.35</v>
      </c>
      <c r="Q205" s="32" t="inlineStr"/>
      <c r="R205" s="31" t="inlineStr">
        <is>
          <t>Earnings / Momentum Support</t>
        </is>
      </c>
      <c r="S205" s="31" t="inlineStr">
        <is>
          <t>Nifty FMCG</t>
        </is>
      </c>
      <c r="T205" s="32" t="n">
        <v>-13.73</v>
      </c>
      <c r="U205" s="32" t="n">
        <v>-19.58</v>
      </c>
      <c r="V205" s="32" t="n">
        <v>-6.78</v>
      </c>
      <c r="W205" s="32" t="n">
        <v>-3.74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B2C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Between 0.7 to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IF(B206=0,"",RANK(B206,$B$2:$B$374,0))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BLSE</t>
        </is>
      </c>
      <c r="D206" s="31" t="inlineStr">
        <is>
          <t>BLS E-Services Ltd</t>
        </is>
      </c>
      <c r="E206" s="31" t="inlineStr">
        <is>
          <t>i.t</t>
        </is>
      </c>
      <c r="F206" s="31" t="inlineStr">
        <is>
          <t>computers - software - medium / small</t>
        </is>
      </c>
      <c r="G206" s="31" t="inlineStr">
        <is>
          <t>smallcap</t>
        </is>
      </c>
      <c r="H206" s="32" t="n">
        <v>2964.19</v>
      </c>
      <c r="I206" s="32" t="n">
        <v>327.9</v>
      </c>
      <c r="J206" s="32" t="n">
        <v>0.51</v>
      </c>
      <c r="K206" s="32" t="n">
        <v>600668</v>
      </c>
      <c r="L206" s="31" t="n">
        <v>89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84.83</v>
      </c>
      <c r="P206" s="32" t="n">
        <v>55.72</v>
      </c>
      <c r="Q206" s="32" t="inlineStr"/>
      <c r="R206" s="31" t="inlineStr">
        <is>
          <t>Earnings / Momentum Support</t>
        </is>
      </c>
      <c r="S206" s="31" t="inlineStr">
        <is>
          <t>Nifty IT</t>
        </is>
      </c>
      <c r="T206" s="32" t="n">
        <v>-11.08</v>
      </c>
      <c r="U206" s="32" t="n">
        <v>86.56</v>
      </c>
      <c r="V206" s="32" t="n">
        <v>109.81</v>
      </c>
      <c r="W206" s="32" t="n">
        <v>27.6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IF(B207=0,"",RANK(B207,$B$2:$B$374,0))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ALBERTDAVD</t>
        </is>
      </c>
      <c r="D207" s="33" t="inlineStr">
        <is>
          <t>Albert David Limited</t>
        </is>
      </c>
      <c r="E207" s="31" t="inlineStr">
        <is>
          <t>healthcare</t>
        </is>
      </c>
      <c r="F207" s="31" t="inlineStr">
        <is>
          <t>pharmaceuticals - indian - bulk drugs &amp; formln</t>
        </is>
      </c>
      <c r="G207" s="31" t="inlineStr">
        <is>
          <t>smallcap</t>
        </is>
      </c>
      <c r="H207" s="32" t="n">
        <v>512.85</v>
      </c>
      <c r="I207" s="32" t="n">
        <v>897.9</v>
      </c>
      <c r="J207" s="32" t="n">
        <v>-0.08</v>
      </c>
      <c r="K207" s="32" t="n">
        <v>14450</v>
      </c>
      <c r="L207" s="31" t="n">
        <v>49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70.45</v>
      </c>
      <c r="P207" s="32" t="n">
        <v>31.9</v>
      </c>
      <c r="Q207" s="32" t="inlineStr"/>
      <c r="R207" s="31" t="inlineStr">
        <is>
          <t>Earnings / Momentum Support</t>
        </is>
      </c>
      <c r="S207" s="31" t="inlineStr">
        <is>
          <t>Nifty Pharma</t>
        </is>
      </c>
      <c r="T207" s="32" t="n">
        <v>23.79</v>
      </c>
      <c r="U207" s="32" t="n">
        <v>12.95</v>
      </c>
      <c r="V207" s="32" t="n">
        <v>-8.76</v>
      </c>
      <c r="W207" s="32" t="n">
        <v>8.76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Yes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Annuity, Lower One Time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IF(B208=0,"",RANK(B208,$B$2:$B$374,0))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ARTEMISMED</t>
        </is>
      </c>
      <c r="D208" s="31" t="inlineStr">
        <is>
          <t>Artemis Medicare Services Ltd</t>
        </is>
      </c>
      <c r="E208" s="31" t="inlineStr">
        <is>
          <t>healthcare</t>
        </is>
      </c>
      <c r="F208" s="31" t="inlineStr">
        <is>
          <t>healthcare</t>
        </is>
      </c>
      <c r="G208" s="31" t="inlineStr">
        <is>
          <t>midcap</t>
        </is>
      </c>
      <c r="H208" s="32" t="n">
        <v>5053.93</v>
      </c>
      <c r="I208" s="32" t="n">
        <v>317.45</v>
      </c>
      <c r="J208" s="32" t="n">
        <v>-0.5600000000000001</v>
      </c>
      <c r="K208" s="32" t="n">
        <v>115013</v>
      </c>
      <c r="L208" s="31" t="n">
        <v>59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69.05</v>
      </c>
      <c r="P208" s="32" t="n">
        <v>34.63</v>
      </c>
      <c r="Q208" s="32" t="inlineStr"/>
      <c r="R208" s="31" t="inlineStr">
        <is>
          <t>Earnings / Momentum Support</t>
        </is>
      </c>
      <c r="S208" s="31" t="inlineStr">
        <is>
          <t>Nifty Pharma</t>
        </is>
      </c>
      <c r="T208" s="32" t="n">
        <v>23.79</v>
      </c>
      <c r="U208" s="32" t="n">
        <v>46.03</v>
      </c>
      <c r="V208" s="32" t="n">
        <v>17.97</v>
      </c>
      <c r="W208" s="32" t="n">
        <v>12.46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Yes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Annuity, Lower One Time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IF(B209=0,"",RANK(B209,$B$2:$B$374,0))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METROPOLIS</t>
        </is>
      </c>
      <c r="D209" s="33" t="inlineStr">
        <is>
          <t>Metropolis Healthcare Ltd</t>
        </is>
      </c>
      <c r="E209" s="31" t="inlineStr">
        <is>
          <t>healthcare</t>
        </is>
      </c>
      <c r="F209" s="31" t="inlineStr">
        <is>
          <t>healthcare</t>
        </is>
      </c>
      <c r="G209" s="31" t="inlineStr">
        <is>
          <t>midcap</t>
        </is>
      </c>
      <c r="H209" s="32" t="n">
        <v>12200.45</v>
      </c>
      <c r="I209" s="32" t="n">
        <v>582.35</v>
      </c>
      <c r="J209" s="32" t="n">
        <v>-1.04</v>
      </c>
      <c r="K209" s="32" t="n">
        <v>415667</v>
      </c>
      <c r="L209" s="31" t="n">
        <v>23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62.35</v>
      </c>
      <c r="P209" s="32" t="n">
        <v>42.12</v>
      </c>
      <c r="Q209" s="32" t="inlineStr"/>
      <c r="R209" s="31" t="inlineStr">
        <is>
          <t>Earnings / Momentum Support</t>
        </is>
      </c>
      <c r="S209" s="31" t="inlineStr">
        <is>
          <t>Nifty Pharma</t>
        </is>
      </c>
      <c r="T209" s="32" t="n">
        <v>23.79</v>
      </c>
      <c r="U209" s="32" t="n">
        <v>7.99</v>
      </c>
      <c r="V209" s="32" t="n">
        <v>-12.77</v>
      </c>
      <c r="W209" s="32" t="n">
        <v>3.17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Yes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Annuity, Lower One Time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Above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Between 12 to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IF(B210=0,"",RANK(B210,$B$2:$B$374,0))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COFORGE</t>
        </is>
      </c>
      <c r="D210" s="31" t="inlineStr">
        <is>
          <t>Coforge (Niit Tech) Ltd</t>
        </is>
      </c>
      <c r="E210" s="31" t="inlineStr">
        <is>
          <t>i.t</t>
        </is>
      </c>
      <c r="F210" s="31" t="inlineStr">
        <is>
          <t>computers - software - large</t>
        </is>
      </c>
      <c r="G210" s="31" t="inlineStr">
        <is>
          <t>largecap</t>
        </is>
      </c>
      <c r="H210" s="32" t="n">
        <v>89184.49000000001</v>
      </c>
      <c r="I210" s="32" t="n">
        <v>1985.3</v>
      </c>
      <c r="J210" s="32" t="n">
        <v>-1.45</v>
      </c>
      <c r="K210" s="32" t="n">
        <v>2163402</v>
      </c>
      <c r="L210" s="31" t="n">
        <v>69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74.17</v>
      </c>
      <c r="P210" s="32" t="n">
        <v>19.65</v>
      </c>
      <c r="Q210" s="32" t="inlineStr"/>
      <c r="R210" s="31" t="inlineStr">
        <is>
          <t>Earnings / Momentum Support</t>
        </is>
      </c>
      <c r="S210" s="31" t="inlineStr">
        <is>
          <t>Nifty IT</t>
        </is>
      </c>
      <c r="T210" s="32" t="n">
        <v>-11.08</v>
      </c>
      <c r="U210" s="32" t="n">
        <v>17.92</v>
      </c>
      <c r="V210" s="32" t="n">
        <v>32.62</v>
      </c>
      <c r="W210" s="32" t="n">
        <v>15.56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Annuity, Lower One Time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IF(B211=0,"",RANK(B211,$B$2:$B$374,0))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SAILIFE</t>
        </is>
      </c>
      <c r="D211" s="31" t="inlineStr">
        <is>
          <t>Sai Life Sciences Ltd</t>
        </is>
      </c>
      <c r="E211" s="31" t="inlineStr">
        <is>
          <t>healthcare</t>
        </is>
      </c>
      <c r="F211" s="31" t="inlineStr">
        <is>
          <t>pharmaceuticals - indian - bulk drugs &amp; formln</t>
        </is>
      </c>
      <c r="G211" s="31" t="inlineStr">
        <is>
          <t>largecap</t>
        </is>
      </c>
      <c r="H211" s="32" t="n">
        <v>31524.47</v>
      </c>
      <c r="I211" s="32" t="n">
        <v>1459.7</v>
      </c>
      <c r="J211" s="32" t="n">
        <v>-1.7</v>
      </c>
      <c r="K211" s="32" t="n">
        <v>694617</v>
      </c>
      <c r="L211" s="31" t="n">
        <v>75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81.68000000000001</v>
      </c>
      <c r="P211" s="32" t="n">
        <v>40.24</v>
      </c>
      <c r="Q211" s="32" t="inlineStr"/>
      <c r="R211" s="31" t="inlineStr">
        <is>
          <t>Earnings / Momentum Support</t>
        </is>
      </c>
      <c r="S211" s="31" t="inlineStr">
        <is>
          <t>Nifty Pharma</t>
        </is>
      </c>
      <c r="T211" s="32" t="n">
        <v>23.79</v>
      </c>
      <c r="U211" s="32" t="n">
        <v>80.06999999999999</v>
      </c>
      <c r="V211" s="32" t="n">
        <v>45.46</v>
      </c>
      <c r="W211" s="32" t="n">
        <v>18.47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Yes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IF(B212=0,"",RANK(B212,$B$2:$B$374,0))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PPLPHARMA</t>
        </is>
      </c>
      <c r="D212" s="33" t="inlineStr">
        <is>
          <t>Piramal Pharma Ltd</t>
        </is>
      </c>
      <c r="E212" s="31" t="inlineStr">
        <is>
          <t>healthcare</t>
        </is>
      </c>
      <c r="F212" s="31" t="inlineStr">
        <is>
          <t>pharmaceuticals - indian - bulk drugs &amp; formln</t>
        </is>
      </c>
      <c r="G212" s="31" t="inlineStr">
        <is>
          <t>largecap</t>
        </is>
      </c>
      <c r="H212" s="32" t="n">
        <v>29113.92</v>
      </c>
      <c r="I212" s="32" t="n">
        <v>214.4</v>
      </c>
      <c r="J212" s="32" t="n">
        <v>-1.96</v>
      </c>
      <c r="K212" s="32" t="n">
        <v>2681993</v>
      </c>
      <c r="L212" s="31" t="n">
        <v>53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72.95999999999999</v>
      </c>
      <c r="P212" s="32" t="n">
        <v>30.28</v>
      </c>
      <c r="Q212" s="32" t="inlineStr"/>
      <c r="R212" s="31" t="inlineStr">
        <is>
          <t>Earnings / Momentum Support</t>
        </is>
      </c>
      <c r="S212" s="31" t="inlineStr">
        <is>
          <t>Nifty Pharma</t>
        </is>
      </c>
      <c r="T212" s="32" t="n">
        <v>23.79</v>
      </c>
      <c r="U212" s="32" t="n">
        <v>19.21</v>
      </c>
      <c r="V212" s="32" t="n">
        <v>-3.7</v>
      </c>
      <c r="W212" s="32" t="n">
        <v>9.85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Yes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IF(B213=0,"",RANK(B213,$B$2:$B$374,0))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ZYDUSLIFE</t>
        </is>
      </c>
      <c r="D213" s="33" t="inlineStr">
        <is>
          <t>Zydus Lifesciences Ltd</t>
        </is>
      </c>
      <c r="E213" s="31" t="inlineStr">
        <is>
          <t>healthcare</t>
        </is>
      </c>
      <c r="F213" s="31" t="inlineStr">
        <is>
          <t>pharmaceuticals - indian - bulk drugs &amp; formln</t>
        </is>
      </c>
      <c r="G213" s="31" t="inlineStr">
        <is>
          <t>largecap</t>
        </is>
      </c>
      <c r="H213" s="32" t="n">
        <v>118802.71</v>
      </c>
      <c r="I213" s="32" t="n">
        <v>1161.3</v>
      </c>
      <c r="J213" s="32" t="n">
        <v>-2.49</v>
      </c>
      <c r="K213" s="32" t="n">
        <v>1498294</v>
      </c>
      <c r="L213" s="31" t="n">
        <v>38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69.76000000000001</v>
      </c>
      <c r="P213" s="32" t="n">
        <v>43.22</v>
      </c>
      <c r="Q213" s="32" t="inlineStr"/>
      <c r="R213" s="31" t="inlineStr">
        <is>
          <t>Earnings / Momentum Support</t>
        </is>
      </c>
      <c r="S213" s="31" t="inlineStr">
        <is>
          <t>Nifty Pharma</t>
        </is>
      </c>
      <c r="T213" s="32" t="n">
        <v>23.79</v>
      </c>
      <c r="U213" s="32" t="n">
        <v>21.51</v>
      </c>
      <c r="V213" s="32" t="n">
        <v>-1.84</v>
      </c>
      <c r="W213" s="32" t="n">
        <v>6.4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IF(B214=0,"",RANK(B214,$B$2:$B$374,0))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VALIANTLAB</t>
        </is>
      </c>
      <c r="D214" s="33" t="inlineStr">
        <is>
          <t>Valiant Laboratories Ltd</t>
        </is>
      </c>
      <c r="E214" s="31" t="inlineStr">
        <is>
          <t>healthcare</t>
        </is>
      </c>
      <c r="F214" s="31" t="inlineStr">
        <is>
          <t>pharmaceuticals - indian - bulk drugs &amp; formln</t>
        </is>
      </c>
      <c r="G214" s="31" t="inlineStr">
        <is>
          <t>smallcap</t>
        </is>
      </c>
      <c r="H214" s="32" t="n">
        <v>541.22</v>
      </c>
      <c r="I214" s="32" t="n">
        <v>96.34</v>
      </c>
      <c r="J214" s="32" t="n">
        <v>-3.32</v>
      </c>
      <c r="K214" s="32" t="n">
        <v>248647</v>
      </c>
      <c r="L214" s="31" t="n">
        <v>56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73.04000000000001</v>
      </c>
      <c r="P214" s="32" t="n">
        <v>20.45</v>
      </c>
      <c r="Q214" s="32" t="inlineStr"/>
      <c r="R214" s="31" t="inlineStr">
        <is>
          <t>Earnings / Momentum Support</t>
        </is>
      </c>
      <c r="S214" s="31" t="inlineStr">
        <is>
          <t>Nifty Pharma</t>
        </is>
      </c>
      <c r="T214" s="32" t="n">
        <v>23.79</v>
      </c>
      <c r="U214" s="32" t="n">
        <v>14.42</v>
      </c>
      <c r="V214" s="32" t="n">
        <v>-7.57</v>
      </c>
      <c r="W214" s="32" t="n">
        <v>11.01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IF(B215=0,"",RANK(B215,$B$2:$B$374,0))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BODALCHEM</t>
        </is>
      </c>
      <c r="D215" s="31" t="inlineStr">
        <is>
          <t>Bodal Chemicals Limited</t>
        </is>
      </c>
      <c r="E215" s="31" t="inlineStr">
        <is>
          <t>chemicals</t>
        </is>
      </c>
      <c r="F215" s="31" t="inlineStr">
        <is>
          <t>dyes and pigments</t>
        </is>
      </c>
      <c r="G215" s="31" t="inlineStr">
        <is>
          <t>smallcap</t>
        </is>
      </c>
      <c r="H215" s="32" t="n">
        <v>1247.85</v>
      </c>
      <c r="I215" s="32" t="n">
        <v>118.89</v>
      </c>
      <c r="J215" s="32" t="n">
        <v>19.99</v>
      </c>
      <c r="K215" s="32" t="n">
        <v>7034891</v>
      </c>
      <c r="L215" s="31" t="n">
        <v>78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75.34999999999999</v>
      </c>
      <c r="P215" s="32" t="n">
        <v>34.79</v>
      </c>
      <c r="Q215" s="32" t="inlineStr"/>
      <c r="R215" s="31" t="inlineStr">
        <is>
          <t>Volume Spike / Accumulation</t>
        </is>
      </c>
      <c r="S215" s="31" t="inlineStr">
        <is>
          <t>Nifty IT</t>
        </is>
      </c>
      <c r="T215" s="32" t="n">
        <v>-11.08</v>
      </c>
      <c r="U215" s="32" t="n">
        <v>53.21</v>
      </c>
      <c r="V215" s="32" t="n">
        <v>72.31</v>
      </c>
      <c r="W215" s="32" t="n">
        <v>20.21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Above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IF(B216=0,"",RANK(B216,$B$2:$B$374,0))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KAPSTON</t>
        </is>
      </c>
      <c r="D216" s="31" t="inlineStr">
        <is>
          <t>Kapston Services Ltd</t>
        </is>
      </c>
      <c r="E216" s="31" t="inlineStr">
        <is>
          <t>miscellaneous</t>
        </is>
      </c>
      <c r="F216" s="31" t="inlineStr">
        <is>
          <t>miscellaneous</t>
        </is>
      </c>
      <c r="G216" s="31" t="inlineStr">
        <is>
          <t>smallcap</t>
        </is>
      </c>
      <c r="H216" s="32" t="n">
        <v>1701.77</v>
      </c>
      <c r="I216" s="32" t="n">
        <v>586.8</v>
      </c>
      <c r="J216" s="32" t="n">
        <v>4.94</v>
      </c>
      <c r="K216" s="32" t="n">
        <v>214986</v>
      </c>
      <c r="L216" s="31" t="n">
        <v>93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72.55</v>
      </c>
      <c r="P216" s="32" t="n">
        <v>36.1</v>
      </c>
      <c r="Q216" s="32" t="inlineStr"/>
      <c r="R216" s="31" t="inlineStr">
        <is>
          <t>Earnings / Momentum Support</t>
        </is>
      </c>
      <c r="S216" s="31" t="inlineStr">
        <is>
          <t>Nifty 50</t>
        </is>
      </c>
      <c r="T216" s="32" t="n">
        <v>-1.03</v>
      </c>
      <c r="U216" s="32" t="n">
        <v>130.91</v>
      </c>
      <c r="V216" s="32" t="n">
        <v>133.31</v>
      </c>
      <c r="W216" s="32" t="n">
        <v>33.15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Between 1.5 to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More than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IF(B217=0,"",RANK(B217,$B$2:$B$374,0))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SHREEPUSHK</t>
        </is>
      </c>
      <c r="D217" s="31" t="inlineStr">
        <is>
          <t>Shree Pushkar Chemicals &amp; Fertilisers Limited</t>
        </is>
      </c>
      <c r="E217" s="31" t="inlineStr">
        <is>
          <t>chemicals</t>
        </is>
      </c>
      <c r="F217" s="31" t="inlineStr">
        <is>
          <t>dyes and pigments</t>
        </is>
      </c>
      <c r="G217" s="31" t="inlineStr">
        <is>
          <t>smallcap</t>
        </is>
      </c>
      <c r="H217" s="32" t="n">
        <v>1459.72</v>
      </c>
      <c r="I217" s="32" t="n">
        <v>470.5</v>
      </c>
      <c r="J217" s="32" t="n">
        <v>4.23</v>
      </c>
      <c r="K217" s="32" t="n">
        <v>238347</v>
      </c>
      <c r="L217" s="31" t="n">
        <v>64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63.61</v>
      </c>
      <c r="P217" s="32" t="n">
        <v>36.68</v>
      </c>
      <c r="Q217" s="32" t="inlineStr"/>
      <c r="R217" s="31" t="inlineStr">
        <is>
          <t>Earnings / Momentum Support</t>
        </is>
      </c>
      <c r="S217" s="31" t="inlineStr">
        <is>
          <t>Nifty 50</t>
        </is>
      </c>
      <c r="T217" s="32" t="n">
        <v>-1.03</v>
      </c>
      <c r="U217" s="32" t="n">
        <v>44.61</v>
      </c>
      <c r="V217" s="32" t="n">
        <v>46.12</v>
      </c>
      <c r="W217" s="32" t="n">
        <v>13.98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IF(B218=0,"",RANK(B218,$B$2:$B$374,0))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WELENT</t>
        </is>
      </c>
      <c r="D218" s="31" t="inlineStr">
        <is>
          <t>Welspun Enterprises Limited</t>
        </is>
      </c>
      <c r="E218" s="31" t="inlineStr">
        <is>
          <t>realty</t>
        </is>
      </c>
      <c r="F218" s="31" t="inlineStr">
        <is>
          <t>construction</t>
        </is>
      </c>
      <c r="G218" s="31" t="inlineStr">
        <is>
          <t>midcap</t>
        </is>
      </c>
      <c r="H218" s="32" t="n">
        <v>9277.879999999999</v>
      </c>
      <c r="I218" s="32" t="n">
        <v>685.3</v>
      </c>
      <c r="J218" s="32" t="n">
        <v>2.24</v>
      </c>
      <c r="K218" s="32" t="n">
        <v>336991</v>
      </c>
      <c r="L218" s="31" t="n">
        <v>56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70.67</v>
      </c>
      <c r="P218" s="32" t="n">
        <v>26.32</v>
      </c>
      <c r="Q218" s="32" t="inlineStr"/>
      <c r="R218" s="31" t="inlineStr">
        <is>
          <t>Earnings / Momentum Support</t>
        </is>
      </c>
      <c r="S218" s="31" t="inlineStr">
        <is>
          <t>Nifty Realty</t>
        </is>
      </c>
      <c r="T218" s="32" t="n">
        <v>-8.119999999999999</v>
      </c>
      <c r="U218" s="32" t="n">
        <v>20.9</v>
      </c>
      <c r="V218" s="32" t="n">
        <v>31.58</v>
      </c>
      <c r="W218" s="32" t="n">
        <v>10.97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IF(B219=0,"",RANK(B219,$B$2:$B$374,0))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BOSCH-HCIL</t>
        </is>
      </c>
      <c r="D219" s="33" t="inlineStr">
        <is>
          <t>Bosch Home Comfort India Ltd</t>
        </is>
      </c>
      <c r="E219" s="31" t="inlineStr">
        <is>
          <t>consumer discretionary</t>
        </is>
      </c>
      <c r="F219" s="31" t="inlineStr">
        <is>
          <t>air-conditioners</t>
        </is>
      </c>
      <c r="G219" s="31" t="inlineStr">
        <is>
          <t>smallcap</t>
        </is>
      </c>
      <c r="H219" s="32" t="n">
        <v>4609.4</v>
      </c>
      <c r="I219" s="32" t="n">
        <v>1732.4</v>
      </c>
      <c r="J219" s="32" t="n">
        <v>2.19</v>
      </c>
      <c r="K219" s="32" t="n">
        <v>66050</v>
      </c>
      <c r="L219" s="31" t="n">
        <v>28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66.67</v>
      </c>
      <c r="P219" s="32" t="n">
        <v>23.89</v>
      </c>
      <c r="Q219" s="32" t="inlineStr"/>
      <c r="R219" s="31" t="inlineStr">
        <is>
          <t>Earnings / Momentum Support</t>
        </is>
      </c>
      <c r="S219" s="31" t="inlineStr">
        <is>
          <t>Nifty 50</t>
        </is>
      </c>
      <c r="T219" s="32" t="n">
        <v>-1.03</v>
      </c>
      <c r="U219" s="32" t="n">
        <v>-2.05</v>
      </c>
      <c r="V219" s="32" t="n">
        <v>-1.03</v>
      </c>
      <c r="W219" s="32" t="n">
        <v>4.5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IF(B220=0,"",RANK(B220,$B$2:$B$374,0))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JSWDULUX</t>
        </is>
      </c>
      <c r="D220" s="33" t="inlineStr">
        <is>
          <t>JSW Dulux Ltd</t>
        </is>
      </c>
      <c r="E220" s="31" t="inlineStr">
        <is>
          <t>building materials</t>
        </is>
      </c>
      <c r="F220" s="31" t="inlineStr">
        <is>
          <t>paints / varnishes</t>
        </is>
      </c>
      <c r="G220" s="31" t="inlineStr">
        <is>
          <t>midcap</t>
        </is>
      </c>
      <c r="H220" s="32" t="n">
        <v>14166.68</v>
      </c>
      <c r="I220" s="32" t="n">
        <v>3164.5</v>
      </c>
      <c r="J220" s="32" t="n">
        <v>1.73</v>
      </c>
      <c r="K220" s="32" t="n">
        <v>23185</v>
      </c>
      <c r="L220" s="31" t="n">
        <v>8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52.91</v>
      </c>
      <c r="P220" s="32" t="n">
        <v>13.21</v>
      </c>
      <c r="Q220" s="32" t="inlineStr"/>
      <c r="R220" s="31" t="inlineStr">
        <is>
          <t>Earnings / Momentum Support</t>
        </is>
      </c>
      <c r="S220" s="31" t="inlineStr">
        <is>
          <t>Nifty Infra</t>
        </is>
      </c>
      <c r="T220" s="32" t="n">
        <v>1.74</v>
      </c>
      <c r="U220" s="32" t="n">
        <v>-10.69</v>
      </c>
      <c r="V220" s="32" t="n">
        <v>-12.22</v>
      </c>
      <c r="W220" s="32" t="n">
        <v>-1.05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IF(B221=0,"",RANK(B221,$B$2:$B$374,0))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DIXON</t>
        </is>
      </c>
      <c r="D221" s="33" t="inlineStr">
        <is>
          <t>Dixon Technologies Ltd</t>
        </is>
      </c>
      <c r="E221" s="31" t="inlineStr">
        <is>
          <t>consumer discretionary</t>
        </is>
      </c>
      <c r="F221" s="31" t="inlineStr">
        <is>
          <t>electronics - consumer</t>
        </is>
      </c>
      <c r="G221" s="31" t="inlineStr">
        <is>
          <t>largecap</t>
        </is>
      </c>
      <c r="H221" s="32" t="n">
        <v>89490.87</v>
      </c>
      <c r="I221" s="32" t="n">
        <v>14850</v>
      </c>
      <c r="J221" s="32" t="n">
        <v>1.37</v>
      </c>
      <c r="K221" s="32" t="n">
        <v>190912</v>
      </c>
      <c r="L221" s="31" t="n">
        <v>29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65.25</v>
      </c>
      <c r="P221" s="32" t="n">
        <v>26.49</v>
      </c>
      <c r="Q221" s="32" t="inlineStr"/>
      <c r="R221" s="31" t="inlineStr">
        <is>
          <t>Earnings / Momentum Support</t>
        </is>
      </c>
      <c r="S221" s="31" t="inlineStr">
        <is>
          <t>Nifty 50</t>
        </is>
      </c>
      <c r="T221" s="32" t="n">
        <v>-1.03</v>
      </c>
      <c r="U221" s="32" t="n">
        <v>-12.18</v>
      </c>
      <c r="V221" s="32" t="n">
        <v>-11.27</v>
      </c>
      <c r="W221" s="32" t="n">
        <v>4.67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IF(B222=0,"",RANK(B222,$B$2:$B$374,0))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KAMDHENU</t>
        </is>
      </c>
      <c r="D222" s="33" t="inlineStr">
        <is>
          <t>Kamdhenu Limited</t>
        </is>
      </c>
      <c r="E222" s="31" t="inlineStr">
        <is>
          <t>metals &amp; mining</t>
        </is>
      </c>
      <c r="F222" s="31" t="inlineStr">
        <is>
          <t>steel - medium / small</t>
        </is>
      </c>
      <c r="G222" s="31" t="inlineStr">
        <is>
          <t>smallcap</t>
        </is>
      </c>
      <c r="H222" s="32" t="n">
        <v>1019.57</v>
      </c>
      <c r="I222" s="32" t="n">
        <v>36.58</v>
      </c>
      <c r="J222" s="32" t="n">
        <v>1.13</v>
      </c>
      <c r="K222" s="32" t="n">
        <v>681405</v>
      </c>
      <c r="L222" s="31" t="n">
        <v>63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69.67</v>
      </c>
      <c r="P222" s="32" t="n">
        <v>47.66</v>
      </c>
      <c r="Q222" s="32" t="inlineStr"/>
      <c r="R222" s="31" t="inlineStr">
        <is>
          <t>Earnings / Momentum Support</t>
        </is>
      </c>
      <c r="S222" s="31" t="inlineStr">
        <is>
          <t>Nifty Metal</t>
        </is>
      </c>
      <c r="T222" s="32" t="n">
        <v>31.49</v>
      </c>
      <c r="U222" s="32" t="n">
        <v>12.5</v>
      </c>
      <c r="V222" s="32" t="n">
        <v>-14.45</v>
      </c>
      <c r="W222" s="32" t="n">
        <v>13.64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IF(B223=0,"",RANK(B223,$B$2:$B$374,0))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ORIENTHOT</t>
        </is>
      </c>
      <c r="D223" s="31" t="inlineStr">
        <is>
          <t>Oriental Hotels Limited</t>
        </is>
      </c>
      <c r="E223" s="31" t="inlineStr">
        <is>
          <t>services</t>
        </is>
      </c>
      <c r="F223" s="31" t="inlineStr">
        <is>
          <t>hotels</t>
        </is>
      </c>
      <c r="G223" s="31" t="inlineStr">
        <is>
          <t>smallcap</t>
        </is>
      </c>
      <c r="H223" s="32" t="n">
        <v>2455.38</v>
      </c>
      <c r="I223" s="32" t="n">
        <v>139.02</v>
      </c>
      <c r="J223" s="32" t="n">
        <v>1.12</v>
      </c>
      <c r="K223" s="32" t="n">
        <v>1691333</v>
      </c>
      <c r="L223" s="31" t="n">
        <v>56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61.74</v>
      </c>
      <c r="P223" s="32" t="n">
        <v>38.25</v>
      </c>
      <c r="Q223" s="32" t="inlineStr"/>
      <c r="R223" s="31" t="inlineStr">
        <is>
          <t>Earnings / Momentum Support</t>
        </is>
      </c>
      <c r="S223" s="31" t="inlineStr">
        <is>
          <t>Nifty 50</t>
        </is>
      </c>
      <c r="T223" s="32" t="n">
        <v>-1.03</v>
      </c>
      <c r="U223" s="32" t="n">
        <v>0.6899999999999999</v>
      </c>
      <c r="V223" s="32" t="n">
        <v>1.74</v>
      </c>
      <c r="W223" s="32" t="n">
        <v>11.07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IF(B224=0,"",RANK(B224,$B$2:$B$374,0))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BAJEL</t>
        </is>
      </c>
      <c r="D224" s="33" t="inlineStr">
        <is>
          <t>Bajel Projects Ltd</t>
        </is>
      </c>
      <c r="E224" s="31" t="inlineStr">
        <is>
          <t>realty</t>
        </is>
      </c>
      <c r="F224" s="31" t="inlineStr">
        <is>
          <t>engineering - turnkey services</t>
        </is>
      </c>
      <c r="G224" s="31" t="inlineStr">
        <is>
          <t>smallcap</t>
        </is>
      </c>
      <c r="H224" s="32" t="n">
        <v>2231.1</v>
      </c>
      <c r="I224" s="32" t="n">
        <v>194.12</v>
      </c>
      <c r="J224" s="32" t="n">
        <v>0.66</v>
      </c>
      <c r="K224" s="32" t="n">
        <v>352819</v>
      </c>
      <c r="L224" s="31" t="n">
        <v>2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55.55</v>
      </c>
      <c r="P224" s="32" t="n">
        <v>24.71</v>
      </c>
      <c r="Q224" s="32" t="inlineStr"/>
      <c r="R224" s="31" t="inlineStr">
        <is>
          <t>Earnings / Momentum Support</t>
        </is>
      </c>
      <c r="S224" s="31" t="inlineStr">
        <is>
          <t>Nifty Realty</t>
        </is>
      </c>
      <c r="T224" s="32" t="n">
        <v>-8.119999999999999</v>
      </c>
      <c r="U224" s="32" t="n">
        <v>-30.69</v>
      </c>
      <c r="V224" s="32" t="n">
        <v>-24.56</v>
      </c>
      <c r="W224" s="32" t="n">
        <v>-6.43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IF(B225=0,"",RANK(B225,$B$2:$B$374,0))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SIGMAADV</t>
        </is>
      </c>
      <c r="D225" s="31" t="inlineStr">
        <is>
          <t>Sigma Advanced System Ltd</t>
        </is>
      </c>
      <c r="E225" s="31" t="inlineStr">
        <is>
          <t>aerospace &amp; defence</t>
        </is>
      </c>
      <c r="F225" s="31" t="inlineStr">
        <is>
          <t>electronics - components</t>
        </is>
      </c>
      <c r="G225" s="31" t="inlineStr">
        <is>
          <t>midcap</t>
        </is>
      </c>
      <c r="H225" s="32" t="n">
        <v>14725.75</v>
      </c>
      <c r="I225" s="32" t="n">
        <v>781.95</v>
      </c>
      <c r="J225" s="32" t="n">
        <v>0.62</v>
      </c>
      <c r="K225" s="32" t="n">
        <v>284883</v>
      </c>
      <c r="L225" s="31" t="n">
        <v>99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77.87</v>
      </c>
      <c r="P225" s="32" t="n">
        <v>65.75</v>
      </c>
      <c r="Q225" s="32" t="inlineStr"/>
      <c r="R225" s="31" t="inlineStr">
        <is>
          <t>Earnings / Momentum Support</t>
        </is>
      </c>
      <c r="S225" s="31" t="inlineStr">
        <is>
          <t>Nifty 50</t>
        </is>
      </c>
      <c r="T225" s="32" t="n">
        <v>-1.03</v>
      </c>
      <c r="U225" s="32" t="n">
        <v>482.53</v>
      </c>
      <c r="V225" s="32" t="n">
        <v>488.59</v>
      </c>
      <c r="W225" s="32" t="n">
        <v>72.86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IF(B226=0,"",RANK(B226,$B$2:$B$374,0))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GANDHAR</t>
        </is>
      </c>
      <c r="D226" s="31" t="inlineStr">
        <is>
          <t>Gandhar Oil Refinery (India) Ltd</t>
        </is>
      </c>
      <c r="E226" s="31" t="inlineStr">
        <is>
          <t>energy</t>
        </is>
      </c>
      <c r="F226" s="31" t="inlineStr">
        <is>
          <t>refineries</t>
        </is>
      </c>
      <c r="G226" s="31" t="inlineStr">
        <is>
          <t>smallcap</t>
        </is>
      </c>
      <c r="H226" s="32" t="n">
        <v>2510.32</v>
      </c>
      <c r="I226" s="32" t="n">
        <v>257.72</v>
      </c>
      <c r="J226" s="32" t="n">
        <v>0.49</v>
      </c>
      <c r="K226" s="32" t="n">
        <v>664788</v>
      </c>
      <c r="L226" s="31" t="n">
        <v>66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68.12</v>
      </c>
      <c r="P226" s="32" t="n">
        <v>70.64</v>
      </c>
      <c r="Q226" s="32" t="inlineStr"/>
      <c r="R226" s="31" t="inlineStr">
        <is>
          <t>Earnings / Momentum Support</t>
        </is>
      </c>
      <c r="S226" s="31" t="inlineStr">
        <is>
          <t>Nifty Energy</t>
        </is>
      </c>
      <c r="T226" s="32" t="n">
        <v>8.41</v>
      </c>
      <c r="U226" s="32" t="n">
        <v>24.11</v>
      </c>
      <c r="V226" s="32" t="n">
        <v>14.48</v>
      </c>
      <c r="W226" s="32" t="n">
        <v>14.4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Oligopoly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Cyclical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Volatile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Above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IF(B227=0,"",RANK(B227,$B$2:$B$374,0))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3" t="inlineStr">
        <is>
          <t>JINDALSAW</t>
        </is>
      </c>
      <c r="D227" s="33" t="inlineStr">
        <is>
          <t>Jindal Saw Limited</t>
        </is>
      </c>
      <c r="E227" s="31" t="inlineStr">
        <is>
          <t>industrials</t>
        </is>
      </c>
      <c r="F227" s="31" t="inlineStr">
        <is>
          <t>steel - large</t>
        </is>
      </c>
      <c r="G227" s="31" t="inlineStr">
        <is>
          <t>midcap</t>
        </is>
      </c>
      <c r="H227" s="32" t="n">
        <v>19735.22</v>
      </c>
      <c r="I227" s="32" t="n">
        <v>309.65</v>
      </c>
      <c r="J227" s="32" t="n">
        <v>0.34</v>
      </c>
      <c r="K227" s="32" t="n">
        <v>2370636</v>
      </c>
      <c r="L227" s="31" t="n">
        <v>52</v>
      </c>
      <c r="M227" s="31" t="inlineStr">
        <is>
          <t>Underperforming</t>
        </is>
      </c>
      <c r="N227" s="32">
        <f>IF(M227="Underperforming",-5,IF(L227&gt;=95,15,IF(L227&gt;=90,10,IF(L227&gt;=80,5,0))))</f>
        <v/>
      </c>
      <c r="O227" s="32" t="n">
        <v>71.11</v>
      </c>
      <c r="P227" s="32" t="n">
        <v>46.36</v>
      </c>
      <c r="Q227" s="32" t="inlineStr"/>
      <c r="R227" s="31" t="inlineStr">
        <is>
          <t>Earnings / Momentum Support</t>
        </is>
      </c>
      <c r="S227" s="31" t="inlineStr">
        <is>
          <t>Nifty Metal</t>
        </is>
      </c>
      <c r="T227" s="32" t="n">
        <v>31.49</v>
      </c>
      <c r="U227" s="32" t="n">
        <v>19.01</v>
      </c>
      <c r="V227" s="32" t="n">
        <v>-9.49</v>
      </c>
      <c r="W227" s="32" t="n">
        <v>9.5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IF(B228=0,"",RANK(B228,$B$2:$B$374,0))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AGI</t>
        </is>
      </c>
      <c r="D228" s="33" t="inlineStr">
        <is>
          <t>AGI Greenpac Ltd</t>
        </is>
      </c>
      <c r="E228" s="31" t="inlineStr">
        <is>
          <t>industrials</t>
        </is>
      </c>
      <c r="F228" s="31" t="inlineStr">
        <is>
          <t>packaging</t>
        </is>
      </c>
      <c r="G228" s="31" t="inlineStr">
        <is>
          <t>midcap</t>
        </is>
      </c>
      <c r="H228" s="32" t="n">
        <v>5012.75</v>
      </c>
      <c r="I228" s="32" t="n">
        <v>776.1</v>
      </c>
      <c r="J228" s="32" t="n">
        <v>0.17</v>
      </c>
      <c r="K228" s="32" t="n">
        <v>475872</v>
      </c>
      <c r="L228" s="31" t="n">
        <v>34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64.54000000000001</v>
      </c>
      <c r="P228" s="32" t="n">
        <v>28.3</v>
      </c>
      <c r="Q228" s="32" t="inlineStr"/>
      <c r="R228" s="31" t="inlineStr">
        <is>
          <t>Earnings / Momentum Support</t>
        </is>
      </c>
      <c r="S228" s="31" t="inlineStr">
        <is>
          <t>Nifty 50</t>
        </is>
      </c>
      <c r="T228" s="32" t="n">
        <v>-1.03</v>
      </c>
      <c r="U228" s="32" t="n">
        <v>-13.25</v>
      </c>
      <c r="V228" s="32" t="n">
        <v>-12.35</v>
      </c>
      <c r="W228" s="32" t="n">
        <v>5.71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IF(B229=0,"",RANK(B229,$B$2:$B$374,0))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SHAILY</t>
        </is>
      </c>
      <c r="D229" s="31" t="inlineStr">
        <is>
          <t>Shaily Engineering Plastics Ltd</t>
        </is>
      </c>
      <c r="E229" s="31" t="inlineStr">
        <is>
          <t>plastic products</t>
        </is>
      </c>
      <c r="F229" s="31" t="inlineStr">
        <is>
          <t>plastics products</t>
        </is>
      </c>
      <c r="G229" s="31" t="inlineStr">
        <is>
          <t>midcap</t>
        </is>
      </c>
      <c r="H229" s="32" t="n">
        <v>15042.29</v>
      </c>
      <c r="I229" s="32" t="n">
        <v>3272.3</v>
      </c>
      <c r="J229" s="32" t="n">
        <v>0.06</v>
      </c>
      <c r="K229" s="32" t="n">
        <v>197794</v>
      </c>
      <c r="L229" s="31" t="n">
        <v>60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66.51000000000001</v>
      </c>
      <c r="P229" s="32" t="n">
        <v>30.51</v>
      </c>
      <c r="Q229" s="32" t="inlineStr"/>
      <c r="R229" s="31" t="inlineStr">
        <is>
          <t>Earnings / Momentum Support</t>
        </is>
      </c>
      <c r="S229" s="31" t="inlineStr">
        <is>
          <t>Nifty 50</t>
        </is>
      </c>
      <c r="T229" s="32" t="n">
        <v>-1.03</v>
      </c>
      <c r="U229" s="32" t="n">
        <v>46.65</v>
      </c>
      <c r="V229" s="32" t="n">
        <v>48.17</v>
      </c>
      <c r="W229" s="32" t="n">
        <v>12.74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Between 12 to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IF(B230=0,"",RANK(B230,$B$2:$B$374,0))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WONDERLA</t>
        </is>
      </c>
      <c r="D230" s="33" t="inlineStr">
        <is>
          <t>Wonderla Holidays Limited</t>
        </is>
      </c>
      <c r="E230" s="31" t="inlineStr">
        <is>
          <t>media</t>
        </is>
      </c>
      <c r="F230" s="31" t="inlineStr">
        <is>
          <t>recreation / amusement parks</t>
        </is>
      </c>
      <c r="G230" s="31" t="inlineStr">
        <is>
          <t>smallcap</t>
        </is>
      </c>
      <c r="H230" s="32" t="n">
        <v>3407.9</v>
      </c>
      <c r="I230" s="32" t="n">
        <v>537.25</v>
      </c>
      <c r="J230" s="32" t="n">
        <v>0.03</v>
      </c>
      <c r="K230" s="32" t="n">
        <v>81829</v>
      </c>
      <c r="L230" s="31" t="n">
        <v>1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58.75</v>
      </c>
      <c r="P230" s="32" t="n">
        <v>12.51</v>
      </c>
      <c r="Q230" s="32" t="inlineStr"/>
      <c r="R230" s="31" t="inlineStr">
        <is>
          <t>Earnings / Momentum Support</t>
        </is>
      </c>
      <c r="S230" s="31" t="inlineStr">
        <is>
          <t>Nifty Media</t>
        </is>
      </c>
      <c r="T230" s="32" t="n">
        <v>-14.09</v>
      </c>
      <c r="U230" s="32" t="n">
        <v>-27.98</v>
      </c>
      <c r="V230" s="32" t="n">
        <v>-16.16</v>
      </c>
      <c r="W230" s="32" t="n">
        <v>-9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IF(B231=0,"",RANK(B231,$B$2:$B$374,0))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PTCIL</t>
        </is>
      </c>
      <c r="D231" s="31" t="inlineStr">
        <is>
          <t>PTC Industries Ltd</t>
        </is>
      </c>
      <c r="E231" s="31" t="inlineStr">
        <is>
          <t>industrials</t>
        </is>
      </c>
      <c r="F231" s="31" t="inlineStr">
        <is>
          <t>castings &amp; forgings</t>
        </is>
      </c>
      <c r="G231" s="31" t="inlineStr">
        <is>
          <t>largecap</t>
        </is>
      </c>
      <c r="H231" s="32" t="n">
        <v>33148.53</v>
      </c>
      <c r="I231" s="32" t="n">
        <v>22114</v>
      </c>
      <c r="J231" s="32" t="n">
        <v>0.02</v>
      </c>
      <c r="K231" s="32" t="n">
        <v>80039</v>
      </c>
      <c r="L231" s="31" t="n">
        <v>74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73.97</v>
      </c>
      <c r="P231" s="32" t="n">
        <v>29.89</v>
      </c>
      <c r="Q231" s="32" t="inlineStr"/>
      <c r="R231" s="31" t="inlineStr">
        <is>
          <t>Earnings / Momentum Support</t>
        </is>
      </c>
      <c r="S231" s="31" t="inlineStr">
        <is>
          <t>Nifty 50</t>
        </is>
      </c>
      <c r="T231" s="32" t="n">
        <v>-1.03</v>
      </c>
      <c r="U231" s="32" t="n">
        <v>57.8</v>
      </c>
      <c r="V231" s="32" t="n">
        <v>59.44</v>
      </c>
      <c r="W231" s="32" t="n">
        <v>18.36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IF(B232=0,"",RANK(B232,$B$2:$B$374,0))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EIMCOELECO</t>
        </is>
      </c>
      <c r="D232" s="33" t="inlineStr">
        <is>
          <t>Eimco Elecon (india) Limited</t>
        </is>
      </c>
      <c r="E232" s="31" t="inlineStr">
        <is>
          <t>industrials</t>
        </is>
      </c>
      <c r="F232" s="31" t="inlineStr">
        <is>
          <t>engineering</t>
        </is>
      </c>
      <c r="G232" s="31" t="inlineStr">
        <is>
          <t>smallcap</t>
        </is>
      </c>
      <c r="H232" s="32" t="n">
        <v>1266.8</v>
      </c>
      <c r="I232" s="32" t="n">
        <v>2195.4</v>
      </c>
      <c r="J232" s="32" t="n">
        <v>-0.03</v>
      </c>
      <c r="K232" s="32" t="n">
        <v>24982</v>
      </c>
      <c r="L232" s="31" t="n">
        <v>53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71.79000000000001</v>
      </c>
      <c r="P232" s="32" t="n">
        <v>43.83</v>
      </c>
      <c r="Q232" s="32" t="inlineStr"/>
      <c r="R232" s="31" t="inlineStr">
        <is>
          <t>Earnings / Momentum Support</t>
        </is>
      </c>
      <c r="S232" s="31" t="inlineStr">
        <is>
          <t>Nifty 50</t>
        </is>
      </c>
      <c r="T232" s="32" t="n">
        <v>-1.03</v>
      </c>
      <c r="U232" s="32" t="n">
        <v>-1.93</v>
      </c>
      <c r="V232" s="32" t="n">
        <v>-0.91</v>
      </c>
      <c r="W232" s="32" t="n">
        <v>9.859999999999999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IF(B233=0,"",RANK(B233,$B$2:$B$374,0))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SMARTWORKS</t>
        </is>
      </c>
      <c r="D233" s="31" t="inlineStr">
        <is>
          <t>Smartworks Coworking Spaces Ltd</t>
        </is>
      </c>
      <c r="E233" s="31" t="inlineStr">
        <is>
          <t>co-working</t>
        </is>
      </c>
      <c r="F233" s="31" t="inlineStr">
        <is>
          <t>miscellaneous</t>
        </is>
      </c>
      <c r="G233" s="31" t="inlineStr">
        <is>
          <t>midcap</t>
        </is>
      </c>
      <c r="H233" s="32" t="n">
        <v>6155.87</v>
      </c>
      <c r="I233" s="32" t="n">
        <v>537.55</v>
      </c>
      <c r="J233" s="32" t="n">
        <v>-0.22</v>
      </c>
      <c r="K233" s="32" t="n">
        <v>21633</v>
      </c>
      <c r="L233" s="31" t="n">
        <v>43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63.76</v>
      </c>
      <c r="P233" s="32" t="n">
        <v>34.4</v>
      </c>
      <c r="Q233" s="32" t="inlineStr"/>
      <c r="R233" s="31" t="inlineStr">
        <is>
          <t>Earnings / Momentum Support</t>
        </is>
      </c>
      <c r="S233" s="31" t="inlineStr">
        <is>
          <t>Nifty 50</t>
        </is>
      </c>
      <c r="T233" s="32" t="n">
        <v>-1.03</v>
      </c>
      <c r="U233" s="32" t="n">
        <v>10.13</v>
      </c>
      <c r="V233" s="32" t="n">
        <v>11.27</v>
      </c>
      <c r="W233" s="32" t="n">
        <v>7.49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More than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IF(B234=0,"",RANK(B234,$B$2:$B$374,0))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ELGIEQUIP</t>
        </is>
      </c>
      <c r="D234" s="31" t="inlineStr">
        <is>
          <t>Elgi Equipments Limited</t>
        </is>
      </c>
      <c r="E234" s="31" t="inlineStr">
        <is>
          <t>industrials</t>
        </is>
      </c>
      <c r="F234" s="31" t="inlineStr">
        <is>
          <t>compressors / drilling equipment</t>
        </is>
      </c>
      <c r="G234" s="31" t="inlineStr">
        <is>
          <t>midcap</t>
        </is>
      </c>
      <c r="H234" s="32" t="n">
        <v>19928.82</v>
      </c>
      <c r="I234" s="32" t="n">
        <v>627.35</v>
      </c>
      <c r="J234" s="32" t="n">
        <v>-0.24</v>
      </c>
      <c r="K234" s="32" t="n">
        <v>394792</v>
      </c>
      <c r="L234" s="31" t="n">
        <v>46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65.43000000000001</v>
      </c>
      <c r="P234" s="32" t="n">
        <v>25.53</v>
      </c>
      <c r="Q234" s="32" t="inlineStr"/>
      <c r="R234" s="31" t="inlineStr">
        <is>
          <t>Earnings / Momentum Support</t>
        </is>
      </c>
      <c r="S234" s="31" t="inlineStr">
        <is>
          <t>Nifty 50</t>
        </is>
      </c>
      <c r="T234" s="32" t="n">
        <v>-1.03</v>
      </c>
      <c r="U234" s="32" t="n">
        <v>33.89</v>
      </c>
      <c r="V234" s="32" t="n">
        <v>35.29</v>
      </c>
      <c r="W234" s="32" t="n">
        <v>8.1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IF(B235=0,"",RANK(B235,$B$2:$B$374,0))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PRECWIRE</t>
        </is>
      </c>
      <c r="D235" s="31" t="inlineStr">
        <is>
          <t>Precision Wires India Limited</t>
        </is>
      </c>
      <c r="E235" s="31" t="inlineStr">
        <is>
          <t>metals &amp; mining</t>
        </is>
      </c>
      <c r="F235" s="31" t="inlineStr">
        <is>
          <t>mining / minerals / metals</t>
        </is>
      </c>
      <c r="G235" s="31" t="inlineStr">
        <is>
          <t>midcap</t>
        </is>
      </c>
      <c r="H235" s="32" t="n">
        <v>9274.76</v>
      </c>
      <c r="I235" s="32" t="n">
        <v>505.6</v>
      </c>
      <c r="J235" s="32" t="n">
        <v>-0.34</v>
      </c>
      <c r="K235" s="32" t="n">
        <v>3000014</v>
      </c>
      <c r="L235" s="31" t="n">
        <v>68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70.8</v>
      </c>
      <c r="P235" s="32" t="n">
        <v>41.7</v>
      </c>
      <c r="Q235" s="32" t="inlineStr"/>
      <c r="R235" s="31" t="inlineStr">
        <is>
          <t>Earnings / Momentum Support</t>
        </is>
      </c>
      <c r="S235" s="31" t="inlineStr">
        <is>
          <t>Nifty Metal</t>
        </is>
      </c>
      <c r="T235" s="32" t="n">
        <v>31.49</v>
      </c>
      <c r="U235" s="32" t="n">
        <v>90.40000000000001</v>
      </c>
      <c r="V235" s="32" t="n">
        <v>44.8</v>
      </c>
      <c r="W235" s="32" t="n">
        <v>15.49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Cyclical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Volatile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IF(B236=0,"",RANK(B236,$B$2:$B$374,0))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KABRAEXTRU</t>
        </is>
      </c>
      <c r="D236" s="31" t="inlineStr">
        <is>
          <t>Kabra Extrusion Technik Limited</t>
        </is>
      </c>
      <c r="E236" s="31" t="inlineStr">
        <is>
          <t>industrials</t>
        </is>
      </c>
      <c r="F236" s="31" t="inlineStr">
        <is>
          <t>engineering</t>
        </is>
      </c>
      <c r="G236" s="31" t="inlineStr">
        <is>
          <t>smallcap</t>
        </is>
      </c>
      <c r="H236" s="32" t="n">
        <v>2110.61</v>
      </c>
      <c r="I236" s="32" t="n">
        <v>600.3</v>
      </c>
      <c r="J236" s="32" t="n">
        <v>-0.53</v>
      </c>
      <c r="K236" s="32" t="n">
        <v>208624</v>
      </c>
      <c r="L236" s="31" t="n">
        <v>57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89.84999999999999</v>
      </c>
      <c r="P236" s="32" t="n">
        <v>51.05</v>
      </c>
      <c r="Q236" s="32" t="inlineStr"/>
      <c r="R236" s="31" t="inlineStr">
        <is>
          <t>Earnings / Momentum Support</t>
        </is>
      </c>
      <c r="S236" s="31" t="inlineStr">
        <is>
          <t>Nifty Infra</t>
        </is>
      </c>
      <c r="T236" s="32" t="n">
        <v>1.74</v>
      </c>
      <c r="U236" s="32" t="n">
        <v>6.76</v>
      </c>
      <c r="V236" s="32" t="n">
        <v>4.94</v>
      </c>
      <c r="W236" s="32" t="n">
        <v>11.12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Above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IF(B237=0,"",RANK(B237,$B$2:$B$374,0))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DIACABS</t>
        </is>
      </c>
      <c r="D237" s="31" t="inlineStr">
        <is>
          <t>Diamond Power Infrastructure Ltd</t>
        </is>
      </c>
      <c r="E237" s="31" t="inlineStr">
        <is>
          <t>industrials</t>
        </is>
      </c>
      <c r="F237" s="31" t="inlineStr">
        <is>
          <t>cables - power</t>
        </is>
      </c>
      <c r="G237" s="31" t="inlineStr">
        <is>
          <t>largecap</t>
        </is>
      </c>
      <c r="H237" s="32" t="n">
        <v>20896.6</v>
      </c>
      <c r="I237" s="32" t="n">
        <v>347.3</v>
      </c>
      <c r="J237" s="32" t="n">
        <v>-0.6</v>
      </c>
      <c r="K237" s="32" t="n">
        <v>598429</v>
      </c>
      <c r="L237" s="31" t="n">
        <v>72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80.66</v>
      </c>
      <c r="P237" s="32" t="n">
        <v>65.08</v>
      </c>
      <c r="Q237" s="32" t="inlineStr"/>
      <c r="R237" s="31" t="inlineStr">
        <is>
          <t>Earnings / Momentum Support</t>
        </is>
      </c>
      <c r="S237" s="31" t="inlineStr">
        <is>
          <t>Nifty Energy</t>
        </is>
      </c>
      <c r="T237" s="32" t="n">
        <v>8.41</v>
      </c>
      <c r="U237" s="32" t="n">
        <v>31.69</v>
      </c>
      <c r="V237" s="32" t="n">
        <v>21.48</v>
      </c>
      <c r="W237" s="32" t="n">
        <v>17.59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Above 40</t>
        </is>
      </c>
      <c r="AY237" s="31">
        <f>IF(AX237="Above 40",20,IF(AX237="20 to 40",10,IF(AX237="0 to 20",-5,0)))</f>
        <v/>
      </c>
      <c r="AZ237" s="31" t="inlineStr">
        <is>
          <t>Above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IF(B238=0,"",RANK(B238,$B$2:$B$374,0))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HEG</t>
        </is>
      </c>
      <c r="D238" s="31" t="inlineStr">
        <is>
          <t>Heg Limited</t>
        </is>
      </c>
      <c r="E238" s="31" t="inlineStr">
        <is>
          <t>industrials</t>
        </is>
      </c>
      <c r="F238" s="31" t="inlineStr">
        <is>
          <t>electrodes - graphites</t>
        </is>
      </c>
      <c r="G238" s="31" t="inlineStr">
        <is>
          <t>midcap</t>
        </is>
      </c>
      <c r="H238" s="32" t="n">
        <v>14229.2</v>
      </c>
      <c r="I238" s="32" t="n">
        <v>728.8</v>
      </c>
      <c r="J238" s="32" t="n">
        <v>-1.16</v>
      </c>
      <c r="K238" s="32" t="n">
        <v>889024</v>
      </c>
      <c r="L238" s="31" t="n">
        <v>70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71.5</v>
      </c>
      <c r="P238" s="32" t="n">
        <v>30.47</v>
      </c>
      <c r="Q238" s="32" t="inlineStr"/>
      <c r="R238" s="31" t="inlineStr">
        <is>
          <t>Earnings / Momentum Support</t>
        </is>
      </c>
      <c r="S238" s="31" t="inlineStr">
        <is>
          <t>Nifty 50</t>
        </is>
      </c>
      <c r="T238" s="32" t="n">
        <v>-1.03</v>
      </c>
      <c r="U238" s="32" t="n">
        <v>60.5</v>
      </c>
      <c r="V238" s="32" t="n">
        <v>62.17</v>
      </c>
      <c r="W238" s="32" t="n">
        <v>16.69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Between 12 to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IF(B239=0,"",RANK(B239,$B$2:$B$374,0))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VOLTAMP</t>
        </is>
      </c>
      <c r="D239" s="31" t="inlineStr">
        <is>
          <t>Voltamp Transformers Limited</t>
        </is>
      </c>
      <c r="E239" s="31" t="inlineStr">
        <is>
          <t>industrials</t>
        </is>
      </c>
      <c r="F239" s="31" t="inlineStr">
        <is>
          <t>electric equipment</t>
        </is>
      </c>
      <c r="G239" s="31" t="inlineStr">
        <is>
          <t>midcap</t>
        </is>
      </c>
      <c r="H239" s="32" t="n">
        <v>11167.78</v>
      </c>
      <c r="I239" s="32" t="n">
        <v>10908.5</v>
      </c>
      <c r="J239" s="32" t="n">
        <v>-1.18</v>
      </c>
      <c r="K239" s="32" t="n">
        <v>30404</v>
      </c>
      <c r="L239" s="31" t="n">
        <v>56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64.94</v>
      </c>
      <c r="P239" s="32" t="n">
        <v>30.57</v>
      </c>
      <c r="Q239" s="32" t="inlineStr"/>
      <c r="R239" s="31" t="inlineStr">
        <is>
          <t>Earnings / Momentum Support</t>
        </is>
      </c>
      <c r="S239" s="31" t="inlineStr">
        <is>
          <t>Nifty 50</t>
        </is>
      </c>
      <c r="T239" s="32" t="n">
        <v>-1.03</v>
      </c>
      <c r="U239" s="32" t="n">
        <v>42.91</v>
      </c>
      <c r="V239" s="32" t="n">
        <v>44.4</v>
      </c>
      <c r="W239" s="32" t="n">
        <v>11.08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Between 12 to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IF(B240=0,"",RANK(B240,$B$2:$B$374,0))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BALUFORGE</t>
        </is>
      </c>
      <c r="D240" s="31" t="inlineStr">
        <is>
          <t>Balu Forge Industries Ltd</t>
        </is>
      </c>
      <c r="E240" s="31" t="inlineStr">
        <is>
          <t>industrials</t>
        </is>
      </c>
      <c r="F240" s="31" t="inlineStr">
        <is>
          <t>castings &amp; forgings</t>
        </is>
      </c>
      <c r="G240" s="31" t="inlineStr">
        <is>
          <t>midcap</t>
        </is>
      </c>
      <c r="H240" s="32" t="n">
        <v>7645.28</v>
      </c>
      <c r="I240" s="32" t="n">
        <v>630.6</v>
      </c>
      <c r="J240" s="32" t="n">
        <v>-1.28</v>
      </c>
      <c r="K240" s="32" t="n">
        <v>1970291</v>
      </c>
      <c r="L240" s="31" t="n">
        <v>51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69.98</v>
      </c>
      <c r="P240" s="32" t="n">
        <v>19.38</v>
      </c>
      <c r="Q240" s="32" t="inlineStr"/>
      <c r="R240" s="31" t="inlineStr">
        <is>
          <t>Earnings / Momentum Support</t>
        </is>
      </c>
      <c r="S240" s="31" t="inlineStr">
        <is>
          <t>Nifty 50</t>
        </is>
      </c>
      <c r="T240" s="32" t="n">
        <v>-1.03</v>
      </c>
      <c r="U240" s="32" t="n">
        <v>3.82</v>
      </c>
      <c r="V240" s="32" t="n">
        <v>4.9</v>
      </c>
      <c r="W240" s="32" t="n">
        <v>9.18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IF(B241=0,"",RANK(B241,$B$2:$B$374,0))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SIEMENS</t>
        </is>
      </c>
      <c r="D241" s="31" t="inlineStr">
        <is>
          <t>Siemens Limited</t>
        </is>
      </c>
      <c r="E241" s="31" t="inlineStr">
        <is>
          <t>industrials</t>
        </is>
      </c>
      <c r="F241" s="31" t="inlineStr">
        <is>
          <t>electric equipment</t>
        </is>
      </c>
      <c r="G241" s="31" t="inlineStr">
        <is>
          <t>largecap</t>
        </is>
      </c>
      <c r="H241" s="32" t="n">
        <v>145617.67</v>
      </c>
      <c r="I241" s="32" t="n">
        <v>4030</v>
      </c>
      <c r="J241" s="32" t="n">
        <v>-1.44</v>
      </c>
      <c r="K241" s="32" t="n">
        <v>222185</v>
      </c>
      <c r="L241" s="31" t="n">
        <v>44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66.84999999999999</v>
      </c>
      <c r="P241" s="32" t="n">
        <v>28.5</v>
      </c>
      <c r="Q241" s="32" t="inlineStr"/>
      <c r="R241" s="31" t="inlineStr">
        <is>
          <t>Earnings / Momentum Support</t>
        </is>
      </c>
      <c r="S241" s="31" t="inlineStr">
        <is>
          <t>Nifty 500</t>
        </is>
      </c>
      <c r="T241" s="32" t="n">
        <v>4.74</v>
      </c>
      <c r="U241" s="32" t="n">
        <v>34.12</v>
      </c>
      <c r="V241" s="32" t="n">
        <v>28.05</v>
      </c>
      <c r="W241" s="32" t="n">
        <v>7.51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IF(B242=0,"",RANK(B242,$B$2:$B$374,0))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LOTUSDEV</t>
        </is>
      </c>
      <c r="D242" s="33" t="inlineStr">
        <is>
          <t>Sri Lotus Developers &amp; Realty Ltd</t>
        </is>
      </c>
      <c r="E242" s="31" t="inlineStr">
        <is>
          <t>realty</t>
        </is>
      </c>
      <c r="F242" s="31" t="inlineStr">
        <is>
          <t>construction</t>
        </is>
      </c>
      <c r="G242" s="31" t="inlineStr">
        <is>
          <t>midcap</t>
        </is>
      </c>
      <c r="H242" s="32" t="n">
        <v>9120.07</v>
      </c>
      <c r="I242" s="32" t="n">
        <v>182.86</v>
      </c>
      <c r="J242" s="32" t="n">
        <v>-2.01</v>
      </c>
      <c r="K242" s="32" t="n">
        <v>229344</v>
      </c>
      <c r="L242" s="31" t="n">
        <v>1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59.07</v>
      </c>
      <c r="P242" s="32" t="n">
        <v>19.09</v>
      </c>
      <c r="Q242" s="32" t="inlineStr"/>
      <c r="R242" s="31" t="inlineStr">
        <is>
          <t>Earnings / Momentum Support</t>
        </is>
      </c>
      <c r="S242" s="31" t="inlineStr">
        <is>
          <t>Nifty Realty</t>
        </is>
      </c>
      <c r="T242" s="32" t="n">
        <v>5.1</v>
      </c>
      <c r="U242" s="32" t="n">
        <v>-33.28</v>
      </c>
      <c r="V242" s="32" t="n">
        <v>-36.52</v>
      </c>
      <c r="W242" s="32" t="n">
        <v>-7.53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IF(B243=0,"",RANK(B243,$B$2:$B$374,0))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AEROENTER</t>
        </is>
      </c>
      <c r="D243" s="33" t="inlineStr">
        <is>
          <t>Aeroflex Enterprises Ltd</t>
        </is>
      </c>
      <c r="E243" s="31" t="inlineStr">
        <is>
          <t>metals &amp; mining</t>
        </is>
      </c>
      <c r="F243" s="31" t="inlineStr">
        <is>
          <t>steel - medium / small</t>
        </is>
      </c>
      <c r="G243" s="31" t="inlineStr">
        <is>
          <t>smallcap</t>
        </is>
      </c>
      <c r="H243" s="32" t="n">
        <v>1655.48</v>
      </c>
      <c r="I243" s="32" t="n">
        <v>138.45</v>
      </c>
      <c r="J243" s="32" t="n">
        <v>-5.36</v>
      </c>
      <c r="K243" s="32" t="n">
        <v>653171</v>
      </c>
      <c r="L243" s="31" t="n">
        <v>48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69.25</v>
      </c>
      <c r="P243" s="32" t="n">
        <v>53.07</v>
      </c>
      <c r="Q243" s="32" t="inlineStr"/>
      <c r="R243" s="31" t="inlineStr">
        <is>
          <t>Earnings / Momentum Support</t>
        </is>
      </c>
      <c r="S243" s="31" t="inlineStr">
        <is>
          <t>Nifty Metal</t>
        </is>
      </c>
      <c r="T243" s="32" t="n">
        <v>31.49</v>
      </c>
      <c r="U243" s="32" t="n">
        <v>6.38</v>
      </c>
      <c r="V243" s="32" t="n">
        <v>-19.1</v>
      </c>
      <c r="W243" s="32" t="n">
        <v>8.710000000000001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Cyclical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Volatile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Above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IF(B244=0,"",RANK(B244,$B$2:$B$374,0))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AVADHSUGAR</t>
        </is>
      </c>
      <c r="D244" s="31" t="inlineStr">
        <is>
          <t>Avadh Sugar &amp; Energy</t>
        </is>
      </c>
      <c r="E244" s="31" t="inlineStr">
        <is>
          <t>fmcg</t>
        </is>
      </c>
      <c r="F244" s="31" t="inlineStr">
        <is>
          <t>sugar</t>
        </is>
      </c>
      <c r="G244" s="31" t="inlineStr">
        <is>
          <t>smallcap</t>
        </is>
      </c>
      <c r="H244" s="32" t="n">
        <v>1661.63</v>
      </c>
      <c r="I244" s="32" t="n">
        <v>855.3</v>
      </c>
      <c r="J244" s="32" t="n">
        <v>3.04</v>
      </c>
      <c r="K244" s="32" t="n">
        <v>346445</v>
      </c>
      <c r="L244" s="31" t="n">
        <v>43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84.8</v>
      </c>
      <c r="P244" s="32" t="n">
        <v>47.63</v>
      </c>
      <c r="Q244" s="32" t="inlineStr"/>
      <c r="R244" s="31" t="inlineStr">
        <is>
          <t>Earnings / Momentum Support</t>
        </is>
      </c>
      <c r="S244" s="31" t="inlineStr">
        <is>
          <t>Nifty FMCG</t>
        </is>
      </c>
      <c r="T244" s="32" t="n">
        <v>-13.73</v>
      </c>
      <c r="U244" s="32" t="n">
        <v>10.91</v>
      </c>
      <c r="V244" s="32" t="n">
        <v>28.56</v>
      </c>
      <c r="W244" s="32" t="n">
        <v>7.47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B2C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Above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More than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IF(B245=0,"",RANK(B245,$B$2:$B$374,0))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DHAMPURSUG</t>
        </is>
      </c>
      <c r="D245" s="31" t="inlineStr">
        <is>
          <t>Dhampur Sugar Mills Limited</t>
        </is>
      </c>
      <c r="E245" s="31" t="inlineStr">
        <is>
          <t>fmcg</t>
        </is>
      </c>
      <c r="F245" s="31" t="inlineStr">
        <is>
          <t>sugar</t>
        </is>
      </c>
      <c r="G245" s="31" t="inlineStr">
        <is>
          <t>smallcap</t>
        </is>
      </c>
      <c r="H245" s="32" t="n">
        <v>1126.84</v>
      </c>
      <c r="I245" s="32" t="n">
        <v>179.19</v>
      </c>
      <c r="J245" s="32" t="n">
        <v>2.26</v>
      </c>
      <c r="K245" s="32" t="n">
        <v>2505634</v>
      </c>
      <c r="L245" s="31" t="n">
        <v>12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67.59</v>
      </c>
      <c r="P245" s="32" t="n">
        <v>20.35</v>
      </c>
      <c r="Q245" s="32" t="inlineStr"/>
      <c r="R245" s="31" t="inlineStr">
        <is>
          <t>Earnings / Momentum Support</t>
        </is>
      </c>
      <c r="S245" s="31" t="inlineStr">
        <is>
          <t>Nifty FMCG</t>
        </is>
      </c>
      <c r="T245" s="32" t="n">
        <v>-13.73</v>
      </c>
      <c r="U245" s="32" t="n">
        <v>-5</v>
      </c>
      <c r="V245" s="32" t="n">
        <v>10.12</v>
      </c>
      <c r="W245" s="32" t="n">
        <v>0.05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B2C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Between 0.7 to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IF(B246=0,"",RANK(B246,$B$2:$B$374,0))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AGARWALEYE</t>
        </is>
      </c>
      <c r="D246" s="33" t="inlineStr">
        <is>
          <t>Dr Agarwals Health Care Ltd</t>
        </is>
      </c>
      <c r="E246" s="31" t="inlineStr">
        <is>
          <t>healthcare</t>
        </is>
      </c>
      <c r="F246" s="31" t="inlineStr">
        <is>
          <t>healthcare</t>
        </is>
      </c>
      <c r="G246" s="31" t="inlineStr">
        <is>
          <t>midcap</t>
        </is>
      </c>
      <c r="H246" s="32" t="n">
        <v>16096.4</v>
      </c>
      <c r="I246" s="32" t="n">
        <v>513.2</v>
      </c>
      <c r="J246" s="32" t="n">
        <v>1.06</v>
      </c>
      <c r="K246" s="32" t="n">
        <v>1926860</v>
      </c>
      <c r="L246" s="31" t="n">
        <v>30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57.6</v>
      </c>
      <c r="P246" s="32" t="n">
        <v>31.24</v>
      </c>
      <c r="Q246" s="32" t="inlineStr"/>
      <c r="R246" s="31" t="inlineStr">
        <is>
          <t>Earnings / Momentum Support</t>
        </is>
      </c>
      <c r="S246" s="31" t="inlineStr">
        <is>
          <t>Nifty Pharma</t>
        </is>
      </c>
      <c r="T246" s="32" t="n">
        <v>23.79</v>
      </c>
      <c r="U246" s="32" t="n">
        <v>17.42</v>
      </c>
      <c r="V246" s="32" t="n">
        <v>-5.14</v>
      </c>
      <c r="W246" s="32" t="n">
        <v>5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IF(B247=0,"",RANK(B247,$B$2:$B$374,0))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DWARKESH</t>
        </is>
      </c>
      <c r="D247" s="31" t="inlineStr">
        <is>
          <t>Dwarikesh Sugar Industries Limited</t>
        </is>
      </c>
      <c r="E247" s="31" t="inlineStr">
        <is>
          <t>fmcg</t>
        </is>
      </c>
      <c r="F247" s="31" t="inlineStr">
        <is>
          <t>sugar</t>
        </is>
      </c>
      <c r="G247" s="31" t="inlineStr">
        <is>
          <t>smallcap</t>
        </is>
      </c>
      <c r="H247" s="32" t="n">
        <v>961.53</v>
      </c>
      <c r="I247" s="32" t="n">
        <v>52.42</v>
      </c>
      <c r="J247" s="32" t="n">
        <v>1.02</v>
      </c>
      <c r="K247" s="32" t="n">
        <v>8163536</v>
      </c>
      <c r="L247" s="31" t="n">
        <v>8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62.54</v>
      </c>
      <c r="P247" s="32" t="n">
        <v>17.81</v>
      </c>
      <c r="Q247" s="32" t="inlineStr"/>
      <c r="R247" s="31" t="inlineStr">
        <is>
          <t>Earnings / Momentum Support</t>
        </is>
      </c>
      <c r="S247" s="31" t="inlineStr">
        <is>
          <t>Nifty FMCG</t>
        </is>
      </c>
      <c r="T247" s="32" t="n">
        <v>-13.73</v>
      </c>
      <c r="U247" s="32" t="n">
        <v>-7.88</v>
      </c>
      <c r="V247" s="32" t="n">
        <v>6.78</v>
      </c>
      <c r="W247" s="32" t="n">
        <v>-1.38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B2C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Annuity, Lower One Time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IF(B248=0,"",RANK(B248,$B$2:$B$374,0))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MAWANASUG</t>
        </is>
      </c>
      <c r="D248" s="31" t="inlineStr">
        <is>
          <t>Mawana Sugars Limited</t>
        </is>
      </c>
      <c r="E248" s="31" t="inlineStr">
        <is>
          <t>fmcg</t>
        </is>
      </c>
      <c r="F248" s="31" t="inlineStr">
        <is>
          <t>sugar</t>
        </is>
      </c>
      <c r="G248" s="31" t="inlineStr">
        <is>
          <t>smallcap</t>
        </is>
      </c>
      <c r="H248" s="32" t="n">
        <v>578.6900000000001</v>
      </c>
      <c r="I248" s="32" t="n">
        <v>149.1</v>
      </c>
      <c r="J248" s="32" t="n">
        <v>0.78</v>
      </c>
      <c r="K248" s="32" t="n">
        <v>715571</v>
      </c>
      <c r="L248" s="31" t="n">
        <v>42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76.47</v>
      </c>
      <c r="P248" s="32" t="n">
        <v>39.26</v>
      </c>
      <c r="Q248" s="32" t="inlineStr"/>
      <c r="R248" s="31" t="inlineStr">
        <is>
          <t>Earnings / Momentum Support</t>
        </is>
      </c>
      <c r="S248" s="31" t="inlineStr">
        <is>
          <t>Nifty FMCG</t>
        </is>
      </c>
      <c r="T248" s="32" t="n">
        <v>-13.73</v>
      </c>
      <c r="U248" s="32" t="n">
        <v>20.77</v>
      </c>
      <c r="V248" s="32" t="n">
        <v>39.99</v>
      </c>
      <c r="W248" s="32" t="n">
        <v>7.14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B2C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Annuity, Lower One Time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Above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Between 0.7 to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IF(B249=0,"",RANK(B249,$B$2:$B$374,0))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AARTIPHARM</t>
        </is>
      </c>
      <c r="D249" s="33" t="inlineStr">
        <is>
          <t>Aarti Pharmalabs Ltd</t>
        </is>
      </c>
      <c r="E249" s="31" t="inlineStr">
        <is>
          <t>healthcare</t>
        </is>
      </c>
      <c r="F249" s="31" t="inlineStr">
        <is>
          <t>pharmaceuticals - indian - bulk drugs &amp; formln</t>
        </is>
      </c>
      <c r="G249" s="31" t="inlineStr">
        <is>
          <t>midcap</t>
        </is>
      </c>
      <c r="H249" s="32" t="n">
        <v>7623.45</v>
      </c>
      <c r="I249" s="32" t="n">
        <v>845.4</v>
      </c>
      <c r="J249" s="32" t="n">
        <v>0.5600000000000001</v>
      </c>
      <c r="K249" s="32" t="n">
        <v>522950</v>
      </c>
      <c r="L249" s="31" t="n">
        <v>46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63.38</v>
      </c>
      <c r="P249" s="32" t="n">
        <v>17.9</v>
      </c>
      <c r="Q249" s="32" t="inlineStr"/>
      <c r="R249" s="31" t="inlineStr">
        <is>
          <t>Earnings / Momentum Support</t>
        </is>
      </c>
      <c r="S249" s="31" t="inlineStr">
        <is>
          <t>Nifty Pharma</t>
        </is>
      </c>
      <c r="T249" s="32" t="n">
        <v>23.79</v>
      </c>
      <c r="U249" s="32" t="n">
        <v>0.41</v>
      </c>
      <c r="V249" s="32" t="n">
        <v>-18.89</v>
      </c>
      <c r="W249" s="32" t="n">
        <v>8.01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Yes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IF(B250=0,"",RANK(B250,$B$2:$B$374,0))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ENTERO</t>
        </is>
      </c>
      <c r="D250" s="31" t="inlineStr">
        <is>
          <t>Entero Healthcare Solutions Ltd</t>
        </is>
      </c>
      <c r="E250" s="31" t="inlineStr">
        <is>
          <t>healthcare</t>
        </is>
      </c>
      <c r="F250" s="31" t="inlineStr">
        <is>
          <t>trading</t>
        </is>
      </c>
      <c r="G250" s="31" t="inlineStr">
        <is>
          <t>midcap</t>
        </is>
      </c>
      <c r="H250" s="32" t="n">
        <v>7871.58</v>
      </c>
      <c r="I250" s="32" t="n">
        <v>1809.9</v>
      </c>
      <c r="J250" s="32" t="n">
        <v>0.07000000000000001</v>
      </c>
      <c r="K250" s="32" t="n">
        <v>638557</v>
      </c>
      <c r="L250" s="31" t="n">
        <v>79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77.91</v>
      </c>
      <c r="P250" s="32" t="n">
        <v>33.2</v>
      </c>
      <c r="Q250" s="32" t="inlineStr"/>
      <c r="R250" s="31" t="inlineStr">
        <is>
          <t>Earnings / Momentum Support</t>
        </is>
      </c>
      <c r="S250" s="31" t="inlineStr">
        <is>
          <t>Nifty Pharma</t>
        </is>
      </c>
      <c r="T250" s="32" t="n">
        <v>23.79</v>
      </c>
      <c r="U250" s="32" t="n">
        <v>53.01</v>
      </c>
      <c r="V250" s="32" t="n">
        <v>23.6</v>
      </c>
      <c r="W250" s="32" t="n">
        <v>21.08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Above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Between 1.5 to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IF(B251=0,"",RANK(B251,$B$2:$B$374,0))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TATATECH</t>
        </is>
      </c>
      <c r="D251" s="31" t="inlineStr">
        <is>
          <t>Tata Technologies Ltd</t>
        </is>
      </c>
      <c r="E251" s="31" t="inlineStr">
        <is>
          <t>i.t</t>
        </is>
      </c>
      <c r="F251" s="31" t="inlineStr">
        <is>
          <t>computers - software - medium / small</t>
        </is>
      </c>
      <c r="G251" s="31" t="inlineStr">
        <is>
          <t>largecap</t>
        </is>
      </c>
      <c r="H251" s="32" t="n">
        <v>33878.93</v>
      </c>
      <c r="I251" s="32" t="n">
        <v>831.05</v>
      </c>
      <c r="J251" s="32" t="n">
        <v>-0.4</v>
      </c>
      <c r="K251" s="32" t="n">
        <v>1402484</v>
      </c>
      <c r="L251" s="31" t="n">
        <v>53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65.2</v>
      </c>
      <c r="P251" s="32" t="n">
        <v>32.64</v>
      </c>
      <c r="Q251" s="32" t="inlineStr"/>
      <c r="R251" s="31" t="inlineStr">
        <is>
          <t>Earnings / Momentum Support</t>
        </is>
      </c>
      <c r="S251" s="31" t="inlineStr">
        <is>
          <t>Nifty IT</t>
        </is>
      </c>
      <c r="T251" s="32" t="n">
        <v>-11.08</v>
      </c>
      <c r="U251" s="32" t="n">
        <v>28.9</v>
      </c>
      <c r="V251" s="32" t="n">
        <v>44.96</v>
      </c>
      <c r="W251" s="32" t="n">
        <v>10.05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Annuity, Lower One Time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IF(B252=0,"",RANK(B252,$B$2:$B$374,0))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ANTHEM</t>
        </is>
      </c>
      <c r="D252" s="33" t="inlineStr">
        <is>
          <t>Anthem Biosciences Ltd</t>
        </is>
      </c>
      <c r="E252" s="31" t="inlineStr">
        <is>
          <t>healthcare</t>
        </is>
      </c>
      <c r="F252" s="31" t="inlineStr">
        <is>
          <t>pharmaceuticals - indian - bulk drugs &amp; formln</t>
        </is>
      </c>
      <c r="G252" s="31" t="inlineStr">
        <is>
          <t>largecap</t>
        </is>
      </c>
      <c r="H252" s="32" t="n">
        <v>50710.26</v>
      </c>
      <c r="I252" s="32" t="n">
        <v>893.05</v>
      </c>
      <c r="J252" s="32" t="n">
        <v>-0.78</v>
      </c>
      <c r="K252" s="32" t="n">
        <v>1181406</v>
      </c>
      <c r="L252" s="31" t="n">
        <v>40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69.45</v>
      </c>
      <c r="P252" s="32" t="n">
        <v>42.48</v>
      </c>
      <c r="Q252" s="32" t="inlineStr"/>
      <c r="R252" s="31" t="inlineStr">
        <is>
          <t>Earnings / Momentum Support</t>
        </is>
      </c>
      <c r="S252" s="31" t="inlineStr">
        <is>
          <t>Nifty Pharma</t>
        </is>
      </c>
      <c r="T252" s="32" t="n">
        <v>23.79</v>
      </c>
      <c r="U252" s="32" t="n">
        <v>10.32</v>
      </c>
      <c r="V252" s="32" t="n">
        <v>-10.89</v>
      </c>
      <c r="W252" s="32" t="n">
        <v>6.79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Yes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Annuity, Lower One Time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IF(B253=0,"",RANK(B253,$B$2:$B$374,0))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PVRINOX</t>
        </is>
      </c>
      <c r="D253" s="31" t="inlineStr">
        <is>
          <t>PVR Inox Ltd</t>
        </is>
      </c>
      <c r="E253" s="31" t="inlineStr">
        <is>
          <t>media</t>
        </is>
      </c>
      <c r="F253" s="31" t="inlineStr">
        <is>
          <t>entertainment / electronic media software</t>
        </is>
      </c>
      <c r="G253" s="31" t="inlineStr">
        <is>
          <t>midcap</t>
        </is>
      </c>
      <c r="H253" s="32" t="n">
        <v>11989.23</v>
      </c>
      <c r="I253" s="32" t="n">
        <v>1207.7</v>
      </c>
      <c r="J253" s="32" t="n">
        <v>-1.08</v>
      </c>
      <c r="K253" s="32" t="n">
        <v>371061</v>
      </c>
      <c r="L253" s="31" t="n">
        <v>45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72</v>
      </c>
      <c r="P253" s="32" t="n">
        <v>25.43</v>
      </c>
      <c r="Q253" s="32" t="inlineStr"/>
      <c r="R253" s="31" t="inlineStr">
        <is>
          <t>Earnings / Momentum Support</t>
        </is>
      </c>
      <c r="S253" s="31" t="inlineStr">
        <is>
          <t>Nifty IT</t>
        </is>
      </c>
      <c r="T253" s="32" t="n">
        <v>-11.08</v>
      </c>
      <c r="U253" s="32" t="n">
        <v>9.02</v>
      </c>
      <c r="V253" s="32" t="n">
        <v>22.61</v>
      </c>
      <c r="W253" s="32" t="n">
        <v>7.78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Annuity, Lower One Time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Between 0.7 to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IF(B254=0,"",RANK(B254,$B$2:$B$374,0))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ANUHPHR</t>
        </is>
      </c>
      <c r="D254" s="33" t="inlineStr">
        <is>
          <t>Anuh Pharma Ltd</t>
        </is>
      </c>
      <c r="E254" s="31" t="inlineStr">
        <is>
          <t>healthcare</t>
        </is>
      </c>
      <c r="F254" s="31" t="inlineStr">
        <is>
          <t>pharmaceuticals - indian - bulk drugs</t>
        </is>
      </c>
      <c r="G254" s="31" t="inlineStr">
        <is>
          <t>smallcap</t>
        </is>
      </c>
      <c r="H254" s="32" t="n">
        <v>837.5700000000001</v>
      </c>
      <c r="I254" s="32" t="n">
        <v>82.04000000000001</v>
      </c>
      <c r="J254" s="32" t="n">
        <v>-1.83</v>
      </c>
      <c r="K254" s="32" t="n">
        <v>55545</v>
      </c>
      <c r="L254" s="31" t="n">
        <v>19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59.53</v>
      </c>
      <c r="P254" s="32" t="n">
        <v>9.66</v>
      </c>
      <c r="Q254" s="32" t="inlineStr"/>
      <c r="R254" s="31" t="inlineStr">
        <is>
          <t>Earnings / Momentum Support</t>
        </is>
      </c>
      <c r="S254" s="31" t="inlineStr">
        <is>
          <t>Nifty Pharma</t>
        </is>
      </c>
      <c r="T254" s="32" t="n">
        <v>23.79</v>
      </c>
      <c r="U254" s="32" t="n">
        <v>-2.52</v>
      </c>
      <c r="V254" s="32" t="n">
        <v>-21.26</v>
      </c>
      <c r="W254" s="32" t="n">
        <v>2.16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IF(B255=0,"",RANK(B255,$B$2:$B$374,0))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PVP</t>
        </is>
      </c>
      <c r="D255" s="31" t="inlineStr">
        <is>
          <t>Pvp Ventures Limited</t>
        </is>
      </c>
      <c r="E255" s="31" t="inlineStr">
        <is>
          <t>realty</t>
        </is>
      </c>
      <c r="F255" s="31" t="inlineStr">
        <is>
          <t>construction</t>
        </is>
      </c>
      <c r="G255" s="31" t="inlineStr">
        <is>
          <t>smallcap</t>
        </is>
      </c>
      <c r="H255" s="32" t="n">
        <v>1698.35</v>
      </c>
      <c r="I255" s="32" t="n">
        <v>68.48</v>
      </c>
      <c r="J255" s="32" t="n">
        <v>5</v>
      </c>
      <c r="K255" s="32" t="n">
        <v>6346569</v>
      </c>
      <c r="L255" s="31" t="n">
        <v>36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82.38</v>
      </c>
      <c r="P255" s="32" t="n">
        <v>24.55</v>
      </c>
      <c r="Q255" s="32" t="inlineStr"/>
      <c r="R255" s="31" t="inlineStr">
        <is>
          <t>Earnings / Momentum Support</t>
        </is>
      </c>
      <c r="S255" s="31" t="inlineStr">
        <is>
          <t>Nifty Realty</t>
        </is>
      </c>
      <c r="T255" s="32" t="n">
        <v>-8.119999999999999</v>
      </c>
      <c r="U255" s="32" t="n">
        <v>40.19</v>
      </c>
      <c r="V255" s="32" t="n">
        <v>52.58</v>
      </c>
      <c r="W255" s="32" t="n">
        <v>5.95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Above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IF(B256=0,"",RANK(B256,$B$2:$B$374,0))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DYNAMATECH</t>
        </is>
      </c>
      <c r="D256" s="31" t="inlineStr">
        <is>
          <t>Dynamatic Technologies Limited</t>
        </is>
      </c>
      <c r="E256" s="31" t="inlineStr">
        <is>
          <t>aerospace &amp; defence</t>
        </is>
      </c>
      <c r="F256" s="31" t="inlineStr">
        <is>
          <t>engineering</t>
        </is>
      </c>
      <c r="G256" s="31" t="inlineStr">
        <is>
          <t>midcap</t>
        </is>
      </c>
      <c r="H256" s="32" t="n">
        <v>7766.69</v>
      </c>
      <c r="I256" s="32" t="n">
        <v>11966</v>
      </c>
      <c r="J256" s="32" t="n">
        <v>4.63</v>
      </c>
      <c r="K256" s="32" t="n">
        <v>29910</v>
      </c>
      <c r="L256" s="31" t="n">
        <v>63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57.72</v>
      </c>
      <c r="P256" s="32" t="n">
        <v>22.35</v>
      </c>
      <c r="Q256" s="32" t="inlineStr"/>
      <c r="R256" s="31" t="inlineStr">
        <is>
          <t>Earnings / Momentum Support</t>
        </is>
      </c>
      <c r="S256" s="31" t="inlineStr">
        <is>
          <t>Nifty 50</t>
        </is>
      </c>
      <c r="T256" s="32" t="n">
        <v>-1.03</v>
      </c>
      <c r="U256" s="32" t="n">
        <v>78.09</v>
      </c>
      <c r="V256" s="32" t="n">
        <v>79.94</v>
      </c>
      <c r="W256" s="32" t="n">
        <v>13.81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Between 0.7 to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IF(B257=0,"",RANK(B257,$B$2:$B$374,0))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PAYTM</t>
        </is>
      </c>
      <c r="D257" s="31" t="inlineStr">
        <is>
          <t>One 97 Communications Ltd</t>
        </is>
      </c>
      <c r="E257" s="31" t="inlineStr">
        <is>
          <t>i.t</t>
        </is>
      </c>
      <c r="F257" s="31" t="inlineStr">
        <is>
          <t>miscellaneous</t>
        </is>
      </c>
      <c r="G257" s="31" t="inlineStr">
        <is>
          <t>largecap</t>
        </is>
      </c>
      <c r="H257" s="32" t="n">
        <v>105713.24</v>
      </c>
      <c r="I257" s="32" t="n">
        <v>1717.1</v>
      </c>
      <c r="J257" s="32" t="n">
        <v>4.01</v>
      </c>
      <c r="K257" s="32" t="n">
        <v>2686950</v>
      </c>
      <c r="L257" s="31" t="n">
        <v>73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75.06</v>
      </c>
      <c r="P257" s="32" t="n">
        <v>26.14</v>
      </c>
      <c r="Q257" s="32" t="inlineStr"/>
      <c r="R257" s="31" t="inlineStr">
        <is>
          <t>Earnings / Momentum Support</t>
        </is>
      </c>
      <c r="S257" s="31" t="inlineStr">
        <is>
          <t>Nifty IT</t>
        </is>
      </c>
      <c r="T257" s="32" t="n">
        <v>-11.08</v>
      </c>
      <c r="U257" s="32" t="n">
        <v>36.78</v>
      </c>
      <c r="V257" s="32" t="n">
        <v>53.83</v>
      </c>
      <c r="W257" s="32" t="n">
        <v>17.91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IF(B258=0,"",RANK(B258,$B$2:$B$374,0))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NOCIL</t>
        </is>
      </c>
      <c r="D258" s="33" t="inlineStr">
        <is>
          <t>Nocil Limited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smallcap</t>
        </is>
      </c>
      <c r="H258" s="32" t="n">
        <v>2755.24</v>
      </c>
      <c r="I258" s="32" t="n">
        <v>171.45</v>
      </c>
      <c r="J258" s="32" t="n">
        <v>3.93</v>
      </c>
      <c r="K258" s="32" t="n">
        <v>1326791</v>
      </c>
      <c r="L258" s="31" t="n">
        <v>9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50.04</v>
      </c>
      <c r="P258" s="32" t="n">
        <v>18.46</v>
      </c>
      <c r="Q258" s="32" t="inlineStr"/>
      <c r="R258" s="31" t="inlineStr">
        <is>
          <t>Earnings / Momentum Support</t>
        </is>
      </c>
      <c r="S258" s="31" t="inlineStr">
        <is>
          <t>Nifty 50</t>
        </is>
      </c>
      <c r="T258" s="32" t="n">
        <v>-1.03</v>
      </c>
      <c r="U258" s="32" t="n">
        <v>-5.87</v>
      </c>
      <c r="V258" s="32" t="n">
        <v>-4.9</v>
      </c>
      <c r="W258" s="32" t="n">
        <v>-0.89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IF(B259=0,"",RANK(B259,$B$2:$B$374,0))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HARSHA</t>
        </is>
      </c>
      <c r="D259" s="31" t="inlineStr">
        <is>
          <t>Harsha Engineers International Ltd</t>
        </is>
      </c>
      <c r="E259" s="31" t="inlineStr">
        <is>
          <t>industrials</t>
        </is>
      </c>
      <c r="F259" s="31" t="inlineStr">
        <is>
          <t>engineering</t>
        </is>
      </c>
      <c r="G259" s="31" t="inlineStr">
        <is>
          <t>smallcap</t>
        </is>
      </c>
      <c r="H259" s="32" t="n">
        <v>3995.47</v>
      </c>
      <c r="I259" s="32" t="n">
        <v>455.9</v>
      </c>
      <c r="J259" s="32" t="n">
        <v>3.89</v>
      </c>
      <c r="K259" s="32" t="n">
        <v>460199</v>
      </c>
      <c r="L259" s="31" t="n">
        <v>17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59.8</v>
      </c>
      <c r="P259" s="32" t="n">
        <v>37.44</v>
      </c>
      <c r="Q259" s="32" t="inlineStr"/>
      <c r="R259" s="31" t="inlineStr">
        <is>
          <t>Earnings / Momentum Support</t>
        </is>
      </c>
      <c r="S259" s="31" t="inlineStr">
        <is>
          <t>Nifty Infra</t>
        </is>
      </c>
      <c r="T259" s="32" t="n">
        <v>1.74</v>
      </c>
      <c r="U259" s="32" t="n">
        <v>3</v>
      </c>
      <c r="V259" s="32" t="n">
        <v>1.24</v>
      </c>
      <c r="W259" s="32" t="n">
        <v>1.63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IF(B260=0,"",RANK(B260,$B$2:$B$374,0))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FMGOETZE</t>
        </is>
      </c>
      <c r="D260" s="33" t="inlineStr">
        <is>
          <t>Federal-mogul Goetze (india) Limited.</t>
        </is>
      </c>
      <c r="E260" s="31" t="inlineStr">
        <is>
          <t>auto</t>
        </is>
      </c>
      <c r="F260" s="31" t="inlineStr">
        <is>
          <t>auto ancillaries</t>
        </is>
      </c>
      <c r="G260" s="31" t="inlineStr">
        <is>
          <t>smallcap</t>
        </is>
      </c>
      <c r="H260" s="32" t="n">
        <v>3349.33</v>
      </c>
      <c r="I260" s="32" t="n">
        <v>624.85</v>
      </c>
      <c r="J260" s="32" t="n">
        <v>3.79</v>
      </c>
      <c r="K260" s="32" t="n">
        <v>8525284</v>
      </c>
      <c r="L260" s="31" t="n">
        <v>9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70.97</v>
      </c>
      <c r="P260" s="32" t="n">
        <v>20.81</v>
      </c>
      <c r="Q260" s="32" t="inlineStr"/>
      <c r="R260" s="31" t="inlineStr">
        <is>
          <t>Earnings / Momentum Support</t>
        </is>
      </c>
      <c r="S260" s="31" t="inlineStr">
        <is>
          <t>Nifty Auto</t>
        </is>
      </c>
      <c r="T260" s="32" t="n">
        <v>13.41</v>
      </c>
      <c r="U260" s="32" t="n">
        <v>-15.27</v>
      </c>
      <c r="V260" s="32" t="n">
        <v>-25.29</v>
      </c>
      <c r="W260" s="32" t="n">
        <v>-0.83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IF(B261=0,"",RANK(B261,$B$2:$B$374,0))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ENGINERSIN</t>
        </is>
      </c>
      <c r="D261" s="31" t="inlineStr">
        <is>
          <t>Engineers India Limited</t>
        </is>
      </c>
      <c r="E261" s="31" t="inlineStr">
        <is>
          <t>realty</t>
        </is>
      </c>
      <c r="F261" s="31" t="inlineStr">
        <is>
          <t>engineering - turnkey services</t>
        </is>
      </c>
      <c r="G261" s="31" t="inlineStr">
        <is>
          <t>midcap</t>
        </is>
      </c>
      <c r="H261" s="32" t="n">
        <v>14260.14</v>
      </c>
      <c r="I261" s="32" t="n">
        <v>261.87</v>
      </c>
      <c r="J261" s="32" t="n">
        <v>3.21</v>
      </c>
      <c r="K261" s="32" t="n">
        <v>6249458</v>
      </c>
      <c r="L261" s="31" t="n">
        <v>10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60.73</v>
      </c>
      <c r="P261" s="32" t="n">
        <v>12.34</v>
      </c>
      <c r="Q261" s="32" t="inlineStr"/>
      <c r="R261" s="31" t="inlineStr">
        <is>
          <t>Earnings / Momentum Support</t>
        </is>
      </c>
      <c r="S261" s="31" t="inlineStr">
        <is>
          <t>Nifty Realty</t>
        </is>
      </c>
      <c r="T261" s="32" t="n">
        <v>-8.119999999999999</v>
      </c>
      <c r="U261" s="32" t="n">
        <v>-1.02</v>
      </c>
      <c r="V261" s="32" t="n">
        <v>7.73</v>
      </c>
      <c r="W261" s="32" t="n">
        <v>-0.31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IF(B262=0,"",RANK(B262,$B$2:$B$374,0))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CGPOWER</t>
        </is>
      </c>
      <c r="D262" s="31" t="inlineStr">
        <is>
          <t>CG Power and Industrial Solutions Ltd</t>
        </is>
      </c>
      <c r="E262" s="31" t="inlineStr">
        <is>
          <t>industrials</t>
        </is>
      </c>
      <c r="F262" s="31" t="inlineStr">
        <is>
          <t>electric equipment</t>
        </is>
      </c>
      <c r="G262" s="31" t="inlineStr">
        <is>
          <t>largecap</t>
        </is>
      </c>
      <c r="H262" s="32" t="n">
        <v>140015.66</v>
      </c>
      <c r="I262" s="32" t="n">
        <v>916</v>
      </c>
      <c r="J262" s="32" t="n">
        <v>3.04</v>
      </c>
      <c r="K262" s="32" t="n">
        <v>3393030</v>
      </c>
      <c r="L262" s="31" t="n">
        <v>31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57.45</v>
      </c>
      <c r="P262" s="32" t="n">
        <v>27.32</v>
      </c>
      <c r="Q262" s="32" t="inlineStr"/>
      <c r="R262" s="31" t="inlineStr">
        <is>
          <t>Earnings / Momentum Support</t>
        </is>
      </c>
      <c r="S262" s="31" t="inlineStr">
        <is>
          <t>Nifty 50</t>
        </is>
      </c>
      <c r="T262" s="32" t="n">
        <v>-1.03</v>
      </c>
      <c r="U262" s="32" t="n">
        <v>28.33</v>
      </c>
      <c r="V262" s="32" t="n">
        <v>29.66</v>
      </c>
      <c r="W262" s="32" t="n">
        <v>5.05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Between 12 to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IF(B263=0,"",RANK(B263,$B$2:$B$374,0))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LUMAXIND</t>
        </is>
      </c>
      <c r="D263" s="31" t="inlineStr">
        <is>
          <t>Lumax Industries Limited</t>
        </is>
      </c>
      <c r="E263" s="31" t="inlineStr">
        <is>
          <t>auto</t>
        </is>
      </c>
      <c r="F263" s="31" t="inlineStr">
        <is>
          <t>auto ancillaries</t>
        </is>
      </c>
      <c r="G263" s="31" t="inlineStr">
        <is>
          <t>midcap</t>
        </is>
      </c>
      <c r="H263" s="32" t="n">
        <v>5675.01</v>
      </c>
      <c r="I263" s="32" t="n">
        <v>6233.5</v>
      </c>
      <c r="J263" s="32" t="n">
        <v>2.68</v>
      </c>
      <c r="K263" s="32" t="n">
        <v>22681</v>
      </c>
      <c r="L263" s="31" t="n">
        <v>32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63.33</v>
      </c>
      <c r="P263" s="32" t="n">
        <v>13.56</v>
      </c>
      <c r="Q263" s="32" t="inlineStr"/>
      <c r="R263" s="31" t="inlineStr">
        <is>
          <t>Earnings / Momentum Support</t>
        </is>
      </c>
      <c r="S263" s="31" t="inlineStr">
        <is>
          <t>Nifty Auto</t>
        </is>
      </c>
      <c r="T263" s="32" t="n">
        <v>13.41</v>
      </c>
      <c r="U263" s="32" t="n">
        <v>34.19</v>
      </c>
      <c r="V263" s="32" t="n">
        <v>18.32</v>
      </c>
      <c r="W263" s="32" t="n">
        <v>5.37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IF(B264=0,"",RANK(B264,$B$2:$B$374,0))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MOLDTKPAC</t>
        </is>
      </c>
      <c r="D264" s="33" t="inlineStr">
        <is>
          <t>Mold-tek Packaging Limited</t>
        </is>
      </c>
      <c r="E264" s="31" t="inlineStr">
        <is>
          <t>industrials</t>
        </is>
      </c>
      <c r="F264" s="31" t="inlineStr">
        <is>
          <t>packaging</t>
        </is>
      </c>
      <c r="G264" s="31" t="inlineStr">
        <is>
          <t>smallcap</t>
        </is>
      </c>
      <c r="H264" s="32" t="n">
        <v>2296.78</v>
      </c>
      <c r="I264" s="32" t="n">
        <v>709.25</v>
      </c>
      <c r="J264" s="32" t="n">
        <v>2.61</v>
      </c>
      <c r="K264" s="32" t="n">
        <v>94897</v>
      </c>
      <c r="L264" s="31" t="n">
        <v>38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54.95</v>
      </c>
      <c r="P264" s="32" t="n">
        <v>26</v>
      </c>
      <c r="Q264" s="32" t="inlineStr"/>
      <c r="R264" s="31" t="inlineStr">
        <is>
          <t>Earnings / Momentum Support</t>
        </is>
      </c>
      <c r="S264" s="31" t="inlineStr">
        <is>
          <t>Nifty Infra</t>
        </is>
      </c>
      <c r="T264" s="32" t="n">
        <v>1.74</v>
      </c>
      <c r="U264" s="32" t="n">
        <v>-0.5</v>
      </c>
      <c r="V264" s="32" t="n">
        <v>-2.2</v>
      </c>
      <c r="W264" s="32" t="n">
        <v>6.43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Between 12 to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IF(B265=0,"",RANK(B265,$B$2:$B$374,0))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GRASIM</t>
        </is>
      </c>
      <c r="D265" s="31" t="inlineStr">
        <is>
          <t>Grasim Industries Limited</t>
        </is>
      </c>
      <c r="E265" s="31" t="inlineStr">
        <is>
          <t>textiles</t>
        </is>
      </c>
      <c r="F265" s="31" t="inlineStr">
        <is>
          <t>textiles - manmade</t>
        </is>
      </c>
      <c r="G265" s="31" t="inlineStr">
        <is>
          <t>largecap</t>
        </is>
      </c>
      <c r="H265" s="32" t="n">
        <v>223911.01</v>
      </c>
      <c r="I265" s="32" t="n">
        <v>3371</v>
      </c>
      <c r="J265" s="32" t="n">
        <v>2.46</v>
      </c>
      <c r="K265" s="32" t="n">
        <v>1019104</v>
      </c>
      <c r="L265" s="31" t="n">
        <v>29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64.64</v>
      </c>
      <c r="P265" s="32" t="n">
        <v>39.24</v>
      </c>
      <c r="Q265" s="32" t="inlineStr"/>
      <c r="R265" s="31" t="inlineStr">
        <is>
          <t>Earnings / Momentum Support</t>
        </is>
      </c>
      <c r="S265" s="31" t="inlineStr">
        <is>
          <t>Nifty 50</t>
        </is>
      </c>
      <c r="T265" s="32" t="n">
        <v>-1.03</v>
      </c>
      <c r="U265" s="32" t="n">
        <v>18.9</v>
      </c>
      <c r="V265" s="32" t="n">
        <v>20.14</v>
      </c>
      <c r="W265" s="32" t="n">
        <v>4.76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More than 1.2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IF(B266=0,"",RANK(B266,$B$2:$B$374,0))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FOSECOIND</t>
        </is>
      </c>
      <c r="D266" s="31" t="inlineStr">
        <is>
          <t>Foseco India Limited</t>
        </is>
      </c>
      <c r="E266" s="31" t="inlineStr">
        <is>
          <t>chemicals</t>
        </is>
      </c>
      <c r="F266" s="31" t="inlineStr">
        <is>
          <t>chemicals</t>
        </is>
      </c>
      <c r="G266" s="31" t="inlineStr">
        <is>
          <t>smallcap</t>
        </is>
      </c>
      <c r="H266" s="32" t="n">
        <v>4795.2</v>
      </c>
      <c r="I266" s="32" t="n">
        <v>6432</v>
      </c>
      <c r="J266" s="32" t="n">
        <v>1.1</v>
      </c>
      <c r="K266" s="32" t="n">
        <v>35796</v>
      </c>
      <c r="L266" s="31" t="n">
        <v>42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70.23999999999999</v>
      </c>
      <c r="P266" s="32" t="n">
        <v>24.48</v>
      </c>
      <c r="Q266" s="32" t="inlineStr"/>
      <c r="R266" s="31" t="inlineStr">
        <is>
          <t>Earnings / Momentum Support</t>
        </is>
      </c>
      <c r="S266" s="31" t="inlineStr">
        <is>
          <t>Nifty IT</t>
        </is>
      </c>
      <c r="T266" s="32" t="n">
        <v>-11.08</v>
      </c>
      <c r="U266" s="32" t="n">
        <v>2.58</v>
      </c>
      <c r="V266" s="32" t="n">
        <v>15.37</v>
      </c>
      <c r="W266" s="32" t="n">
        <v>7.23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IF(B267=0,"",RANK(B267,$B$2:$B$374,0))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UDS</t>
        </is>
      </c>
      <c r="D267" s="33" t="inlineStr">
        <is>
          <t>Updater Services Ltd</t>
        </is>
      </c>
      <c r="E267" s="31" t="inlineStr">
        <is>
          <t>miscellaneous</t>
        </is>
      </c>
      <c r="F267" s="31" t="inlineStr">
        <is>
          <t>miscellaneous</t>
        </is>
      </c>
      <c r="G267" s="31" t="inlineStr">
        <is>
          <t>smallcap</t>
        </is>
      </c>
      <c r="H267" s="32" t="n">
        <v>1489.58</v>
      </c>
      <c r="I267" s="32" t="n">
        <v>224.73</v>
      </c>
      <c r="J267" s="32" t="n">
        <v>1.01</v>
      </c>
      <c r="K267" s="32" t="n">
        <v>297152</v>
      </c>
      <c r="L267" s="31" t="n">
        <v>36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68.81</v>
      </c>
      <c r="P267" s="32" t="n">
        <v>39.25</v>
      </c>
      <c r="Q267" s="32" t="inlineStr"/>
      <c r="R267" s="31" t="inlineStr">
        <is>
          <t>Earnings / Momentum Support</t>
        </is>
      </c>
      <c r="S267" s="31" t="inlineStr">
        <is>
          <t>Nifty 50</t>
        </is>
      </c>
      <c r="T267" s="32" t="n">
        <v>-1.03</v>
      </c>
      <c r="U267" s="32" t="n">
        <v>-8.07</v>
      </c>
      <c r="V267" s="32" t="n">
        <v>-7.11</v>
      </c>
      <c r="W267" s="32" t="n">
        <v>6.05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IF(B268=0,"",RANK(B268,$B$2:$B$374,0))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TVSMOTOR</t>
        </is>
      </c>
      <c r="D268" s="31" t="inlineStr">
        <is>
          <t>Tvs Motor Company Limited</t>
        </is>
      </c>
      <c r="E268" s="31" t="inlineStr">
        <is>
          <t>auto</t>
        </is>
      </c>
      <c r="F268" s="31" t="inlineStr">
        <is>
          <t>automobiles - motorcycles / mopeds</t>
        </is>
      </c>
      <c r="G268" s="31" t="inlineStr">
        <is>
          <t>largecap</t>
        </is>
      </c>
      <c r="H268" s="32" t="n">
        <v>204487</v>
      </c>
      <c r="I268" s="32" t="n">
        <v>4341.3</v>
      </c>
      <c r="J268" s="32" t="n">
        <v>0.86</v>
      </c>
      <c r="K268" s="32" t="n">
        <v>1510029</v>
      </c>
      <c r="L268" s="31" t="n">
        <v>30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65.51000000000001</v>
      </c>
      <c r="P268" s="32" t="n">
        <v>27.56</v>
      </c>
      <c r="Q268" s="32" t="inlineStr"/>
      <c r="R268" s="31" t="inlineStr">
        <is>
          <t>Earnings / Momentum Support</t>
        </is>
      </c>
      <c r="S268" s="31" t="inlineStr">
        <is>
          <t>Nifty Auto</t>
        </is>
      </c>
      <c r="T268" s="32" t="n">
        <v>13.41</v>
      </c>
      <c r="U268" s="32" t="n">
        <v>27.43</v>
      </c>
      <c r="V268" s="32" t="n">
        <v>12.36</v>
      </c>
      <c r="W268" s="32" t="n">
        <v>4.91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More than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IF(B269=0,"",RANK(B269,$B$2:$B$374,0))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JUSTDIAL</t>
        </is>
      </c>
      <c r="D269" s="33" t="inlineStr">
        <is>
          <t>Just Dial Limited</t>
        </is>
      </c>
      <c r="E269" s="31" t="inlineStr">
        <is>
          <t>i.t</t>
        </is>
      </c>
      <c r="F269" s="31" t="inlineStr">
        <is>
          <t>miscellaneous</t>
        </is>
      </c>
      <c r="G269" s="31" t="inlineStr">
        <is>
          <t>midcap</t>
        </is>
      </c>
      <c r="H269" s="32" t="n">
        <v>5992.13</v>
      </c>
      <c r="I269" s="32" t="n">
        <v>710.2</v>
      </c>
      <c r="J269" s="32" t="n">
        <v>0.8</v>
      </c>
      <c r="K269" s="32" t="n">
        <v>1918706</v>
      </c>
      <c r="L269" s="31" t="n">
        <v>35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60.75</v>
      </c>
      <c r="P269" s="32" t="n">
        <v>28.85</v>
      </c>
      <c r="Q269" s="32" t="inlineStr"/>
      <c r="R269" s="31" t="inlineStr">
        <is>
          <t>Earnings / Momentum Support</t>
        </is>
      </c>
      <c r="S269" s="31" t="inlineStr">
        <is>
          <t>Nifty IT</t>
        </is>
      </c>
      <c r="T269" s="32" t="n">
        <v>-11.08</v>
      </c>
      <c r="U269" s="32" t="n">
        <v>-12.91</v>
      </c>
      <c r="V269" s="32" t="n">
        <v>-2.05</v>
      </c>
      <c r="W269" s="32" t="n">
        <v>5.94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IF(B270=0,"",RANK(B270,$B$2:$B$374,0))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INOXINDIA</t>
        </is>
      </c>
      <c r="D270" s="31" t="inlineStr">
        <is>
          <t>Inox India Ltd</t>
        </is>
      </c>
      <c r="E270" s="31" t="inlineStr">
        <is>
          <t>industrials</t>
        </is>
      </c>
      <c r="F270" s="31" t="inlineStr">
        <is>
          <t>packaging</t>
        </is>
      </c>
      <c r="G270" s="31" t="inlineStr">
        <is>
          <t>midcap</t>
        </is>
      </c>
      <c r="H270" s="32" t="n">
        <v>19298.14</v>
      </c>
      <c r="I270" s="32" t="n">
        <v>2134.2</v>
      </c>
      <c r="J270" s="32" t="n">
        <v>0.38</v>
      </c>
      <c r="K270" s="32" t="n">
        <v>325080</v>
      </c>
      <c r="L270" s="31" t="n">
        <v>84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78.20999999999999</v>
      </c>
      <c r="P270" s="32" t="n">
        <v>64.25</v>
      </c>
      <c r="Q270" s="32" t="inlineStr"/>
      <c r="R270" s="31" t="inlineStr">
        <is>
          <t>Earnings / Momentum Support</t>
        </is>
      </c>
      <c r="S270" s="31" t="inlineStr">
        <is>
          <t>Nifty 50</t>
        </is>
      </c>
      <c r="T270" s="32" t="n">
        <v>-1.03</v>
      </c>
      <c r="U270" s="32" t="n">
        <v>90.22</v>
      </c>
      <c r="V270" s="32" t="n">
        <v>92.2</v>
      </c>
      <c r="W270" s="32" t="n">
        <v>23.49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Above 40</t>
        </is>
      </c>
      <c r="AY270" s="31">
        <f>IF(AX270="Above 40",20,IF(AX270="20 to 40",10,IF(AX270="0 to 20",-5,0)))</f>
        <v/>
      </c>
      <c r="AZ270" s="31" t="inlineStr">
        <is>
          <t>Above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IF(B271=0,"",RANK(B271,$B$2:$B$374,0))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INGERRAND</t>
        </is>
      </c>
      <c r="D271" s="31" t="inlineStr">
        <is>
          <t>Ingersoll Rand (india) Limited</t>
        </is>
      </c>
      <c r="E271" s="31" t="inlineStr">
        <is>
          <t>industrials</t>
        </is>
      </c>
      <c r="F271" s="31" t="inlineStr">
        <is>
          <t>compressors / drilling equipment</t>
        </is>
      </c>
      <c r="G271" s="31" t="inlineStr">
        <is>
          <t>midcap</t>
        </is>
      </c>
      <c r="H271" s="32" t="n">
        <v>15342.68</v>
      </c>
      <c r="I271" s="32" t="n">
        <v>4848.5</v>
      </c>
      <c r="J271" s="32" t="n">
        <v>-0.24</v>
      </c>
      <c r="K271" s="32" t="n">
        <v>54154</v>
      </c>
      <c r="L271" s="31" t="n">
        <v>34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64.69</v>
      </c>
      <c r="P271" s="32" t="n">
        <v>23.22</v>
      </c>
      <c r="Q271" s="32" t="inlineStr"/>
      <c r="R271" s="31" t="inlineStr">
        <is>
          <t>Earnings / Momentum Support</t>
        </is>
      </c>
      <c r="S271" s="31" t="inlineStr">
        <is>
          <t>Nifty Infra</t>
        </is>
      </c>
      <c r="T271" s="32" t="n">
        <v>1.74</v>
      </c>
      <c r="U271" s="32" t="n">
        <v>12.13</v>
      </c>
      <c r="V271" s="32" t="n">
        <v>10.21</v>
      </c>
      <c r="W271" s="32" t="n">
        <v>5.69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Between 12 to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IF(B272=0,"",RANK(B272,$B$2:$B$374,0))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YUKEN</t>
        </is>
      </c>
      <c r="D272" s="33" t="inlineStr">
        <is>
          <t>Yuken India Ltd</t>
        </is>
      </c>
      <c r="E272" s="31" t="inlineStr">
        <is>
          <t>industrials</t>
        </is>
      </c>
      <c r="F272" s="31" t="inlineStr">
        <is>
          <t>engineering</t>
        </is>
      </c>
      <c r="G272" s="31" t="inlineStr">
        <is>
          <t>smallcap</t>
        </is>
      </c>
      <c r="H272" s="32" t="n">
        <v>1349.43</v>
      </c>
      <c r="I272" s="32" t="n">
        <v>989.1</v>
      </c>
      <c r="J272" s="32" t="n">
        <v>-0.43</v>
      </c>
      <c r="K272" s="32" t="n">
        <v>12673</v>
      </c>
      <c r="L272" s="31" t="n">
        <v>1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70.83</v>
      </c>
      <c r="P272" s="32" t="n">
        <v>22.33</v>
      </c>
      <c r="Q272" s="32" t="inlineStr"/>
      <c r="R272" s="31" t="inlineStr">
        <is>
          <t>Earnings / Momentum Support</t>
        </is>
      </c>
      <c r="S272" s="31" t="inlineStr">
        <is>
          <t>Nifty Infra</t>
        </is>
      </c>
      <c r="T272" s="32" t="n">
        <v>1.74</v>
      </c>
      <c r="U272" s="32" t="n">
        <v>-33.82</v>
      </c>
      <c r="V272" s="32" t="n">
        <v>-34.95</v>
      </c>
      <c r="W272" s="32" t="n">
        <v>-7.99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IF(B273=0,"",RANK(B273,$B$2:$B$374,0))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NAZARA</t>
        </is>
      </c>
      <c r="D273" s="31" t="inlineStr">
        <is>
          <t>Nazara Technologies Ltd</t>
        </is>
      </c>
      <c r="E273" s="31" t="inlineStr">
        <is>
          <t>i.t</t>
        </is>
      </c>
      <c r="F273" s="31" t="inlineStr">
        <is>
          <t>telecommunications - service provider</t>
        </is>
      </c>
      <c r="G273" s="31" t="inlineStr">
        <is>
          <t>midcap</t>
        </is>
      </c>
      <c r="H273" s="32" t="n">
        <v>14410.71</v>
      </c>
      <c r="I273" s="32" t="n">
        <v>372.7</v>
      </c>
      <c r="J273" s="32" t="n">
        <v>-0.51</v>
      </c>
      <c r="K273" s="32" t="n">
        <v>5730211</v>
      </c>
      <c r="L273" s="31" t="n">
        <v>62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75.84</v>
      </c>
      <c r="P273" s="32" t="n">
        <v>26.59</v>
      </c>
      <c r="Q273" s="32" t="inlineStr"/>
      <c r="R273" s="31" t="inlineStr">
        <is>
          <t>Earnings / Momentum Support</t>
        </is>
      </c>
      <c r="S273" s="31" t="inlineStr">
        <is>
          <t>Nifty IT</t>
        </is>
      </c>
      <c r="T273" s="32" t="n">
        <v>-11.08</v>
      </c>
      <c r="U273" s="32" t="n">
        <v>29.05</v>
      </c>
      <c r="V273" s="32" t="n">
        <v>45.14</v>
      </c>
      <c r="W273" s="32" t="n">
        <v>13.26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Oligopoly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Yes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Above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IF(B274=0,"",RANK(B274,$B$2:$B$374,0))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SGIL</t>
        </is>
      </c>
      <c r="D274" s="31" t="inlineStr">
        <is>
          <t>Synergy Green Industries Ltd</t>
        </is>
      </c>
      <c r="E274" s="31" t="inlineStr">
        <is>
          <t>industrials</t>
        </is>
      </c>
      <c r="F274" s="31" t="inlineStr">
        <is>
          <t>castings &amp; forgings</t>
        </is>
      </c>
      <c r="G274" s="31" t="inlineStr">
        <is>
          <t>smallcap</t>
        </is>
      </c>
      <c r="H274" s="32" t="n">
        <v>944.55</v>
      </c>
      <c r="I274" s="32" t="n">
        <v>603</v>
      </c>
      <c r="J274" s="32" t="n">
        <v>-0.77</v>
      </c>
      <c r="K274" s="32" t="n">
        <v>5022</v>
      </c>
      <c r="L274" s="31" t="n">
        <v>36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58.95</v>
      </c>
      <c r="P274" s="32" t="n">
        <v>22.59</v>
      </c>
      <c r="Q274" s="32" t="inlineStr"/>
      <c r="R274" s="31" t="inlineStr">
        <is>
          <t>Earnings / Momentum Support</t>
        </is>
      </c>
      <c r="S274" s="31" t="inlineStr">
        <is>
          <t>Nifty 50</t>
        </is>
      </c>
      <c r="T274" s="32" t="n">
        <v>-1.03</v>
      </c>
      <c r="U274" s="32" t="n">
        <v>14.11</v>
      </c>
      <c r="V274" s="32" t="n">
        <v>15.29</v>
      </c>
      <c r="W274" s="32" t="n">
        <v>6.07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Less than 1.5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More than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IF(B275=0,"",RANK(B275,$B$2:$B$374,0))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TITAN</t>
        </is>
      </c>
      <c r="D275" s="31" t="inlineStr">
        <is>
          <t>Titan Company Limited</t>
        </is>
      </c>
      <c r="E275" s="31" t="inlineStr">
        <is>
          <t>consumer discretionary</t>
        </is>
      </c>
      <c r="F275" s="31" t="inlineStr">
        <is>
          <t>diamond cutting / jewellery</t>
        </is>
      </c>
      <c r="G275" s="31" t="inlineStr">
        <is>
          <t>largecap</t>
        </is>
      </c>
      <c r="H275" s="32" t="n">
        <v>458914.42</v>
      </c>
      <c r="I275" s="32" t="n">
        <v>5102.4</v>
      </c>
      <c r="J275" s="32" t="n">
        <v>-1.29</v>
      </c>
      <c r="K275" s="32" t="n">
        <v>630695</v>
      </c>
      <c r="L275" s="31" t="n">
        <v>63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73.77</v>
      </c>
      <c r="P275" s="32" t="n">
        <v>34.58</v>
      </c>
      <c r="Q275" s="32" t="inlineStr"/>
      <c r="R275" s="31" t="inlineStr">
        <is>
          <t>Earnings / Momentum Support</t>
        </is>
      </c>
      <c r="S275" s="31" t="inlineStr">
        <is>
          <t>Nifty 50</t>
        </is>
      </c>
      <c r="T275" s="32" t="n">
        <v>-1.03</v>
      </c>
      <c r="U275" s="32" t="n">
        <v>42.92</v>
      </c>
      <c r="V275" s="32" t="n">
        <v>44.4</v>
      </c>
      <c r="W275" s="32" t="n">
        <v>13.43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Less than 1.5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More than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IF(B276=0,"",RANK(B276,$B$2:$B$374,0))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LGBBROSLTD</t>
        </is>
      </c>
      <c r="D276" s="31" t="inlineStr">
        <is>
          <t>Lg Balakrishnan &amp; Bros Limited</t>
        </is>
      </c>
      <c r="E276" s="31" t="inlineStr">
        <is>
          <t>auto</t>
        </is>
      </c>
      <c r="F276" s="31" t="inlineStr">
        <is>
          <t>bearings</t>
        </is>
      </c>
      <c r="G276" s="31" t="inlineStr">
        <is>
          <t>midcap</t>
        </is>
      </c>
      <c r="H276" s="32" t="n">
        <v>5478.16</v>
      </c>
      <c r="I276" s="32" t="n">
        <v>1692.4</v>
      </c>
      <c r="J276" s="32" t="n">
        <v>-1.47</v>
      </c>
      <c r="K276" s="32" t="n">
        <v>20323</v>
      </c>
      <c r="L276" s="31" t="n">
        <v>20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58.91</v>
      </c>
      <c r="P276" s="32" t="n">
        <v>9.31</v>
      </c>
      <c r="Q276" s="32" t="inlineStr"/>
      <c r="R276" s="31" t="inlineStr">
        <is>
          <t>Earnings / Momentum Support</t>
        </is>
      </c>
      <c r="S276" s="31" t="inlineStr">
        <is>
          <t>Nifty Auto</t>
        </is>
      </c>
      <c r="T276" s="32" t="n">
        <v>13.41</v>
      </c>
      <c r="U276" s="32" t="n">
        <v>21.63</v>
      </c>
      <c r="V276" s="32" t="n">
        <v>7.24</v>
      </c>
      <c r="W276" s="32" t="n">
        <v>2.69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IF(B277=0,"",RANK(B277,$B$2:$B$374,0))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ARIES</t>
        </is>
      </c>
      <c r="D277" s="31" t="inlineStr">
        <is>
          <t>Aries Agro Limited</t>
        </is>
      </c>
      <c r="E277" s="31" t="inlineStr">
        <is>
          <t>chemicals</t>
        </is>
      </c>
      <c r="F277" s="31" t="inlineStr">
        <is>
          <t>fertilizers</t>
        </is>
      </c>
      <c r="G277" s="31" t="inlineStr">
        <is>
          <t>smallcap</t>
        </is>
      </c>
      <c r="H277" s="32" t="n">
        <v>629.8</v>
      </c>
      <c r="I277" s="32" t="n">
        <v>474.45</v>
      </c>
      <c r="J277" s="32" t="n">
        <v>-2.03</v>
      </c>
      <c r="K277" s="32" t="n">
        <v>30956</v>
      </c>
      <c r="L277" s="31" t="n">
        <v>66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78.40000000000001</v>
      </c>
      <c r="P277" s="32" t="n">
        <v>19.81</v>
      </c>
      <c r="Q277" s="32" t="inlineStr"/>
      <c r="R277" s="31" t="inlineStr">
        <is>
          <t>Earnings / Momentum Support</t>
        </is>
      </c>
      <c r="S277" s="31" t="inlineStr">
        <is>
          <t>Nifty 50</t>
        </is>
      </c>
      <c r="T277" s="32" t="n">
        <v>-1.03</v>
      </c>
      <c r="U277" s="32" t="n">
        <v>20.38</v>
      </c>
      <c r="V277" s="32" t="n">
        <v>21.63</v>
      </c>
      <c r="W277" s="32" t="n">
        <v>14.28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Above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Less than 1.5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IF(B278=0,"",RANK(B278,$B$2:$B$374,0))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AEROFLEX</t>
        </is>
      </c>
      <c r="D278" s="31" t="inlineStr">
        <is>
          <t>Aeroflex Industries Ltd</t>
        </is>
      </c>
      <c r="E278" s="31" t="inlineStr">
        <is>
          <t>metals &amp; mining</t>
        </is>
      </c>
      <c r="F278" s="31" t="inlineStr">
        <is>
          <t>steel - medium / small</t>
        </is>
      </c>
      <c r="G278" s="31" t="inlineStr">
        <is>
          <t>midcap</t>
        </is>
      </c>
      <c r="H278" s="32" t="n">
        <v>7173.65</v>
      </c>
      <c r="I278" s="32" t="n">
        <v>525.4</v>
      </c>
      <c r="J278" s="32" t="n">
        <v>-3.08</v>
      </c>
      <c r="K278" s="32" t="n">
        <v>953151</v>
      </c>
      <c r="L278" s="31" t="n">
        <v>86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72.34999999999999</v>
      </c>
      <c r="P278" s="32" t="n">
        <v>61.98</v>
      </c>
      <c r="Q278" s="32" t="inlineStr"/>
      <c r="R278" s="31" t="inlineStr">
        <is>
          <t>Earnings / Momentum Support</t>
        </is>
      </c>
      <c r="S278" s="31" t="inlineStr">
        <is>
          <t>Nifty Metal</t>
        </is>
      </c>
      <c r="T278" s="32" t="n">
        <v>31.49</v>
      </c>
      <c r="U278" s="32" t="n">
        <v>92.06</v>
      </c>
      <c r="V278" s="32" t="n">
        <v>46.06</v>
      </c>
      <c r="W278" s="32" t="n">
        <v>24.86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Above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IF(B279=0,"",RANK(B279,$B$2:$B$374,0))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KRN</t>
        </is>
      </c>
      <c r="D279" s="31" t="inlineStr">
        <is>
          <t>KRN Heat Exchanger and Refrigeration Ltd</t>
        </is>
      </c>
      <c r="E279" s="31" t="inlineStr">
        <is>
          <t>industrials</t>
        </is>
      </c>
      <c r="F279" s="31" t="inlineStr">
        <is>
          <t>engineering</t>
        </is>
      </c>
      <c r="G279" s="31" t="inlineStr">
        <is>
          <t>midcap</t>
        </is>
      </c>
      <c r="H279" s="32" t="n">
        <v>10536.85</v>
      </c>
      <c r="I279" s="32" t="n">
        <v>1553.1</v>
      </c>
      <c r="J279" s="32" t="n">
        <v>-3.52</v>
      </c>
      <c r="K279" s="32" t="n">
        <v>416684</v>
      </c>
      <c r="L279" s="31" t="n">
        <v>85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75.2</v>
      </c>
      <c r="P279" s="32" t="n">
        <v>34.96</v>
      </c>
      <c r="Q279" s="32" t="inlineStr"/>
      <c r="R279" s="31" t="inlineStr">
        <is>
          <t>Earnings / Momentum Support</t>
        </is>
      </c>
      <c r="S279" s="31" t="inlineStr">
        <is>
          <t>Nifty 50</t>
        </is>
      </c>
      <c r="T279" s="32" t="n">
        <v>-1.03</v>
      </c>
      <c r="U279" s="32" t="n">
        <v>86.66</v>
      </c>
      <c r="V279" s="32" t="n">
        <v>88.59999999999999</v>
      </c>
      <c r="W279" s="32" t="n">
        <v>23.74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Above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IF(B280=0,"",RANK(B280,$B$2:$B$374,0))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GENUSPOWER</t>
        </is>
      </c>
      <c r="D280" s="31" t="inlineStr">
        <is>
          <t>Genus Power Infrastructures Limited</t>
        </is>
      </c>
      <c r="E280" s="31" t="inlineStr">
        <is>
          <t>consumer discretionary</t>
        </is>
      </c>
      <c r="F280" s="31" t="inlineStr">
        <is>
          <t>electronics - components</t>
        </is>
      </c>
      <c r="G280" s="31" t="inlineStr">
        <is>
          <t>midcap</t>
        </is>
      </c>
      <c r="H280" s="32" t="n">
        <v>10639.36</v>
      </c>
      <c r="I280" s="32" t="n">
        <v>335.2</v>
      </c>
      <c r="J280" s="32" t="n">
        <v>-4.15</v>
      </c>
      <c r="K280" s="32" t="n">
        <v>3925702</v>
      </c>
      <c r="L280" s="31" t="n">
        <v>28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65.47</v>
      </c>
      <c r="P280" s="32" t="n">
        <v>9.9</v>
      </c>
      <c r="Q280" s="32" t="inlineStr"/>
      <c r="R280" s="31" t="inlineStr">
        <is>
          <t>Earnings / Momentum Support</t>
        </is>
      </c>
      <c r="S280" s="31" t="inlineStr">
        <is>
          <t>Nifty 50</t>
        </is>
      </c>
      <c r="T280" s="32" t="n">
        <v>-1.03</v>
      </c>
      <c r="U280" s="32" t="n">
        <v>7.53</v>
      </c>
      <c r="V280" s="32" t="n">
        <v>8.65</v>
      </c>
      <c r="W280" s="32" t="n">
        <v>4.57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Between 0.7 to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IF(B281=0,"",RANK(B281,$B$2:$B$374,0))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INDGN</t>
        </is>
      </c>
      <c r="D281" s="33" t="inlineStr">
        <is>
          <t>Indegene Ltd</t>
        </is>
      </c>
      <c r="E281" s="31" t="inlineStr">
        <is>
          <t>healthcare</t>
        </is>
      </c>
      <c r="F281" s="31" t="inlineStr">
        <is>
          <t>miscellaneous</t>
        </is>
      </c>
      <c r="G281" s="31" t="inlineStr">
        <is>
          <t>midcap</t>
        </is>
      </c>
      <c r="H281" s="32" t="n">
        <v>13950.05</v>
      </c>
      <c r="I281" s="32" t="n">
        <v>611.65</v>
      </c>
      <c r="J281" s="32" t="n">
        <v>5.65</v>
      </c>
      <c r="K281" s="32" t="n">
        <v>3972278</v>
      </c>
      <c r="L281" s="31" t="n">
        <v>25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66.64</v>
      </c>
      <c r="P281" s="32" t="n">
        <v>20.05</v>
      </c>
      <c r="Q281" s="32" t="inlineStr"/>
      <c r="R281" s="31" t="inlineStr">
        <is>
          <t>Earnings / Momentum Support</t>
        </is>
      </c>
      <c r="S281" s="31" t="inlineStr">
        <is>
          <t>Nifty Pharma</t>
        </is>
      </c>
      <c r="T281" s="32" t="n">
        <v>23.79</v>
      </c>
      <c r="U281" s="32" t="n">
        <v>7.23</v>
      </c>
      <c r="V281" s="32" t="n">
        <v>-13.38</v>
      </c>
      <c r="W281" s="32" t="n">
        <v>3.89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Annuity, Lower One Time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IF(B282=0,"",RANK(B282,$B$2:$B$374,0))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UTTAMSUGAR</t>
        </is>
      </c>
      <c r="D282" s="33" t="inlineStr">
        <is>
          <t>Uttam Sugar Mills Limited</t>
        </is>
      </c>
      <c r="E282" s="31" t="inlineStr">
        <is>
          <t>fmcg</t>
        </is>
      </c>
      <c r="F282" s="31" t="inlineStr">
        <is>
          <t>sugar</t>
        </is>
      </c>
      <c r="G282" s="31" t="inlineStr">
        <is>
          <t>smallcap</t>
        </is>
      </c>
      <c r="H282" s="32" t="n">
        <v>1142.43</v>
      </c>
      <c r="I282" s="32" t="n">
        <v>312.07</v>
      </c>
      <c r="J282" s="32" t="n">
        <v>4.18</v>
      </c>
      <c r="K282" s="32" t="n">
        <v>553344</v>
      </c>
      <c r="L282" s="31" t="n">
        <v>4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63.75</v>
      </c>
      <c r="P282" s="32" t="n">
        <v>21.43</v>
      </c>
      <c r="Q282" s="32" t="inlineStr"/>
      <c r="R282" s="31" t="inlineStr">
        <is>
          <t>Earnings / Momentum Support</t>
        </is>
      </c>
      <c r="S282" s="31" t="inlineStr">
        <is>
          <t>Nifty FMCG</t>
        </is>
      </c>
      <c r="T282" s="32" t="n">
        <v>-13.73</v>
      </c>
      <c r="U282" s="32" t="n">
        <v>-16.3</v>
      </c>
      <c r="V282" s="32" t="n">
        <v>-2.98</v>
      </c>
      <c r="W282" s="32" t="n">
        <v>-4.07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B2C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Between 0.7 to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IF(B283=0,"",RANK(B283,$B$2:$B$374,0))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YATHARTH</t>
        </is>
      </c>
      <c r="D283" s="31" t="inlineStr">
        <is>
          <t>Yatharth Hospital &amp; Trauma Care Services Ltd</t>
        </is>
      </c>
      <c r="E283" s="31" t="inlineStr">
        <is>
          <t>healthcare</t>
        </is>
      </c>
      <c r="F283" s="31" t="inlineStr">
        <is>
          <t>healthcare</t>
        </is>
      </c>
      <c r="G283" s="31" t="inlineStr">
        <is>
          <t>midcap</t>
        </is>
      </c>
      <c r="H283" s="32" t="n">
        <v>9321.32</v>
      </c>
      <c r="I283" s="32" t="n">
        <v>1001.9</v>
      </c>
      <c r="J283" s="32" t="n">
        <v>3.57</v>
      </c>
      <c r="K283" s="32" t="n">
        <v>654071</v>
      </c>
      <c r="L283" s="31" t="n">
        <v>58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67.89</v>
      </c>
      <c r="P283" s="32" t="n">
        <v>38.41</v>
      </c>
      <c r="Q283" s="32" t="inlineStr"/>
      <c r="R283" s="31" t="inlineStr">
        <is>
          <t>Earnings / Momentum Support</t>
        </is>
      </c>
      <c r="S283" s="31" t="inlineStr">
        <is>
          <t>Nifty Pharma</t>
        </is>
      </c>
      <c r="T283" s="32" t="n">
        <v>23.79</v>
      </c>
      <c r="U283" s="32" t="n">
        <v>39.27</v>
      </c>
      <c r="V283" s="32" t="n">
        <v>12.5</v>
      </c>
      <c r="W283" s="32" t="n">
        <v>11.48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Yes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Annuity, Lower One Time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IF(B284=0,"",RANK(B284,$B$2:$B$374,0))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TORNTPHARM</t>
        </is>
      </c>
      <c r="D284" s="31" t="inlineStr">
        <is>
          <t>Torrent Pharmaceuticals Limited</t>
        </is>
      </c>
      <c r="E284" s="31" t="inlineStr">
        <is>
          <t>healthcare</t>
        </is>
      </c>
      <c r="F284" s="31" t="inlineStr">
        <is>
          <t>pharmaceuticals - indian - formulations</t>
        </is>
      </c>
      <c r="G284" s="31" t="inlineStr">
        <is>
          <t>largecap</t>
        </is>
      </c>
      <c r="H284" s="32" t="n">
        <v>192085.77</v>
      </c>
      <c r="I284" s="32" t="n">
        <v>5066</v>
      </c>
      <c r="J284" s="32" t="n">
        <v>0.32</v>
      </c>
      <c r="K284" s="32" t="n">
        <v>650409</v>
      </c>
      <c r="L284" s="31" t="n">
        <v>54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66.3</v>
      </c>
      <c r="P284" s="32" t="n">
        <v>50.91</v>
      </c>
      <c r="Q284" s="32" t="inlineStr"/>
      <c r="R284" s="31" t="inlineStr">
        <is>
          <t>Earnings / Momentum Support</t>
        </is>
      </c>
      <c r="S284" s="31" t="inlineStr">
        <is>
          <t>Nifty Pharma</t>
        </is>
      </c>
      <c r="T284" s="32" t="n">
        <v>23.79</v>
      </c>
      <c r="U284" s="32" t="n">
        <v>43.12</v>
      </c>
      <c r="V284" s="32" t="n">
        <v>15.61</v>
      </c>
      <c r="W284" s="32" t="n">
        <v>10.55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Yes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Annuity, Lower One Time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Above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Between 0.7 to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IF(B285=0,"",RANK(B285,$B$2:$B$374,0))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WINDLAS</t>
        </is>
      </c>
      <c r="D285" s="33" t="inlineStr">
        <is>
          <t>Windlas Biotech Ltd</t>
        </is>
      </c>
      <c r="E285" s="31" t="inlineStr">
        <is>
          <t>healthcare</t>
        </is>
      </c>
      <c r="F285" s="31" t="inlineStr">
        <is>
          <t>pharmaceuticals - indian - formulations</t>
        </is>
      </c>
      <c r="G285" s="31" t="inlineStr">
        <is>
          <t>smallcap</t>
        </is>
      </c>
      <c r="H285" s="32" t="n">
        <v>2060.63</v>
      </c>
      <c r="I285" s="32" t="n">
        <v>994.2</v>
      </c>
      <c r="J285" s="32" t="n">
        <v>-0.44</v>
      </c>
      <c r="K285" s="32" t="n">
        <v>76645</v>
      </c>
      <c r="L285" s="31" t="n">
        <v>32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70.41</v>
      </c>
      <c r="P285" s="32" t="n">
        <v>25.21</v>
      </c>
      <c r="Q285" s="32" t="inlineStr"/>
      <c r="R285" s="31" t="inlineStr">
        <is>
          <t>Earnings / Momentum Support</t>
        </is>
      </c>
      <c r="S285" s="31" t="inlineStr">
        <is>
          <t>Nifty Pharma</t>
        </is>
      </c>
      <c r="T285" s="32" t="n">
        <v>23.79</v>
      </c>
      <c r="U285" s="32" t="n">
        <v>0.77</v>
      </c>
      <c r="V285" s="32" t="n">
        <v>-18.6</v>
      </c>
      <c r="W285" s="32" t="n">
        <v>5.34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Yes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Annuity, Lower One Time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IF(B286=0,"",RANK(B286,$B$2:$B$374,0))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SURAKSHA</t>
        </is>
      </c>
      <c r="D286" s="33" t="inlineStr">
        <is>
          <t>Suraksha Diagnostic Ltd</t>
        </is>
      </c>
      <c r="E286" s="31" t="inlineStr">
        <is>
          <t>healthcare</t>
        </is>
      </c>
      <c r="F286" s="31" t="inlineStr">
        <is>
          <t>healthcare</t>
        </is>
      </c>
      <c r="G286" s="31" t="inlineStr">
        <is>
          <t>smallcap</t>
        </is>
      </c>
      <c r="H286" s="32" t="n">
        <v>1771.79</v>
      </c>
      <c r="I286" s="32" t="n">
        <v>338.55</v>
      </c>
      <c r="J286" s="32" t="n">
        <v>-0.49</v>
      </c>
      <c r="K286" s="32" t="n">
        <v>138365</v>
      </c>
      <c r="L286" s="31" t="n">
        <v>40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69.14</v>
      </c>
      <c r="P286" s="32" t="n">
        <v>17.48</v>
      </c>
      <c r="Q286" s="32" t="inlineStr"/>
      <c r="R286" s="31" t="inlineStr">
        <is>
          <t>Earnings / Momentum Support</t>
        </is>
      </c>
      <c r="S286" s="31" t="inlineStr">
        <is>
          <t>Nifty Pharma</t>
        </is>
      </c>
      <c r="T286" s="32" t="n">
        <v>23.79</v>
      </c>
      <c r="U286" s="32" t="n">
        <v>14.05</v>
      </c>
      <c r="V286" s="32" t="n">
        <v>-7.87</v>
      </c>
      <c r="W286" s="32" t="n">
        <v>6.84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Yes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Annuity, Lower One Time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IF(B287=0,"",RANK(B287,$B$2:$B$374,0))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GLENMARK</t>
        </is>
      </c>
      <c r="D287" s="31" t="inlineStr">
        <is>
          <t>Glenmark Pharmaceuticals Limited</t>
        </is>
      </c>
      <c r="E287" s="31" t="inlineStr">
        <is>
          <t>healthcare</t>
        </is>
      </c>
      <c r="F287" s="31" t="inlineStr">
        <is>
          <t>pharmaceuticals - indian - bulk drugs &amp; formln</t>
        </is>
      </c>
      <c r="G287" s="31" t="inlineStr">
        <is>
          <t>largecap</t>
        </is>
      </c>
      <c r="H287" s="32" t="n">
        <v>70973.5</v>
      </c>
      <c r="I287" s="32" t="n">
        <v>2480</v>
      </c>
      <c r="J287" s="32" t="n">
        <v>-1.39</v>
      </c>
      <c r="K287" s="32" t="n">
        <v>911026</v>
      </c>
      <c r="L287" s="31" t="n">
        <v>45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69.66</v>
      </c>
      <c r="P287" s="32" t="n">
        <v>17.77</v>
      </c>
      <c r="Q287" s="32" t="inlineStr"/>
      <c r="R287" s="31" t="inlineStr">
        <is>
          <t>Earnings / Momentum Support</t>
        </is>
      </c>
      <c r="S287" s="31" t="inlineStr">
        <is>
          <t>Nifty Pharma</t>
        </is>
      </c>
      <c r="T287" s="32" t="n">
        <v>23.79</v>
      </c>
      <c r="U287" s="32" t="n">
        <v>31.04</v>
      </c>
      <c r="V287" s="32" t="n">
        <v>5.86</v>
      </c>
      <c r="W287" s="32" t="n">
        <v>7.75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Annuity, Lower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IF(B288=0,"",RANK(B288,$B$2:$B$374,0))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MANAKSTEEL</t>
        </is>
      </c>
      <c r="D288" s="33" t="inlineStr">
        <is>
          <t>Manaksia Steels Limited</t>
        </is>
      </c>
      <c r="E288" s="31" t="inlineStr">
        <is>
          <t>metals &amp; mining</t>
        </is>
      </c>
      <c r="F288" s="31" t="inlineStr">
        <is>
          <t>steel - medium / small</t>
        </is>
      </c>
      <c r="G288" s="31" t="inlineStr">
        <is>
          <t>smallcap</t>
        </is>
      </c>
      <c r="H288" s="32" t="n">
        <v>621.2</v>
      </c>
      <c r="I288" s="32" t="n">
        <v>99.52</v>
      </c>
      <c r="J288" s="32" t="n">
        <v>4.99</v>
      </c>
      <c r="K288" s="32" t="n">
        <v>80576</v>
      </c>
      <c r="L288" s="31" t="n">
        <v>36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71.40000000000001</v>
      </c>
      <c r="P288" s="32" t="n">
        <v>41.17</v>
      </c>
      <c r="Q288" s="32" t="inlineStr"/>
      <c r="R288" s="31" t="inlineStr">
        <is>
          <t>Earnings / Momentum Support</t>
        </is>
      </c>
      <c r="S288" s="31" t="inlineStr">
        <is>
          <t>Nifty Metal</t>
        </is>
      </c>
      <c r="T288" s="32" t="n">
        <v>31.49</v>
      </c>
      <c r="U288" s="32" t="n">
        <v>22.49</v>
      </c>
      <c r="V288" s="32" t="n">
        <v>-6.85</v>
      </c>
      <c r="W288" s="32" t="n">
        <v>6.01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Above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3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IF(B289=0,"",RANK(B289,$B$2:$B$374,0))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VSSL</t>
        </is>
      </c>
      <c r="D289" s="33" t="inlineStr">
        <is>
          <t>Vardhman Special Steels Limited</t>
        </is>
      </c>
      <c r="E289" s="31" t="inlineStr">
        <is>
          <t>metals &amp; mining</t>
        </is>
      </c>
      <c r="F289" s="31" t="inlineStr">
        <is>
          <t>steel - medium / small</t>
        </is>
      </c>
      <c r="G289" s="31" t="inlineStr">
        <is>
          <t>smallcap</t>
        </is>
      </c>
      <c r="H289" s="32" t="n">
        <v>3369.98</v>
      </c>
      <c r="I289" s="32" t="n">
        <v>356.15</v>
      </c>
      <c r="J289" s="32" t="n">
        <v>2.18</v>
      </c>
      <c r="K289" s="32" t="n">
        <v>88356</v>
      </c>
      <c r="L289" s="31" t="n">
        <v>40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74.75</v>
      </c>
      <c r="P289" s="32" t="n">
        <v>34.58</v>
      </c>
      <c r="Q289" s="32" t="inlineStr"/>
      <c r="R289" s="31" t="inlineStr">
        <is>
          <t>Earnings / Momentum Support</t>
        </is>
      </c>
      <c r="S289" s="31" t="inlineStr">
        <is>
          <t>Nifty Metal</t>
        </is>
      </c>
      <c r="T289" s="32" t="n">
        <v>31.49</v>
      </c>
      <c r="U289" s="32" t="n">
        <v>17.35</v>
      </c>
      <c r="V289" s="32" t="n">
        <v>-10.76</v>
      </c>
      <c r="W289" s="32" t="n">
        <v>6.81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IF(B290=0,"",RANK(B290,$B$2:$B$374,0))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BRIGADE</t>
        </is>
      </c>
      <c r="D290" s="33" t="inlineStr">
        <is>
          <t>Brigade Enterprises Limited</t>
        </is>
      </c>
      <c r="E290" s="31" t="inlineStr">
        <is>
          <t>realty</t>
        </is>
      </c>
      <c r="F290" s="31" t="inlineStr">
        <is>
          <t>construction</t>
        </is>
      </c>
      <c r="G290" s="31" t="inlineStr">
        <is>
          <t>largecap</t>
        </is>
      </c>
      <c r="H290" s="32" t="n">
        <v>20947.78</v>
      </c>
      <c r="I290" s="32" t="n">
        <v>655.85</v>
      </c>
      <c r="J290" s="32" t="n">
        <v>2.12</v>
      </c>
      <c r="K290" s="32" t="n">
        <v>345067</v>
      </c>
      <c r="L290" s="31" t="n">
        <v>1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61.72</v>
      </c>
      <c r="P290" s="32" t="n">
        <v>16.58</v>
      </c>
      <c r="Q290" s="32" t="inlineStr"/>
      <c r="R290" s="31" t="inlineStr">
        <is>
          <t>Earnings / Momentum Support</t>
        </is>
      </c>
      <c r="S290" s="31" t="inlineStr">
        <is>
          <t>Nifty Realty</t>
        </is>
      </c>
      <c r="T290" s="32" t="n">
        <v>-8.119999999999999</v>
      </c>
      <c r="U290" s="32" t="n">
        <v>-31.87</v>
      </c>
      <c r="V290" s="32" t="n">
        <v>-25.85</v>
      </c>
      <c r="W290" s="32" t="n">
        <v>-7.38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Between 0.7 to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IF(B291=0,"",RANK(B291,$B$2:$B$374,0))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EMIL</t>
        </is>
      </c>
      <c r="D291" s="31" t="inlineStr">
        <is>
          <t>Electronics Mart India Ltd</t>
        </is>
      </c>
      <c r="E291" s="31" t="inlineStr">
        <is>
          <t>consumer discretionary</t>
        </is>
      </c>
      <c r="F291" s="31" t="inlineStr">
        <is>
          <t>trading</t>
        </is>
      </c>
      <c r="G291" s="31" t="inlineStr">
        <is>
          <t>midcap</t>
        </is>
      </c>
      <c r="H291" s="32" t="n">
        <v>6823.52</v>
      </c>
      <c r="I291" s="32" t="n">
        <v>180.61</v>
      </c>
      <c r="J291" s="32" t="n">
        <v>1.84</v>
      </c>
      <c r="K291" s="32" t="n">
        <v>1214913</v>
      </c>
      <c r="L291" s="31" t="n">
        <v>79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69.72</v>
      </c>
      <c r="P291" s="32" t="n">
        <v>34.65</v>
      </c>
      <c r="Q291" s="32" t="inlineStr"/>
      <c r="R291" s="31" t="inlineStr">
        <is>
          <t>Earnings / Momentum Support</t>
        </is>
      </c>
      <c r="S291" s="31" t="inlineStr">
        <is>
          <t>Nifty 50</t>
        </is>
      </c>
      <c r="T291" s="32" t="n">
        <v>-1.03</v>
      </c>
      <c r="U291" s="32" t="n">
        <v>41.72</v>
      </c>
      <c r="V291" s="32" t="n">
        <v>43.19</v>
      </c>
      <c r="W291" s="32" t="n">
        <v>20.89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More than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IF(B292=0,"",RANK(B292,$B$2:$B$374,0))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TEJASNET</t>
        </is>
      </c>
      <c r="D292" s="33" t="inlineStr">
        <is>
          <t>Tejas Networks Ltd</t>
        </is>
      </c>
      <c r="E292" s="31" t="inlineStr">
        <is>
          <t>telecom</t>
        </is>
      </c>
      <c r="F292" s="31" t="inlineStr">
        <is>
          <t>telecommunications - equipment</t>
        </is>
      </c>
      <c r="G292" s="31" t="inlineStr">
        <is>
          <t>midcap</t>
        </is>
      </c>
      <c r="H292" s="32" t="n">
        <v>9791.24</v>
      </c>
      <c r="I292" s="32" t="n">
        <v>559.75</v>
      </c>
      <c r="J292" s="32" t="n">
        <v>1.75</v>
      </c>
      <c r="K292" s="32" t="n">
        <v>6707173</v>
      </c>
      <c r="L292" s="31" t="n">
        <v>15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54.6</v>
      </c>
      <c r="P292" s="32" t="n">
        <v>28.32</v>
      </c>
      <c r="Q292" s="32" t="inlineStr"/>
      <c r="R292" s="31" t="inlineStr">
        <is>
          <t>Earnings / Momentum Support</t>
        </is>
      </c>
      <c r="S292" s="31" t="inlineStr">
        <is>
          <t>Nifty 50</t>
        </is>
      </c>
      <c r="T292" s="32" t="n">
        <v>-1.03</v>
      </c>
      <c r="U292" s="32" t="n">
        <v>-5.72</v>
      </c>
      <c r="V292" s="32" t="n">
        <v>-4.74</v>
      </c>
      <c r="W292" s="32" t="n">
        <v>0.74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Oligopoly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More than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IF(B293=0,"",RANK(B293,$B$2:$B$374,0))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ABB</t>
        </is>
      </c>
      <c r="D293" s="31" t="inlineStr">
        <is>
          <t>Abb India Limited</t>
        </is>
      </c>
      <c r="E293" s="31" t="inlineStr">
        <is>
          <t>industrials</t>
        </is>
      </c>
      <c r="F293" s="31" t="inlineStr">
        <is>
          <t>electric equipment</t>
        </is>
      </c>
      <c r="G293" s="31" t="inlineStr">
        <is>
          <t>largecap</t>
        </is>
      </c>
      <c r="H293" s="32" t="n">
        <v>159122</v>
      </c>
      <c r="I293" s="32" t="n">
        <v>7638.5</v>
      </c>
      <c r="J293" s="32" t="n">
        <v>1.72</v>
      </c>
      <c r="K293" s="32" t="n">
        <v>227223</v>
      </c>
      <c r="L293" s="31" t="n">
        <v>53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61.25</v>
      </c>
      <c r="P293" s="32" t="n">
        <v>30.28</v>
      </c>
      <c r="Q293" s="32" t="inlineStr"/>
      <c r="R293" s="31" t="inlineStr">
        <is>
          <t>Earnings / Momentum Support</t>
        </is>
      </c>
      <c r="S293" s="31" t="inlineStr">
        <is>
          <t>Nifty 50</t>
        </is>
      </c>
      <c r="T293" s="32" t="n">
        <v>-1.03</v>
      </c>
      <c r="U293" s="32" t="n">
        <v>52.6</v>
      </c>
      <c r="V293" s="32" t="n">
        <v>54.19</v>
      </c>
      <c r="W293" s="32" t="n">
        <v>10.06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3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IF(B294=0,"",RANK(B294,$B$2:$B$374,0))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MMFL</t>
        </is>
      </c>
      <c r="D294" s="31" t="inlineStr">
        <is>
          <t>Mm Forgings Limited</t>
        </is>
      </c>
      <c r="E294" s="31" t="inlineStr">
        <is>
          <t>industrials</t>
        </is>
      </c>
      <c r="F294" s="31" t="inlineStr">
        <is>
          <t>castings &amp; forgings</t>
        </is>
      </c>
      <c r="G294" s="31" t="inlineStr">
        <is>
          <t>smallcap</t>
        </is>
      </c>
      <c r="H294" s="32" t="n">
        <v>3098.23</v>
      </c>
      <c r="I294" s="32" t="n">
        <v>650.1</v>
      </c>
      <c r="J294" s="32" t="n">
        <v>1.31</v>
      </c>
      <c r="K294" s="32" t="n">
        <v>140309</v>
      </c>
      <c r="L294" s="31" t="n">
        <v>87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71.81</v>
      </c>
      <c r="P294" s="32" t="n">
        <v>32.12</v>
      </c>
      <c r="Q294" s="32" t="inlineStr"/>
      <c r="R294" s="31" t="inlineStr">
        <is>
          <t>Earnings / Momentum Support</t>
        </is>
      </c>
      <c r="S294" s="31" t="inlineStr">
        <is>
          <t>Nifty 50</t>
        </is>
      </c>
      <c r="T294" s="32" t="n">
        <v>-1.03</v>
      </c>
      <c r="U294" s="32" t="n">
        <v>105.01</v>
      </c>
      <c r="V294" s="32" t="n">
        <v>107.14</v>
      </c>
      <c r="W294" s="32" t="n">
        <v>26.12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More than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IF(B295=0,"",RANK(B295,$B$2:$B$374,0))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MANGLMCEM</t>
        </is>
      </c>
      <c r="D295" s="31" t="inlineStr">
        <is>
          <t>Mangalam Cement Limited</t>
        </is>
      </c>
      <c r="E295" s="31" t="inlineStr">
        <is>
          <t>building materials</t>
        </is>
      </c>
      <c r="F295" s="31" t="inlineStr">
        <is>
          <t>cement - north india</t>
        </is>
      </c>
      <c r="G295" s="31" t="inlineStr">
        <is>
          <t>smallcap</t>
        </is>
      </c>
      <c r="H295" s="32" t="n">
        <v>2922.69</v>
      </c>
      <c r="I295" s="32" t="n">
        <v>1071.75</v>
      </c>
      <c r="J295" s="32" t="n">
        <v>0.83</v>
      </c>
      <c r="K295" s="32" t="n">
        <v>261791</v>
      </c>
      <c r="L295" s="31" t="n">
        <v>45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67.83</v>
      </c>
      <c r="P295" s="32" t="n">
        <v>26.61</v>
      </c>
      <c r="Q295" s="32" t="inlineStr"/>
      <c r="R295" s="31" t="inlineStr">
        <is>
          <t>Earnings / Momentum Support</t>
        </is>
      </c>
      <c r="S295" s="31" t="inlineStr">
        <is>
          <t>Nifty Infra</t>
        </is>
      </c>
      <c r="T295" s="32" t="n">
        <v>1.74</v>
      </c>
      <c r="U295" s="32" t="n">
        <v>34.75</v>
      </c>
      <c r="V295" s="32" t="n">
        <v>32.45</v>
      </c>
      <c r="W295" s="32" t="n">
        <v>7.96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IF(B296=0,"",RANK(B296,$B$2:$B$374,0))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SAMBHV</t>
        </is>
      </c>
      <c r="D296" s="33" t="inlineStr">
        <is>
          <t>Sambhv Steel Tubes Ltd</t>
        </is>
      </c>
      <c r="E296" s="31" t="inlineStr">
        <is>
          <t>metals &amp; mining</t>
        </is>
      </c>
      <c r="F296" s="31" t="inlineStr">
        <is>
          <t>steel - medium / small</t>
        </is>
      </c>
      <c r="G296" s="31" t="inlineStr">
        <is>
          <t>smallcap</t>
        </is>
      </c>
      <c r="H296" s="32" t="n">
        <v>3754.41</v>
      </c>
      <c r="I296" s="32" t="n">
        <v>127.91</v>
      </c>
      <c r="J296" s="32" t="n">
        <v>0.39</v>
      </c>
      <c r="K296" s="32" t="n">
        <v>2152304</v>
      </c>
      <c r="L296" s="31" t="n">
        <v>10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64.45999999999999</v>
      </c>
      <c r="P296" s="32" t="n">
        <v>31.11</v>
      </c>
      <c r="Q296" s="32" t="inlineStr"/>
      <c r="R296" s="31" t="inlineStr">
        <is>
          <t>Earnings / Momentum Support</t>
        </is>
      </c>
      <c r="S296" s="31" t="inlineStr">
        <is>
          <t>Nifty Metal</t>
        </is>
      </c>
      <c r="T296" s="32" t="n">
        <v>31.49</v>
      </c>
      <c r="U296" s="32" t="n">
        <v>-6.1</v>
      </c>
      <c r="V296" s="32" t="n">
        <v>-28.59</v>
      </c>
      <c r="W296" s="32" t="n">
        <v>-0.51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Cyclical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Volatile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IF(B297=0,"",RANK(B297,$B$2:$B$374,0))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QPOWER</t>
        </is>
      </c>
      <c r="D297" s="31" t="inlineStr">
        <is>
          <t>Quality Power Electrical Equipments Ltd</t>
        </is>
      </c>
      <c r="E297" s="31" t="inlineStr">
        <is>
          <t>industrials</t>
        </is>
      </c>
      <c r="F297" s="31" t="inlineStr">
        <is>
          <t>electric equipment</t>
        </is>
      </c>
      <c r="G297" s="31" t="inlineStr">
        <is>
          <t>midcap</t>
        </is>
      </c>
      <c r="H297" s="32" t="n">
        <v>11083.8</v>
      </c>
      <c r="I297" s="32" t="n">
        <v>1435.8</v>
      </c>
      <c r="J297" s="32" t="n">
        <v>0.32</v>
      </c>
      <c r="K297" s="32" t="n">
        <v>599422</v>
      </c>
      <c r="L297" s="31" t="n">
        <v>78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65.66</v>
      </c>
      <c r="P297" s="32" t="n">
        <v>16.25</v>
      </c>
      <c r="Q297" s="32" t="inlineStr"/>
      <c r="R297" s="31" t="inlineStr">
        <is>
          <t>Earnings / Momentum Support</t>
        </is>
      </c>
      <c r="S297" s="31" t="inlineStr">
        <is>
          <t>Nifty 50</t>
        </is>
      </c>
      <c r="T297" s="32" t="n">
        <v>-1.03</v>
      </c>
      <c r="U297" s="32" t="n">
        <v>82.75</v>
      </c>
      <c r="V297" s="32" t="n">
        <v>84.65000000000001</v>
      </c>
      <c r="W297" s="32" t="n">
        <v>20.71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Between 1.5 to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IF(B298=0,"",RANK(B298,$B$2:$B$374,0))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PRINCEPIPE</t>
        </is>
      </c>
      <c r="D298" s="33" t="inlineStr">
        <is>
          <t>Prince Pipes &amp; Fittings Ltd</t>
        </is>
      </c>
      <c r="E298" s="31" t="inlineStr">
        <is>
          <t>plastic products</t>
        </is>
      </c>
      <c r="F298" s="31" t="inlineStr">
        <is>
          <t>plastics products</t>
        </is>
      </c>
      <c r="G298" s="31" t="inlineStr">
        <is>
          <t>smallcap</t>
        </is>
      </c>
      <c r="H298" s="32" t="n">
        <v>3244.41</v>
      </c>
      <c r="I298" s="32" t="n">
        <v>294.1</v>
      </c>
      <c r="J298" s="32" t="n">
        <v>0.22</v>
      </c>
      <c r="K298" s="32" t="n">
        <v>193298</v>
      </c>
      <c r="L298" s="31" t="n">
        <v>5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61.37</v>
      </c>
      <c r="P298" s="32" t="n">
        <v>19.67</v>
      </c>
      <c r="Q298" s="32" t="inlineStr"/>
      <c r="R298" s="31" t="inlineStr">
        <is>
          <t>Earnings / Momentum Support</t>
        </is>
      </c>
      <c r="S298" s="31" t="inlineStr">
        <is>
          <t>Nifty Infra</t>
        </is>
      </c>
      <c r="T298" s="32" t="n">
        <v>1.74</v>
      </c>
      <c r="U298" s="32" t="n">
        <v>-22.57</v>
      </c>
      <c r="V298" s="32" t="n">
        <v>-23.9</v>
      </c>
      <c r="W298" s="32" t="n">
        <v>-3.14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IF(B299=0,"",RANK(B299,$B$2:$B$374,0))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FINEORG</t>
        </is>
      </c>
      <c r="D299" s="31" t="inlineStr">
        <is>
          <t>Fine Organic Industries Ltd</t>
        </is>
      </c>
      <c r="E299" s="31" t="inlineStr">
        <is>
          <t>chemicals</t>
        </is>
      </c>
      <c r="F299" s="31" t="inlineStr">
        <is>
          <t>chemicals</t>
        </is>
      </c>
      <c r="G299" s="31" t="inlineStr">
        <is>
          <t>midcap</t>
        </is>
      </c>
      <c r="H299" s="32" t="n">
        <v>16196.13</v>
      </c>
      <c r="I299" s="32" t="n">
        <v>5282.8</v>
      </c>
      <c r="J299" s="32" t="n">
        <v>0.01</v>
      </c>
      <c r="K299" s="32" t="n">
        <v>47274</v>
      </c>
      <c r="L299" s="31" t="n">
        <v>33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62.81</v>
      </c>
      <c r="P299" s="32" t="n">
        <v>14.15</v>
      </c>
      <c r="Q299" s="32" t="inlineStr"/>
      <c r="R299" s="31" t="inlineStr">
        <is>
          <t>Earnings / Momentum Support</t>
        </is>
      </c>
      <c r="S299" s="31" t="inlineStr">
        <is>
          <t>Nifty IT</t>
        </is>
      </c>
      <c r="T299" s="32" t="n">
        <v>-11.08</v>
      </c>
      <c r="U299" s="32" t="n">
        <v>12.79</v>
      </c>
      <c r="V299" s="32" t="n">
        <v>26.85</v>
      </c>
      <c r="W299" s="32" t="n">
        <v>5.57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Between 12 to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IF(B300=0,"",RANK(B300,$B$2:$B$374,0))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SHYAMMETL</t>
        </is>
      </c>
      <c r="D300" s="33" t="inlineStr">
        <is>
          <t>Shyam Metalics &amp; Energy Ltd</t>
        </is>
      </c>
      <c r="E300" s="31" t="inlineStr">
        <is>
          <t>metals &amp; mining</t>
        </is>
      </c>
      <c r="F300" s="31" t="inlineStr">
        <is>
          <t>steel - large</t>
        </is>
      </c>
      <c r="G300" s="31" t="inlineStr">
        <is>
          <t>largecap</t>
        </is>
      </c>
      <c r="H300" s="32" t="n">
        <v>30698.92</v>
      </c>
      <c r="I300" s="32" t="n">
        <v>1093.5</v>
      </c>
      <c r="J300" s="32" t="n">
        <v>-0.57</v>
      </c>
      <c r="K300" s="32" t="n">
        <v>482400</v>
      </c>
      <c r="L300" s="31" t="n">
        <v>38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69.65000000000001</v>
      </c>
      <c r="P300" s="32" t="n">
        <v>25.05</v>
      </c>
      <c r="Q300" s="32" t="inlineStr"/>
      <c r="R300" s="31" t="inlineStr">
        <is>
          <t>Earnings / Momentum Support</t>
        </is>
      </c>
      <c r="S300" s="31" t="inlineStr">
        <is>
          <t>Nifty Metal</t>
        </is>
      </c>
      <c r="T300" s="32" t="n">
        <v>31.49</v>
      </c>
      <c r="U300" s="32" t="n">
        <v>12.72</v>
      </c>
      <c r="V300" s="32" t="n">
        <v>-14.28</v>
      </c>
      <c r="W300" s="32" t="n">
        <v>6.54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Cyclical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Volatile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IF(B301=0,"",RANK(B301,$B$2:$B$374,0))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RKFORGE</t>
        </is>
      </c>
      <c r="D301" s="31" t="inlineStr">
        <is>
          <t>Ramkrishna Forgings Limited</t>
        </is>
      </c>
      <c r="E301" s="31" t="inlineStr">
        <is>
          <t>industrials</t>
        </is>
      </c>
      <c r="F301" s="31" t="inlineStr">
        <is>
          <t>castings &amp; forgings</t>
        </is>
      </c>
      <c r="G301" s="31" t="inlineStr">
        <is>
          <t>midcap</t>
        </is>
      </c>
      <c r="H301" s="32" t="n">
        <v>13685.52</v>
      </c>
      <c r="I301" s="32" t="n">
        <v>743.6</v>
      </c>
      <c r="J301" s="32" t="n">
        <v>-1.02</v>
      </c>
      <c r="K301" s="32" t="n">
        <v>1105931</v>
      </c>
      <c r="L301" s="31" t="n">
        <v>61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74.09</v>
      </c>
      <c r="P301" s="32" t="n">
        <v>20.04</v>
      </c>
      <c r="Q301" s="32" t="inlineStr"/>
      <c r="R301" s="31" t="inlineStr">
        <is>
          <t>Earnings / Momentum Support</t>
        </is>
      </c>
      <c r="S301" s="31" t="inlineStr">
        <is>
          <t>Nifty 50</t>
        </is>
      </c>
      <c r="T301" s="32" t="n">
        <v>-1.03</v>
      </c>
      <c r="U301" s="32" t="n">
        <v>32.81</v>
      </c>
      <c r="V301" s="32" t="n">
        <v>34.19</v>
      </c>
      <c r="W301" s="32" t="n">
        <v>13.1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Between 0.7 to 1.2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IF(B302=0,"",RANK(B302,$B$2:$B$374,0))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ALEMBICLTD</t>
        </is>
      </c>
      <c r="D302" s="33" t="inlineStr">
        <is>
          <t>Alembic Limited</t>
        </is>
      </c>
      <c r="E302" s="31" t="inlineStr">
        <is>
          <t>realty</t>
        </is>
      </c>
      <c r="F302" s="31" t="inlineStr">
        <is>
          <t>construction</t>
        </is>
      </c>
      <c r="G302" s="31" t="inlineStr">
        <is>
          <t>smallcap</t>
        </is>
      </c>
      <c r="H302" s="32" t="n">
        <v>2568.85</v>
      </c>
      <c r="I302" s="32" t="n">
        <v>98.73999999999999</v>
      </c>
      <c r="J302" s="32" t="n">
        <v>-1.3</v>
      </c>
      <c r="K302" s="32" t="n">
        <v>925255</v>
      </c>
      <c r="L302" s="31" t="n">
        <v>3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64.15000000000001</v>
      </c>
      <c r="P302" s="32" t="n">
        <v>12.63</v>
      </c>
      <c r="Q302" s="32" t="inlineStr"/>
      <c r="R302" s="31" t="inlineStr">
        <is>
          <t>Earnings / Momentum Support</t>
        </is>
      </c>
      <c r="S302" s="31" t="inlineStr">
        <is>
          <t>Nifty Realty</t>
        </is>
      </c>
      <c r="T302" s="32" t="n">
        <v>-8.119999999999999</v>
      </c>
      <c r="U302" s="32" t="n">
        <v>-23.78</v>
      </c>
      <c r="V302" s="32" t="n">
        <v>-17.04</v>
      </c>
      <c r="W302" s="32" t="n">
        <v>-5.83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Less than 1.5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IF(B303=0,"",RANK(B303,$B$2:$B$374,0))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PITTIENG</t>
        </is>
      </c>
      <c r="D303" s="31" t="inlineStr">
        <is>
          <t>Pitti Engineering Ltd</t>
        </is>
      </c>
      <c r="E303" s="31" t="inlineStr">
        <is>
          <t>industrials</t>
        </is>
      </c>
      <c r="F303" s="31" t="inlineStr">
        <is>
          <t>engineering</t>
        </is>
      </c>
      <c r="G303" s="31" t="inlineStr">
        <is>
          <t>smallcap</t>
        </is>
      </c>
      <c r="H303" s="32" t="n">
        <v>4221.72</v>
      </c>
      <c r="I303" s="32" t="n">
        <v>1106.35</v>
      </c>
      <c r="J303" s="32" t="n">
        <v>-1.32</v>
      </c>
      <c r="K303" s="32" t="n">
        <v>118983</v>
      </c>
      <c r="L303" s="31" t="n">
        <v>47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68.17</v>
      </c>
      <c r="P303" s="32" t="n">
        <v>14.45</v>
      </c>
      <c r="Q303" s="32" t="inlineStr"/>
      <c r="R303" s="31" t="inlineStr">
        <is>
          <t>Earnings / Momentum Support</t>
        </is>
      </c>
      <c r="S303" s="31" t="inlineStr">
        <is>
          <t>Nifty 50</t>
        </is>
      </c>
      <c r="T303" s="32" t="n">
        <v>-1.03</v>
      </c>
      <c r="U303" s="32" t="n">
        <v>21.13</v>
      </c>
      <c r="V303" s="32" t="n">
        <v>22.39</v>
      </c>
      <c r="W303" s="32" t="n">
        <v>8.25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Less than 1.5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Between 0.7 to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IF(B304=0,"",RANK(B304,$B$2:$B$374,0))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BEML</t>
        </is>
      </c>
      <c r="D304" s="31" t="inlineStr">
        <is>
          <t>Beml Limited</t>
        </is>
      </c>
      <c r="E304" s="31" t="inlineStr">
        <is>
          <t>aerospace &amp; defence</t>
        </is>
      </c>
      <c r="F304" s="31" t="inlineStr">
        <is>
          <t>engineering</t>
        </is>
      </c>
      <c r="G304" s="31" t="inlineStr">
        <is>
          <t>midcap</t>
        </is>
      </c>
      <c r="H304" s="32" t="n">
        <v>16532.03</v>
      </c>
      <c r="I304" s="32" t="n">
        <v>1936.1</v>
      </c>
      <c r="J304" s="32" t="n">
        <v>-2.46</v>
      </c>
      <c r="K304" s="32" t="n">
        <v>309387</v>
      </c>
      <c r="L304" s="31" t="n">
        <v>26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61.34</v>
      </c>
      <c r="P304" s="32" t="n">
        <v>13.54</v>
      </c>
      <c r="Q304" s="32" t="inlineStr"/>
      <c r="R304" s="31" t="inlineStr">
        <is>
          <t>Earnings / Momentum Support</t>
        </is>
      </c>
      <c r="S304" s="31" t="inlineStr">
        <is>
          <t>Nifty 50</t>
        </is>
      </c>
      <c r="T304" s="32" t="n">
        <v>-1.03</v>
      </c>
      <c r="U304" s="32" t="n">
        <v>3.71</v>
      </c>
      <c r="V304" s="32" t="n">
        <v>4.79</v>
      </c>
      <c r="W304" s="32" t="n">
        <v>4.12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IF(B305=0,"",RANK(B305,$B$2:$B$374,0))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MMP</t>
        </is>
      </c>
      <c r="D305" s="33" t="inlineStr">
        <is>
          <t>MMP Industries Ltd</t>
        </is>
      </c>
      <c r="E305" s="31" t="inlineStr">
        <is>
          <t>metals &amp; mining</t>
        </is>
      </c>
      <c r="F305" s="31" t="inlineStr">
        <is>
          <t>aluminium and aluminium products</t>
        </is>
      </c>
      <c r="G305" s="31" t="inlineStr">
        <is>
          <t>smallcap</t>
        </is>
      </c>
      <c r="H305" s="32" t="n">
        <v>765.16</v>
      </c>
      <c r="I305" s="32" t="n">
        <v>393.45</v>
      </c>
      <c r="J305" s="32" t="n">
        <v>-2.71</v>
      </c>
      <c r="K305" s="32" t="n">
        <v>162115</v>
      </c>
      <c r="L305" s="31" t="n">
        <v>19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79.26000000000001</v>
      </c>
      <c r="P305" s="32" t="n">
        <v>46.61</v>
      </c>
      <c r="Q305" s="32" t="inlineStr"/>
      <c r="R305" s="31" t="inlineStr">
        <is>
          <t>Earnings / Momentum Support</t>
        </is>
      </c>
      <c r="S305" s="31" t="inlineStr">
        <is>
          <t>Nifty Metal</t>
        </is>
      </c>
      <c r="T305" s="32" t="n">
        <v>31.49</v>
      </c>
      <c r="U305" s="32" t="n">
        <v>-1.03</v>
      </c>
      <c r="V305" s="32" t="n">
        <v>-24.73</v>
      </c>
      <c r="W305" s="32" t="n">
        <v>2.09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Above 40</t>
        </is>
      </c>
      <c r="AY305" s="31">
        <f>IF(AX305="Above 40",20,IF(AX305="20 to 40",10,IF(AX305="0 to 20",-5,0)))</f>
        <v/>
      </c>
      <c r="AZ305" s="31" t="inlineStr">
        <is>
          <t>Above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IF(B306=0,"",RANK(B306,$B$2:$B$374,0))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RBA</t>
        </is>
      </c>
      <c r="D306" s="31" t="inlineStr">
        <is>
          <t>Restaurant Brands Asia Ltd</t>
        </is>
      </c>
      <c r="E306" s="31" t="inlineStr">
        <is>
          <t>consumer discretionary</t>
        </is>
      </c>
      <c r="F306" s="31" t="inlineStr">
        <is>
          <t>hotels</t>
        </is>
      </c>
      <c r="G306" s="31" t="inlineStr">
        <is>
          <t>midcap</t>
        </is>
      </c>
      <c r="H306" s="32" t="n">
        <v>7186.23</v>
      </c>
      <c r="I306" s="32" t="n">
        <v>98.09999999999999</v>
      </c>
      <c r="J306" s="32" t="n">
        <v>-2.84</v>
      </c>
      <c r="K306" s="32" t="n">
        <v>3876506</v>
      </c>
      <c r="L306" s="31" t="n">
        <v>70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73.06999999999999</v>
      </c>
      <c r="P306" s="32" t="n">
        <v>38.54</v>
      </c>
      <c r="Q306" s="32" t="inlineStr"/>
      <c r="R306" s="31" t="inlineStr">
        <is>
          <t>Earnings / Momentum Support</t>
        </is>
      </c>
      <c r="S306" s="31" t="inlineStr">
        <is>
          <t>Nifty 50</t>
        </is>
      </c>
      <c r="T306" s="32" t="n">
        <v>-1.03</v>
      </c>
      <c r="U306" s="32" t="n">
        <v>26.35</v>
      </c>
      <c r="V306" s="32" t="n">
        <v>27.67</v>
      </c>
      <c r="W306" s="32" t="n">
        <v>16.43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More than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IF(B307=0,"",RANK(B307,$B$2:$B$374,0))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CYIENT</t>
        </is>
      </c>
      <c r="D307" s="31" t="inlineStr">
        <is>
          <t>Cyient Limited</t>
        </is>
      </c>
      <c r="E307" s="31" t="inlineStr">
        <is>
          <t>i.t</t>
        </is>
      </c>
      <c r="F307" s="31" t="inlineStr">
        <is>
          <t>computers - software - medium / small</t>
        </is>
      </c>
      <c r="G307" s="31" t="inlineStr">
        <is>
          <t>midcap</t>
        </is>
      </c>
      <c r="H307" s="32" t="n">
        <v>11599.63</v>
      </c>
      <c r="I307" s="32" t="n">
        <v>1174.8</v>
      </c>
      <c r="J307" s="32" t="n">
        <v>6.08</v>
      </c>
      <c r="K307" s="32" t="n">
        <v>2546454</v>
      </c>
      <c r="L307" s="31" t="n">
        <v>27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67.81</v>
      </c>
      <c r="P307" s="32" t="n">
        <v>12.16</v>
      </c>
      <c r="Q307" s="32" t="inlineStr"/>
      <c r="R307" s="31" t="inlineStr">
        <is>
          <t>Earnings / Momentum Support</t>
        </is>
      </c>
      <c r="S307" s="31" t="inlineStr">
        <is>
          <t>Nifty IT</t>
        </is>
      </c>
      <c r="T307" s="32" t="n">
        <v>-11.08</v>
      </c>
      <c r="U307" s="32" t="n">
        <v>-3.92</v>
      </c>
      <c r="V307" s="32" t="n">
        <v>8.06</v>
      </c>
      <c r="W307" s="32" t="n">
        <v>4.41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Annuity, Lower One Time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IF(B308=0,"",RANK(B308,$B$2:$B$374,0))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3" t="inlineStr">
        <is>
          <t>BAJAJHIND</t>
        </is>
      </c>
      <c r="D308" s="33" t="inlineStr">
        <is>
          <t>Bajaj Hindusthan Sugar Limited</t>
        </is>
      </c>
      <c r="E308" s="31" t="inlineStr">
        <is>
          <t>fmcg</t>
        </is>
      </c>
      <c r="F308" s="31" t="inlineStr">
        <is>
          <t>sugar</t>
        </is>
      </c>
      <c r="G308" s="31" t="inlineStr">
        <is>
          <t>midcap</t>
        </is>
      </c>
      <c r="H308" s="32" t="n">
        <v>5180.57</v>
      </c>
      <c r="I308" s="32" t="n">
        <v>22.47</v>
      </c>
      <c r="J308" s="32" t="n">
        <v>3.69</v>
      </c>
      <c r="K308" s="32" t="n">
        <v>112387038</v>
      </c>
      <c r="L308" s="31" t="n">
        <v>1</v>
      </c>
      <c r="M308" s="31" t="inlineStr">
        <is>
          <t>Underperforming</t>
        </is>
      </c>
      <c r="N308" s="32">
        <f>IF(M308="Underperforming",-5,IF(L308&gt;=95,15,IF(L308&gt;=90,10,IF(L308&gt;=80,5,0))))</f>
        <v/>
      </c>
      <c r="O308" s="32" t="n">
        <v>61.57</v>
      </c>
      <c r="P308" s="32" t="n">
        <v>17.6</v>
      </c>
      <c r="Q308" s="32" t="inlineStr"/>
      <c r="R308" s="31" t="inlineStr">
        <is>
          <t>Earnings / Momentum Support</t>
        </is>
      </c>
      <c r="S308" s="31" t="inlineStr">
        <is>
          <t>Nifty FMCG</t>
        </is>
      </c>
      <c r="T308" s="32" t="n">
        <v>-13.73</v>
      </c>
      <c r="U308" s="32" t="n">
        <v>-34.37</v>
      </c>
      <c r="V308" s="32" t="n">
        <v>-23.92</v>
      </c>
      <c r="W308" s="32" t="n">
        <v>-9.02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B2C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Annuity, Lower One Time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Between 0.7 to 1.2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IF(B309=0,"",RANK(B309,$B$2:$B$374,0))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APLLTD</t>
        </is>
      </c>
      <c r="D309" s="33" t="inlineStr">
        <is>
          <t>Alembic Pharmaceuticals Limited</t>
        </is>
      </c>
      <c r="E309" s="31" t="inlineStr">
        <is>
          <t>healthcare</t>
        </is>
      </c>
      <c r="F309" s="31" t="inlineStr">
        <is>
          <t>pharmaceuticals - indian - bulk drugs &amp; formln</t>
        </is>
      </c>
      <c r="G309" s="31" t="inlineStr">
        <is>
          <t>midcap</t>
        </is>
      </c>
      <c r="H309" s="32" t="n">
        <v>15989.43</v>
      </c>
      <c r="I309" s="32" t="n">
        <v>834.9</v>
      </c>
      <c r="J309" s="32" t="n">
        <v>2.64</v>
      </c>
      <c r="K309" s="32" t="n">
        <v>139739</v>
      </c>
      <c r="L309" s="31" t="n">
        <v>13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55.61</v>
      </c>
      <c r="P309" s="32" t="n">
        <v>16.86</v>
      </c>
      <c r="Q309" s="32" t="inlineStr"/>
      <c r="R309" s="31" t="inlineStr">
        <is>
          <t>Earnings / Momentum Support</t>
        </is>
      </c>
      <c r="S309" s="31" t="inlineStr">
        <is>
          <t>Nifty Pharma</t>
        </is>
      </c>
      <c r="T309" s="32" t="n">
        <v>23.79</v>
      </c>
      <c r="U309" s="32" t="n">
        <v>-11.89</v>
      </c>
      <c r="V309" s="32" t="n">
        <v>-28.82</v>
      </c>
      <c r="W309" s="32" t="n">
        <v>0.6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Yes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Annuity, Lower One Time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3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Between 12 to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Between 1.5 to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IF(B310=0,"",RANK(B310,$B$2:$B$374,0))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MEDANTA</t>
        </is>
      </c>
      <c r="D310" s="33" t="inlineStr">
        <is>
          <t>Global Health Ltd</t>
        </is>
      </c>
      <c r="E310" s="31" t="inlineStr">
        <is>
          <t>healthcare</t>
        </is>
      </c>
      <c r="F310" s="31" t="inlineStr">
        <is>
          <t>healthcare</t>
        </is>
      </c>
      <c r="G310" s="31" t="inlineStr">
        <is>
          <t>largecap</t>
        </is>
      </c>
      <c r="H310" s="32" t="n">
        <v>39583.3</v>
      </c>
      <c r="I310" s="32" t="n">
        <v>1479.7</v>
      </c>
      <c r="J310" s="32" t="n">
        <v>0.51</v>
      </c>
      <c r="K310" s="32" t="n">
        <v>246468</v>
      </c>
      <c r="L310" s="31" t="n">
        <v>40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69.68000000000001</v>
      </c>
      <c r="P310" s="32" t="n">
        <v>28.98</v>
      </c>
      <c r="Q310" s="32" t="inlineStr"/>
      <c r="R310" s="31" t="inlineStr">
        <is>
          <t>Earnings / Momentum Support</t>
        </is>
      </c>
      <c r="S310" s="31" t="inlineStr">
        <is>
          <t>Nifty Pharma</t>
        </is>
      </c>
      <c r="T310" s="32" t="n">
        <v>23.79</v>
      </c>
      <c r="U310" s="32" t="n">
        <v>7.19</v>
      </c>
      <c r="V310" s="32" t="n">
        <v>-13.42</v>
      </c>
      <c r="W310" s="32" t="n">
        <v>6.84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Yes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Annuity, Lower One Time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3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IF(B311=0,"",RANK(B311,$B$2:$B$374,0))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MANALIPETC</t>
        </is>
      </c>
      <c r="D311" s="33" t="inlineStr">
        <is>
          <t>Manali Petrochemicals Limited</t>
        </is>
      </c>
      <c r="E311" s="31" t="inlineStr">
        <is>
          <t>energy</t>
        </is>
      </c>
      <c r="F311" s="31" t="inlineStr">
        <is>
          <t>petrochemicals</t>
        </is>
      </c>
      <c r="G311" s="31" t="inlineStr">
        <is>
          <t>smallcap</t>
        </is>
      </c>
      <c r="H311" s="32" t="n">
        <v>1261.79</v>
      </c>
      <c r="I311" s="32" t="n">
        <v>81.75</v>
      </c>
      <c r="J311" s="32" t="n">
        <v>11.44</v>
      </c>
      <c r="K311" s="32" t="n">
        <v>73402171</v>
      </c>
      <c r="L311" s="31" t="n">
        <v>7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66.09999999999999</v>
      </c>
      <c r="P311" s="32" t="n">
        <v>37.7</v>
      </c>
      <c r="Q311" s="32" t="inlineStr"/>
      <c r="R311" s="31" t="inlineStr">
        <is>
          <t>Volume Spike / Accumulation</t>
        </is>
      </c>
      <c r="S311" s="31" t="inlineStr">
        <is>
          <t>Nifty Energy</t>
        </is>
      </c>
      <c r="T311" s="32" t="n">
        <v>8.41</v>
      </c>
      <c r="U311" s="32" t="n">
        <v>-21.51</v>
      </c>
      <c r="V311" s="32" t="n">
        <v>-27.6</v>
      </c>
      <c r="W311" s="32" t="n">
        <v>-1.78</v>
      </c>
      <c r="X311" s="31" t="inlineStr">
        <is>
          <t>Cyclical in an Upturn</t>
        </is>
      </c>
      <c r="Y311" s="31">
        <f>IF(X311="Growing Industry",10,IF(X311="Cyclical in an Upturn",5,0))</f>
        <v/>
      </c>
      <c r="Z311" s="31" t="inlineStr">
        <is>
          <t>Oligopoly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Yes</t>
        </is>
      </c>
      <c r="AC311" s="31">
        <f>IF(AB311="No",5,0)</f>
        <v/>
      </c>
      <c r="AD311" s="31" t="inlineStr">
        <is>
          <t>Headwind</t>
        </is>
      </c>
      <c r="AE311" s="31">
        <f>IF(AD311="Tailwind",10,0)</f>
        <v/>
      </c>
      <c r="AF311" s="31" t="inlineStr">
        <is>
          <t>Cyclical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Volatile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20 to 40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3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IF(B312=0,"",RANK(B312,$B$2:$B$374,0))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TNPETRO</t>
        </is>
      </c>
      <c r="D312" s="33" t="inlineStr">
        <is>
          <t>Tamilnadu Petroproducts Limited</t>
        </is>
      </c>
      <c r="E312" s="31" t="inlineStr">
        <is>
          <t>energy</t>
        </is>
      </c>
      <c r="F312" s="31" t="inlineStr">
        <is>
          <t>petrochemicals</t>
        </is>
      </c>
      <c r="G312" s="31" t="inlineStr">
        <is>
          <t>smallcap</t>
        </is>
      </c>
      <c r="H312" s="32" t="n">
        <v>1002.01</v>
      </c>
      <c r="I312" s="32" t="n">
        <v>120.77</v>
      </c>
      <c r="J312" s="32" t="n">
        <v>8.44</v>
      </c>
      <c r="K312" s="32" t="n">
        <v>21800591</v>
      </c>
      <c r="L312" s="31" t="n">
        <v>6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66.89</v>
      </c>
      <c r="P312" s="32" t="n">
        <v>31.15</v>
      </c>
      <c r="Q312" s="32" t="inlineStr"/>
      <c r="R312" s="31" t="inlineStr">
        <is>
          <t>Volume Spike / Accumulation</t>
        </is>
      </c>
      <c r="S312" s="31" t="inlineStr">
        <is>
          <t>Nifty Energy</t>
        </is>
      </c>
      <c r="T312" s="32" t="n">
        <v>8.41</v>
      </c>
      <c r="U312" s="32" t="n">
        <v>-12.81</v>
      </c>
      <c r="V312" s="32" t="n">
        <v>-19.57</v>
      </c>
      <c r="W312" s="32" t="n">
        <v>-1.91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Oligopoly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Yes</t>
        </is>
      </c>
      <c r="AC312" s="31">
        <f>IF(AB312="No",5,0)</f>
        <v/>
      </c>
      <c r="AD312" s="31" t="inlineStr">
        <is>
          <t>Headwind</t>
        </is>
      </c>
      <c r="AE312" s="31">
        <f>IF(AD312="Tailwind",10,0)</f>
        <v/>
      </c>
      <c r="AF312" s="31" t="inlineStr">
        <is>
          <t>Cyclical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3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IF(B313=0,"",RANK(B313,$B$2:$B$374,0))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GAEL</t>
        </is>
      </c>
      <c r="D313" s="31" t="inlineStr">
        <is>
          <t>Gujarat Ambuja Exports Limited</t>
        </is>
      </c>
      <c r="E313" s="31" t="inlineStr">
        <is>
          <t>fmcg</t>
        </is>
      </c>
      <c r="F313" s="31" t="inlineStr">
        <is>
          <t>miscellaneous</t>
        </is>
      </c>
      <c r="G313" s="31" t="inlineStr">
        <is>
          <t>midcap</t>
        </is>
      </c>
      <c r="H313" s="32" t="n">
        <v>7658.88</v>
      </c>
      <c r="I313" s="32" t="n">
        <v>176.92</v>
      </c>
      <c r="J313" s="32" t="n">
        <v>5.95</v>
      </c>
      <c r="K313" s="32" t="n">
        <v>2235760</v>
      </c>
      <c r="L313" s="31" t="n">
        <v>34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57.63</v>
      </c>
      <c r="P313" s="32" t="n">
        <v>33.94</v>
      </c>
      <c r="Q313" s="32" t="inlineStr"/>
      <c r="R313" s="31" t="inlineStr">
        <is>
          <t>Earnings / Momentum Support</t>
        </is>
      </c>
      <c r="S313" s="31" t="inlineStr">
        <is>
          <t>Nifty FMCG</t>
        </is>
      </c>
      <c r="T313" s="32" t="n">
        <v>-13.73</v>
      </c>
      <c r="U313" s="32" t="n">
        <v>30.8</v>
      </c>
      <c r="V313" s="32" t="n">
        <v>51.62</v>
      </c>
      <c r="W313" s="32" t="n">
        <v>5.8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Oligopoly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Shallow Cyclical (2 to 3 Years Growth)</t>
        </is>
      </c>
      <c r="AG313" s="31">
        <f>IF(AF313="Structural (10 Years Consistency)",10,IF(AF313="Shallow Cyclical (2 to 3 years growth)",5,0))</f>
        <v/>
      </c>
      <c r="AH313" s="31" t="inlineStr">
        <is>
          <t>Yes due to Product Mix change or Operating Leverage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Allocated capital in Non-core Areas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Above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3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Sideways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Overhead supply in last 2 years in last 2 years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More than 15%</t>
        </is>
      </c>
      <c r="CC313" s="31">
        <f>IF(CB313="More than 15%",-10,IF(CB313="Less than 15%",10,0))</f>
        <v/>
      </c>
      <c r="CD313" s="31" t="inlineStr">
        <is>
          <t>Yes Upto 10%</t>
        </is>
      </c>
      <c r="CE313" s="31">
        <f>IF(CD313="Yes, more than 10%",-10,IF(CD313="No",10,0))</f>
        <v/>
      </c>
    </row>
    <row r="314">
      <c r="A314" s="31">
        <f>IF(B314=0,"",RANK(B314,$B$2:$B$374,0))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INDHOTEL</t>
        </is>
      </c>
      <c r="D314" s="33" t="inlineStr">
        <is>
          <t>The Indian Hotels Company Limited</t>
        </is>
      </c>
      <c r="E314" s="31" t="inlineStr">
        <is>
          <t>services</t>
        </is>
      </c>
      <c r="F314" s="31" t="inlineStr">
        <is>
          <t>hotels</t>
        </is>
      </c>
      <c r="G314" s="31" t="inlineStr">
        <is>
          <t>largecap</t>
        </is>
      </c>
      <c r="H314" s="32" t="n">
        <v>100551.25</v>
      </c>
      <c r="I314" s="32" t="n">
        <v>737.9</v>
      </c>
      <c r="J314" s="32" t="n">
        <v>4.46</v>
      </c>
      <c r="K314" s="32" t="n">
        <v>5220998</v>
      </c>
      <c r="L314" s="31" t="n">
        <v>13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51.82</v>
      </c>
      <c r="P314" s="32" t="n">
        <v>12.64</v>
      </c>
      <c r="Q314" s="32" t="inlineStr"/>
      <c r="R314" s="31" t="inlineStr">
        <is>
          <t>Earnings / Momentum Support</t>
        </is>
      </c>
      <c r="S314" s="31" t="inlineStr">
        <is>
          <t>Nifty 500</t>
        </is>
      </c>
      <c r="T314" s="32" t="n">
        <v>4.74</v>
      </c>
      <c r="U314" s="32" t="n">
        <v>-6.45</v>
      </c>
      <c r="V314" s="32" t="n">
        <v>-10.68</v>
      </c>
      <c r="W314" s="32" t="n">
        <v>0.55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Headwind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3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IF(B315=0,"",RANK(B315,$B$2:$B$374,0))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SVLL</t>
        </is>
      </c>
      <c r="D315" s="31" t="inlineStr">
        <is>
          <t>Shree Vasu Logistics Ltd</t>
        </is>
      </c>
      <c r="E315" s="31" t="inlineStr">
        <is>
          <t>transportation</t>
        </is>
      </c>
      <c r="F315" s="31" t="inlineStr">
        <is>
          <t>miscellaneous</t>
        </is>
      </c>
      <c r="G315" s="31" t="inlineStr">
        <is>
          <t>smallcap</t>
        </is>
      </c>
      <c r="H315" s="32" t="n">
        <v>902.26</v>
      </c>
      <c r="I315" s="32" t="n">
        <v>815.55</v>
      </c>
      <c r="J315" s="32" t="n">
        <v>3.89</v>
      </c>
      <c r="K315" s="32" t="n">
        <v>5765</v>
      </c>
      <c r="L315" s="31" t="n">
        <v>41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62.08</v>
      </c>
      <c r="P315" s="32" t="n">
        <v>36.31</v>
      </c>
      <c r="Q315" s="32" t="inlineStr"/>
      <c r="R315" s="31" t="inlineStr">
        <is>
          <t>Earnings / Momentum Support</t>
        </is>
      </c>
      <c r="S315" s="31" t="inlineStr">
        <is>
          <t>Nifty 50</t>
        </is>
      </c>
      <c r="T315" s="32" t="n">
        <v>-1.03</v>
      </c>
      <c r="U315" s="32" t="n">
        <v>1.47</v>
      </c>
      <c r="V315" s="32" t="n">
        <v>2.52</v>
      </c>
      <c r="W315" s="32" t="n">
        <v>7.12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More than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IF(B316=0,"",RANK(B316,$B$2:$B$374,0))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DEEPINDS</t>
        </is>
      </c>
      <c r="D316" s="33" t="inlineStr">
        <is>
          <t>Deep Industries Ltd</t>
        </is>
      </c>
      <c r="E316" s="31" t="inlineStr">
        <is>
          <t>energy</t>
        </is>
      </c>
      <c r="F316" s="31" t="inlineStr">
        <is>
          <t>oil drilling / allied services</t>
        </is>
      </c>
      <c r="G316" s="31" t="inlineStr">
        <is>
          <t>smallcap</t>
        </is>
      </c>
      <c r="H316" s="32" t="n">
        <v>4316.48</v>
      </c>
      <c r="I316" s="32" t="n">
        <v>689.85</v>
      </c>
      <c r="J316" s="32" t="n">
        <v>2.28</v>
      </c>
      <c r="K316" s="32" t="n">
        <v>307643</v>
      </c>
      <c r="L316" s="31" t="n">
        <v>16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73.84</v>
      </c>
      <c r="P316" s="32" t="n">
        <v>29.33</v>
      </c>
      <c r="Q316" s="32" t="inlineStr"/>
      <c r="R316" s="31" t="inlineStr">
        <is>
          <t>Earnings / Momentum Support</t>
        </is>
      </c>
      <c r="S316" s="31" t="inlineStr">
        <is>
          <t>Nifty Energy</t>
        </is>
      </c>
      <c r="T316" s="32" t="n">
        <v>8.41</v>
      </c>
      <c r="U316" s="32" t="n">
        <v>0.27</v>
      </c>
      <c r="V316" s="32" t="n">
        <v>-7.51</v>
      </c>
      <c r="W316" s="32" t="n">
        <v>1.2</v>
      </c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Oligopoly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Yes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3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Less than 1.5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IF(B317=0,"",RANK(B317,$B$2:$B$374,0))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SHANTIGEAR</t>
        </is>
      </c>
      <c r="D317" s="33" t="inlineStr">
        <is>
          <t>Shanthi Gears Limited</t>
        </is>
      </c>
      <c r="E317" s="31" t="inlineStr">
        <is>
          <t>industrials</t>
        </is>
      </c>
      <c r="F317" s="31" t="inlineStr">
        <is>
          <t>engineering</t>
        </is>
      </c>
      <c r="G317" s="31" t="inlineStr">
        <is>
          <t>smallcap</t>
        </is>
      </c>
      <c r="H317" s="32" t="n">
        <v>3971.96</v>
      </c>
      <c r="I317" s="32" t="n">
        <v>525.5</v>
      </c>
      <c r="J317" s="32" t="n">
        <v>1.5</v>
      </c>
      <c r="K317" s="32" t="n">
        <v>188065</v>
      </c>
      <c r="L317" s="31" t="n">
        <v>22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67.89</v>
      </c>
      <c r="P317" s="32" t="n">
        <v>21.53</v>
      </c>
      <c r="Q317" s="32" t="inlineStr"/>
      <c r="R317" s="31" t="inlineStr">
        <is>
          <t>Earnings / Momentum Support</t>
        </is>
      </c>
      <c r="S317" s="31" t="inlineStr">
        <is>
          <t>Nifty 50</t>
        </is>
      </c>
      <c r="T317" s="32" t="n">
        <v>-1.03</v>
      </c>
      <c r="U317" s="32" t="n">
        <v>-6.39</v>
      </c>
      <c r="V317" s="32" t="n">
        <v>-5.41</v>
      </c>
      <c r="W317" s="32" t="n">
        <v>2.87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3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IF(B318=0,"",RANK(B318,$B$2:$B$374,0))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SBC</t>
        </is>
      </c>
      <c r="D318" s="31" t="inlineStr">
        <is>
          <t>SBC Exports Ltd</t>
        </is>
      </c>
      <c r="E318" s="31" t="inlineStr">
        <is>
          <t>textiles</t>
        </is>
      </c>
      <c r="F318" s="31" t="inlineStr">
        <is>
          <t>textiles - products</t>
        </is>
      </c>
      <c r="G318" s="31" t="inlineStr">
        <is>
          <t>smallcap</t>
        </is>
      </c>
      <c r="H318" s="32" t="n">
        <v>1996.66</v>
      </c>
      <c r="I318" s="32" t="n">
        <v>42.15</v>
      </c>
      <c r="J318" s="32" t="n">
        <v>0.52</v>
      </c>
      <c r="K318" s="32" t="n">
        <v>6715269</v>
      </c>
      <c r="L318" s="31" t="n">
        <v>76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64.94</v>
      </c>
      <c r="P318" s="32" t="n">
        <v>32.89</v>
      </c>
      <c r="Q318" s="32" t="inlineStr"/>
      <c r="R318" s="31" t="inlineStr">
        <is>
          <t>Earnings / Momentum Support</t>
        </is>
      </c>
      <c r="S318" s="31" t="inlineStr">
        <is>
          <t>Nifty 50</t>
        </is>
      </c>
      <c r="T318" s="32" t="n">
        <v>-1.03</v>
      </c>
      <c r="U318" s="32" t="n">
        <v>119.41</v>
      </c>
      <c r="V318" s="32" t="n">
        <v>121.69</v>
      </c>
      <c r="W318" s="32" t="n">
        <v>19.11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3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More than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IF(B319=0,"",RANK(B319,$B$2:$B$374,0))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ROSSTECH</t>
        </is>
      </c>
      <c r="D319" s="31" t="inlineStr">
        <is>
          <t>Rossell Techsys Ltd</t>
        </is>
      </c>
      <c r="E319" s="31" t="inlineStr">
        <is>
          <t>aerospace &amp; defence</t>
        </is>
      </c>
      <c r="F319" s="31" t="inlineStr">
        <is>
          <t>engineering</t>
        </is>
      </c>
      <c r="G319" s="31" t="inlineStr">
        <is>
          <t>smallcap</t>
        </is>
      </c>
      <c r="H319" s="32" t="n">
        <v>4163.95</v>
      </c>
      <c r="I319" s="32" t="n">
        <v>1109.95</v>
      </c>
      <c r="J319" s="32" t="n">
        <v>0.48</v>
      </c>
      <c r="K319" s="32" t="n">
        <v>171715</v>
      </c>
      <c r="L319" s="31" t="n">
        <v>60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64.18000000000001</v>
      </c>
      <c r="P319" s="32" t="n">
        <v>27.35</v>
      </c>
      <c r="Q319" s="32" t="inlineStr"/>
      <c r="R319" s="31" t="inlineStr">
        <is>
          <t>Earnings / Momentum Support</t>
        </is>
      </c>
      <c r="S319" s="31" t="inlineStr">
        <is>
          <t>Nifty 50</t>
        </is>
      </c>
      <c r="T319" s="32" t="n">
        <v>-1.03</v>
      </c>
      <c r="U319" s="32" t="n">
        <v>64.45999999999999</v>
      </c>
      <c r="V319" s="32" t="n">
        <v>66.17</v>
      </c>
      <c r="W319" s="32" t="n">
        <v>12.75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3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More than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IF(B320=0,"",RANK(B320,$B$2:$B$374,0))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SUNDRMFAST</t>
        </is>
      </c>
      <c r="D320" s="33" t="inlineStr">
        <is>
          <t>Sundram Fasteners Limited</t>
        </is>
      </c>
      <c r="E320" s="31" t="inlineStr">
        <is>
          <t>auto</t>
        </is>
      </c>
      <c r="F320" s="31" t="inlineStr">
        <is>
          <t>auto ancillaries</t>
        </is>
      </c>
      <c r="G320" s="31" t="inlineStr">
        <is>
          <t>largecap</t>
        </is>
      </c>
      <c r="H320" s="32" t="n">
        <v>25215.4</v>
      </c>
      <c r="I320" s="32" t="n">
        <v>1203.9</v>
      </c>
      <c r="J320" s="32" t="n">
        <v>0.33</v>
      </c>
      <c r="K320" s="32" t="n">
        <v>194540</v>
      </c>
      <c r="L320" s="31" t="n">
        <v>22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77.05</v>
      </c>
      <c r="P320" s="32" t="n">
        <v>34.82</v>
      </c>
      <c r="Q320" s="32" t="inlineStr"/>
      <c r="R320" s="31" t="inlineStr">
        <is>
          <t>Earnings / Momentum Support</t>
        </is>
      </c>
      <c r="S320" s="31" t="inlineStr">
        <is>
          <t>Nifty Auto</t>
        </is>
      </c>
      <c r="T320" s="32" t="n">
        <v>13.41</v>
      </c>
      <c r="U320" s="32" t="n">
        <v>-4.24</v>
      </c>
      <c r="V320" s="32" t="n">
        <v>-15.56</v>
      </c>
      <c r="W320" s="32" t="n">
        <v>2.97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Above 75</t>
        </is>
      </c>
      <c r="BA320" s="31">
        <f>IF(AZ320="Between 50 to 75",10,IF(AZ320="Above 75",0,0))</f>
        <v/>
      </c>
      <c r="BB320" s="31" t="inlineStr">
        <is>
          <t>Stage 3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Between 12 to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IF(B321=0,"",RANK(B321,$B$2:$B$374,0))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SEAMECLTD</t>
        </is>
      </c>
      <c r="D321" s="31" t="inlineStr">
        <is>
          <t>Seamec Limited</t>
        </is>
      </c>
      <c r="E321" s="31" t="inlineStr">
        <is>
          <t>miscellaneous</t>
        </is>
      </c>
      <c r="F321" s="31" t="inlineStr">
        <is>
          <t>miscellaneous</t>
        </is>
      </c>
      <c r="G321" s="31" t="inlineStr">
        <is>
          <t>smallcap</t>
        </is>
      </c>
      <c r="H321" s="32" t="n">
        <v>4262.76</v>
      </c>
      <c r="I321" s="32" t="n">
        <v>1674.8</v>
      </c>
      <c r="J321" s="32" t="n">
        <v>-0.11</v>
      </c>
      <c r="K321" s="32" t="n">
        <v>37989</v>
      </c>
      <c r="L321" s="31" t="n">
        <v>61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66.63</v>
      </c>
      <c r="P321" s="32" t="n">
        <v>18.6</v>
      </c>
      <c r="Q321" s="32" t="inlineStr"/>
      <c r="R321" s="31" t="inlineStr">
        <is>
          <t>Earnings / Momentum Support</t>
        </is>
      </c>
      <c r="S321" s="31" t="inlineStr">
        <is>
          <t>Nifty 50</t>
        </is>
      </c>
      <c r="T321" s="32" t="n">
        <v>-1.03</v>
      </c>
      <c r="U321" s="32" t="n">
        <v>69.88</v>
      </c>
      <c r="V321" s="32" t="n">
        <v>71.64</v>
      </c>
      <c r="W321" s="32" t="n">
        <v>12.96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IF(B322=0,"",RANK(B322,$B$2:$B$374,0))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GPPL</t>
        </is>
      </c>
      <c r="D322" s="31" t="inlineStr">
        <is>
          <t>Gujarat Pipavav Port Limited</t>
        </is>
      </c>
      <c r="E322" s="31" t="inlineStr">
        <is>
          <t>transportation</t>
        </is>
      </c>
      <c r="F322" s="31" t="inlineStr">
        <is>
          <t>miscellaneous</t>
        </is>
      </c>
      <c r="G322" s="31" t="inlineStr">
        <is>
          <t>midcap</t>
        </is>
      </c>
      <c r="H322" s="32" t="n">
        <v>8158.05</v>
      </c>
      <c r="I322" s="32" t="n">
        <v>167.56</v>
      </c>
      <c r="J322" s="32" t="n">
        <v>-0.71</v>
      </c>
      <c r="K322" s="32" t="n">
        <v>3304295</v>
      </c>
      <c r="L322" s="31" t="n">
        <v>31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61.81</v>
      </c>
      <c r="P322" s="32" t="n">
        <v>9.51</v>
      </c>
      <c r="Q322" s="32" t="inlineStr"/>
      <c r="R322" s="31" t="inlineStr">
        <is>
          <t>Earnings / Momentum Support</t>
        </is>
      </c>
      <c r="S322" s="31" t="inlineStr">
        <is>
          <t>Nifty 50</t>
        </is>
      </c>
      <c r="T322" s="32" t="n">
        <v>-1.03</v>
      </c>
      <c r="U322" s="32" t="n">
        <v>16.68</v>
      </c>
      <c r="V322" s="32" t="n">
        <v>17.89</v>
      </c>
      <c r="W322" s="32" t="n">
        <v>5.2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Oligopoly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Shallow Cyclical (2 to 3 Years Growth)</t>
        </is>
      </c>
      <c r="AG322" s="31">
        <f>IF(AF322="Structural (10 Years Consistency)",10,IF(AF322="Shallow Cyclical (2 to 3 years growth)",5,0))</f>
        <v/>
      </c>
      <c r="AH322" s="31" t="inlineStr">
        <is>
          <t>Yes due to Product Mix change or Operating Leverage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Allocated capital in Non-core Areas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Above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3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Sideways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Overhead supply in last 2 years in last 2 years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More than 15%</t>
        </is>
      </c>
      <c r="CC322" s="31">
        <f>IF(CB322="More than 15%",-10,IF(CB322="Less than 15%",10,0))</f>
        <v/>
      </c>
      <c r="CD322" s="31" t="inlineStr">
        <is>
          <t>Yes Upto 10%</t>
        </is>
      </c>
      <c r="CE322" s="31">
        <f>IF(CD322="Yes, more than 10%",-10,IF(CD322="No",10,0))</f>
        <v/>
      </c>
    </row>
    <row r="323">
      <c r="A323" s="31">
        <f>IF(B323=0,"",RANK(B323,$B$2:$B$374,0))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GNFC</t>
        </is>
      </c>
      <c r="D323" s="31" t="inlineStr">
        <is>
          <t>Gujarat Narmada Valley Fertilizers And Chemicals Limited</t>
        </is>
      </c>
      <c r="E323" s="31" t="inlineStr">
        <is>
          <t>chemicals</t>
        </is>
      </c>
      <c r="F323" s="31" t="inlineStr">
        <is>
          <t>chemicals</t>
        </is>
      </c>
      <c r="G323" s="31" t="inlineStr">
        <is>
          <t>midcap</t>
        </is>
      </c>
      <c r="H323" s="32" t="n">
        <v>8523.290000000001</v>
      </c>
      <c r="I323" s="32" t="n">
        <v>574.75</v>
      </c>
      <c r="J323" s="32" t="n">
        <v>-0.91</v>
      </c>
      <c r="K323" s="32" t="n">
        <v>616752</v>
      </c>
      <c r="L323" s="31" t="n">
        <v>37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66.45</v>
      </c>
      <c r="P323" s="32" t="n">
        <v>36.74</v>
      </c>
      <c r="Q323" s="32" t="inlineStr"/>
      <c r="R323" s="31" t="inlineStr">
        <is>
          <t>Earnings / Momentum Support</t>
        </is>
      </c>
      <c r="S323" s="31" t="inlineStr">
        <is>
          <t>Nifty 50</t>
        </is>
      </c>
      <c r="T323" s="32" t="n">
        <v>-1.03</v>
      </c>
      <c r="U323" s="32" t="n">
        <v>14.81</v>
      </c>
      <c r="V323" s="32" t="n">
        <v>16</v>
      </c>
      <c r="W323" s="32" t="n">
        <v>6.16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Oligopoly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Shallow Cyclical (2 to 3 Years Growth)</t>
        </is>
      </c>
      <c r="AG323" s="31">
        <f>IF(AF323="Structural (10 Years Consistency)",10,IF(AF323="Shallow Cyclical (2 to 3 years growth)",5,0))</f>
        <v/>
      </c>
      <c r="AH323" s="31" t="inlineStr">
        <is>
          <t>Yes due to Product Mix change or Operating Leverage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Allocated capital in Non-core Areas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Above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3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Sideways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Overhead supply in last 2 years in last 2 years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Less than 1.5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More than 15%</t>
        </is>
      </c>
      <c r="CC323" s="31">
        <f>IF(CB323="More than 15%",-10,IF(CB323="Less than 15%",10,0))</f>
        <v/>
      </c>
      <c r="CD323" s="31" t="inlineStr">
        <is>
          <t>Yes Upto 10%</t>
        </is>
      </c>
      <c r="CE323" s="31">
        <f>IF(CD323="Yes, more than 10%",-10,IF(CD323="No",10,0))</f>
        <v/>
      </c>
    </row>
    <row r="324">
      <c r="A324" s="31">
        <f>IF(B324=0,"",RANK(B324,$B$2:$B$374,0))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GUJALKALI</t>
        </is>
      </c>
      <c r="D324" s="31" t="inlineStr">
        <is>
          <t>Gujarat Alkalies And Chemicals Limited</t>
        </is>
      </c>
      <c r="E324" s="31" t="inlineStr">
        <is>
          <t>chemicals</t>
        </is>
      </c>
      <c r="F324" s="31" t="inlineStr">
        <is>
          <t>chemicals</t>
        </is>
      </c>
      <c r="G324" s="31" t="inlineStr">
        <is>
          <t>midcap</t>
        </is>
      </c>
      <c r="H324" s="32" t="n">
        <v>5190.89</v>
      </c>
      <c r="I324" s="32" t="n">
        <v>699.4</v>
      </c>
      <c r="J324" s="32" t="n">
        <v>-1.05</v>
      </c>
      <c r="K324" s="32" t="n">
        <v>80924</v>
      </c>
      <c r="L324" s="31" t="n">
        <v>43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61.39</v>
      </c>
      <c r="P324" s="32" t="n">
        <v>28.4</v>
      </c>
      <c r="Q324" s="32" t="inlineStr"/>
      <c r="R324" s="31" t="inlineStr">
        <is>
          <t>Earnings / Momentum Support</t>
        </is>
      </c>
      <c r="S324" s="31" t="inlineStr">
        <is>
          <t>Nifty IT</t>
        </is>
      </c>
      <c r="T324" s="32" t="n">
        <v>-11.08</v>
      </c>
      <c r="U324" s="32" t="n">
        <v>28.56</v>
      </c>
      <c r="V324" s="32" t="n">
        <v>44.59</v>
      </c>
      <c r="W324" s="32" t="n">
        <v>7.36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Oligopoly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Shallow Cyclical (2 to 3 Years Growth)</t>
        </is>
      </c>
      <c r="AG324" s="31">
        <f>IF(AF324="Structural (10 Years Consistency)",10,IF(AF324="Shallow Cyclical (2 to 3 years growth)",5,0))</f>
        <v/>
      </c>
      <c r="AH324" s="31" t="inlineStr">
        <is>
          <t>Yes due to Product Mix change or Operating Leverage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Allocated capital in Non-core Areas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Above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3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Sideways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Overhead supply in last 2 years in last 2 years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Less than 1.5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More than 15%</t>
        </is>
      </c>
      <c r="CC324" s="31">
        <f>IF(CB324="More than 15%",-10,IF(CB324="Less than 15%",10,0))</f>
        <v/>
      </c>
      <c r="CD324" s="31" t="inlineStr">
        <is>
          <t>Yes Upto 10%</t>
        </is>
      </c>
      <c r="CE324" s="31">
        <f>IF(CD324="Yes, more than 10%",-10,IF(CD324="No",10,0))</f>
        <v/>
      </c>
    </row>
    <row r="325">
      <c r="A325" s="31">
        <f>IF(B325=0,"",RANK(B325,$B$2:$B$374,0))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FLUOROCHEM</t>
        </is>
      </c>
      <c r="D325" s="31" t="inlineStr">
        <is>
          <t>Gujarat Fluorochemicals Ltd</t>
        </is>
      </c>
      <c r="E325" s="31" t="inlineStr">
        <is>
          <t>chemicals</t>
        </is>
      </c>
      <c r="F325" s="31" t="inlineStr">
        <is>
          <t>chemicals</t>
        </is>
      </c>
      <c r="G325" s="31" t="inlineStr">
        <is>
          <t>largecap</t>
        </is>
      </c>
      <c r="H325" s="32" t="n">
        <v>52411.63</v>
      </c>
      <c r="I325" s="32" t="n">
        <v>4693.5</v>
      </c>
      <c r="J325" s="32" t="n">
        <v>-1.63</v>
      </c>
      <c r="K325" s="32" t="n">
        <v>202388</v>
      </c>
      <c r="L325" s="31" t="n">
        <v>64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70.61</v>
      </c>
      <c r="P325" s="32" t="n">
        <v>38.49</v>
      </c>
      <c r="Q325" s="32" t="inlineStr"/>
      <c r="R325" s="31" t="inlineStr">
        <is>
          <t>Earnings / Momentum Support</t>
        </is>
      </c>
      <c r="S325" s="31" t="inlineStr">
        <is>
          <t>Nifty 500</t>
        </is>
      </c>
      <c r="T325" s="32" t="n">
        <v>4.74</v>
      </c>
      <c r="U325" s="32" t="n">
        <v>39.86</v>
      </c>
      <c r="V325" s="32" t="n">
        <v>33.53</v>
      </c>
      <c r="W325" s="32" t="n">
        <v>13.85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Oligopoly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Shallow Cyclical (2 to 3 Years Growth)</t>
        </is>
      </c>
      <c r="AG325" s="31">
        <f>IF(AF325="Structural (10 Years Consistency)",10,IF(AF325="Shallow Cyclical (2 to 3 years growth)",5,0))</f>
        <v/>
      </c>
      <c r="AH325" s="31" t="inlineStr">
        <is>
          <t>Yes due to Product Mix change or Operating Leverage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Volatile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Allocated capital in Non-core Areas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Above 40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3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Sideways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Overhead supply in last 2 years in last 2 years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Less than 1.5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More than 15%</t>
        </is>
      </c>
      <c r="CC325" s="31">
        <f>IF(CB325="More than 15%",-10,IF(CB325="Less than 15%",10,0))</f>
        <v/>
      </c>
      <c r="CD325" s="31" t="inlineStr">
        <is>
          <t>Yes Upto 10%</t>
        </is>
      </c>
      <c r="CE325" s="31">
        <f>IF(CD325="Yes, more than 10%",-10,IF(CD325="No",10,0))</f>
        <v/>
      </c>
    </row>
    <row r="326">
      <c r="A326" s="31">
        <f>IF(B326=0,"",RANK(B326,$B$2:$B$374,0))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BALAMINES</t>
        </is>
      </c>
      <c r="D326" s="31" t="inlineStr">
        <is>
          <t>Balaji Amines Limited</t>
        </is>
      </c>
      <c r="E326" s="31" t="inlineStr">
        <is>
          <t>chemicals</t>
        </is>
      </c>
      <c r="F326" s="31" t="inlineStr">
        <is>
          <t>chemicals</t>
        </is>
      </c>
      <c r="G326" s="31" t="inlineStr">
        <is>
          <t>midcap</t>
        </is>
      </c>
      <c r="H326" s="32" t="n">
        <v>7745.46</v>
      </c>
      <c r="I326" s="32" t="n">
        <v>2323.6</v>
      </c>
      <c r="J326" s="32" t="n">
        <v>-2.8</v>
      </c>
      <c r="K326" s="32" t="n">
        <v>135337</v>
      </c>
      <c r="L326" s="31" t="n">
        <v>80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68.73999999999999</v>
      </c>
      <c r="P326" s="32" t="n">
        <v>58.27</v>
      </c>
      <c r="Q326" s="32" t="inlineStr"/>
      <c r="R326" s="31" t="inlineStr">
        <is>
          <t>Earnings / Momentum Support</t>
        </is>
      </c>
      <c r="S326" s="31" t="inlineStr">
        <is>
          <t>Nifty 50</t>
        </is>
      </c>
      <c r="T326" s="32" t="n">
        <v>-1.03</v>
      </c>
      <c r="U326" s="32" t="n">
        <v>64.88</v>
      </c>
      <c r="V326" s="32" t="n">
        <v>66.59999999999999</v>
      </c>
      <c r="W326" s="32" t="n">
        <v>21.47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Duopoly That Cooperate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Shallow Cyclical (2 to 3 Years Growth)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20 to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4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Downtrend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Overhead supply in last 2 years in last 2 years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No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IF(B327=0,"",RANK(B327,$B$2:$B$374,0))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IMAGICAA</t>
        </is>
      </c>
      <c r="D327" s="33" t="inlineStr">
        <is>
          <t>Imagicaaworld Entertainment Ltd</t>
        </is>
      </c>
      <c r="E327" s="31" t="inlineStr">
        <is>
          <t>media</t>
        </is>
      </c>
      <c r="F327" s="31" t="inlineStr">
        <is>
          <t>recreation / amusement parks</t>
        </is>
      </c>
      <c r="G327" s="31" t="inlineStr">
        <is>
          <t>smallcap</t>
        </is>
      </c>
      <c r="H327" s="32" t="n">
        <v>3285.96</v>
      </c>
      <c r="I327" s="32" t="n">
        <v>56.29</v>
      </c>
      <c r="J327" s="32" t="n">
        <v>-3.07</v>
      </c>
      <c r="K327" s="32" t="n">
        <v>1274443</v>
      </c>
      <c r="L327" s="31" t="n">
        <v>2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64.84999999999999</v>
      </c>
      <c r="P327" s="32" t="n">
        <v>16.13</v>
      </c>
      <c r="Q327" s="32" t="inlineStr"/>
      <c r="R327" s="31" t="inlineStr">
        <is>
          <t>Earnings / Momentum Support</t>
        </is>
      </c>
      <c r="S327" s="31" t="inlineStr">
        <is>
          <t>Nifty Media</t>
        </is>
      </c>
      <c r="T327" s="32" t="n">
        <v>-14.09</v>
      </c>
      <c r="U327" s="32" t="n">
        <v>-29.56</v>
      </c>
      <c r="V327" s="32" t="n">
        <v>-18</v>
      </c>
      <c r="W327" s="32" t="n">
        <v>-7.14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IF(B328=0,"",RANK(B328,$B$2:$B$374,0))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GIPCL</t>
        </is>
      </c>
      <c r="D328" s="31" t="inlineStr">
        <is>
          <t>Gujarat Industries Power Company Limited</t>
        </is>
      </c>
      <c r="E328" s="31" t="inlineStr">
        <is>
          <t>power &amp; utilities</t>
        </is>
      </c>
      <c r="F328" s="31" t="inlineStr">
        <is>
          <t>power generation and supply</t>
        </is>
      </c>
      <c r="G328" s="31" t="inlineStr">
        <is>
          <t>smallcap</t>
        </is>
      </c>
      <c r="H328" s="32" t="n">
        <v>3196.05</v>
      </c>
      <c r="I328" s="32" t="n">
        <v>199.36</v>
      </c>
      <c r="J328" s="32" t="n">
        <v>-3.18</v>
      </c>
      <c r="K328" s="32" t="n">
        <v>639477</v>
      </c>
      <c r="L328" s="31" t="n">
        <v>51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72.36</v>
      </c>
      <c r="P328" s="32" t="n">
        <v>19.07</v>
      </c>
      <c r="Q328" s="32" t="inlineStr"/>
      <c r="R328" s="31" t="inlineStr">
        <is>
          <t>Earnings / Momentum Support</t>
        </is>
      </c>
      <c r="S328" s="31" t="inlineStr">
        <is>
          <t>Nifty IT</t>
        </is>
      </c>
      <c r="T328" s="32" t="n">
        <v>-11.08</v>
      </c>
      <c r="U328" s="32" t="n">
        <v>18.24</v>
      </c>
      <c r="V328" s="32" t="n">
        <v>32.98</v>
      </c>
      <c r="W328" s="32" t="n">
        <v>9.31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Oligopoly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Shallow Cyclical (2 to 3 Years Growth)</t>
        </is>
      </c>
      <c r="AG328" s="31">
        <f>IF(AF328="Structural (10 Years Consistency)",10,IF(AF328="Shallow Cyclical (2 to 3 years growth)",5,0))</f>
        <v/>
      </c>
      <c r="AH328" s="31" t="inlineStr">
        <is>
          <t>Yes due to Product Mix change or Operating Leverage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Volatile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Allocated capital in Non-core Areas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Above 40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3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Sideways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Overhead supply in last 2 years in last 2 years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Less than 1.5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More than 15%</t>
        </is>
      </c>
      <c r="CC328" s="31">
        <f>IF(CB328="More than 15%",-10,IF(CB328="Less than 15%",10,0))</f>
        <v/>
      </c>
      <c r="CD328" s="31" t="inlineStr">
        <is>
          <t>Yes Upto 10%</t>
        </is>
      </c>
      <c r="CE328" s="31">
        <f>IF(CD328="Yes, more than 10%",-10,IF(CD328="No",10,0))</f>
        <v/>
      </c>
    </row>
    <row r="329">
      <c r="A329" s="31">
        <f>IF(B329=0,"",RANK(B329,$B$2:$B$374,0))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POLICYBZR</t>
        </is>
      </c>
      <c r="D329" s="31" t="inlineStr">
        <is>
          <t>PB Fintech Ltd</t>
        </is>
      </c>
      <c r="E329" s="31" t="inlineStr">
        <is>
          <t>i.t</t>
        </is>
      </c>
      <c r="F329" s="31" t="inlineStr">
        <is>
          <t>miscellaneous</t>
        </is>
      </c>
      <c r="G329" s="31" t="inlineStr">
        <is>
          <t>largecap</t>
        </is>
      </c>
      <c r="H329" s="32" t="n">
        <v>83817.17999999999</v>
      </c>
      <c r="I329" s="32" t="n">
        <v>1875</v>
      </c>
      <c r="J329" s="32" t="n">
        <v>3.51</v>
      </c>
      <c r="K329" s="32" t="n">
        <v>1151385</v>
      </c>
      <c r="L329" s="31" t="n">
        <v>20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62.34</v>
      </c>
      <c r="P329" s="32" t="n">
        <v>10.4</v>
      </c>
      <c r="Q329" s="32" t="inlineStr"/>
      <c r="R329" s="31" t="inlineStr">
        <is>
          <t>Earnings / Momentum Support</t>
        </is>
      </c>
      <c r="S329" s="31" t="inlineStr">
        <is>
          <t>Nifty IT</t>
        </is>
      </c>
      <c r="T329" s="32" t="n">
        <v>-11.08</v>
      </c>
      <c r="U329" s="32" t="n">
        <v>2.3</v>
      </c>
      <c r="V329" s="32" t="n">
        <v>15.05</v>
      </c>
      <c r="W329" s="32" t="n">
        <v>2.38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Monopoly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Yes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B2C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Fully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Allocated capital in Non-core Areas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Below 45</t>
        </is>
      </c>
      <c r="BA329" s="31">
        <f>IF(AZ329="Between 50 to 75",10,IF(AZ329="Above 75",0,0))</f>
        <v/>
      </c>
      <c r="BB329" s="31" t="inlineStr">
        <is>
          <t>Stage 1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Downtrend</t>
        </is>
      </c>
      <c r="BG329" s="31">
        <f>IF(BF329="Uptrend",10,IF(BF329="Sideways",5,0))</f>
        <v/>
      </c>
      <c r="BH329" s="31" t="inlineStr">
        <is>
          <t>Downtrend</t>
        </is>
      </c>
      <c r="BI329" s="31">
        <f>IF(BH329="Uptrend",10,IF(BH329="Sideways",5,0))</f>
        <v/>
      </c>
      <c r="BJ329" s="31" t="inlineStr">
        <is>
          <t>Overhead supply in last 2 years in last 2 years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Yes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IF(B330=0,"",RANK(B330,$B$2:$B$374,0))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TI</t>
        </is>
      </c>
      <c r="D330" s="31" t="inlineStr">
        <is>
          <t>Tilaknagar Industries Limited</t>
        </is>
      </c>
      <c r="E330" s="31" t="inlineStr">
        <is>
          <t>fmcg</t>
        </is>
      </c>
      <c r="F330" s="31" t="inlineStr">
        <is>
          <t>breweries &amp; distilleries</t>
        </is>
      </c>
      <c r="G330" s="31" t="inlineStr">
        <is>
          <t>midcap</t>
        </is>
      </c>
      <c r="H330" s="32" t="n">
        <v>14036.72</v>
      </c>
      <c r="I330" s="32" t="n">
        <v>561.05</v>
      </c>
      <c r="J330" s="32" t="n">
        <v>-1.08</v>
      </c>
      <c r="K330" s="32" t="n">
        <v>910070</v>
      </c>
      <c r="L330" s="31" t="n">
        <v>17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71</v>
      </c>
      <c r="P330" s="32" t="n">
        <v>18.21</v>
      </c>
      <c r="Q330" s="32" t="inlineStr"/>
      <c r="R330" s="31" t="inlineStr">
        <is>
          <t>Earnings / Momentum Support</t>
        </is>
      </c>
      <c r="S330" s="31" t="inlineStr">
        <is>
          <t>Nifty FMCG</t>
        </is>
      </c>
      <c r="T330" s="32" t="n">
        <v>-13.73</v>
      </c>
      <c r="U330" s="32" t="n">
        <v>11.7</v>
      </c>
      <c r="V330" s="32" t="n">
        <v>29.47</v>
      </c>
      <c r="W330" s="32" t="n">
        <v>1.63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B2C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Annuity, Lower One Time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3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Between 0.7 to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IF(B331=0,"",RANK(B331,$B$2:$B$374,0))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GLAXO</t>
        </is>
      </c>
      <c r="D331" s="33" t="inlineStr">
        <is>
          <t>Glaxosmithkline Pharmaceuticals Limited</t>
        </is>
      </c>
      <c r="E331" s="31" t="inlineStr">
        <is>
          <t>healthcare</t>
        </is>
      </c>
      <c r="F331" s="31" t="inlineStr">
        <is>
          <t>pharmaceuticals - multinational</t>
        </is>
      </c>
      <c r="G331" s="31" t="inlineStr">
        <is>
          <t>largecap</t>
        </is>
      </c>
      <c r="H331" s="32" t="n">
        <v>52624.29</v>
      </c>
      <c r="I331" s="32" t="n">
        <v>3050.1</v>
      </c>
      <c r="J331" s="32" t="n">
        <v>-1.81</v>
      </c>
      <c r="K331" s="32" t="n">
        <v>205702</v>
      </c>
      <c r="L331" s="31" t="n">
        <v>58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75.28</v>
      </c>
      <c r="P331" s="32" t="n">
        <v>26.63</v>
      </c>
      <c r="Q331" s="32" t="inlineStr"/>
      <c r="R331" s="31" t="inlineStr">
        <is>
          <t>Earnings / Momentum Support</t>
        </is>
      </c>
      <c r="S331" s="31" t="inlineStr">
        <is>
          <t>Nifty Pharma</t>
        </is>
      </c>
      <c r="T331" s="32" t="n">
        <v>23.79</v>
      </c>
      <c r="U331" s="32" t="n">
        <v>14.38</v>
      </c>
      <c r="V331" s="32" t="n">
        <v>-7.6</v>
      </c>
      <c r="W331" s="32" t="n">
        <v>12.31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Yes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Annuity, Lower One Time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20 to 40</t>
        </is>
      </c>
      <c r="AY331" s="31">
        <f>IF(AX331="Above 40",20,IF(AX331="20 to 40",10,IF(AX331="0 to 20",-5,0)))</f>
        <v/>
      </c>
      <c r="AZ331" s="31" t="inlineStr">
        <is>
          <t>Above 75</t>
        </is>
      </c>
      <c r="BA331" s="31">
        <f>IF(AZ331="Between 50 to 75",10,IF(AZ331="Above 75",0,0))</f>
        <v/>
      </c>
      <c r="BB331" s="31" t="inlineStr">
        <is>
          <t>Stage 3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Between 12 to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IF(B332=0,"",RANK(B332,$B$2:$B$374,0))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LUMAXTECH</t>
        </is>
      </c>
      <c r="D332" s="31" t="inlineStr">
        <is>
          <t>Lumax Auto Technologies Limited</t>
        </is>
      </c>
      <c r="E332" s="31" t="inlineStr">
        <is>
          <t>auto</t>
        </is>
      </c>
      <c r="F332" s="31" t="inlineStr">
        <is>
          <t>auto ancillaries</t>
        </is>
      </c>
      <c r="G332" s="31" t="inlineStr">
        <is>
          <t>midcap</t>
        </is>
      </c>
      <c r="H332" s="32" t="n">
        <v>13532.71</v>
      </c>
      <c r="I332" s="32" t="n">
        <v>2078.5</v>
      </c>
      <c r="J332" s="32" t="n">
        <v>4.68</v>
      </c>
      <c r="K332" s="32" t="n">
        <v>452857</v>
      </c>
      <c r="L332" s="31" t="n">
        <v>17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65.48999999999999</v>
      </c>
      <c r="P332" s="32" t="n">
        <v>18.96</v>
      </c>
      <c r="Q332" s="32" t="inlineStr"/>
      <c r="R332" s="31" t="inlineStr">
        <is>
          <t>Earnings / Momentum Support</t>
        </is>
      </c>
      <c r="S332" s="31" t="inlineStr">
        <is>
          <t>Nifty Auto</t>
        </is>
      </c>
      <c r="T332" s="32" t="n">
        <v>13.41</v>
      </c>
      <c r="U332" s="32" t="n">
        <v>24.53</v>
      </c>
      <c r="V332" s="32" t="n">
        <v>9.800000000000001</v>
      </c>
      <c r="W332" s="32" t="n">
        <v>1.74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3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Between 0.7 to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IF(B333=0,"",RANK(B333,$B$2:$B$374,0))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EPL</t>
        </is>
      </c>
      <c r="D333" s="31" t="inlineStr">
        <is>
          <t>EPL Ltd</t>
        </is>
      </c>
      <c r="E333" s="31" t="inlineStr">
        <is>
          <t>industrials</t>
        </is>
      </c>
      <c r="F333" s="31" t="inlineStr">
        <is>
          <t>packaging</t>
        </is>
      </c>
      <c r="G333" s="31" t="inlineStr">
        <is>
          <t>midcap</t>
        </is>
      </c>
      <c r="H333" s="32" t="n">
        <v>8069.13</v>
      </c>
      <c r="I333" s="32" t="n">
        <v>262.06</v>
      </c>
      <c r="J333" s="32" t="n">
        <v>4.02</v>
      </c>
      <c r="K333" s="32" t="n">
        <v>6325246</v>
      </c>
      <c r="L333" s="31" t="n">
        <v>39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60.23</v>
      </c>
      <c r="P333" s="32" t="n">
        <v>17.82</v>
      </c>
      <c r="Q333" s="32" t="inlineStr"/>
      <c r="R333" s="31" t="inlineStr">
        <is>
          <t>Earnings / Momentum Support</t>
        </is>
      </c>
      <c r="S333" s="31" t="inlineStr">
        <is>
          <t>Nifty 50</t>
        </is>
      </c>
      <c r="T333" s="32" t="n">
        <v>-1.03</v>
      </c>
      <c r="U333" s="32" t="n">
        <v>14.73</v>
      </c>
      <c r="V333" s="32" t="n">
        <v>15.92</v>
      </c>
      <c r="W333" s="32" t="n">
        <v>6.71</v>
      </c>
      <c r="X333" s="31" t="inlineStr">
        <is>
          <t>Cyclical in an Upturn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Headwind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3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IF(B334=0,"",RANK(B334,$B$2:$B$374,0))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MAHASTEEL</t>
        </is>
      </c>
      <c r="D334" s="31" t="inlineStr">
        <is>
          <t>Mahamaya Steel Industries Limited</t>
        </is>
      </c>
      <c r="E334" s="31" t="inlineStr">
        <is>
          <t>metals &amp; mining</t>
        </is>
      </c>
      <c r="F334" s="31" t="inlineStr">
        <is>
          <t>steel - medium / small</t>
        </is>
      </c>
      <c r="G334" s="31" t="inlineStr">
        <is>
          <t>smallcap</t>
        </is>
      </c>
      <c r="H334" s="32" t="n">
        <v>2185.28</v>
      </c>
      <c r="I334" s="32" t="n">
        <v>1373</v>
      </c>
      <c r="J334" s="32" t="n">
        <v>3.26</v>
      </c>
      <c r="K334" s="32" t="n">
        <v>37097</v>
      </c>
      <c r="L334" s="31" t="n">
        <v>72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74.77</v>
      </c>
      <c r="P334" s="32" t="n">
        <v>21.8</v>
      </c>
      <c r="Q334" s="32" t="inlineStr"/>
      <c r="R334" s="31" t="inlineStr">
        <is>
          <t>Earnings / Momentum Support</t>
        </is>
      </c>
      <c r="S334" s="31" t="inlineStr">
        <is>
          <t>Nifty Metal</t>
        </is>
      </c>
      <c r="T334" s="32" t="n">
        <v>31.49</v>
      </c>
      <c r="U334" s="32" t="n">
        <v>122.02</v>
      </c>
      <c r="V334" s="32" t="n">
        <v>68.84999999999999</v>
      </c>
      <c r="W334" s="32" t="n">
        <v>17.89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Headwind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3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IF(B335=0,"",RANK(B335,$B$2:$B$374,0))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BOSCHLTD</t>
        </is>
      </c>
      <c r="D335" s="33" t="inlineStr">
        <is>
          <t>Bosch Limited</t>
        </is>
      </c>
      <c r="E335" s="31" t="inlineStr">
        <is>
          <t>auto</t>
        </is>
      </c>
      <c r="F335" s="31" t="inlineStr">
        <is>
          <t>auto ancillaries</t>
        </is>
      </c>
      <c r="G335" s="31" t="inlineStr">
        <is>
          <t>largecap</t>
        </is>
      </c>
      <c r="H335" s="32" t="n">
        <v>143469.03</v>
      </c>
      <c r="I335" s="32" t="n">
        <v>50000</v>
      </c>
      <c r="J335" s="32" t="n">
        <v>2.8</v>
      </c>
      <c r="K335" s="32" t="n">
        <v>60545</v>
      </c>
      <c r="L335" s="31" t="n">
        <v>23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75.59</v>
      </c>
      <c r="P335" s="32" t="n">
        <v>39.97</v>
      </c>
      <c r="Q335" s="32" t="inlineStr"/>
      <c r="R335" s="31" t="inlineStr">
        <is>
          <t>Earnings / Momentum Support</t>
        </is>
      </c>
      <c r="S335" s="31" t="inlineStr">
        <is>
          <t>Nifty Auto</t>
        </is>
      </c>
      <c r="T335" s="32" t="n">
        <v>13.41</v>
      </c>
      <c r="U335" s="32" t="n">
        <v>8.26</v>
      </c>
      <c r="V335" s="32" t="n">
        <v>-4.55</v>
      </c>
      <c r="W335" s="32" t="n">
        <v>3.48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Headwind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Above 75</t>
        </is>
      </c>
      <c r="BA335" s="31">
        <f>IF(AZ335="Between 50 to 75",10,IF(AZ335="Above 75",0,0))</f>
        <v/>
      </c>
      <c r="BB335" s="31" t="inlineStr">
        <is>
          <t>Stage 3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IF(B336=0,"",RANK(B336,$B$2:$B$374,0))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GUJTHEM</t>
        </is>
      </c>
      <c r="D336" s="33" t="inlineStr">
        <is>
          <t>Gujarat Themis Biosyn Ltd</t>
        </is>
      </c>
      <c r="E336" s="31" t="inlineStr">
        <is>
          <t>healthcare</t>
        </is>
      </c>
      <c r="F336" s="31" t="inlineStr">
        <is>
          <t>pharmaceuticals - indian - bulk drugs</t>
        </is>
      </c>
      <c r="G336" s="31" t="inlineStr">
        <is>
          <t>smallcap</t>
        </is>
      </c>
      <c r="H336" s="32" t="n">
        <v>4479.02</v>
      </c>
      <c r="I336" s="32" t="n">
        <v>422.2</v>
      </c>
      <c r="J336" s="32" t="n">
        <v>2.71</v>
      </c>
      <c r="K336" s="32" t="n">
        <v>665567</v>
      </c>
      <c r="L336" s="31" t="n">
        <v>24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61.06</v>
      </c>
      <c r="P336" s="32" t="n">
        <v>23.62</v>
      </c>
      <c r="Q336" s="32" t="inlineStr"/>
      <c r="R336" s="31" t="inlineStr">
        <is>
          <t>Earnings / Momentum Support</t>
        </is>
      </c>
      <c r="S336" s="31" t="inlineStr">
        <is>
          <t>Nifty Pharma</t>
        </is>
      </c>
      <c r="T336" s="32" t="n">
        <v>23.79</v>
      </c>
      <c r="U336" s="32" t="n">
        <v>8.68</v>
      </c>
      <c r="V336" s="32" t="n">
        <v>-12.2</v>
      </c>
      <c r="W336" s="32" t="n">
        <v>3.58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Oligopoly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Shallow Cyclical (2 to 3 Years Growth)</t>
        </is>
      </c>
      <c r="AG336" s="31">
        <f>IF(AF336="Structural (10 Years Consistency)",10,IF(AF336="Shallow Cyclical (2 to 3 years growth)",5,0))</f>
        <v/>
      </c>
      <c r="AH336" s="31" t="inlineStr">
        <is>
          <t>Yes due to Product Mix change or Operating Leverage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Yes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Allocated capital in Non-core Areas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Above 40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3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Sideways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Overhead supply in last 2 years in last 2 years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Less than 1.5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More than 15%</t>
        </is>
      </c>
      <c r="CC336" s="31">
        <f>IF(CB336="More than 15%",-10,IF(CB336="Less than 15%",10,0))</f>
        <v/>
      </c>
      <c r="CD336" s="31" t="inlineStr">
        <is>
          <t>Yes Upto 10%</t>
        </is>
      </c>
      <c r="CE336" s="31">
        <f>IF(CD336="Yes, more than 10%",-10,IF(CD336="No",10,0))</f>
        <v/>
      </c>
    </row>
    <row r="337">
      <c r="A337" s="31">
        <f>IF(B337=0,"",RANK(B337,$B$2:$B$374,0))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UFLEX</t>
        </is>
      </c>
      <c r="D337" s="33" t="inlineStr">
        <is>
          <t>Uflex Limited</t>
        </is>
      </c>
      <c r="E337" s="31" t="inlineStr">
        <is>
          <t>industrials</t>
        </is>
      </c>
      <c r="F337" s="31" t="inlineStr">
        <is>
          <t>packaging</t>
        </is>
      </c>
      <c r="G337" s="31" t="inlineStr">
        <is>
          <t>smallcap</t>
        </is>
      </c>
      <c r="H337" s="32" t="n">
        <v>4580.74</v>
      </c>
      <c r="I337" s="32" t="n">
        <v>649.1</v>
      </c>
      <c r="J337" s="32" t="n">
        <v>2.33</v>
      </c>
      <c r="K337" s="32" t="n">
        <v>237317</v>
      </c>
      <c r="L337" s="31" t="n">
        <v>4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76.84</v>
      </c>
      <c r="P337" s="32" t="n">
        <v>25.76</v>
      </c>
      <c r="Q337" s="32" t="inlineStr"/>
      <c r="R337" s="31" t="inlineStr">
        <is>
          <t>Earnings / Momentum Support</t>
        </is>
      </c>
      <c r="S337" s="31" t="inlineStr">
        <is>
          <t>Nifty Infra</t>
        </is>
      </c>
      <c r="T337" s="32" t="n">
        <v>1.74</v>
      </c>
      <c r="U337" s="32" t="n">
        <v>-26.47</v>
      </c>
      <c r="V337" s="32" t="n">
        <v>-27.72</v>
      </c>
      <c r="W337" s="32" t="n">
        <v>-3.81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Headwind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20 to 40</t>
        </is>
      </c>
      <c r="AY337" s="31">
        <f>IF(AX337="Above 40",20,IF(AX337="20 to 40",10,IF(AX337="0 to 20",-5,0)))</f>
        <v/>
      </c>
      <c r="AZ337" s="31" t="inlineStr">
        <is>
          <t>Above 75</t>
        </is>
      </c>
      <c r="BA337" s="31">
        <f>IF(AZ337="Between 50 to 75",10,IF(AZ337="Above 75",0,0))</f>
        <v/>
      </c>
      <c r="BB337" s="31" t="inlineStr">
        <is>
          <t>Stage 3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Less than 1.5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More than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IF(B338=0,"",RANK(B338,$B$2:$B$374,0))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DLF</t>
        </is>
      </c>
      <c r="D338" s="33" t="inlineStr">
        <is>
          <t>Dlf Limited</t>
        </is>
      </c>
      <c r="E338" s="31" t="inlineStr">
        <is>
          <t>realty</t>
        </is>
      </c>
      <c r="F338" s="31" t="inlineStr">
        <is>
          <t>construction</t>
        </is>
      </c>
      <c r="G338" s="31" t="inlineStr">
        <is>
          <t>largecap</t>
        </is>
      </c>
      <c r="H338" s="32" t="n">
        <v>168271.69</v>
      </c>
      <c r="I338" s="32" t="n">
        <v>691.05</v>
      </c>
      <c r="J338" s="32" t="n">
        <v>1.65</v>
      </c>
      <c r="K338" s="32" t="n">
        <v>3152072</v>
      </c>
      <c r="L338" s="31" t="n">
        <v>6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59.25</v>
      </c>
      <c r="P338" s="32" t="n">
        <v>13.14</v>
      </c>
      <c r="Q338" s="32" t="inlineStr"/>
      <c r="R338" s="31" t="inlineStr">
        <is>
          <t>Earnings / Momentum Support</t>
        </is>
      </c>
      <c r="S338" s="31" t="inlineStr">
        <is>
          <t>Nifty Realty</t>
        </is>
      </c>
      <c r="T338" s="32" t="n">
        <v>-8.119999999999999</v>
      </c>
      <c r="U338" s="32" t="n">
        <v>-20.41</v>
      </c>
      <c r="V338" s="32" t="n">
        <v>-13.38</v>
      </c>
      <c r="W338" s="32" t="n">
        <v>-1.86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3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IF(B339=0,"",RANK(B339,$B$2:$B$374,0))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CHALET</t>
        </is>
      </c>
      <c r="D339" s="33" t="inlineStr">
        <is>
          <t>Chalet Hotels Ltd</t>
        </is>
      </c>
      <c r="E339" s="31" t="inlineStr">
        <is>
          <t>services</t>
        </is>
      </c>
      <c r="F339" s="31" t="inlineStr">
        <is>
          <t>hotels</t>
        </is>
      </c>
      <c r="G339" s="31" t="inlineStr">
        <is>
          <t>midcap</t>
        </is>
      </c>
      <c r="H339" s="32" t="n">
        <v>19735.75</v>
      </c>
      <c r="I339" s="32" t="n">
        <v>903.95</v>
      </c>
      <c r="J339" s="32" t="n">
        <v>0.31</v>
      </c>
      <c r="K339" s="32" t="n">
        <v>220262</v>
      </c>
      <c r="L339" s="31" t="n">
        <v>15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60.55</v>
      </c>
      <c r="P339" s="32" t="n">
        <v>11.52</v>
      </c>
      <c r="Q339" s="32" t="inlineStr"/>
      <c r="R339" s="31" t="inlineStr">
        <is>
          <t>Earnings / Momentum Support</t>
        </is>
      </c>
      <c r="S339" s="31" t="inlineStr">
        <is>
          <t>Nifty 50</t>
        </is>
      </c>
      <c r="T339" s="32" t="n">
        <v>-1.03</v>
      </c>
      <c r="U339" s="32" t="n">
        <v>-10.7</v>
      </c>
      <c r="V339" s="32" t="n">
        <v>-9.77</v>
      </c>
      <c r="W339" s="32" t="n">
        <v>1.16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3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IF(B340=0,"",RANK(B340,$B$2:$B$374,0))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ANURAS</t>
        </is>
      </c>
      <c r="D340" s="31" t="inlineStr">
        <is>
          <t>Anupam Rasayan India Ltd</t>
        </is>
      </c>
      <c r="E340" s="31" t="inlineStr">
        <is>
          <t>chemicals</t>
        </is>
      </c>
      <c r="F340" s="31" t="inlineStr">
        <is>
          <t>chemicals</t>
        </is>
      </c>
      <c r="G340" s="31" t="inlineStr">
        <is>
          <t>midcap</t>
        </is>
      </c>
      <c r="H340" s="32" t="n">
        <v>14349.44</v>
      </c>
      <c r="I340" s="32" t="n">
        <v>1262.8</v>
      </c>
      <c r="J340" s="32" t="n">
        <v>0.19</v>
      </c>
      <c r="K340" s="32" t="n">
        <v>166656</v>
      </c>
      <c r="L340" s="31" t="n">
        <v>18</v>
      </c>
      <c r="M340" s="31" t="inlineStr">
        <is>
          <t>Outperforming</t>
        </is>
      </c>
      <c r="N340" s="32">
        <f>IF(M340="Underperforming",-5,IF(L340&gt;=95,15,IF(L340&gt;=90,10,IF(L340&gt;=80,5,0))))</f>
        <v/>
      </c>
      <c r="O340" s="32" t="n">
        <v>50.33</v>
      </c>
      <c r="P340" s="32" t="n">
        <v>6.8</v>
      </c>
      <c r="Q340" s="32" t="inlineStr"/>
      <c r="R340" s="31" t="inlineStr">
        <is>
          <t>Earnings / Momentum Support</t>
        </is>
      </c>
      <c r="S340" s="31" t="inlineStr">
        <is>
          <t>Nifty 50</t>
        </is>
      </c>
      <c r="T340" s="32" t="n">
        <v>-1.03</v>
      </c>
      <c r="U340" s="32" t="n">
        <v>11.56</v>
      </c>
      <c r="V340" s="32" t="n">
        <v>12.72</v>
      </c>
      <c r="W340" s="32" t="n">
        <v>1.76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Headwind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3</t>
        </is>
      </c>
      <c r="BC340" s="31">
        <f>IF(BB340="Stage 2",20,IF(BB340="Stage 1",0,IF(BB340="Stage 3",5,IF(BB340="Stage 4",-5,0))))</f>
        <v/>
      </c>
      <c r="BD340" s="31" t="inlineStr">
        <is>
          <t>Negative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IF(B341=0,"",RANK(B341,$B$2:$B$374,0))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TIIL</t>
        </is>
      </c>
      <c r="D341" s="33" t="inlineStr">
        <is>
          <t>Technocraft Industries (india) Limited</t>
        </is>
      </c>
      <c r="E341" s="31" t="inlineStr">
        <is>
          <t>metals &amp; mining</t>
        </is>
      </c>
      <c r="F341" s="31" t="inlineStr">
        <is>
          <t>steel - medium / small</t>
        </is>
      </c>
      <c r="G341" s="31" t="inlineStr">
        <is>
          <t>midcap</t>
        </is>
      </c>
      <c r="H341" s="32" t="n">
        <v>7465.25</v>
      </c>
      <c r="I341" s="32" t="n">
        <v>3281.5</v>
      </c>
      <c r="J341" s="32" t="n">
        <v>-0.34</v>
      </c>
      <c r="K341" s="32" t="n">
        <v>38183</v>
      </c>
      <c r="L341" s="31" t="n">
        <v>5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75.13</v>
      </c>
      <c r="P341" s="32" t="n">
        <v>35.92</v>
      </c>
      <c r="Q341" s="32" t="inlineStr"/>
      <c r="R341" s="31" t="inlineStr">
        <is>
          <t>Earnings / Momentum Support</t>
        </is>
      </c>
      <c r="S341" s="31" t="inlineStr">
        <is>
          <t>Nifty Metal</t>
        </is>
      </c>
      <c r="T341" s="32" t="n">
        <v>31.49</v>
      </c>
      <c r="U341" s="32" t="n">
        <v>-21.23</v>
      </c>
      <c r="V341" s="32" t="n">
        <v>-40.1</v>
      </c>
      <c r="W341" s="32" t="n">
        <v>-2.25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Headwind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Above 75</t>
        </is>
      </c>
      <c r="BA341" s="31">
        <f>IF(AZ341="Between 50 to 75",10,IF(AZ341="Above 75",0,0))</f>
        <v/>
      </c>
      <c r="BB341" s="31" t="inlineStr">
        <is>
          <t>Stage 3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Less than 1.5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IF(B342=0,"",RANK(B342,$B$2:$B$374,0))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BIL</t>
        </is>
      </c>
      <c r="D342" s="31" t="inlineStr">
        <is>
          <t>Bhartiya International Limited</t>
        </is>
      </c>
      <c r="E342" s="31" t="inlineStr">
        <is>
          <t>consumer discretionary</t>
        </is>
      </c>
      <c r="F342" s="31" t="inlineStr">
        <is>
          <t>leather / leather products</t>
        </is>
      </c>
      <c r="G342" s="31" t="inlineStr">
        <is>
          <t>smallcap</t>
        </is>
      </c>
      <c r="H342" s="32" t="n">
        <v>1150.21</v>
      </c>
      <c r="I342" s="32" t="n">
        <v>852.2</v>
      </c>
      <c r="J342" s="32" t="n">
        <v>-0.64</v>
      </c>
      <c r="K342" s="32" t="n">
        <v>23669</v>
      </c>
      <c r="L342" s="31" t="n">
        <v>22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60.8</v>
      </c>
      <c r="P342" s="32" t="n">
        <v>17.51</v>
      </c>
      <c r="Q342" s="32" t="inlineStr"/>
      <c r="R342" s="31" t="inlineStr">
        <is>
          <t>Earnings / Momentum Support</t>
        </is>
      </c>
      <c r="S342" s="31" t="inlineStr">
        <is>
          <t>Nifty 50</t>
        </is>
      </c>
      <c r="T342" s="32" t="n">
        <v>-1.03</v>
      </c>
      <c r="U342" s="32" t="n">
        <v>2.48</v>
      </c>
      <c r="V342" s="32" t="n">
        <v>3.54</v>
      </c>
      <c r="W342" s="32" t="n">
        <v>2.96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3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Between 0.7 to 1.2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IF(B343=0,"",RANK(B343,$B$2:$B$374,0))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AMBER</t>
        </is>
      </c>
      <c r="D343" s="31" t="inlineStr">
        <is>
          <t>Amber Enterprises India Ltd</t>
        </is>
      </c>
      <c r="E343" s="31" t="inlineStr">
        <is>
          <t>consumer discretionary</t>
        </is>
      </c>
      <c r="F343" s="31" t="inlineStr">
        <is>
          <t>air-conditioners</t>
        </is>
      </c>
      <c r="G343" s="31" t="inlineStr">
        <is>
          <t>largecap</t>
        </is>
      </c>
      <c r="H343" s="32" t="n">
        <v>27068.01</v>
      </c>
      <c r="I343" s="32" t="n">
        <v>7620</v>
      </c>
      <c r="J343" s="32" t="n">
        <v>-0.72</v>
      </c>
      <c r="K343" s="32" t="n">
        <v>105370</v>
      </c>
      <c r="L343" s="31" t="n">
        <v>16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52.49</v>
      </c>
      <c r="P343" s="32" t="n">
        <v>4.59</v>
      </c>
      <c r="Q343" s="32" t="inlineStr"/>
      <c r="R343" s="31" t="inlineStr">
        <is>
          <t>Earnings / Momentum Support</t>
        </is>
      </c>
      <c r="S343" s="31" t="inlineStr">
        <is>
          <t>Nifty 50</t>
        </is>
      </c>
      <c r="T343" s="32" t="n">
        <v>-1.03</v>
      </c>
      <c r="U343" s="32" t="n">
        <v>5.61</v>
      </c>
      <c r="V343" s="32" t="n">
        <v>6.7</v>
      </c>
      <c r="W343" s="32" t="n">
        <v>1.39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3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IF(B344=0,"",RANK(B344,$B$2:$B$374,0))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ASIANENE</t>
        </is>
      </c>
      <c r="D344" s="31" t="inlineStr">
        <is>
          <t>Asian Energy Services Ltd</t>
        </is>
      </c>
      <c r="E344" s="31" t="inlineStr">
        <is>
          <t>energy</t>
        </is>
      </c>
      <c r="F344" s="31" t="inlineStr">
        <is>
          <t>oil drilling / allied services</t>
        </is>
      </c>
      <c r="G344" s="31" t="inlineStr">
        <is>
          <t>smallcap</t>
        </is>
      </c>
      <c r="H344" s="32" t="n">
        <v>2338.11</v>
      </c>
      <c r="I344" s="32" t="n">
        <v>471.5</v>
      </c>
      <c r="J344" s="32" t="n">
        <v>-1.93</v>
      </c>
      <c r="K344" s="32" t="n">
        <v>277518</v>
      </c>
      <c r="L344" s="31" t="n">
        <v>47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70.90000000000001</v>
      </c>
      <c r="P344" s="32" t="n">
        <v>22.05</v>
      </c>
      <c r="Q344" s="32" t="inlineStr"/>
      <c r="R344" s="31" t="inlineStr">
        <is>
          <t>Earnings / Momentum Support</t>
        </is>
      </c>
      <c r="S344" s="31" t="inlineStr">
        <is>
          <t>Nifty Energy</t>
        </is>
      </c>
      <c r="T344" s="32" t="n">
        <v>8.41</v>
      </c>
      <c r="U344" s="32" t="n">
        <v>17.9</v>
      </c>
      <c r="V344" s="32" t="n">
        <v>8.76</v>
      </c>
      <c r="W344" s="32" t="n">
        <v>8.279999999999999</v>
      </c>
      <c r="X344" s="31" t="inlineStr">
        <is>
          <t>Cyclical in an Upturn</t>
        </is>
      </c>
      <c r="Y344" s="31">
        <f>IF(X344="Growing Industry",10,IF(X344="Cyclical in an Upturn",5,0))</f>
        <v/>
      </c>
      <c r="Z344" s="31" t="inlineStr">
        <is>
          <t>Oligopoly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Yes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Cyclical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Volatile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20 to 40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3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IF(B345=0,"",RANK(B345,$B$2:$B$374,0))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MANINDS</t>
        </is>
      </c>
      <c r="D345" s="33" t="inlineStr">
        <is>
          <t>Man Industries (india) Limited</t>
        </is>
      </c>
      <c r="E345" s="31" t="inlineStr">
        <is>
          <t>metals &amp; mining</t>
        </is>
      </c>
      <c r="F345" s="31" t="inlineStr">
        <is>
          <t>steel - medium / small</t>
        </is>
      </c>
      <c r="G345" s="31" t="inlineStr">
        <is>
          <t>midcap</t>
        </is>
      </c>
      <c r="H345" s="32" t="n">
        <v>5762.24</v>
      </c>
      <c r="I345" s="32" t="n">
        <v>752.95</v>
      </c>
      <c r="J345" s="32" t="n">
        <v>-1.99</v>
      </c>
      <c r="K345" s="32" t="n">
        <v>486506</v>
      </c>
      <c r="L345" s="31" t="n">
        <v>37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75.15000000000001</v>
      </c>
      <c r="P345" s="32" t="n">
        <v>32.28</v>
      </c>
      <c r="Q345" s="32" t="inlineStr"/>
      <c r="R345" s="31" t="inlineStr">
        <is>
          <t>Earnings / Momentum Support</t>
        </is>
      </c>
      <c r="S345" s="31" t="inlineStr">
        <is>
          <t>Nifty Metal</t>
        </is>
      </c>
      <c r="T345" s="32" t="n">
        <v>31.49</v>
      </c>
      <c r="U345" s="32" t="n">
        <v>21.23</v>
      </c>
      <c r="V345" s="32" t="n">
        <v>-7.8</v>
      </c>
      <c r="W345" s="32" t="n">
        <v>6.28</v>
      </c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20 to 40</t>
        </is>
      </c>
      <c r="AY345" s="31">
        <f>IF(AX345="Above 40",20,IF(AX345="20 to 40",10,IF(AX345="0 to 20",-5,0)))</f>
        <v/>
      </c>
      <c r="AZ345" s="31" t="inlineStr">
        <is>
          <t>Above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IF(B346=0,"",RANK(B346,$B$2:$B$374,0))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SAIL</t>
        </is>
      </c>
      <c r="D346" s="33" t="inlineStr">
        <is>
          <t>Steel Authority Of India Limited</t>
        </is>
      </c>
      <c r="E346" s="31" t="inlineStr">
        <is>
          <t>metals &amp; mining</t>
        </is>
      </c>
      <c r="F346" s="31" t="inlineStr">
        <is>
          <t>steel - large</t>
        </is>
      </c>
      <c r="G346" s="31" t="inlineStr">
        <is>
          <t>largecap</t>
        </is>
      </c>
      <c r="H346" s="32" t="n">
        <v>82610.50999999999</v>
      </c>
      <c r="I346" s="32" t="n">
        <v>195</v>
      </c>
      <c r="J346" s="32" t="n">
        <v>-2.5</v>
      </c>
      <c r="K346" s="32" t="n">
        <v>22055932</v>
      </c>
      <c r="L346" s="31" t="n">
        <v>22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65.73999999999999</v>
      </c>
      <c r="P346" s="32" t="n">
        <v>21.41</v>
      </c>
      <c r="Q346" s="32" t="inlineStr"/>
      <c r="R346" s="31" t="inlineStr">
        <is>
          <t>Earnings / Momentum Support</t>
        </is>
      </c>
      <c r="S346" s="31" t="inlineStr">
        <is>
          <t>Nifty Metal</t>
        </is>
      </c>
      <c r="T346" s="32" t="n">
        <v>31.49</v>
      </c>
      <c r="U346" s="32" t="n">
        <v>20.98</v>
      </c>
      <c r="V346" s="32" t="n">
        <v>-7.99</v>
      </c>
      <c r="W346" s="32" t="n">
        <v>3.15</v>
      </c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Cyclical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3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IF(B347=0,"",RANK(B347,$B$2:$B$374,0))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JYOTICNC</t>
        </is>
      </c>
      <c r="D347" s="31" t="inlineStr">
        <is>
          <t>Jyoti CNC Automation Ltd</t>
        </is>
      </c>
      <c r="E347" s="31" t="inlineStr">
        <is>
          <t>industrials</t>
        </is>
      </c>
      <c r="F347" s="31" t="inlineStr">
        <is>
          <t>engineering</t>
        </is>
      </c>
      <c r="G347" s="31" t="inlineStr">
        <is>
          <t>largecap</t>
        </is>
      </c>
      <c r="H347" s="32" t="n">
        <v>23638.36</v>
      </c>
      <c r="I347" s="32" t="n">
        <v>994.95</v>
      </c>
      <c r="J347" s="32" t="n">
        <v>-4.28</v>
      </c>
      <c r="K347" s="32" t="n">
        <v>1082315</v>
      </c>
      <c r="L347" s="31" t="n">
        <v>82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70.41</v>
      </c>
      <c r="P347" s="32" t="n">
        <v>17.02</v>
      </c>
      <c r="Q347" s="32" t="inlineStr"/>
      <c r="R347" s="31" t="inlineStr">
        <is>
          <t>Earnings / Momentum Support</t>
        </is>
      </c>
      <c r="S347" s="31" t="inlineStr">
        <is>
          <t>Nifty 50</t>
        </is>
      </c>
      <c r="T347" s="32" t="n">
        <v>-1.03</v>
      </c>
      <c r="U347" s="32" t="n">
        <v>14.07</v>
      </c>
      <c r="V347" s="32" t="n">
        <v>15.25</v>
      </c>
      <c r="W347" s="32" t="n">
        <v>22.7</v>
      </c>
      <c r="X347" s="31" t="inlineStr">
        <is>
          <t>Cyclical in an Upturn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3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IF(B348=0,"",RANK(B348,$B$2:$B$374,0))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MAXESTATES</t>
        </is>
      </c>
      <c r="D348" s="33" t="inlineStr">
        <is>
          <t>Max Estates Ltd</t>
        </is>
      </c>
      <c r="E348" s="31" t="inlineStr">
        <is>
          <t>realty</t>
        </is>
      </c>
      <c r="F348" s="31" t="inlineStr">
        <is>
          <t>construction</t>
        </is>
      </c>
      <c r="G348" s="31" t="inlineStr">
        <is>
          <t>midcap</t>
        </is>
      </c>
      <c r="H348" s="32" t="n">
        <v>8813.32</v>
      </c>
      <c r="I348" s="32" t="n">
        <v>512.5</v>
      </c>
      <c r="J348" s="32" t="n">
        <v>-4.93</v>
      </c>
      <c r="K348" s="32" t="n">
        <v>887005</v>
      </c>
      <c r="L348" s="31" t="n">
        <v>3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69.34999999999999</v>
      </c>
      <c r="P348" s="32" t="n">
        <v>23.6</v>
      </c>
      <c r="Q348" s="32" t="inlineStr"/>
      <c r="R348" s="31" t="inlineStr">
        <is>
          <t>Earnings / Momentum Support</t>
        </is>
      </c>
      <c r="S348" s="31" t="inlineStr">
        <is>
          <t>Nifty Realty</t>
        </is>
      </c>
      <c r="T348" s="32" t="n">
        <v>-8.119999999999999</v>
      </c>
      <c r="U348" s="32" t="n">
        <v>-25.68</v>
      </c>
      <c r="V348" s="32" t="n">
        <v>-19.12</v>
      </c>
      <c r="W348" s="32" t="n">
        <v>-4.36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Headwind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20 to 40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3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Between 0.7 to 1.2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IF(B349=0,"",RANK(B349,$B$2:$B$374,0))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HCG</t>
        </is>
      </c>
      <c r="D349" s="33" t="inlineStr">
        <is>
          <t>Healthcare Global Enterprises Limited</t>
        </is>
      </c>
      <c r="E349" s="31" t="inlineStr">
        <is>
          <t>healthcare</t>
        </is>
      </c>
      <c r="F349" s="31" t="inlineStr">
        <is>
          <t>healthcare</t>
        </is>
      </c>
      <c r="G349" s="31" t="inlineStr">
        <is>
          <t>midcap</t>
        </is>
      </c>
      <c r="H349" s="32" t="n">
        <v>10395.91</v>
      </c>
      <c r="I349" s="32" t="n">
        <v>733.3</v>
      </c>
      <c r="J349" s="32" t="n">
        <v>5.31</v>
      </c>
      <c r="K349" s="32" t="n">
        <v>264044</v>
      </c>
      <c r="L349" s="31" t="n">
        <v>23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61.47</v>
      </c>
      <c r="P349" s="32" t="n">
        <v>33.55</v>
      </c>
      <c r="Q349" s="32" t="inlineStr"/>
      <c r="R349" s="31" t="inlineStr">
        <is>
          <t>Earnings / Momentum Support</t>
        </is>
      </c>
      <c r="S349" s="31" t="inlineStr">
        <is>
          <t>Nifty Pharma</t>
        </is>
      </c>
      <c r="T349" s="32" t="n">
        <v>23.79</v>
      </c>
      <c r="U349" s="32" t="n">
        <v>3.35</v>
      </c>
      <c r="V349" s="32" t="n">
        <v>-16.52</v>
      </c>
      <c r="W349" s="32" t="n">
        <v>3.33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Yes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Annuity, Lower One Time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20 to 40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3</t>
        </is>
      </c>
      <c r="BC349" s="31">
        <f>IF(BB349="Stage 2",20,IF(BB349="Stage 1",0,IF(BB349="Stage 3",5,IF(BB349="Stage 4",-5,0))))</f>
        <v/>
      </c>
      <c r="BD349" s="31" t="inlineStr">
        <is>
          <t>Negative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More than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More than 1.2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IF(B350=0,"",RANK(B350,$B$2:$B$374,0))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GODREJAGRO</t>
        </is>
      </c>
      <c r="D350" s="33" t="inlineStr">
        <is>
          <t>Godrej Agrovet Ltd</t>
        </is>
      </c>
      <c r="E350" s="31" t="inlineStr">
        <is>
          <t>fmcg</t>
        </is>
      </c>
      <c r="F350" s="31" t="inlineStr">
        <is>
          <t>food - processing - indian</t>
        </is>
      </c>
      <c r="G350" s="31" t="inlineStr">
        <is>
          <t>midcap</t>
        </is>
      </c>
      <c r="H350" s="32" t="n">
        <v>11720.49</v>
      </c>
      <c r="I350" s="32" t="n">
        <v>615.3</v>
      </c>
      <c r="J350" s="32" t="n">
        <v>0.98</v>
      </c>
      <c r="K350" s="32" t="n">
        <v>353606</v>
      </c>
      <c r="L350" s="31" t="n">
        <v>2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58.74</v>
      </c>
      <c r="P350" s="32" t="n">
        <v>16.55</v>
      </c>
      <c r="Q350" s="32" t="inlineStr"/>
      <c r="R350" s="31" t="inlineStr">
        <is>
          <t>Earnings / Momentum Support</t>
        </is>
      </c>
      <c r="S350" s="31" t="inlineStr">
        <is>
          <t>Nifty FMCG</t>
        </is>
      </c>
      <c r="T350" s="32" t="n">
        <v>-13.73</v>
      </c>
      <c r="U350" s="32" t="n">
        <v>-28.15</v>
      </c>
      <c r="V350" s="32" t="n">
        <v>-16.71</v>
      </c>
      <c r="W350" s="32" t="n">
        <v>-7.24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Headwind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B2C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Annuity, Lower One Time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Less than 12%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Between 0.7 to 1.2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IF(B351=0,"",RANK(B351,$B$2:$B$374,0))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UNOMINDA</t>
        </is>
      </c>
      <c r="D351" s="33" t="inlineStr">
        <is>
          <t>Uno Minda Ltd</t>
        </is>
      </c>
      <c r="E351" s="31" t="inlineStr">
        <is>
          <t>auto</t>
        </is>
      </c>
      <c r="F351" s="31" t="inlineStr">
        <is>
          <t>auto ancillaries</t>
        </is>
      </c>
      <c r="G351" s="31" t="inlineStr">
        <is>
          <t>largecap</t>
        </is>
      </c>
      <c r="H351" s="32" t="n">
        <v>73684.82000000001</v>
      </c>
      <c r="I351" s="32" t="n">
        <v>1276</v>
      </c>
      <c r="J351" s="32" t="n">
        <v>0</v>
      </c>
      <c r="K351" s="32" t="n">
        <v>693607</v>
      </c>
      <c r="L351" s="31" t="n">
        <v>20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61.34</v>
      </c>
      <c r="P351" s="32" t="n">
        <v>18.55</v>
      </c>
      <c r="Q351" s="32" t="inlineStr"/>
      <c r="R351" s="31" t="inlineStr">
        <is>
          <t>Earnings / Momentum Support</t>
        </is>
      </c>
      <c r="S351" s="31" t="inlineStr">
        <is>
          <t>Nifty Auto</t>
        </is>
      </c>
      <c r="T351" s="32" t="n">
        <v>13.41</v>
      </c>
      <c r="U351" s="32" t="n">
        <v>6.28</v>
      </c>
      <c r="V351" s="32" t="n">
        <v>-6.29</v>
      </c>
      <c r="W351" s="32" t="n">
        <v>2.51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3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Yes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IF(B352=0,"",RANK(B352,$B$2:$B$374,0))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SIMPLEXINF</t>
        </is>
      </c>
      <c r="D352" s="33" t="inlineStr">
        <is>
          <t>Simplex Infrastructures Limited</t>
        </is>
      </c>
      <c r="E352" s="31" t="inlineStr">
        <is>
          <t>realty</t>
        </is>
      </c>
      <c r="F352" s="31" t="inlineStr">
        <is>
          <t>construction</t>
        </is>
      </c>
      <c r="G352" s="31" t="inlineStr">
        <is>
          <t>smallcap</t>
        </is>
      </c>
      <c r="H352" s="32" t="n">
        <v>2195.61</v>
      </c>
      <c r="I352" s="32" t="n">
        <v>268.83</v>
      </c>
      <c r="J352" s="32" t="n">
        <v>-3.16</v>
      </c>
      <c r="K352" s="32" t="n">
        <v>211640</v>
      </c>
      <c r="L352" s="31" t="n">
        <v>12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59.75</v>
      </c>
      <c r="P352" s="32" t="n">
        <v>19.63</v>
      </c>
      <c r="Q352" s="32" t="inlineStr"/>
      <c r="R352" s="31" t="inlineStr">
        <is>
          <t>Earnings / Momentum Support</t>
        </is>
      </c>
      <c r="S352" s="31" t="inlineStr">
        <is>
          <t>Nifty Realty</t>
        </is>
      </c>
      <c r="T352" s="32" t="n">
        <v>-8.119999999999999</v>
      </c>
      <c r="U352" s="32" t="n">
        <v>-17.82</v>
      </c>
      <c r="V352" s="32" t="n">
        <v>-10.56</v>
      </c>
      <c r="W352" s="32" t="n">
        <v>-0.03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3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More than 20%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Less than 1.5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More than 1.2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IF(B353=0,"",RANK(B353,$B$2:$B$374,0))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DICIND</t>
        </is>
      </c>
      <c r="D353" s="31" t="inlineStr">
        <is>
          <t>Dic India Limited</t>
        </is>
      </c>
      <c r="E353" s="31" t="inlineStr">
        <is>
          <t>chemicals</t>
        </is>
      </c>
      <c r="F353" s="31" t="inlineStr">
        <is>
          <t>chemicals</t>
        </is>
      </c>
      <c r="G353" s="31" t="inlineStr">
        <is>
          <t>smallcap</t>
        </is>
      </c>
      <c r="H353" s="32" t="n">
        <v>555.88</v>
      </c>
      <c r="I353" s="32" t="n">
        <v>576.8</v>
      </c>
      <c r="J353" s="32" t="n">
        <v>-4.76</v>
      </c>
      <c r="K353" s="32" t="n">
        <v>7259</v>
      </c>
      <c r="L353" s="31" t="n">
        <v>33</v>
      </c>
      <c r="M353" s="31" t="inlineStr">
        <is>
          <t>Outperforming</t>
        </is>
      </c>
      <c r="N353" s="32">
        <f>IF(M353="Underperforming",-5,IF(L353&gt;=95,15,IF(L353&gt;=90,10,IF(L353&gt;=80,5,0))))</f>
        <v/>
      </c>
      <c r="O353" s="32" t="n">
        <v>69.15000000000001</v>
      </c>
      <c r="P353" s="32" t="n">
        <v>17.13</v>
      </c>
      <c r="Q353" s="32" t="inlineStr"/>
      <c r="R353" s="31" t="inlineStr">
        <is>
          <t>Earnings / Momentum Support</t>
        </is>
      </c>
      <c r="S353" s="31" t="inlineStr">
        <is>
          <t>Nifty 50</t>
        </is>
      </c>
      <c r="T353" s="32" t="n">
        <v>-1.03</v>
      </c>
      <c r="U353" s="32" t="n">
        <v>3.93</v>
      </c>
      <c r="V353" s="32" t="n">
        <v>5.01</v>
      </c>
      <c r="W353" s="32" t="n">
        <v>5.54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3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Negative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IF(B354=0,"",RANK(B354,$B$2:$B$374,0))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3" t="inlineStr">
        <is>
          <t>DOLPHIN</t>
        </is>
      </c>
      <c r="D354" s="33" t="inlineStr">
        <is>
          <t>Dolphin Offshore Enterprises (India) Ltd</t>
        </is>
      </c>
      <c r="E354" s="31" t="inlineStr">
        <is>
          <t>energy</t>
        </is>
      </c>
      <c r="F354" s="31" t="inlineStr">
        <is>
          <t>oil drilling / allied services</t>
        </is>
      </c>
      <c r="G354" s="31" t="inlineStr">
        <is>
          <t>smallcap</t>
        </is>
      </c>
      <c r="H354" s="32" t="n">
        <v>2450.48</v>
      </c>
      <c r="I354" s="32" t="n">
        <v>583.25</v>
      </c>
      <c r="J354" s="32" t="n">
        <v>-4.78</v>
      </c>
      <c r="K354" s="32" t="n">
        <v>93088</v>
      </c>
      <c r="L354" s="31" t="n">
        <v>4</v>
      </c>
      <c r="M354" s="31" t="inlineStr">
        <is>
          <t>Underperforming</t>
        </is>
      </c>
      <c r="N354" s="32">
        <f>IF(M354="Underperforming",-5,IF(L354&gt;=95,15,IF(L354&gt;=90,10,IF(L354&gt;=80,5,0))))</f>
        <v/>
      </c>
      <c r="O354" s="32" t="n">
        <v>75.22</v>
      </c>
      <c r="P354" s="32" t="n">
        <v>35.9</v>
      </c>
      <c r="Q354" s="32" t="inlineStr"/>
      <c r="R354" s="31" t="inlineStr">
        <is>
          <t>Earnings / Momentum Support</t>
        </is>
      </c>
      <c r="S354" s="31" t="inlineStr">
        <is>
          <t>Nifty Energy</t>
        </is>
      </c>
      <c r="T354" s="32" t="n">
        <v>8.41</v>
      </c>
      <c r="U354" s="32" t="n">
        <v>-16.64</v>
      </c>
      <c r="V354" s="32" t="n">
        <v>-23.1</v>
      </c>
      <c r="W354" s="32" t="n">
        <v>-3.81</v>
      </c>
      <c r="X354" s="31" t="inlineStr">
        <is>
          <t>Cyclical in an Upturn</t>
        </is>
      </c>
      <c r="Y354" s="31">
        <f>IF(X354="Growing Industry",10,IF(X354="Cyclical in an Upturn",5,0))</f>
        <v/>
      </c>
      <c r="Z354" s="31" t="inlineStr">
        <is>
          <t>Oligopoly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Yes</t>
        </is>
      </c>
      <c r="AC354" s="31">
        <f>IF(AB354="No",5,0)</f>
        <v/>
      </c>
      <c r="AD354" s="31" t="inlineStr">
        <is>
          <t>Headwind</t>
        </is>
      </c>
      <c r="AE354" s="31">
        <f>IF(AD354="Tailwind",10,0)</f>
        <v/>
      </c>
      <c r="AF354" s="31" t="inlineStr">
        <is>
          <t>Cyclical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Volatile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20 to 40</t>
        </is>
      </c>
      <c r="AY354" s="31">
        <f>IF(AX354="Above 40",20,IF(AX354="20 to 40",10,IF(AX354="0 to 20",-5,0)))</f>
        <v/>
      </c>
      <c r="AZ354" s="31" t="inlineStr">
        <is>
          <t>Above 75</t>
        </is>
      </c>
      <c r="BA354" s="31">
        <f>IF(AZ354="Between 50 to 75",10,IF(AZ354="Above 75",0,0))</f>
        <v/>
      </c>
      <c r="BB354" s="31" t="inlineStr">
        <is>
          <t>Stage 3</t>
        </is>
      </c>
      <c r="BC354" s="31">
        <f>IF(BB354="Stage 2",20,IF(BB354="Stage 1",0,IF(BB354="Stage 3",5,IF(BB354="Stage 4",-5,0))))</f>
        <v/>
      </c>
      <c r="BD354" s="31" t="inlineStr">
        <is>
          <t>Negative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Less than 1.5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IF(B355=0,"",RANK(B355,$B$2:$B$374,0))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3" t="inlineStr">
        <is>
          <t>NSLNISP</t>
        </is>
      </c>
      <c r="D355" s="33" t="inlineStr">
        <is>
          <t>NMDC Steel Ltd</t>
        </is>
      </c>
      <c r="E355" s="31" t="inlineStr">
        <is>
          <t>metals &amp; mining</t>
        </is>
      </c>
      <c r="F355" s="31" t="inlineStr">
        <is>
          <t>steel - large</t>
        </is>
      </c>
      <c r="G355" s="31" t="inlineStr">
        <is>
          <t>midcap</t>
        </is>
      </c>
      <c r="H355" s="32" t="n">
        <v>14365.83</v>
      </c>
      <c r="I355" s="32" t="n">
        <v>46.19</v>
      </c>
      <c r="J355" s="32" t="n">
        <v>-5.77</v>
      </c>
      <c r="K355" s="32" t="n">
        <v>16317011</v>
      </c>
      <c r="L355" s="31" t="n">
        <v>18</v>
      </c>
      <c r="M355" s="31" t="inlineStr">
        <is>
          <t>Underperforming</t>
        </is>
      </c>
      <c r="N355" s="32">
        <f>IF(M355="Underperforming",-5,IF(L355&gt;=95,15,IF(L355&gt;=90,10,IF(L355&gt;=80,5,0))))</f>
        <v/>
      </c>
      <c r="O355" s="32" t="n">
        <v>59.99</v>
      </c>
      <c r="P355" s="32" t="n">
        <v>23.63</v>
      </c>
      <c r="Q355" s="32" t="inlineStr"/>
      <c r="R355" s="31" t="inlineStr">
        <is>
          <t>Earnings / Momentum Support</t>
        </is>
      </c>
      <c r="S355" s="31" t="inlineStr">
        <is>
          <t>Nifty Metal</t>
        </is>
      </c>
      <c r="T355" s="32" t="n">
        <v>31.49</v>
      </c>
      <c r="U355" s="32" t="n">
        <v>8.890000000000001</v>
      </c>
      <c r="V355" s="32" t="n">
        <v>-17.19</v>
      </c>
      <c r="W355" s="32" t="n">
        <v>1.98</v>
      </c>
      <c r="X355" s="31" t="inlineStr">
        <is>
          <t>Cyclical in an Upturn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Headwind</t>
        </is>
      </c>
      <c r="AE355" s="31">
        <f>IF(AD355="Tailwind",10,0)</f>
        <v/>
      </c>
      <c r="AF355" s="31" t="inlineStr">
        <is>
          <t>Cyclical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20 to 40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3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Yes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IF(B356=0,"",RANK(B356,$B$2:$B$374,0))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SALSTEEL</t>
        </is>
      </c>
      <c r="D356" s="31" t="inlineStr">
        <is>
          <t>SAL Steel</t>
        </is>
      </c>
      <c r="E356" s="31" t="inlineStr">
        <is>
          <t>metals &amp; mining</t>
        </is>
      </c>
      <c r="F356" s="31" t="inlineStr">
        <is>
          <t>steel - sponge iron</t>
        </is>
      </c>
      <c r="G356" s="31" t="inlineStr">
        <is>
          <t>smallcap</t>
        </is>
      </c>
      <c r="H356" s="32" t="n">
        <v>1088.07</v>
      </c>
      <c r="I356" s="32" t="n">
        <v>78.8</v>
      </c>
      <c r="J356" s="32" t="n">
        <v>4.84</v>
      </c>
      <c r="K356" s="32" t="n">
        <v>435331</v>
      </c>
      <c r="L356" s="31" t="n">
        <v>90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71.37</v>
      </c>
      <c r="P356" s="32" t="n">
        <v>28.23</v>
      </c>
      <c r="Q356" s="32" t="inlineStr"/>
      <c r="R356" s="31" t="inlineStr">
        <is>
          <t>Earnings / Momentum Support</t>
        </is>
      </c>
      <c r="S356" s="31" t="inlineStr">
        <is>
          <t>Nifty Metal</t>
        </is>
      </c>
      <c r="T356" s="32" t="n">
        <v>31.49</v>
      </c>
      <c r="U356" s="32" t="n">
        <v>216.19</v>
      </c>
      <c r="V356" s="32" t="n">
        <v>140.46</v>
      </c>
      <c r="W356" s="32" t="n">
        <v>28.4</v>
      </c>
      <c r="X356" s="31" t="inlineStr">
        <is>
          <t>Cyclical in an Upturn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Cyclical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Volatile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20 to 40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3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More than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IF(B357=0,"",RANK(B357,$B$2:$B$374,0))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3" t="inlineStr">
        <is>
          <t>RATNAVEER</t>
        </is>
      </c>
      <c r="D357" s="33" t="inlineStr">
        <is>
          <t>Ratnaveer Precision Engineering Ltd</t>
        </is>
      </c>
      <c r="E357" s="31" t="inlineStr">
        <is>
          <t>metals &amp; mining</t>
        </is>
      </c>
      <c r="F357" s="31" t="inlineStr">
        <is>
          <t>steel - medium / small</t>
        </is>
      </c>
      <c r="G357" s="31" t="inlineStr">
        <is>
          <t>smallcap</t>
        </is>
      </c>
      <c r="H357" s="32" t="n">
        <v>2106.73</v>
      </c>
      <c r="I357" s="32" t="n">
        <v>306.02</v>
      </c>
      <c r="J357" s="32" t="n">
        <v>3.75</v>
      </c>
      <c r="K357" s="32" t="n">
        <v>9205781</v>
      </c>
      <c r="L357" s="31" t="n">
        <v>42</v>
      </c>
      <c r="M357" s="31" t="inlineStr">
        <is>
          <t>Underperforming</t>
        </is>
      </c>
      <c r="N357" s="32">
        <f>IF(M357="Underperforming",-5,IF(L357&gt;=95,15,IF(L357&gt;=90,10,IF(L357&gt;=80,5,0))))</f>
        <v/>
      </c>
      <c r="O357" s="32" t="n">
        <v>82.14</v>
      </c>
      <c r="P357" s="32" t="n">
        <v>54.72</v>
      </c>
      <c r="Q357" s="32" t="inlineStr"/>
      <c r="R357" s="31" t="inlineStr">
        <is>
          <t>Earnings / Momentum Support</t>
        </is>
      </c>
      <c r="S357" s="31" t="inlineStr">
        <is>
          <t>Nifty Metal</t>
        </is>
      </c>
      <c r="T357" s="32" t="n">
        <v>31.49</v>
      </c>
      <c r="U357" s="32" t="n">
        <v>20.72</v>
      </c>
      <c r="V357" s="32" t="n">
        <v>-8.19</v>
      </c>
      <c r="W357" s="32" t="n">
        <v>7.17</v>
      </c>
      <c r="X357" s="31" t="inlineStr">
        <is>
          <t>Cyclical in an Upturn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Cyclical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Above 40</t>
        </is>
      </c>
      <c r="AY357" s="31">
        <f>IF(AX357="Above 40",20,IF(AX357="20 to 40",10,IF(AX357="0 to 20",-5,0)))</f>
        <v/>
      </c>
      <c r="AZ357" s="31" t="inlineStr">
        <is>
          <t>Above 75</t>
        </is>
      </c>
      <c r="BA357" s="31">
        <f>IF(AZ357="Between 50 to 75",10,IF(AZ357="Above 75",0,0))</f>
        <v/>
      </c>
      <c r="BB357" s="31" t="inlineStr">
        <is>
          <t>Stage 3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Less than 12%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IF(B358=0,"",RANK(B358,$B$2:$B$374,0))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3" t="inlineStr">
        <is>
          <t>GAIL</t>
        </is>
      </c>
      <c r="D358" s="33" t="inlineStr">
        <is>
          <t>Gail (india) Limited</t>
        </is>
      </c>
      <c r="E358" s="31" t="inlineStr">
        <is>
          <t>energy</t>
        </is>
      </c>
      <c r="F358" s="31" t="inlineStr">
        <is>
          <t>miscellaneous</t>
        </is>
      </c>
      <c r="G358" s="31" t="inlineStr">
        <is>
          <t>largecap</t>
        </is>
      </c>
      <c r="H358" s="32" t="n">
        <v>112499.95</v>
      </c>
      <c r="I358" s="32" t="n">
        <v>177.5</v>
      </c>
      <c r="J358" s="32" t="n">
        <v>3.74</v>
      </c>
      <c r="K358" s="32" t="n">
        <v>13012294</v>
      </c>
      <c r="L358" s="31" t="n">
        <v>15</v>
      </c>
      <c r="M358" s="31" t="inlineStr">
        <is>
          <t>Underperforming</t>
        </is>
      </c>
      <c r="N358" s="32">
        <f>IF(M358="Underperforming",-5,IF(L358&gt;=95,15,IF(L358&gt;=90,10,IF(L358&gt;=80,5,0))))</f>
        <v/>
      </c>
      <c r="O358" s="32" t="n">
        <v>52.61</v>
      </c>
      <c r="P358" s="32" t="n">
        <v>7.05</v>
      </c>
      <c r="Q358" s="32" t="inlineStr"/>
      <c r="R358" s="31" t="inlineStr">
        <is>
          <t>Earnings / Momentum Support</t>
        </is>
      </c>
      <c r="S358" s="31" t="inlineStr">
        <is>
          <t>Nifty Energy</t>
        </is>
      </c>
      <c r="T358" s="32" t="n">
        <v>8.41</v>
      </c>
      <c r="U358" s="32" t="n">
        <v>-4.14</v>
      </c>
      <c r="V358" s="32" t="n">
        <v>-11.58</v>
      </c>
      <c r="W358" s="32" t="n">
        <v>0.99</v>
      </c>
      <c r="X358" s="31" t="inlineStr">
        <is>
          <t>Cyclical in an Upturn</t>
        </is>
      </c>
      <c r="Y358" s="31">
        <f>IF(X358="Growing Industry",10,IF(X358="Cyclical in an Upturn",5,0))</f>
        <v/>
      </c>
      <c r="Z358" s="31" t="inlineStr">
        <is>
          <t>Oligopoly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Yes</t>
        </is>
      </c>
      <c r="AC358" s="31">
        <f>IF(AB358="No",5,0)</f>
        <v/>
      </c>
      <c r="AD358" s="31" t="inlineStr">
        <is>
          <t>Headwind</t>
        </is>
      </c>
      <c r="AE358" s="31">
        <f>IF(AD358="Tailwind",10,0)</f>
        <v/>
      </c>
      <c r="AF358" s="31" t="inlineStr">
        <is>
          <t>Cyclical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Volatile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3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No</t>
        </is>
      </c>
      <c r="BS358" s="31">
        <f>IF(BR358="NO",5,0)</f>
        <v/>
      </c>
      <c r="BT358" s="31" t="inlineStr">
        <is>
          <t>Less than 1.5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IF(B359=0,"",RANK(B359,$B$2:$B$374,0))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3" t="inlineStr">
        <is>
          <t>PETRONET</t>
        </is>
      </c>
      <c r="D359" s="33" t="inlineStr">
        <is>
          <t>Petronet Lng Limited</t>
        </is>
      </c>
      <c r="E359" s="31" t="inlineStr">
        <is>
          <t>energy</t>
        </is>
      </c>
      <c r="F359" s="31" t="inlineStr">
        <is>
          <t>miscellaneous</t>
        </is>
      </c>
      <c r="G359" s="31" t="inlineStr">
        <is>
          <t>largecap</t>
        </is>
      </c>
      <c r="H359" s="32" t="n">
        <v>43800</v>
      </c>
      <c r="I359" s="32" t="n">
        <v>300.6</v>
      </c>
      <c r="J359" s="32" t="n">
        <v>2.95</v>
      </c>
      <c r="K359" s="32" t="n">
        <v>2880149</v>
      </c>
      <c r="L359" s="31" t="n">
        <v>8</v>
      </c>
      <c r="M359" s="31" t="inlineStr">
        <is>
          <t>Underperforming</t>
        </is>
      </c>
      <c r="N359" s="32">
        <f>IF(M359="Underperforming",-5,IF(L359&gt;=95,15,IF(L359&gt;=90,10,IF(L359&gt;=80,5,0))))</f>
        <v/>
      </c>
      <c r="O359" s="32" t="n">
        <v>58.23</v>
      </c>
      <c r="P359" s="32" t="n">
        <v>7.68</v>
      </c>
      <c r="Q359" s="32" t="inlineStr"/>
      <c r="R359" s="31" t="inlineStr">
        <is>
          <t>Earnings / Momentum Support</t>
        </is>
      </c>
      <c r="S359" s="31" t="inlineStr">
        <is>
          <t>Nifty Energy</t>
        </is>
      </c>
      <c r="T359" s="32" t="n">
        <v>8.41</v>
      </c>
      <c r="U359" s="32" t="n">
        <v>-6.53</v>
      </c>
      <c r="V359" s="32" t="n">
        <v>-13.78</v>
      </c>
      <c r="W359" s="32" t="n">
        <v>-0.93</v>
      </c>
      <c r="X359" s="31" t="inlineStr">
        <is>
          <t>Cyclical in an Upturn</t>
        </is>
      </c>
      <c r="Y359" s="31">
        <f>IF(X359="Growing Industry",10,IF(X359="Cyclical in an Upturn",5,0))</f>
        <v/>
      </c>
      <c r="Z359" s="31" t="inlineStr">
        <is>
          <t>Oligopoly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Yes</t>
        </is>
      </c>
      <c r="AC359" s="31">
        <f>IF(AB359="No",5,0)</f>
        <v/>
      </c>
      <c r="AD359" s="31" t="inlineStr">
        <is>
          <t>Headwind</t>
        </is>
      </c>
      <c r="AE359" s="31">
        <f>IF(AD359="Tailwind",10,0)</f>
        <v/>
      </c>
      <c r="AF359" s="31" t="inlineStr">
        <is>
          <t>Cyclical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Volatile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3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More than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Less than 1.5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IF(B360=0,"",RANK(B360,$B$2:$B$374,0))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3" t="inlineStr">
        <is>
          <t>KSL</t>
        </is>
      </c>
      <c r="D360" s="33" t="inlineStr">
        <is>
          <t>Kalyani Steels Limited</t>
        </is>
      </c>
      <c r="E360" s="31" t="inlineStr">
        <is>
          <t>metals &amp; mining</t>
        </is>
      </c>
      <c r="F360" s="31" t="inlineStr">
        <is>
          <t>steel - medium / small</t>
        </is>
      </c>
      <c r="G360" s="31" t="inlineStr">
        <is>
          <t>smallcap</t>
        </is>
      </c>
      <c r="H360" s="32" t="n">
        <v>3877.92</v>
      </c>
      <c r="I360" s="32" t="n">
        <v>909.75</v>
      </c>
      <c r="J360" s="32" t="n">
        <v>2.41</v>
      </c>
      <c r="K360" s="32" t="n">
        <v>126318</v>
      </c>
      <c r="L360" s="31" t="n">
        <v>38</v>
      </c>
      <c r="M360" s="31" t="inlineStr">
        <is>
          <t>Underperforming</t>
        </is>
      </c>
      <c r="N360" s="32">
        <f>IF(M360="Underperforming",-5,IF(L360&gt;=95,15,IF(L360&gt;=90,10,IF(L360&gt;=80,5,0))))</f>
        <v/>
      </c>
      <c r="O360" s="32" t="n">
        <v>59.21</v>
      </c>
      <c r="P360" s="32" t="n">
        <v>23.97</v>
      </c>
      <c r="Q360" s="32" t="inlineStr"/>
      <c r="R360" s="31" t="inlineStr">
        <is>
          <t>Earnings / Momentum Support</t>
        </is>
      </c>
      <c r="S360" s="31" t="inlineStr">
        <is>
          <t>Nifty Metal</t>
        </is>
      </c>
      <c r="T360" s="32" t="n">
        <v>31.49</v>
      </c>
      <c r="U360" s="32" t="n">
        <v>3.86</v>
      </c>
      <c r="V360" s="32" t="n">
        <v>-21.02</v>
      </c>
      <c r="W360" s="32" t="n">
        <v>6.46</v>
      </c>
      <c r="X360" s="31" t="inlineStr">
        <is>
          <t>Cyclical in an Upturn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Headwind</t>
        </is>
      </c>
      <c r="AE360" s="31">
        <f>IF(AD360="Tailwind",10,0)</f>
        <v/>
      </c>
      <c r="AF360" s="31" t="inlineStr">
        <is>
          <t>Cyclical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Volatile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20 to 40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3</t>
        </is>
      </c>
      <c r="BC360" s="31">
        <f>IF(BB360="Stage 2",20,IF(BB360="Stage 1",0,IF(BB360="Stage 3",5,IF(BB360="Stage 4",-5,0))))</f>
        <v/>
      </c>
      <c r="BD360" s="31" t="inlineStr">
        <is>
          <t>Negative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IF(B361=0,"",RANK(B361,$B$2:$B$374,0))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3" t="inlineStr">
        <is>
          <t>NMDC</t>
        </is>
      </c>
      <c r="D361" s="33" t="inlineStr">
        <is>
          <t>Nmdc Limited</t>
        </is>
      </c>
      <c r="E361" s="31" t="inlineStr">
        <is>
          <t>metals &amp; mining</t>
        </is>
      </c>
      <c r="F361" s="31" t="inlineStr">
        <is>
          <t>mining / minerals / metals</t>
        </is>
      </c>
      <c r="G361" s="31" t="inlineStr">
        <is>
          <t>largecap</t>
        </is>
      </c>
      <c r="H361" s="32" t="n">
        <v>76277.81</v>
      </c>
      <c r="I361" s="32" t="n">
        <v>88.2</v>
      </c>
      <c r="J361" s="32" t="n">
        <v>1.66</v>
      </c>
      <c r="K361" s="32" t="n">
        <v>16906053</v>
      </c>
      <c r="L361" s="31" t="n">
        <v>21</v>
      </c>
      <c r="M361" s="31" t="inlineStr">
        <is>
          <t>Underperforming</t>
        </is>
      </c>
      <c r="N361" s="32">
        <f>IF(M361="Underperforming",-5,IF(L361&gt;=95,15,IF(L361&gt;=90,10,IF(L361&gt;=80,5,0))))</f>
        <v/>
      </c>
      <c r="O361" s="32" t="n">
        <v>55.52</v>
      </c>
      <c r="P361" s="32" t="n">
        <v>39.35</v>
      </c>
      <c r="Q361" s="32" t="inlineStr"/>
      <c r="R361" s="31" t="inlineStr">
        <is>
          <t>Earnings / Momentum Support</t>
        </is>
      </c>
      <c r="S361" s="31" t="inlineStr">
        <is>
          <t>Nifty Metal</t>
        </is>
      </c>
      <c r="T361" s="32" t="n">
        <v>31.49</v>
      </c>
      <c r="U361" s="32" t="n">
        <v>21.71</v>
      </c>
      <c r="V361" s="32" t="n">
        <v>-7.44</v>
      </c>
      <c r="W361" s="32" t="n">
        <v>2.79</v>
      </c>
      <c r="X361" s="31" t="inlineStr">
        <is>
          <t>Cyclical in an Upturn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Headwind</t>
        </is>
      </c>
      <c r="AE361" s="31">
        <f>IF(AD361="Tailwind",10,0)</f>
        <v/>
      </c>
      <c r="AF361" s="31" t="inlineStr">
        <is>
          <t>Cyclical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Volatile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20 to 40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3</t>
        </is>
      </c>
      <c r="BC361" s="31">
        <f>IF(BB361="Stage 2",20,IF(BB361="Stage 1",0,IF(BB361="Stage 3",5,IF(BB361="Stage 4",-5,0))))</f>
        <v/>
      </c>
      <c r="BD361" s="31" t="inlineStr">
        <is>
          <t>Negative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Less than 12%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Above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Less than 0.7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IF(B362=0,"",RANK(B362,$B$2:$B$374,0))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3" t="inlineStr">
        <is>
          <t>BPCL</t>
        </is>
      </c>
      <c r="D362" s="33" t="inlineStr">
        <is>
          <t>Bharat Petroleum Corporation Limited</t>
        </is>
      </c>
      <c r="E362" s="31" t="inlineStr">
        <is>
          <t>energy</t>
        </is>
      </c>
      <c r="F362" s="31" t="inlineStr">
        <is>
          <t>refineries</t>
        </is>
      </c>
      <c r="G362" s="31" t="inlineStr">
        <is>
          <t>largecap</t>
        </is>
      </c>
      <c r="H362" s="32" t="n">
        <v>138506.79</v>
      </c>
      <c r="I362" s="32" t="n">
        <v>324.05</v>
      </c>
      <c r="J362" s="32" t="n">
        <v>1.5</v>
      </c>
      <c r="K362" s="32" t="n">
        <v>8129191</v>
      </c>
      <c r="L362" s="31" t="n">
        <v>12</v>
      </c>
      <c r="M362" s="31" t="inlineStr">
        <is>
          <t>Underperforming</t>
        </is>
      </c>
      <c r="N362" s="32">
        <f>IF(M362="Underperforming",-5,IF(L362&gt;=95,15,IF(L362&gt;=90,10,IF(L362&gt;=80,5,0))))</f>
        <v/>
      </c>
      <c r="O362" s="32" t="n">
        <v>52.25</v>
      </c>
      <c r="P362" s="32" t="n">
        <v>6.22</v>
      </c>
      <c r="Q362" s="32" t="inlineStr"/>
      <c r="R362" s="31" t="inlineStr">
        <is>
          <t>Earnings / Momentum Support</t>
        </is>
      </c>
      <c r="S362" s="31" t="inlineStr">
        <is>
          <t>Nifty Energy</t>
        </is>
      </c>
      <c r="T362" s="32" t="n">
        <v>8.41</v>
      </c>
      <c r="U362" s="32" t="n">
        <v>-2.13</v>
      </c>
      <c r="V362" s="32" t="n">
        <v>-9.720000000000001</v>
      </c>
      <c r="W362" s="32" t="n">
        <v>0.04</v>
      </c>
      <c r="X362" s="31" t="inlineStr">
        <is>
          <t>Cyclical in an Upturn</t>
        </is>
      </c>
      <c r="Y362" s="31">
        <f>IF(X362="Growing Industry",10,IF(X362="Cyclical in an Upturn",5,0))</f>
        <v/>
      </c>
      <c r="Z362" s="31" t="inlineStr">
        <is>
          <t>Oligopoly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Yes</t>
        </is>
      </c>
      <c r="AC362" s="31">
        <f>IF(AB362="No",5,0)</f>
        <v/>
      </c>
      <c r="AD362" s="31" t="inlineStr">
        <is>
          <t>Headwind</t>
        </is>
      </c>
      <c r="AE362" s="31">
        <f>IF(AD362="Tailwind",10,0)</f>
        <v/>
      </c>
      <c r="AF362" s="31" t="inlineStr">
        <is>
          <t>Cyclical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Volatile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3</t>
        </is>
      </c>
      <c r="BC362" s="31">
        <f>IF(BB362="Stage 2",20,IF(BB362="Stage 1",0,IF(BB362="Stage 3",5,IF(BB362="Stage 4",-5,0))))</f>
        <v/>
      </c>
      <c r="BD362" s="31" t="inlineStr">
        <is>
          <t>Negative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More than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No</t>
        </is>
      </c>
      <c r="BS362" s="31">
        <f>IF(BR362="NO",5,0)</f>
        <v/>
      </c>
      <c r="BT362" s="31" t="inlineStr">
        <is>
          <t>Less than 1.5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Less than 0.7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IF(B363=0,"",RANK(B363,$B$2:$B$374,0))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BEL</t>
        </is>
      </c>
      <c r="D363" s="31" t="inlineStr">
        <is>
          <t>Bharat Electronics Limited</t>
        </is>
      </c>
      <c r="E363" s="31" t="inlineStr">
        <is>
          <t>aerospace &amp; defence</t>
        </is>
      </c>
      <c r="F363" s="31" t="inlineStr">
        <is>
          <t>electronics - components</t>
        </is>
      </c>
      <c r="G363" s="31" t="inlineStr">
        <is>
          <t>largecap</t>
        </is>
      </c>
      <c r="H363" s="32" t="n">
        <v>301089.79</v>
      </c>
      <c r="I363" s="32" t="n">
        <v>414.45</v>
      </c>
      <c r="J363" s="32" t="n">
        <v>0.62</v>
      </c>
      <c r="K363" s="32" t="n">
        <v>12595864</v>
      </c>
      <c r="L363" s="31" t="n">
        <v>20</v>
      </c>
      <c r="M363" s="31" t="inlineStr">
        <is>
          <t>Outperforming</t>
        </is>
      </c>
      <c r="N363" s="32">
        <f>IF(M363="Underperforming",-5,IF(L363&gt;=95,15,IF(L363&gt;=90,10,IF(L363&gt;=80,5,0))))</f>
        <v/>
      </c>
      <c r="O363" s="32" t="n">
        <v>49.38</v>
      </c>
      <c r="P363" s="32" t="n">
        <v>7.76</v>
      </c>
      <c r="Q363" s="32" t="inlineStr"/>
      <c r="R363" s="31" t="inlineStr">
        <is>
          <t>Earnings / Momentum Support</t>
        </is>
      </c>
      <c r="S363" s="31" t="inlineStr">
        <is>
          <t>Nifty 50</t>
        </is>
      </c>
      <c r="T363" s="32" t="n">
        <v>-1.03</v>
      </c>
      <c r="U363" s="32" t="n">
        <v>12.13</v>
      </c>
      <c r="V363" s="32" t="n">
        <v>13.3</v>
      </c>
      <c r="W363" s="32" t="n">
        <v>2.61</v>
      </c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Headwind</t>
        </is>
      </c>
      <c r="AE363" s="31">
        <f>IF(AD363="Tailwind",10,0)</f>
        <v/>
      </c>
      <c r="AF363" s="31" t="inlineStr">
        <is>
          <t>Structural (10 Years Consistency)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Stable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Below 45</t>
        </is>
      </c>
      <c r="BA363" s="31">
        <f>IF(AZ363="Between 50 to 75",10,IF(AZ363="Above 75",0,0))</f>
        <v/>
      </c>
      <c r="BB363" s="31" t="inlineStr">
        <is>
          <t>Stage 3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Less than 12%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Yes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IF(B364=0,"",RANK(B364,$B$2:$B$374,0))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3" t="inlineStr">
        <is>
          <t>MAHSEAMLES</t>
        </is>
      </c>
      <c r="D364" s="33" t="inlineStr">
        <is>
          <t>Maharashtra Seamless Limited</t>
        </is>
      </c>
      <c r="E364" s="31" t="inlineStr">
        <is>
          <t>metals &amp; mining</t>
        </is>
      </c>
      <c r="F364" s="31" t="inlineStr">
        <is>
          <t>steel - medium / small</t>
        </is>
      </c>
      <c r="G364" s="31" t="inlineStr">
        <is>
          <t>midcap</t>
        </is>
      </c>
      <c r="H364" s="32" t="n">
        <v>8866.73</v>
      </c>
      <c r="I364" s="32" t="n">
        <v>663.2</v>
      </c>
      <c r="J364" s="32" t="n">
        <v>0.23</v>
      </c>
      <c r="K364" s="32" t="n">
        <v>393023</v>
      </c>
      <c r="L364" s="31" t="n">
        <v>3</v>
      </c>
      <c r="M364" s="31" t="inlineStr">
        <is>
          <t>Underperforming</t>
        </is>
      </c>
      <c r="N364" s="32">
        <f>IF(M364="Underperforming",-5,IF(L364&gt;=95,15,IF(L364&gt;=90,10,IF(L364&gt;=80,5,0))))</f>
        <v/>
      </c>
      <c r="O364" s="32" t="n">
        <v>64.69</v>
      </c>
      <c r="P364" s="32" t="n">
        <v>17.8</v>
      </c>
      <c r="Q364" s="32" t="inlineStr"/>
      <c r="R364" s="31" t="inlineStr">
        <is>
          <t>Earnings / Momentum Support</t>
        </is>
      </c>
      <c r="S364" s="31" t="inlineStr">
        <is>
          <t>Nifty Metal</t>
        </is>
      </c>
      <c r="T364" s="32" t="n">
        <v>31.49</v>
      </c>
      <c r="U364" s="32" t="n">
        <v>-17.38</v>
      </c>
      <c r="V364" s="32" t="n">
        <v>-37.17</v>
      </c>
      <c r="W364" s="32" t="n">
        <v>-4.66</v>
      </c>
      <c r="X364" s="31" t="inlineStr">
        <is>
          <t>Cyclical in an Upturn</t>
        </is>
      </c>
      <c r="Y364" s="31">
        <f>IF(X364="Growing Industry",10,IF(X364="Cyclical in an Upturn",5,0))</f>
        <v/>
      </c>
      <c r="Z364" s="31" t="inlineStr">
        <is>
          <t>Too Many Players with High ROCE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Headwind</t>
        </is>
      </c>
      <c r="AE364" s="31">
        <f>IF(AD364="Tailwind",10,0)</f>
        <v/>
      </c>
      <c r="AF364" s="31" t="inlineStr">
        <is>
          <t>Cyclical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Volatile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0 to 20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3</t>
        </is>
      </c>
      <c r="BC364" s="31">
        <f>IF(BB364="Stage 2",20,IF(BB364="Stage 1",0,IF(BB364="Stage 3",5,IF(BB364="Stage 4",-5,0))))</f>
        <v/>
      </c>
      <c r="BD364" s="31" t="inlineStr">
        <is>
          <t>Negative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Between 12 to 20%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Less than 1.5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IF(B365=0,"",RANK(B365,$B$2:$B$374,0))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3" t="inlineStr">
        <is>
          <t>OIL</t>
        </is>
      </c>
      <c r="D365" s="33" t="inlineStr">
        <is>
          <t>Oil India Limited</t>
        </is>
      </c>
      <c r="E365" s="31" t="inlineStr">
        <is>
          <t>energy</t>
        </is>
      </c>
      <c r="F365" s="31" t="inlineStr">
        <is>
          <t>oil drilling / allied services</t>
        </is>
      </c>
      <c r="G365" s="31" t="inlineStr">
        <is>
          <t>largecap</t>
        </is>
      </c>
      <c r="H365" s="32" t="n">
        <v>78540.75999999999</v>
      </c>
      <c r="I365" s="32" t="n">
        <v>483.15</v>
      </c>
      <c r="J365" s="32" t="n">
        <v>0.06</v>
      </c>
      <c r="K365" s="32" t="n">
        <v>4790739</v>
      </c>
      <c r="L365" s="31" t="n">
        <v>8</v>
      </c>
      <c r="M365" s="31" t="inlineStr">
        <is>
          <t>Underperforming</t>
        </is>
      </c>
      <c r="N365" s="32">
        <f>IF(M365="Underperforming",-5,IF(L365&gt;=95,15,IF(L365&gt;=90,10,IF(L365&gt;=80,5,0))))</f>
        <v/>
      </c>
      <c r="O365" s="32" t="n">
        <v>57.04</v>
      </c>
      <c r="P365" s="32" t="n">
        <v>13.58</v>
      </c>
      <c r="Q365" s="32" t="inlineStr"/>
      <c r="R365" s="31" t="inlineStr">
        <is>
          <t>Earnings / Momentum Support</t>
        </is>
      </c>
      <c r="S365" s="31" t="inlineStr">
        <is>
          <t>Nifty Energy</t>
        </is>
      </c>
      <c r="T365" s="32" t="n">
        <v>8.41</v>
      </c>
      <c r="U365" s="32" t="n">
        <v>-0.15</v>
      </c>
      <c r="V365" s="32" t="n">
        <v>-7.89</v>
      </c>
      <c r="W365" s="32" t="n">
        <v>-1.23</v>
      </c>
      <c r="X365" s="31" t="inlineStr">
        <is>
          <t>Cyclical in an Upturn</t>
        </is>
      </c>
      <c r="Y365" s="31">
        <f>IF(X365="Growing Industry",10,IF(X365="Cyclical in an Upturn",5,0))</f>
        <v/>
      </c>
      <c r="Z365" s="31" t="inlineStr">
        <is>
          <t>Oligopoly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Yes</t>
        </is>
      </c>
      <c r="AC365" s="31">
        <f>IF(AB365="No",5,0)</f>
        <v/>
      </c>
      <c r="AD365" s="31" t="inlineStr">
        <is>
          <t>Headwind</t>
        </is>
      </c>
      <c r="AE365" s="31">
        <f>IF(AD365="Tailwind",10,0)</f>
        <v/>
      </c>
      <c r="AF365" s="31" t="inlineStr">
        <is>
          <t>Cyclical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Volatile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0 to 20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3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Less than 1.5</t>
        </is>
      </c>
      <c r="BU365" s="31">
        <f>IF(BT365="Above 2",0,IF(BT365="Between 1.5 to 2",5,IF(BT365="Less than 1.5",10,0)))</f>
        <v/>
      </c>
      <c r="BV365" s="31" t="inlineStr">
        <is>
          <t>Above 70%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IF(B366=0,"",RANK(B366,$B$2:$B$374,0))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HATSUN</t>
        </is>
      </c>
      <c r="D366" s="31" t="inlineStr">
        <is>
          <t>Hatsun Agro Product Limited</t>
        </is>
      </c>
      <c r="E366" s="31" t="inlineStr">
        <is>
          <t>fmcg</t>
        </is>
      </c>
      <c r="F366" s="31" t="inlineStr">
        <is>
          <t>food - processing - indian</t>
        </is>
      </c>
      <c r="G366" s="31" t="inlineStr">
        <is>
          <t>largecap</t>
        </is>
      </c>
      <c r="H366" s="32" t="n">
        <v>26196.31</v>
      </c>
      <c r="I366" s="32" t="n">
        <v>1190.45</v>
      </c>
      <c r="J366" s="32" t="n">
        <v>1.22</v>
      </c>
      <c r="K366" s="32" t="n">
        <v>90965</v>
      </c>
      <c r="L366" s="31" t="n">
        <v>9</v>
      </c>
      <c r="M366" s="31" t="inlineStr">
        <is>
          <t>Outperforming</t>
        </is>
      </c>
      <c r="N366" s="32">
        <f>IF(M366="Underperforming",-5,IF(L366&gt;=95,15,IF(L366&gt;=90,10,IF(L366&gt;=80,5,0))))</f>
        <v/>
      </c>
      <c r="O366" s="32" t="n">
        <v>75.90000000000001</v>
      </c>
      <c r="P366" s="32" t="n">
        <v>18.51</v>
      </c>
      <c r="Q366" s="32" t="inlineStr"/>
      <c r="R366" s="31" t="inlineStr">
        <is>
          <t>Earnings / Momentum Support</t>
        </is>
      </c>
      <c r="S366" s="31" t="inlineStr">
        <is>
          <t>Nifty FMCG</t>
        </is>
      </c>
      <c r="T366" s="32" t="n">
        <v>-13.73</v>
      </c>
      <c r="U366" s="32" t="n">
        <v>-0.5600000000000001</v>
      </c>
      <c r="V366" s="32" t="n">
        <v>15.26</v>
      </c>
      <c r="W366" s="32" t="n">
        <v>-0.91</v>
      </c>
      <c r="X366" s="31" t="inlineStr">
        <is>
          <t>Growing Industry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Headwind</t>
        </is>
      </c>
      <c r="AE366" s="31">
        <f>IF(AD366="Tailwind",10,0)</f>
        <v/>
      </c>
      <c r="AF366" s="31" t="inlineStr">
        <is>
          <t>Structural (10 Years Consistency)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Stable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B2C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Annuity, Lower One Time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Above 75</t>
        </is>
      </c>
      <c r="BA366" s="31">
        <f>IF(AZ366="Between 50 to 75",10,IF(AZ366="Above 75",0,0))</f>
        <v/>
      </c>
      <c r="BB366" s="31" t="inlineStr">
        <is>
          <t>Stage 3</t>
        </is>
      </c>
      <c r="BC366" s="31">
        <f>IF(BB366="Stage 2",20,IF(BB366="Stage 1",0,IF(BB366="Stage 3",5,IF(BB366="Stage 4",-5,0))))</f>
        <v/>
      </c>
      <c r="BD366" s="31" t="inlineStr">
        <is>
          <t>Negative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Less than 12%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Yes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Between 0.7 to 1.2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IF(B367=0,"",RANK(B367,$B$2:$B$374,0))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3" t="inlineStr">
        <is>
          <t>JTLIND</t>
        </is>
      </c>
      <c r="D367" s="33" t="inlineStr">
        <is>
          <t>JTL Industries Ltd</t>
        </is>
      </c>
      <c r="E367" s="31" t="inlineStr">
        <is>
          <t>metals &amp; mining</t>
        </is>
      </c>
      <c r="F367" s="31" t="inlineStr">
        <is>
          <t>steel - medium / small</t>
        </is>
      </c>
      <c r="G367" s="31" t="inlineStr">
        <is>
          <t>smallcap</t>
        </is>
      </c>
      <c r="H367" s="32" t="n">
        <v>3532.62</v>
      </c>
      <c r="I367" s="32" t="n">
        <v>89.93000000000001</v>
      </c>
      <c r="J367" s="32" t="n">
        <v>0.07000000000000001</v>
      </c>
      <c r="K367" s="32" t="n">
        <v>6446492</v>
      </c>
      <c r="L367" s="31" t="n">
        <v>21</v>
      </c>
      <c r="M367" s="31" t="inlineStr">
        <is>
          <t>Underperforming</t>
        </is>
      </c>
      <c r="N367" s="32">
        <f>IF(M367="Underperforming",-5,IF(L367&gt;=95,15,IF(L367&gt;=90,10,IF(L367&gt;=80,5,0))))</f>
        <v/>
      </c>
      <c r="O367" s="32" t="n">
        <v>64.44</v>
      </c>
      <c r="P367" s="32" t="n">
        <v>12.62</v>
      </c>
      <c r="Q367" s="32" t="inlineStr"/>
      <c r="R367" s="31" t="inlineStr">
        <is>
          <t>Earnings / Momentum Support</t>
        </is>
      </c>
      <c r="S367" s="31" t="inlineStr">
        <is>
          <t>Nifty Metal</t>
        </is>
      </c>
      <c r="T367" s="32" t="n">
        <v>31.49</v>
      </c>
      <c r="U367" s="32" t="n">
        <v>1.19</v>
      </c>
      <c r="V367" s="32" t="n">
        <v>-23.05</v>
      </c>
      <c r="W367" s="32" t="n">
        <v>2.86</v>
      </c>
      <c r="X367" s="31" t="inlineStr">
        <is>
          <t>Cyclical in an Upturn</t>
        </is>
      </c>
      <c r="Y367" s="31">
        <f>IF(X367="Growing Industry",10,IF(X367="Cyclical in an Upturn",5,0))</f>
        <v/>
      </c>
      <c r="Z367" s="31" t="inlineStr">
        <is>
          <t>Too Many Players with High ROCE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Headwind</t>
        </is>
      </c>
      <c r="AE367" s="31">
        <f>IF(AD367="Tailwind",10,0)</f>
        <v/>
      </c>
      <c r="AF367" s="31" t="inlineStr">
        <is>
          <t>Cyclical</t>
        </is>
      </c>
      <c r="AG367" s="31">
        <f>IF(AF367="Structural (10 Years Consistency)",10,IF(AF367="Shallow Cyclical (2 to 3 years growth)",5,0))</f>
        <v/>
      </c>
      <c r="AH367" s="31" t="inlineStr">
        <is>
          <t>No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Volatile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No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Good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0 to 20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3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Uptrend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Close to 52 week high or retracement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More than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No</t>
        </is>
      </c>
      <c r="BS367" s="31">
        <f>IF(BR367="NO",5,0)</f>
        <v/>
      </c>
      <c r="BT367" s="31" t="inlineStr">
        <is>
          <t>Above 2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Less than 0.7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Less than 15%</t>
        </is>
      </c>
      <c r="CC367" s="31">
        <f>IF(CB367="More than 15%",-10,IF(CB367="Less than 15%",10,0))</f>
        <v/>
      </c>
      <c r="CD367" s="31" t="inlineStr">
        <is>
          <t>No</t>
        </is>
      </c>
      <c r="CE367" s="31">
        <f>IF(CD367="Yes, more than 10%",-10,IF(CD367="No",10,0))</f>
        <v/>
      </c>
    </row>
    <row r="368">
      <c r="A368" s="31">
        <f>IF(B368=0,"",RANK(B368,$B$2:$B$374,0))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ASHOKLEY</t>
        </is>
      </c>
      <c r="D368" s="31" t="inlineStr">
        <is>
          <t>Ashok Leyland Limited</t>
        </is>
      </c>
      <c r="E368" s="31" t="inlineStr">
        <is>
          <t>auto</t>
        </is>
      </c>
      <c r="F368" s="31" t="inlineStr">
        <is>
          <t>automobiles - lcvs / hcvs</t>
        </is>
      </c>
      <c r="G368" s="31" t="inlineStr">
        <is>
          <t>largecap</t>
        </is>
      </c>
      <c r="H368" s="32" t="n">
        <v>103244.74</v>
      </c>
      <c r="I368" s="32" t="n">
        <v>175.64</v>
      </c>
      <c r="J368" s="32" t="n">
        <v>-0.07000000000000001</v>
      </c>
      <c r="K368" s="32" t="n">
        <v>14333497</v>
      </c>
      <c r="L368" s="31" t="n">
        <v>29</v>
      </c>
      <c r="M368" s="31" t="inlineStr">
        <is>
          <t>Outperforming</t>
        </is>
      </c>
      <c r="N368" s="32">
        <f>IF(M368="Underperforming",-5,IF(L368&gt;=95,15,IF(L368&gt;=90,10,IF(L368&gt;=80,5,0))))</f>
        <v/>
      </c>
      <c r="O368" s="32" t="n">
        <v>56.88</v>
      </c>
      <c r="P368" s="32" t="n">
        <v>14.96</v>
      </c>
      <c r="Q368" s="32" t="inlineStr"/>
      <c r="R368" s="31" t="inlineStr">
        <is>
          <t>Earnings / Momentum Support</t>
        </is>
      </c>
      <c r="S368" s="31" t="inlineStr">
        <is>
          <t>Nifty Auto</t>
        </is>
      </c>
      <c r="T368" s="32" t="n">
        <v>13.41</v>
      </c>
      <c r="U368" s="32" t="n">
        <v>30.02</v>
      </c>
      <c r="V368" s="32" t="n">
        <v>14.64</v>
      </c>
      <c r="W368" s="32" t="n">
        <v>4.69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Too Many Players with High ROCE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Headwind</t>
        </is>
      </c>
      <c r="AE368" s="31">
        <f>IF(AD368="Tailwind",10,0)</f>
        <v/>
      </c>
      <c r="AF368" s="31" t="inlineStr">
        <is>
          <t>Structural (10 Years Consistency)</t>
        </is>
      </c>
      <c r="AG368" s="31">
        <f>IF(AF368="Structural (10 Years Consistency)",10,IF(AF368="Shallow Cyclical (2 to 3 years growth)",5,0))</f>
        <v/>
      </c>
      <c r="AH368" s="31" t="inlineStr">
        <is>
          <t>No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Stable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No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Good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0 to 20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3</t>
        </is>
      </c>
      <c r="BC368" s="31">
        <f>IF(BB368="Stage 2",20,IF(BB368="Stage 1",0,IF(BB368="Stage 3",5,IF(BB368="Stage 4",-5,0))))</f>
        <v/>
      </c>
      <c r="BD368" s="31" t="inlineStr">
        <is>
          <t>Negative Trend</t>
        </is>
      </c>
      <c r="BE368" s="31">
        <f>IF(BD368="Positive Trend",20,IF(BD368="Negative Trend",-10,0))</f>
        <v/>
      </c>
      <c r="BF368" s="31" t="inlineStr">
        <is>
          <t>Uptrend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Close to 52 week high or retracement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Less than 12%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Above 2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More than 1.2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Less than 15%</t>
        </is>
      </c>
      <c r="CC368" s="31">
        <f>IF(CB368="More than 15%",-10,IF(CB368="Less than 15%",10,0))</f>
        <v/>
      </c>
      <c r="CD368" s="31" t="inlineStr">
        <is>
          <t>No</t>
        </is>
      </c>
      <c r="CE368" s="31">
        <f>IF(CD368="Yes, more than 10%",-10,IF(CD368="No",10,0))</f>
        <v/>
      </c>
    </row>
    <row r="369">
      <c r="A369" s="31">
        <f>IF(B369=0,"",RANK(B369,$B$2:$B$374,0))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3" t="inlineStr">
        <is>
          <t>RAMRAT</t>
        </is>
      </c>
      <c r="D369" s="33" t="inlineStr">
        <is>
          <t>Ram Ratna Wires Ltd</t>
        </is>
      </c>
      <c r="E369" s="31" t="inlineStr">
        <is>
          <t>metals &amp; mining</t>
        </is>
      </c>
      <c r="F369" s="31" t="inlineStr">
        <is>
          <t>mining / minerals / metals</t>
        </is>
      </c>
      <c r="G369" s="31" t="inlineStr">
        <is>
          <t>midcap</t>
        </is>
      </c>
      <c r="H369" s="32" t="n">
        <v>5525.33</v>
      </c>
      <c r="I369" s="32" t="n">
        <v>563.7</v>
      </c>
      <c r="J369" s="32" t="n">
        <v>-4.76</v>
      </c>
      <c r="K369" s="32" t="n">
        <v>464912</v>
      </c>
      <c r="L369" s="31" t="n">
        <v>32</v>
      </c>
      <c r="M369" s="31" t="inlineStr">
        <is>
          <t>Underperforming</t>
        </is>
      </c>
      <c r="N369" s="32">
        <f>IF(M369="Underperforming",-5,IF(L369&gt;=95,15,IF(L369&gt;=90,10,IF(L369&gt;=80,5,0))))</f>
        <v/>
      </c>
      <c r="O369" s="32" t="n">
        <v>81.01000000000001</v>
      </c>
      <c r="P369" s="32" t="n">
        <v>44</v>
      </c>
      <c r="Q369" s="32" t="inlineStr"/>
      <c r="R369" s="31" t="inlineStr">
        <is>
          <t>Earnings / Momentum Support</t>
        </is>
      </c>
      <c r="S369" s="31" t="inlineStr">
        <is>
          <t>Nifty Metal</t>
        </is>
      </c>
      <c r="T369" s="32" t="n">
        <v>31.49</v>
      </c>
      <c r="U369" s="32" t="n">
        <v>18.75</v>
      </c>
      <c r="V369" s="32" t="n">
        <v>-9.69</v>
      </c>
      <c r="W369" s="32" t="n">
        <v>5.5</v>
      </c>
      <c r="X369" s="31" t="inlineStr">
        <is>
          <t>Cyclical in an Upturn</t>
        </is>
      </c>
      <c r="Y369" s="31">
        <f>IF(X369="Growing Industry",10,IF(X369="Cyclical in an Upturn",5,0))</f>
        <v/>
      </c>
      <c r="Z369" s="31" t="inlineStr">
        <is>
          <t>Too Many Players with High ROCE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Headwind</t>
        </is>
      </c>
      <c r="AE369" s="31">
        <f>IF(AD369="Tailwind",10,0)</f>
        <v/>
      </c>
      <c r="AF369" s="31" t="inlineStr">
        <is>
          <t>Cyclical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Volatile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No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Above 40</t>
        </is>
      </c>
      <c r="AY369" s="31">
        <f>IF(AX369="Above 40",20,IF(AX369="20 to 40",10,IF(AX369="0 to 20",-5,0)))</f>
        <v/>
      </c>
      <c r="AZ369" s="31" t="inlineStr">
        <is>
          <t>Above 75</t>
        </is>
      </c>
      <c r="BA369" s="31">
        <f>IF(AZ369="Between 50 to 75",10,IF(AZ369="Above 75",0,0))</f>
        <v/>
      </c>
      <c r="BB369" s="31" t="inlineStr">
        <is>
          <t>Stage 3</t>
        </is>
      </c>
      <c r="BC369" s="31">
        <f>IF(BB369="Stage 2",20,IF(BB369="Stage 1",0,IF(BB369="Stage 3",5,IF(BB369="Stage 4",-5,0))))</f>
        <v/>
      </c>
      <c r="BD369" s="31" t="inlineStr">
        <is>
          <t>Negative Trend</t>
        </is>
      </c>
      <c r="BE369" s="31">
        <f>IF(BD369="Positive Trend",20,IF(BD369="Negative Trend",-10,0))</f>
        <v/>
      </c>
      <c r="BF369" s="31" t="inlineStr">
        <is>
          <t>Uptrend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Close to 52 week high or retracement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More than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Yes</t>
        </is>
      </c>
      <c r="BS369" s="31">
        <f>IF(BR369="NO",5,0)</f>
        <v/>
      </c>
      <c r="BT369" s="31" t="inlineStr">
        <is>
          <t>Above 2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Between 0.7 to 1.2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IF(B370=0,"",RANK(B370,$B$2:$B$374,0))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3" t="inlineStr">
        <is>
          <t>RAJRILTD</t>
        </is>
      </c>
      <c r="D370" s="33" t="inlineStr">
        <is>
          <t>Raj Rayon Industries Ltd</t>
        </is>
      </c>
      <c r="E370" s="31" t="inlineStr">
        <is>
          <t>textiles</t>
        </is>
      </c>
      <c r="F370" s="31" t="inlineStr">
        <is>
          <t>textiles - manmade</t>
        </is>
      </c>
      <c r="G370" s="31" t="inlineStr">
        <is>
          <t>smallcap</t>
        </is>
      </c>
      <c r="H370" s="32" t="n">
        <v>1280.66</v>
      </c>
      <c r="I370" s="32" t="n">
        <v>23.27</v>
      </c>
      <c r="J370" s="32" t="n">
        <v>1.04</v>
      </c>
      <c r="K370" s="32" t="n">
        <v>15616</v>
      </c>
      <c r="L370" s="31" t="n">
        <v>14</v>
      </c>
      <c r="M370" s="31" t="inlineStr">
        <is>
          <t>Underperforming</t>
        </is>
      </c>
      <c r="N370" s="32">
        <f>IF(M370="Underperforming",-5,IF(L370&gt;=95,15,IF(L370&gt;=90,10,IF(L370&gt;=80,5,0))))</f>
        <v/>
      </c>
      <c r="O370" s="32" t="n">
        <v>56.54</v>
      </c>
      <c r="P370" s="32" t="n">
        <v>10.29</v>
      </c>
      <c r="Q370" s="32" t="inlineStr"/>
      <c r="R370" s="31" t="inlineStr">
        <is>
          <t>Earnings / Momentum Support</t>
        </is>
      </c>
      <c r="S370" s="31" t="inlineStr">
        <is>
          <t>Nifty 50</t>
        </is>
      </c>
      <c r="T370" s="32" t="n">
        <v>-1.03</v>
      </c>
      <c r="U370" s="32" t="n">
        <v>-11.35</v>
      </c>
      <c r="V370" s="32" t="n">
        <v>-10.43</v>
      </c>
      <c r="W370" s="32" t="n">
        <v>0.66</v>
      </c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Too Many Players with High ROCE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Headwind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Stable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No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Good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0 to 20</t>
        </is>
      </c>
      <c r="AY370" s="31">
        <f>IF(AX370="Above 40",20,IF(AX370="20 to 40",10,IF(AX370="0 to 20",-5,0)))</f>
        <v/>
      </c>
      <c r="AZ370" s="31" t="inlineStr">
        <is>
          <t>Between 50 to 75</t>
        </is>
      </c>
      <c r="BA370" s="31">
        <f>IF(AZ370="Between 50 to 75",10,IF(AZ370="Above 75",0,0))</f>
        <v/>
      </c>
      <c r="BB370" s="31" t="inlineStr">
        <is>
          <t>Stage 3</t>
        </is>
      </c>
      <c r="BC370" s="31">
        <f>IF(BB370="Stage 2",20,IF(BB370="Stage 1",0,IF(BB370="Stage 3",5,IF(BB370="Stage 4",-5,0))))</f>
        <v/>
      </c>
      <c r="BD370" s="31" t="inlineStr">
        <is>
          <t>Negative Trend</t>
        </is>
      </c>
      <c r="BE370" s="31">
        <f>IF(BD370="Positive Trend",20,IF(BD370="Negative Trend",-10,0))</f>
        <v/>
      </c>
      <c r="BF370" s="31" t="inlineStr">
        <is>
          <t>Uptrend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Close to 52 week high or retracement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Between 12 to 20%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More than 1.2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IF(B371=0,"",RANK(B371,$B$2:$B$374,0))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1" t="inlineStr">
        <is>
          <t>JAYNECOIND</t>
        </is>
      </c>
      <c r="D371" s="31" t="inlineStr">
        <is>
          <t>Jayaswal Neco Industries Limited</t>
        </is>
      </c>
      <c r="E371" s="31" t="inlineStr">
        <is>
          <t>metals &amp; mining</t>
        </is>
      </c>
      <c r="F371" s="31" t="inlineStr">
        <is>
          <t>steel - large</t>
        </is>
      </c>
      <c r="G371" s="31" t="inlineStr">
        <is>
          <t>midcap</t>
        </is>
      </c>
      <c r="H371" s="32" t="n">
        <v>9622.59</v>
      </c>
      <c r="I371" s="32" t="n">
        <v>98.41</v>
      </c>
      <c r="J371" s="32" t="n">
        <v>-0.7</v>
      </c>
      <c r="K371" s="32" t="n">
        <v>2575057</v>
      </c>
      <c r="L371" s="31" t="n">
        <v>75</v>
      </c>
      <c r="M371" s="31" t="inlineStr">
        <is>
          <t>Outperforming</t>
        </is>
      </c>
      <c r="N371" s="32">
        <f>IF(M371="Underperforming",-5,IF(L371&gt;=95,15,IF(L371&gt;=90,10,IF(L371&gt;=80,5,0))))</f>
        <v/>
      </c>
      <c r="O371" s="32" t="n">
        <v>58.89</v>
      </c>
      <c r="P371" s="32" t="n">
        <v>7.63</v>
      </c>
      <c r="Q371" s="32" t="inlineStr"/>
      <c r="R371" s="31" t="inlineStr">
        <is>
          <t>Earnings / Momentum Support</t>
        </is>
      </c>
      <c r="S371" s="31" t="inlineStr">
        <is>
          <t>Nifty Metal</t>
        </is>
      </c>
      <c r="T371" s="32" t="n">
        <v>31.49</v>
      </c>
      <c r="U371" s="32" t="n">
        <v>124.63</v>
      </c>
      <c r="V371" s="32" t="n">
        <v>70.83</v>
      </c>
      <c r="W371" s="32" t="n">
        <v>19.06</v>
      </c>
      <c r="X371" s="31" t="inlineStr">
        <is>
          <t>Cyclical in an Upturn</t>
        </is>
      </c>
      <c r="Y371" s="31">
        <f>IF(X371="Growing Industry",10,IF(X371="Cyclical in an Upturn",5,0))</f>
        <v/>
      </c>
      <c r="Z371" s="31" t="inlineStr">
        <is>
          <t>Too Many Players with High ROCE</t>
        </is>
      </c>
      <c r="AA371" s="31">
        <f>IF(Z371="Monopoly",10,IF(Z371="Oligopoly",5,IF(Z371="Duopoly that cooperate",10,IF(Z371="Duopoly that compete",5,IF(Z371="Too many players with High ROCE",5,0)))))</f>
        <v/>
      </c>
      <c r="AB371" s="31" t="inlineStr">
        <is>
          <t>No</t>
        </is>
      </c>
      <c r="AC371" s="31">
        <f>IF(AB371="No",5,0)</f>
        <v/>
      </c>
      <c r="AD371" s="31" t="inlineStr">
        <is>
          <t>Headwind</t>
        </is>
      </c>
      <c r="AE371" s="31">
        <f>IF(AD371="Tailwind",10,0)</f>
        <v/>
      </c>
      <c r="AF371" s="31" t="inlineStr">
        <is>
          <t>Cyclical</t>
        </is>
      </c>
      <c r="AG371" s="31">
        <f>IF(AF371="Structural (10 Years Consistency)",10,IF(AF371="Shallow Cyclical (2 to 3 years growth)",5,0))</f>
        <v/>
      </c>
      <c r="AH371" s="31" t="inlineStr">
        <is>
          <t>No</t>
        </is>
      </c>
      <c r="AI371" s="31">
        <f>IF(AH371="Yes due to Product Mix change or Operating Leverage",10,IF(AH371="Yes, these are peak margins",-5,IF(AH371="No",5,0)))</f>
        <v/>
      </c>
      <c r="AJ371" s="31" t="inlineStr">
        <is>
          <t>Volatile</t>
        </is>
      </c>
      <c r="AK371" s="31">
        <f>IF(AJ371="Stable",10,0)</f>
        <v/>
      </c>
      <c r="AL371" s="31" t="inlineStr">
        <is>
          <t>Yes</t>
        </is>
      </c>
      <c r="AM371" s="31">
        <f>IF(AL371="Yes",10,0)</f>
        <v/>
      </c>
      <c r="AN371" s="31" t="inlineStr">
        <is>
          <t>B2B</t>
        </is>
      </c>
      <c r="AO371" s="31">
        <f>IF(AN371="B2C",10,IF(AN371="B2B",5,0))</f>
        <v/>
      </c>
      <c r="AP371" s="31" t="inlineStr">
        <is>
          <t>No</t>
        </is>
      </c>
      <c r="AQ371" s="31">
        <f>IF(AP371="Yes",10,0)</f>
        <v/>
      </c>
      <c r="AR371" s="31" t="inlineStr">
        <is>
          <t>Higher One Time, Lower Annuity</t>
        </is>
      </c>
      <c r="AS371" s="31">
        <f>IF(AR371="Fully Annuity",10,IF(AR371="Higher Annuity, Lower One Time",5,IF(AR371="Higher One Time, Lower Annuity",3,0)))</f>
        <v/>
      </c>
      <c r="AT371" s="31" t="inlineStr">
        <is>
          <t>Good</t>
        </is>
      </c>
      <c r="AU371" s="31">
        <f>IF(AT371="Good",10,0)</f>
        <v/>
      </c>
      <c r="AV371" s="31" t="inlineStr">
        <is>
          <t>Yes for more than 2 years</t>
        </is>
      </c>
      <c r="AW371" s="31">
        <f>IF(AV371="Yes for more than 2 years",10,IF(AV371="Yes only for next 1 to 2 years",5,0))</f>
        <v/>
      </c>
      <c r="AX371" s="31" t="inlineStr">
        <is>
          <t>0 to 20</t>
        </is>
      </c>
      <c r="AY371" s="31">
        <f>IF(AX371="Above 40",20,IF(AX371="20 to 40",10,IF(AX371="0 to 20",-5,0)))</f>
        <v/>
      </c>
      <c r="AZ371" s="31" t="inlineStr">
        <is>
          <t>Between 50 to 75</t>
        </is>
      </c>
      <c r="BA371" s="31">
        <f>IF(AZ371="Between 50 to 75",10,IF(AZ371="Above 75",0,0))</f>
        <v/>
      </c>
      <c r="BB371" s="31" t="inlineStr">
        <is>
          <t>Stage 3</t>
        </is>
      </c>
      <c r="BC371" s="31">
        <f>IF(BB371="Stage 2",20,IF(BB371="Stage 1",0,IF(BB371="Stage 3",5,IF(BB371="Stage 4",-5,0))))</f>
        <v/>
      </c>
      <c r="BD371" s="31" t="inlineStr">
        <is>
          <t>Negative Trend</t>
        </is>
      </c>
      <c r="BE371" s="31">
        <f>IF(BD371="Positive Trend",20,IF(BD371="Negative Trend",-10,0))</f>
        <v/>
      </c>
      <c r="BF371" s="31" t="inlineStr">
        <is>
          <t>Uptrend</t>
        </is>
      </c>
      <c r="BG371" s="31">
        <f>IF(BF371="Uptrend",10,IF(BF371="Sideways",5,0))</f>
        <v/>
      </c>
      <c r="BH371" s="31" t="inlineStr">
        <is>
          <t>Uptrend</t>
        </is>
      </c>
      <c r="BI371" s="31">
        <f>IF(BH371="Uptrend",10,IF(BH371="Sideways",5,0))</f>
        <v/>
      </c>
      <c r="BJ371" s="31" t="inlineStr">
        <is>
          <t>Close to 52 week high or retracement</t>
        </is>
      </c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inlineStr">
        <is>
          <t>Yes</t>
        </is>
      </c>
      <c r="BM371" s="31">
        <f>IF(BL371="Yes",10,0)</f>
        <v/>
      </c>
      <c r="BN371" s="31" t="inlineStr">
        <is>
          <t>More than 20%</t>
        </is>
      </c>
      <c r="BO371" s="31">
        <f>IF(BN371="More than 20%",10,IF(BN371="Between 12 to 20%",5,IF(BN371="Less than 12%",0,0)))</f>
        <v/>
      </c>
      <c r="BP371" s="31" t="inlineStr">
        <is>
          <t>No</t>
        </is>
      </c>
      <c r="BQ371" s="31">
        <f>IF(BP371="No",10,0)</f>
        <v/>
      </c>
      <c r="BR371" s="31" t="inlineStr">
        <is>
          <t>No</t>
        </is>
      </c>
      <c r="BS371" s="31">
        <f>IF(BR371="NO",5,0)</f>
        <v/>
      </c>
      <c r="BT371" s="31" t="inlineStr">
        <is>
          <t>Above 2</t>
        </is>
      </c>
      <c r="BU371" s="31">
        <f>IF(BT371="Above 2",0,IF(BT371="Between 1.5 to 2",5,IF(BT371="Less than 1.5",10,0)))</f>
        <v/>
      </c>
      <c r="BV371" s="31" t="inlineStr">
        <is>
          <t>Above 70%</t>
        </is>
      </c>
      <c r="BW371" s="31">
        <f>IF(BV371="Above 70%",10,IF(BV371="Between 50% to 70%",5,IF(BV371="Less than 50%",0,IF(BV371="Negative",-10,IF(BV371="Less than 50% and Borrowings are increasing",-5,0)))))</f>
        <v/>
      </c>
      <c r="BX371" s="31" t="inlineStr">
        <is>
          <t>Between 0.7 to 1.2</t>
        </is>
      </c>
      <c r="BY371" s="31">
        <f>IF(BX371="More than 1.2",-10,IF(BX371="Between 0.7 to 1.2",0,IF(BX371="Less than 0.7",10,0)))</f>
        <v/>
      </c>
      <c r="BZ371" s="31" t="inlineStr">
        <is>
          <t>No</t>
        </is>
      </c>
      <c r="CA371" s="31">
        <f>IF(BZ371="Yes",-10,0)</f>
        <v/>
      </c>
      <c r="CB371" s="31" t="inlineStr">
        <is>
          <t>Less than 15%</t>
        </is>
      </c>
      <c r="CC371" s="31">
        <f>IF(CB371="More than 15%",-10,IF(CB371="Less than 15%",10,0))</f>
        <v/>
      </c>
      <c r="CD371" s="31" t="inlineStr">
        <is>
          <t>No</t>
        </is>
      </c>
      <c r="CE371" s="31">
        <f>IF(CD371="Yes, more than 10%",-10,IF(CD371="No",10,0))</f>
        <v/>
      </c>
    </row>
    <row r="372">
      <c r="A372" s="31">
        <f>IF(B372=0,"",RANK(B372,$B$2:$B$374,0))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STYLEBAAZA</t>
        </is>
      </c>
      <c r="D372" s="31" t="inlineStr">
        <is>
          <t>Baazar Style Retail Ltd</t>
        </is>
      </c>
      <c r="E372" s="31" t="inlineStr">
        <is>
          <t>consumer discretionary</t>
        </is>
      </c>
      <c r="F372" s="31" t="inlineStr">
        <is>
          <t>trading</t>
        </is>
      </c>
      <c r="G372" s="31" t="inlineStr">
        <is>
          <t>smallcap</t>
        </is>
      </c>
      <c r="H372" s="32" t="n">
        <v>3126.9</v>
      </c>
      <c r="I372" s="32" t="n">
        <v>400.85</v>
      </c>
      <c r="J372" s="32" t="n">
        <v>-2.42</v>
      </c>
      <c r="K372" s="32" t="n">
        <v>656876</v>
      </c>
      <c r="L372" s="31" t="n">
        <v>52</v>
      </c>
      <c r="M372" s="31" t="inlineStr">
        <is>
          <t>Outperforming</t>
        </is>
      </c>
      <c r="N372" s="32">
        <f>IF(M372="Underperforming",-5,IF(L372&gt;=95,15,IF(L372&gt;=90,10,IF(L372&gt;=80,5,0))))</f>
        <v/>
      </c>
      <c r="O372" s="32" t="n">
        <v>61.92</v>
      </c>
      <c r="P372" s="32" t="n">
        <v>15.33</v>
      </c>
      <c r="Q372" s="32" t="inlineStr"/>
      <c r="R372" s="31" t="inlineStr">
        <is>
          <t>Earnings / Momentum Support</t>
        </is>
      </c>
      <c r="S372" s="31" t="inlineStr">
        <is>
          <t>Nifty 50</t>
        </is>
      </c>
      <c r="T372" s="32" t="n">
        <v>-1.03</v>
      </c>
      <c r="U372" s="32" t="n">
        <v>26.59</v>
      </c>
      <c r="V372" s="32" t="n">
        <v>27.91</v>
      </c>
      <c r="W372" s="32" t="n">
        <v>9.640000000000001</v>
      </c>
      <c r="X372" s="31" t="inlineStr">
        <is>
          <t>Growing Industry</t>
        </is>
      </c>
      <c r="Y372" s="31">
        <f>IF(X372="Growing Industry",10,IF(X372="Cyclical in an Upturn",5,0))</f>
        <v/>
      </c>
      <c r="Z372" s="31" t="inlineStr">
        <is>
          <t>Too Many Players with High ROCE</t>
        </is>
      </c>
      <c r="AA372" s="31">
        <f>IF(Z372="Monopoly",10,IF(Z372="Oligopoly",5,IF(Z372="Duopoly that cooperate",10,IF(Z372="Duopoly that compete",5,IF(Z372="Too many players with High ROCE",5,0)))))</f>
        <v/>
      </c>
      <c r="AB372" s="31" t="inlineStr">
        <is>
          <t>No</t>
        </is>
      </c>
      <c r="AC372" s="31">
        <f>IF(AB372="No",5,0)</f>
        <v/>
      </c>
      <c r="AD372" s="31" t="inlineStr">
        <is>
          <t>Headwind</t>
        </is>
      </c>
      <c r="AE372" s="31">
        <f>IF(AD372="Tailwind",10,0)</f>
        <v/>
      </c>
      <c r="AF372" s="31" t="inlineStr">
        <is>
          <t>Structural (10 Years Consistency)</t>
        </is>
      </c>
      <c r="AG372" s="31">
        <f>IF(AF372="Structural (10 Years Consistency)",10,IF(AF372="Shallow Cyclical (2 to 3 years growth)",5,0))</f>
        <v/>
      </c>
      <c r="AH372" s="31" t="inlineStr">
        <is>
          <t>No</t>
        </is>
      </c>
      <c r="AI372" s="31">
        <f>IF(AH372="Yes due to Product Mix change or Operating Leverage",10,IF(AH372="Yes, these are peak margins",-5,IF(AH372="No",5,0)))</f>
        <v/>
      </c>
      <c r="AJ372" s="31" t="inlineStr">
        <is>
          <t>Stable</t>
        </is>
      </c>
      <c r="AK372" s="31">
        <f>IF(AJ372="Stable",10,0)</f>
        <v/>
      </c>
      <c r="AL372" s="31" t="inlineStr">
        <is>
          <t>Yes</t>
        </is>
      </c>
      <c r="AM372" s="31">
        <f>IF(AL372="Yes",10,0)</f>
        <v/>
      </c>
      <c r="AN372" s="31" t="inlineStr">
        <is>
          <t>B2B</t>
        </is>
      </c>
      <c r="AO372" s="31">
        <f>IF(AN372="B2C",10,IF(AN372="B2B",5,0))</f>
        <v/>
      </c>
      <c r="AP372" s="31" t="inlineStr">
        <is>
          <t>No</t>
        </is>
      </c>
      <c r="AQ372" s="31">
        <f>IF(AP372="Yes",10,0)</f>
        <v/>
      </c>
      <c r="AR372" s="31" t="inlineStr">
        <is>
          <t>Higher One Time, Lower Annuity</t>
        </is>
      </c>
      <c r="AS372" s="31">
        <f>IF(AR372="Fully Annuity",10,IF(AR372="Higher Annuity, Lower One Time",5,IF(AR372="Higher One Time, Lower Annuity",3,0)))</f>
        <v/>
      </c>
      <c r="AT372" s="31" t="inlineStr">
        <is>
          <t>Good</t>
        </is>
      </c>
      <c r="AU372" s="31">
        <f>IF(AT372="Good",10,0)</f>
        <v/>
      </c>
      <c r="AV372" s="31" t="inlineStr">
        <is>
          <t>Yes for more than 2 years</t>
        </is>
      </c>
      <c r="AW372" s="31">
        <f>IF(AV372="Yes for more than 2 years",10,IF(AV372="Yes only for next 1 to 2 years",5,0))</f>
        <v/>
      </c>
      <c r="AX372" s="31" t="inlineStr">
        <is>
          <t>0 to 20</t>
        </is>
      </c>
      <c r="AY372" s="31">
        <f>IF(AX372="Above 40",20,IF(AX372="20 to 40",10,IF(AX372="0 to 20",-5,0)))</f>
        <v/>
      </c>
      <c r="AZ372" s="31" t="inlineStr">
        <is>
          <t>Between 50 to 75</t>
        </is>
      </c>
      <c r="BA372" s="31">
        <f>IF(AZ372="Between 50 to 75",10,IF(AZ372="Above 75",0,0))</f>
        <v/>
      </c>
      <c r="BB372" s="31" t="inlineStr">
        <is>
          <t>Stage 3</t>
        </is>
      </c>
      <c r="BC372" s="31">
        <f>IF(BB372="Stage 2",20,IF(BB372="Stage 1",0,IF(BB372="Stage 3",5,IF(BB372="Stage 4",-5,0))))</f>
        <v/>
      </c>
      <c r="BD372" s="31" t="inlineStr">
        <is>
          <t>Negative Trend</t>
        </is>
      </c>
      <c r="BE372" s="31">
        <f>IF(BD372="Positive Trend",20,IF(BD372="Negative Trend",-10,0))</f>
        <v/>
      </c>
      <c r="BF372" s="31" t="inlineStr">
        <is>
          <t>Uptrend</t>
        </is>
      </c>
      <c r="BG372" s="31">
        <f>IF(BF372="Uptrend",10,IF(BF372="Sideways",5,0))</f>
        <v/>
      </c>
      <c r="BH372" s="31" t="inlineStr">
        <is>
          <t>Uptrend</t>
        </is>
      </c>
      <c r="BI372" s="31">
        <f>IF(BH372="Uptrend",10,IF(BH372="Sideways",5,0))</f>
        <v/>
      </c>
      <c r="BJ372" s="31" t="inlineStr">
        <is>
          <t>Close to 52 week high or retracement</t>
        </is>
      </c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inlineStr">
        <is>
          <t>Yes</t>
        </is>
      </c>
      <c r="BM372" s="31">
        <f>IF(BL372="Yes",10,0)</f>
        <v/>
      </c>
      <c r="BN372" s="31" t="inlineStr">
        <is>
          <t>Less than 12%</t>
        </is>
      </c>
      <c r="BO372" s="31">
        <f>IF(BN372="More than 20%",10,IF(BN372="Between 12 to 20%",5,IF(BN372="Less than 12%",0,0)))</f>
        <v/>
      </c>
      <c r="BP372" s="31" t="inlineStr">
        <is>
          <t>No</t>
        </is>
      </c>
      <c r="BQ372" s="31">
        <f>IF(BP372="No",10,0)</f>
        <v/>
      </c>
      <c r="BR372" s="31" t="inlineStr">
        <is>
          <t>Yes</t>
        </is>
      </c>
      <c r="BS372" s="31">
        <f>IF(BR372="NO",5,0)</f>
        <v/>
      </c>
      <c r="BT372" s="31" t="inlineStr">
        <is>
          <t>Above 2</t>
        </is>
      </c>
      <c r="BU372" s="31">
        <f>IF(BT372="Above 2",0,IF(BT372="Between 1.5 to 2",5,IF(BT372="Less than 1.5",10,0)))</f>
        <v/>
      </c>
      <c r="BV372" s="31" t="inlineStr">
        <is>
          <t>Above 70%</t>
        </is>
      </c>
      <c r="BW372" s="31">
        <f>IF(BV372="Above 70%",10,IF(BV372="Between 50% to 70%",5,IF(BV372="Less than 50%",0,IF(BV372="Negative",-10,IF(BV372="Less than 50% and Borrowings are increasing",-5,0)))))</f>
        <v/>
      </c>
      <c r="BX372" s="31" t="inlineStr">
        <is>
          <t>More than 1.2</t>
        </is>
      </c>
      <c r="BY372" s="31">
        <f>IF(BX372="More than 1.2",-10,IF(BX372="Between 0.7 to 1.2",0,IF(BX372="Less than 0.7",10,0)))</f>
        <v/>
      </c>
      <c r="BZ372" s="31" t="inlineStr">
        <is>
          <t>No</t>
        </is>
      </c>
      <c r="CA372" s="31">
        <f>IF(BZ372="Yes",-10,0)</f>
        <v/>
      </c>
      <c r="CB372" s="31" t="inlineStr">
        <is>
          <t>Less than 15%</t>
        </is>
      </c>
      <c r="CC372" s="31">
        <f>IF(CB372="More than 15%",-10,IF(CB372="Less than 15%",10,0))</f>
        <v/>
      </c>
      <c r="CD372" s="31" t="inlineStr">
        <is>
          <t>No</t>
        </is>
      </c>
      <c r="CE372" s="31">
        <f>IF(CD372="Yes, more than 10%",-10,IF(CD372="No",10,0))</f>
        <v/>
      </c>
    </row>
    <row r="373">
      <c r="A373" s="31">
        <f>IF(B373=0,"",RANK(B373,$B$2:$B$374,0))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3" t="inlineStr">
        <is>
          <t>20MICRONS</t>
        </is>
      </c>
      <c r="D373" s="33" t="inlineStr">
        <is>
          <t>20 Microns Limited</t>
        </is>
      </c>
      <c r="E373" s="31" t="inlineStr">
        <is>
          <t>metals &amp; mining</t>
        </is>
      </c>
      <c r="F373" s="31" t="inlineStr">
        <is>
          <t>mining / minerals / metals</t>
        </is>
      </c>
      <c r="G373" s="31" t="inlineStr">
        <is>
          <t>smallcap</t>
        </is>
      </c>
      <c r="H373" s="32" t="n">
        <v>783.36</v>
      </c>
      <c r="I373" s="32" t="n">
        <v>218.03</v>
      </c>
      <c r="J373" s="32" t="n">
        <v>-1.79</v>
      </c>
      <c r="K373" s="32" t="n">
        <v>172302</v>
      </c>
      <c r="L373" s="31" t="n">
        <v>6</v>
      </c>
      <c r="M373" s="31" t="inlineStr">
        <is>
          <t>Underperforming</t>
        </is>
      </c>
      <c r="N373" s="32">
        <f>IF(M373="Underperforming",-5,IF(L373&gt;=95,15,IF(L373&gt;=90,10,IF(L373&gt;=80,5,0))))</f>
        <v/>
      </c>
      <c r="O373" s="32" t="n">
        <v>64.27</v>
      </c>
      <c r="P373" s="32" t="n">
        <v>17.15</v>
      </c>
      <c r="Q373" s="32" t="inlineStr"/>
      <c r="R373" s="31" t="inlineStr">
        <is>
          <t>Earnings / Momentum Support</t>
        </is>
      </c>
      <c r="S373" s="31" t="inlineStr">
        <is>
          <t>Nifty Metal</t>
        </is>
      </c>
      <c r="T373" s="32" t="n">
        <v>31.49</v>
      </c>
      <c r="U373" s="32" t="n">
        <v>-21.95</v>
      </c>
      <c r="V373" s="32" t="n">
        <v>-40.64</v>
      </c>
      <c r="W373" s="32" t="n">
        <v>-1.86</v>
      </c>
      <c r="X373" s="31" t="inlineStr">
        <is>
          <t>Cyclical in an Upturn</t>
        </is>
      </c>
      <c r="Y373" s="31">
        <f>IF(X373="Growing Industry",10,IF(X373="Cyclical in an Upturn",5,0))</f>
        <v/>
      </c>
      <c r="Z373" s="31" t="inlineStr">
        <is>
          <t>Too Many Players with High ROCE</t>
        </is>
      </c>
      <c r="AA373" s="31">
        <f>IF(Z373="Monopoly",10,IF(Z373="Oligopoly",5,IF(Z373="Duopoly that cooperate",10,IF(Z373="Duopoly that compete",5,IF(Z373="Too many players with High ROCE",5,0)))))</f>
        <v/>
      </c>
      <c r="AB373" s="31" t="inlineStr">
        <is>
          <t>No</t>
        </is>
      </c>
      <c r="AC373" s="31">
        <f>IF(AB373="No",5,0)</f>
        <v/>
      </c>
      <c r="AD373" s="31" t="inlineStr">
        <is>
          <t>Headwind</t>
        </is>
      </c>
      <c r="AE373" s="31">
        <f>IF(AD373="Tailwind",10,0)</f>
        <v/>
      </c>
      <c r="AF373" s="31" t="inlineStr">
        <is>
          <t>Cyclical</t>
        </is>
      </c>
      <c r="AG373" s="31">
        <f>IF(AF373="Structural (10 Years Consistency)",10,IF(AF373="Shallow Cyclical (2 to 3 years growth)",5,0))</f>
        <v/>
      </c>
      <c r="AH373" s="31" t="inlineStr">
        <is>
          <t>No</t>
        </is>
      </c>
      <c r="AI373" s="31">
        <f>IF(AH373="Yes due to Product Mix change or Operating Leverage",10,IF(AH373="Yes, these are peak margins",-5,IF(AH373="No",5,0)))</f>
        <v/>
      </c>
      <c r="AJ373" s="31" t="inlineStr">
        <is>
          <t>Volatile</t>
        </is>
      </c>
      <c r="AK373" s="31">
        <f>IF(AJ373="Stable",10,0)</f>
        <v/>
      </c>
      <c r="AL373" s="31" t="inlineStr">
        <is>
          <t>Yes</t>
        </is>
      </c>
      <c r="AM373" s="31">
        <f>IF(AL373="Yes",10,0)</f>
        <v/>
      </c>
      <c r="AN373" s="31" t="inlineStr">
        <is>
          <t>B2B</t>
        </is>
      </c>
      <c r="AO373" s="31">
        <f>IF(AN373="B2C",10,IF(AN373="B2B",5,0))</f>
        <v/>
      </c>
      <c r="AP373" s="31" t="inlineStr">
        <is>
          <t>No</t>
        </is>
      </c>
      <c r="AQ373" s="31">
        <f>IF(AP373="Yes",10,0)</f>
        <v/>
      </c>
      <c r="AR373" s="31" t="inlineStr">
        <is>
          <t>Higher One Time, Lower Annuity</t>
        </is>
      </c>
      <c r="AS373" s="31">
        <f>IF(AR373="Fully Annuity",10,IF(AR373="Higher Annuity, Lower One Time",5,IF(AR373="Higher One Time, Lower Annuity",3,0)))</f>
        <v/>
      </c>
      <c r="AT373" s="31" t="inlineStr">
        <is>
          <t>Good</t>
        </is>
      </c>
      <c r="AU373" s="31">
        <f>IF(AT373="Good",10,0)</f>
        <v/>
      </c>
      <c r="AV373" s="31" t="inlineStr">
        <is>
          <t>Yes for more than 2 years</t>
        </is>
      </c>
      <c r="AW373" s="31">
        <f>IF(AV373="Yes for more than 2 years",10,IF(AV373="Yes only for next 1 to 2 years",5,0))</f>
        <v/>
      </c>
      <c r="AX373" s="31" t="inlineStr">
        <is>
          <t>0 to 20</t>
        </is>
      </c>
      <c r="AY373" s="31">
        <f>IF(AX373="Above 40",20,IF(AX373="20 to 40",10,IF(AX373="0 to 20",-5,0)))</f>
        <v/>
      </c>
      <c r="AZ373" s="31" t="inlineStr">
        <is>
          <t>Between 50 to 75</t>
        </is>
      </c>
      <c r="BA373" s="31">
        <f>IF(AZ373="Between 50 to 75",10,IF(AZ373="Above 75",0,0))</f>
        <v/>
      </c>
      <c r="BB373" s="31" t="inlineStr">
        <is>
          <t>Stage 3</t>
        </is>
      </c>
      <c r="BC373" s="31">
        <f>IF(BB373="Stage 2",20,IF(BB373="Stage 1",0,IF(BB373="Stage 3",5,IF(BB373="Stage 4",-5,0))))</f>
        <v/>
      </c>
      <c r="BD373" s="31" t="inlineStr">
        <is>
          <t>Negative Trend</t>
        </is>
      </c>
      <c r="BE373" s="31">
        <f>IF(BD373="Positive Trend",20,IF(BD373="Negative Trend",-10,0))</f>
        <v/>
      </c>
      <c r="BF373" s="31" t="inlineStr">
        <is>
          <t>Uptrend</t>
        </is>
      </c>
      <c r="BG373" s="31">
        <f>IF(BF373="Uptrend",10,IF(BF373="Sideways",5,0))</f>
        <v/>
      </c>
      <c r="BH373" s="31" t="inlineStr">
        <is>
          <t>Uptrend</t>
        </is>
      </c>
      <c r="BI373" s="31">
        <f>IF(BH373="Uptrend",10,IF(BH373="Sideways",5,0))</f>
        <v/>
      </c>
      <c r="BJ373" s="31" t="inlineStr">
        <is>
          <t>Close to 52 week high or retracement</t>
        </is>
      </c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inlineStr">
        <is>
          <t>Yes</t>
        </is>
      </c>
      <c r="BM373" s="31">
        <f>IF(BL373="Yes",10,0)</f>
        <v/>
      </c>
      <c r="BN373" s="31" t="inlineStr">
        <is>
          <t>Less than 12%</t>
        </is>
      </c>
      <c r="BO373" s="31">
        <f>IF(BN373="More than 20%",10,IF(BN373="Between 12 to 20%",5,IF(BN373="Less than 12%",0,0)))</f>
        <v/>
      </c>
      <c r="BP373" s="31" t="inlineStr">
        <is>
          <t>No</t>
        </is>
      </c>
      <c r="BQ373" s="31">
        <f>IF(BP373="No",10,0)</f>
        <v/>
      </c>
      <c r="BR373" s="31" t="inlineStr">
        <is>
          <t>No</t>
        </is>
      </c>
      <c r="BS373" s="31">
        <f>IF(BR373="NO",5,0)</f>
        <v/>
      </c>
      <c r="BT373" s="31" t="inlineStr">
        <is>
          <t>Above 2</t>
        </is>
      </c>
      <c r="BU373" s="31">
        <f>IF(BT373="Above 2",0,IF(BT373="Between 1.5 to 2",5,IF(BT373="Less than 1.5",10,0)))</f>
        <v/>
      </c>
      <c r="BV373" s="31" t="inlineStr">
        <is>
          <t>Above 70%</t>
        </is>
      </c>
      <c r="BW373" s="31">
        <f>IF(BV373="Above 70%",10,IF(BV373="Between 50% to 70%",5,IF(BV373="Less than 50%",0,IF(BV373="Negative",-10,IF(BV373="Less than 50% and Borrowings are increasing",-5,0)))))</f>
        <v/>
      </c>
      <c r="BX373" s="31" t="inlineStr">
        <is>
          <t>Less than 0.7</t>
        </is>
      </c>
      <c r="BY373" s="31">
        <f>IF(BX373="More than 1.2",-10,IF(BX373="Between 0.7 to 1.2",0,IF(BX373="Less than 0.7",10,0)))</f>
        <v/>
      </c>
      <c r="BZ373" s="31" t="inlineStr">
        <is>
          <t>No</t>
        </is>
      </c>
      <c r="CA373" s="31">
        <f>IF(BZ373="Yes",-10,0)</f>
        <v/>
      </c>
      <c r="CB373" s="31" t="inlineStr">
        <is>
          <t>Less than 15%</t>
        </is>
      </c>
      <c r="CC373" s="31">
        <f>IF(CB373="More than 15%",-10,IF(CB373="Less than 15%",10,0))</f>
        <v/>
      </c>
      <c r="CD373" s="31" t="inlineStr">
        <is>
          <t>No</t>
        </is>
      </c>
      <c r="CE373" s="31">
        <f>IF(CD373="Yes, more than 10%",-10,IF(CD373="No",10,0))</f>
        <v/>
      </c>
    </row>
    <row r="374">
      <c r="A374" s="31">
        <f>IF(B374=0,"",RANK(B374,$B$2:$B$374,0))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3" t="inlineStr">
        <is>
          <t>JINDALSTEL</t>
        </is>
      </c>
      <c r="D374" s="33" t="inlineStr">
        <is>
          <t>Jindal Steel Ltd</t>
        </is>
      </c>
      <c r="E374" s="31" t="inlineStr">
        <is>
          <t>metals &amp; mining</t>
        </is>
      </c>
      <c r="F374" s="31" t="inlineStr">
        <is>
          <t>steel - large</t>
        </is>
      </c>
      <c r="G374" s="31" t="inlineStr">
        <is>
          <t>largecap</t>
        </is>
      </c>
      <c r="H374" s="32" t="n">
        <v>120288.79</v>
      </c>
      <c r="I374" s="32" t="n">
        <v>1192.9</v>
      </c>
      <c r="J374" s="32" t="n">
        <v>1.16</v>
      </c>
      <c r="K374" s="32" t="n">
        <v>781759</v>
      </c>
      <c r="L374" s="31" t="n">
        <v>7</v>
      </c>
      <c r="M374" s="31" t="inlineStr">
        <is>
          <t>Underperforming</t>
        </is>
      </c>
      <c r="N374" s="32">
        <f>IF(M374="Underperforming",-5,IF(L374&gt;=95,15,IF(L374&gt;=90,10,IF(L374&gt;=80,5,0))))</f>
        <v/>
      </c>
      <c r="O374" s="32" t="n">
        <v>57.64</v>
      </c>
      <c r="P374" s="32" t="n">
        <v>14.64</v>
      </c>
      <c r="Q374" s="32" t="inlineStr"/>
      <c r="R374" s="31" t="inlineStr">
        <is>
          <t>Earnings / Momentum Support</t>
        </is>
      </c>
      <c r="S374" s="31" t="inlineStr">
        <is>
          <t>Nifty Metal</t>
        </is>
      </c>
      <c r="T374" s="32" t="n">
        <v>31.49</v>
      </c>
      <c r="U374" s="32" t="n">
        <v>7.3</v>
      </c>
      <c r="V374" s="32" t="n">
        <v>-18.4</v>
      </c>
      <c r="W374" s="32" t="n">
        <v>-1.56</v>
      </c>
      <c r="X374" s="31" t="inlineStr">
        <is>
          <t>Cyclical in an Upturn</t>
        </is>
      </c>
      <c r="Y374" s="31">
        <f>IF(X374="Growing Industry",10,IF(X374="Cyclical in an Upturn",5,0))</f>
        <v/>
      </c>
      <c r="Z374" s="31" t="inlineStr">
        <is>
          <t>Too Many Players with High ROCE</t>
        </is>
      </c>
      <c r="AA374" s="31">
        <f>IF(Z374="Monopoly",10,IF(Z374="Oligopoly",5,IF(Z374="Duopoly that cooperate",10,IF(Z374="Duopoly that compete",5,IF(Z374="Too many players with High ROCE",5,0)))))</f>
        <v/>
      </c>
      <c r="AB374" s="31" t="inlineStr">
        <is>
          <t>No</t>
        </is>
      </c>
      <c r="AC374" s="31">
        <f>IF(AB374="No",5,0)</f>
        <v/>
      </c>
      <c r="AD374" s="31" t="inlineStr">
        <is>
          <t>Headwind</t>
        </is>
      </c>
      <c r="AE374" s="31">
        <f>IF(AD374="Tailwind",10,0)</f>
        <v/>
      </c>
      <c r="AF374" s="31" t="inlineStr">
        <is>
          <t>Cyclical</t>
        </is>
      </c>
      <c r="AG374" s="31">
        <f>IF(AF374="Structural (10 Years Consistency)",10,IF(AF374="Shallow Cyclical (2 to 3 years growth)",5,0))</f>
        <v/>
      </c>
      <c r="AH374" s="31" t="inlineStr">
        <is>
          <t>No</t>
        </is>
      </c>
      <c r="AI374" s="31">
        <f>IF(AH374="Yes due to Product Mix change or Operating Leverage",10,IF(AH374="Yes, these are peak margins",-5,IF(AH374="No",5,0)))</f>
        <v/>
      </c>
      <c r="AJ374" s="31" t="inlineStr">
        <is>
          <t>Volatile</t>
        </is>
      </c>
      <c r="AK374" s="31">
        <f>IF(AJ374="Stable",10,0)</f>
        <v/>
      </c>
      <c r="AL374" s="31" t="inlineStr">
        <is>
          <t>Yes</t>
        </is>
      </c>
      <c r="AM374" s="31">
        <f>IF(AL374="Yes",10,0)</f>
        <v/>
      </c>
      <c r="AN374" s="31" t="inlineStr">
        <is>
          <t>B2B</t>
        </is>
      </c>
      <c r="AO374" s="31">
        <f>IF(AN374="B2C",10,IF(AN374="B2B",5,0))</f>
        <v/>
      </c>
      <c r="AP374" s="31" t="inlineStr">
        <is>
          <t>No</t>
        </is>
      </c>
      <c r="AQ374" s="31">
        <f>IF(AP374="Yes",10,0)</f>
        <v/>
      </c>
      <c r="AR374" s="31" t="inlineStr">
        <is>
          <t>Higher One Time, Lower Annuity</t>
        </is>
      </c>
      <c r="AS374" s="31">
        <f>IF(AR374="Fully Annuity",10,IF(AR374="Higher Annuity, Lower One Time",5,IF(AR374="Higher One Time, Lower Annuity",3,0)))</f>
        <v/>
      </c>
      <c r="AT374" s="31" t="inlineStr">
        <is>
          <t>Good</t>
        </is>
      </c>
      <c r="AU374" s="31">
        <f>IF(AT374="Good",10,0)</f>
        <v/>
      </c>
      <c r="AV374" s="31" t="inlineStr">
        <is>
          <t>Yes for more than 2 years</t>
        </is>
      </c>
      <c r="AW374" s="31">
        <f>IF(AV374="Yes for more than 2 years",10,IF(AV374="Yes only for next 1 to 2 years",5,0))</f>
        <v/>
      </c>
      <c r="AX374" s="31" t="inlineStr">
        <is>
          <t>0 to 20</t>
        </is>
      </c>
      <c r="AY374" s="31">
        <f>IF(AX374="Above 40",20,IF(AX374="20 to 40",10,IF(AX374="0 to 20",-5,0)))</f>
        <v/>
      </c>
      <c r="AZ374" s="31" t="inlineStr">
        <is>
          <t>Between 50 to 75</t>
        </is>
      </c>
      <c r="BA374" s="31">
        <f>IF(AZ374="Between 50 to 75",10,IF(AZ374="Above 75",0,0))</f>
        <v/>
      </c>
      <c r="BB374" s="31" t="inlineStr">
        <is>
          <t>Stage 3</t>
        </is>
      </c>
      <c r="BC374" s="31">
        <f>IF(BB374="Stage 2",20,IF(BB374="Stage 1",0,IF(BB374="Stage 3",5,IF(BB374="Stage 4",-5,0))))</f>
        <v/>
      </c>
      <c r="BD374" s="31" t="inlineStr">
        <is>
          <t>Negative Trend</t>
        </is>
      </c>
      <c r="BE374" s="31">
        <f>IF(BD374="Positive Trend",20,IF(BD374="Negative Trend",-10,0))</f>
        <v/>
      </c>
      <c r="BF374" s="31" t="inlineStr">
        <is>
          <t>Uptrend</t>
        </is>
      </c>
      <c r="BG374" s="31">
        <f>IF(BF374="Uptrend",10,IF(BF374="Sideways",5,0))</f>
        <v/>
      </c>
      <c r="BH374" s="31" t="inlineStr">
        <is>
          <t>Uptrend</t>
        </is>
      </c>
      <c r="BI374" s="31">
        <f>IF(BH374="Uptrend",10,IF(BH374="Sideways",5,0))</f>
        <v/>
      </c>
      <c r="BJ374" s="31" t="inlineStr">
        <is>
          <t>Close to 52 week high or retracement</t>
        </is>
      </c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inlineStr">
        <is>
          <t>Yes</t>
        </is>
      </c>
      <c r="BM374" s="31">
        <f>IF(BL374="Yes",10,0)</f>
        <v/>
      </c>
      <c r="BN374" s="31" t="inlineStr">
        <is>
          <t>Less than 12%</t>
        </is>
      </c>
      <c r="BO374" s="31">
        <f>IF(BN374="More than 20%",10,IF(BN374="Between 12 to 20%",5,IF(BN374="Less than 12%",0,0)))</f>
        <v/>
      </c>
      <c r="BP374" s="31" t="inlineStr">
        <is>
          <t>No</t>
        </is>
      </c>
      <c r="BQ374" s="31">
        <f>IF(BP374="No",10,0)</f>
        <v/>
      </c>
      <c r="BR374" s="31" t="inlineStr">
        <is>
          <t>Yes</t>
        </is>
      </c>
      <c r="BS374" s="31">
        <f>IF(BR374="NO",5,0)</f>
        <v/>
      </c>
      <c r="BT374" s="31" t="inlineStr">
        <is>
          <t>Above 2</t>
        </is>
      </c>
      <c r="BU374" s="31">
        <f>IF(BT374="Above 2",0,IF(BT374="Between 1.5 to 2",5,IF(BT374="Less than 1.5",10,0)))</f>
        <v/>
      </c>
      <c r="BV374" s="31" t="inlineStr">
        <is>
          <t>Above 70%</t>
        </is>
      </c>
      <c r="BW374" s="31">
        <f>IF(BV374="Above 70%",10,IF(BV374="Between 50% to 70%",5,IF(BV374="Less than 50%",0,IF(BV374="Negative",-10,IF(BV374="Less than 50% and Borrowings are increasing",-5,0)))))</f>
        <v/>
      </c>
      <c r="BX374" s="31" t="inlineStr">
        <is>
          <t>Less than 0.7</t>
        </is>
      </c>
      <c r="BY374" s="31">
        <f>IF(BX374="More than 1.2",-10,IF(BX374="Between 0.7 to 1.2",0,IF(BX374="Less than 0.7",10,0)))</f>
        <v/>
      </c>
      <c r="BZ374" s="31" t="inlineStr">
        <is>
          <t>No</t>
        </is>
      </c>
      <c r="CA374" s="31">
        <f>IF(BZ374="Yes",-10,0)</f>
        <v/>
      </c>
      <c r="CB374" s="31" t="inlineStr">
        <is>
          <t>Less than 15%</t>
        </is>
      </c>
      <c r="CC374" s="31">
        <f>IF(CB374="More than 15%",-10,IF(CB374="Less than 15%",10,0))</f>
        <v/>
      </c>
      <c r="CD374" s="31" t="inlineStr">
        <is>
          <t>No</t>
        </is>
      </c>
      <c r="CE374" s="31">
        <f>IF(CD374="Yes, more than 10%",-10,IF(CD374="No",10,0))</f>
        <v/>
      </c>
    </row>
  </sheetData>
  <autoFilter ref="A1:CE374"/>
  <conditionalFormatting sqref="B2:B37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4">
    <cfRule type="cellIs" priority="36" operator="equal" dxfId="3" stopIfTrue="1">
      <formula>"Underperforming"</formula>
    </cfRule>
  </conditionalFormatting>
  <conditionalFormatting sqref="N2:N374">
    <cfRule type="cellIs" priority="37" operator="equal" dxfId="3" stopIfTrue="1">
      <formula>-5</formula>
    </cfRule>
  </conditionalFormatting>
  <conditionalFormatting sqref="Q2:Q37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4" showDropDown="0" showInputMessage="0" showErrorMessage="0" allowBlank="1" type="list">
      <formula1>"Growing Industry,Stagnant Industry,Cyclical in an Upturn"</formula1>
    </dataValidation>
    <dataValidation sqref="Z2:Z37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4" showDropDown="0" showInputMessage="0" showErrorMessage="0" allowBlank="1" type="list">
      <formula1>"Yes,No"</formula1>
    </dataValidation>
    <dataValidation sqref="AD2:AD374" showDropDown="0" showInputMessage="0" showErrorMessage="0" allowBlank="1" type="list">
      <formula1>"Tailwind,Headwind"</formula1>
    </dataValidation>
    <dataValidation sqref="AF2:AF374" showDropDown="0" showInputMessage="0" showErrorMessage="0" allowBlank="1" type="list">
      <formula1>"Structural (10 Years Consistency),Shallow Cyclical (2 to 3 Years Growth),Cyclical"</formula1>
    </dataValidation>
    <dataValidation sqref="AH2:AH374" showDropDown="0" showInputMessage="0" showErrorMessage="0" allowBlank="1" type="list">
      <formula1>"Yes due to Product Mix change or Operating Leverage,Yes, these are peak margins,No"</formula1>
    </dataValidation>
    <dataValidation sqref="AJ2:AJ374" showDropDown="0" showInputMessage="0" showErrorMessage="0" allowBlank="1" type="list">
      <formula1>"Stable,Volatile"</formula1>
    </dataValidation>
    <dataValidation sqref="AL2:AL374" showDropDown="0" showInputMessage="0" showErrorMessage="0" allowBlank="1" type="list">
      <formula1>"Yes,No"</formula1>
    </dataValidation>
    <dataValidation sqref="AN2:AN374" showDropDown="0" showInputMessage="0" showErrorMessage="0" allowBlank="1" type="list">
      <formula1>"B2C,B2B,B2G"</formula1>
    </dataValidation>
    <dataValidation sqref="AP2:AP374" showDropDown="0" showInputMessage="0" showErrorMessage="0" allowBlank="1" type="list">
      <formula1>"Yes,No"</formula1>
    </dataValidation>
    <dataValidation sqref="AR2:AR374" showDropDown="0" showInputMessage="0" showErrorMessage="0" allowBlank="1" type="list">
      <formula1>"Fully Annuity,Higher Annuity, Lower One time,Higher One Time, Lower Annuity,Fully One Time"</formula1>
    </dataValidation>
    <dataValidation sqref="AT2:AT374" showDropDown="0" showInputMessage="0" showErrorMessage="0" allowBlank="1" type="list">
      <formula1>"Good,Allocated capital in Non-core Areas"</formula1>
    </dataValidation>
    <dataValidation sqref="AV2:AV374" showDropDown="0" showInputMessage="0" showErrorMessage="0" allowBlank="1" type="list">
      <formula1>"Yes for more than 2 years,Yes only for next 1 to 2 years,No"</formula1>
    </dataValidation>
    <dataValidation sqref="AX2:AX374" showDropDown="0" showInputMessage="0" showErrorMessage="0" allowBlank="1" type="list">
      <formula1>"Above 40,20 to 40,0 to 20"</formula1>
    </dataValidation>
    <dataValidation sqref="AZ2:AZ374" showDropDown="0" showInputMessage="0" showErrorMessage="0" allowBlank="1" type="list">
      <formula1>"Between 50 to 75,Above 75,Below 45"</formula1>
    </dataValidation>
    <dataValidation sqref="BB2:BB374" showDropDown="0" showInputMessage="0" showErrorMessage="0" allowBlank="1" type="list">
      <formula1>"Stage 1,Stage 2,Stage 3,Stage 4"</formula1>
    </dataValidation>
    <dataValidation sqref="BD2:BD374" showDropDown="0" showInputMessage="0" showErrorMessage="0" allowBlank="1" type="list">
      <formula1>"Positive Trend,Negative Trend"</formula1>
    </dataValidation>
    <dataValidation sqref="BF2:BF374" showDropDown="0" showInputMessage="0" showErrorMessage="0" allowBlank="1" type="list">
      <formula1>"Uptrend,Sideways,Downtrend"</formula1>
    </dataValidation>
    <dataValidation sqref="BH2:BH374" showDropDown="0" showInputMessage="0" showErrorMessage="0" allowBlank="1" type="list">
      <formula1>"Uptrend,Sideways,Downtrend"</formula1>
    </dataValidation>
    <dataValidation sqref="BJ2:BJ37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4" showDropDown="0" showInputMessage="0" showErrorMessage="0" allowBlank="1" type="list">
      <formula1>"Yes,No"</formula1>
    </dataValidation>
    <dataValidation sqref="BN2:BN374" showDropDown="0" showInputMessage="0" showErrorMessage="0" allowBlank="1" type="list">
      <formula1>"More than 20%,Between 12 to 20%,Less than 12%"</formula1>
    </dataValidation>
    <dataValidation sqref="BP2:BP374" showDropDown="0" showInputMessage="0" showErrorMessage="0" allowBlank="1" type="list">
      <formula1>"Yes,No"</formula1>
    </dataValidation>
    <dataValidation sqref="BR2:BR374" showDropDown="0" showInputMessage="0" showErrorMessage="0" allowBlank="1" type="list">
      <formula1>"Yes,No"</formula1>
    </dataValidation>
    <dataValidation sqref="BT2:BT374" showDropDown="0" showInputMessage="0" showErrorMessage="0" allowBlank="1" type="list">
      <formula1>"Above 2,Between 1.5 to 2,Less than 1.5"</formula1>
    </dataValidation>
    <dataValidation sqref="BV2:BV374" showDropDown="0" showInputMessage="0" showErrorMessage="0" allowBlank="1" type="list">
      <formula1>"Above 70%,Between 50% to 70%,Less than 50%,Less than 50% and Borrowings are increasing,Negative"</formula1>
    </dataValidation>
    <dataValidation sqref="BX2:BX374" showDropDown="0" showInputMessage="0" showErrorMessage="0" allowBlank="1" type="list">
      <formula1>"More than 1.2,Between 0.7 to 1.2,Less than 0.7"</formula1>
    </dataValidation>
    <dataValidation sqref="BZ2:BZ374" showDropDown="0" showInputMessage="0" showErrorMessage="0" allowBlank="1" type="list">
      <formula1>"Yes,No"</formula1>
    </dataValidation>
    <dataValidation sqref="CB2:CB374" showDropDown="0" showInputMessage="0" showErrorMessage="0" allowBlank="1" type="list">
      <formula1>"More than 15%,Less than 15%"</formula1>
    </dataValidation>
    <dataValidation sqref="CD2:CD37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IF(B2=0,"",RANK(B2,$B$2:$B$42,0))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14030.73</v>
      </c>
      <c r="I2" s="32" t="n">
        <v>932.6</v>
      </c>
      <c r="J2" s="32" t="n">
        <v>5.25</v>
      </c>
      <c r="K2" s="32" t="n">
        <v>776594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71.37</v>
      </c>
      <c r="P2" s="32" t="n">
        <v>42.17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7.16</v>
      </c>
      <c r="U2" s="32" t="n">
        <v>112.74</v>
      </c>
      <c r="V2" s="32" t="n">
        <v>98.53</v>
      </c>
      <c r="W2" s="32" t="n">
        <v>23.07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IF(B3=0,"",RANK(B3,$B$2:$B$42,0))</f>
        <v/>
      </c>
      <c r="B3" s="32">
        <f>SUM(N3,Y3,AA3,AC3,AE3,AG3,AI3,AK3,AM3,AO3,AQ3,AS3,AU3,AW3,AY3,BA3,BC3,BE3,BG3,BI3,BK3,BM3,BO3,BQ3,BS3,BU3,BW3,BY3,CA3)</f>
        <v/>
      </c>
      <c r="C3" s="31" t="inlineStr">
        <is>
          <t>NORTHARC</t>
        </is>
      </c>
      <c r="D3" s="31" t="inlineStr">
        <is>
          <t>Northern ARC Capital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4618.07</v>
      </c>
      <c r="I3" s="32" t="n">
        <v>311.65</v>
      </c>
      <c r="J3" s="32" t="n">
        <v>9.06</v>
      </c>
      <c r="K3" s="32" t="n">
        <v>25296223</v>
      </c>
      <c r="L3" s="31" t="n">
        <v>27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52.81</v>
      </c>
      <c r="P3" s="32" t="n">
        <v>31.78</v>
      </c>
      <c r="Q3" s="32" t="inlineStr"/>
      <c r="R3" s="31" t="inlineStr">
        <is>
          <t>Volume Spike / Accumulation</t>
        </is>
      </c>
      <c r="S3" s="31" t="inlineStr">
        <is>
          <t>Nifty Bank</t>
        </is>
      </c>
      <c r="T3" s="32" t="n">
        <v>7.16</v>
      </c>
      <c r="U3" s="32" t="n">
        <v>21</v>
      </c>
      <c r="V3" s="32" t="n">
        <v>12.92</v>
      </c>
      <c r="W3" s="32" t="n">
        <v>4.46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IF(B4=0,"",RANK(B4,$B$2:$B$42,0))</f>
        <v/>
      </c>
      <c r="B4" s="32">
        <f>SUM(N4,Y4,AA4,AC4,AE4,AG4,AI4,AK4,AM4,AO4,AQ4,AS4,AU4,AW4,AY4,BA4,BC4,BE4,BG4,BI4,BK4,BM4,BO4,BQ4,BS4,BU4,BW4,BY4,CA4)</f>
        <v/>
      </c>
      <c r="C4" s="31" t="inlineStr">
        <is>
          <t>FEDERALBNK</t>
        </is>
      </c>
      <c r="D4" s="31" t="inlineStr">
        <is>
          <t>The Federal Bank 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84962.24000000001</v>
      </c>
      <c r="I4" s="32" t="n">
        <v>356.7</v>
      </c>
      <c r="J4" s="32" t="n">
        <v>3.62</v>
      </c>
      <c r="K4" s="32" t="n">
        <v>6824404</v>
      </c>
      <c r="L4" s="31" t="n">
        <v>71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64.55</v>
      </c>
      <c r="P4" s="32" t="n">
        <v>48.36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7.16</v>
      </c>
      <c r="U4" s="32" t="n">
        <v>80.18000000000001</v>
      </c>
      <c r="V4" s="32" t="n">
        <v>68.15000000000001</v>
      </c>
      <c r="W4" s="32" t="n">
        <v>17.25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IF(B5=0,"",RANK(B5,$B$2:$B$42,0))</f>
        <v/>
      </c>
      <c r="B5" s="32">
        <f>SUM(N5,Y5,AA5,AC5,AE5,AG5,AI5,AK5,AM5,AO5,AQ5,AS5,AU5,AW5,AY5,BA5,BC5,BE5,BG5,BI5,BK5,BM5,BO5,BQ5,BS5,BU5,BW5,BY5,CA5)</f>
        <v/>
      </c>
      <c r="C5" s="33" t="inlineStr">
        <is>
          <t>AFSL</t>
        </is>
      </c>
      <c r="D5" s="33" t="inlineStr">
        <is>
          <t>Abans Financial Services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1077.4</v>
      </c>
      <c r="I5" s="32" t="n">
        <v>212.1</v>
      </c>
      <c r="J5" s="32" t="n">
        <v>0.08</v>
      </c>
      <c r="K5" s="32" t="n">
        <v>14455</v>
      </c>
      <c r="L5" s="31" t="n">
        <v>14</v>
      </c>
      <c r="M5" s="31" t="inlineStr">
        <is>
          <t>Underperforming</t>
        </is>
      </c>
      <c r="N5" s="32">
        <f>IF(M5="Underperforming",-5,IF(L5&gt;=95,15,IF(L5&gt;=90,10,IF(L5&gt;=80,5,0))))</f>
        <v/>
      </c>
      <c r="O5" s="32" t="n">
        <v>64.51000000000001</v>
      </c>
      <c r="P5" s="32" t="n">
        <v>69.83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7.16</v>
      </c>
      <c r="U5" s="32" t="n">
        <v>-2.17</v>
      </c>
      <c r="V5" s="32" t="n">
        <v>-8.699999999999999</v>
      </c>
      <c r="W5" s="32" t="n">
        <v>0.73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IF(B6=0,"",RANK(B6,$B$2:$B$42,0))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TFCILTD</t>
        </is>
      </c>
      <c r="D6" s="31" t="inlineStr">
        <is>
          <t>Tourism Finance Corporation Of India Limited</t>
        </is>
      </c>
      <c r="E6" s="31" t="inlineStr">
        <is>
          <t>financials</t>
        </is>
      </c>
      <c r="F6" s="31" t="inlineStr">
        <is>
          <t>finance - term-lending institutions</t>
        </is>
      </c>
      <c r="G6" s="31" t="inlineStr">
        <is>
          <t>midcap</t>
        </is>
      </c>
      <c r="H6" s="32" t="n">
        <v>6506.68</v>
      </c>
      <c r="I6" s="32" t="n">
        <v>139.92</v>
      </c>
      <c r="J6" s="32" t="n">
        <v>-0.44</v>
      </c>
      <c r="K6" s="32" t="n">
        <v>5282135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85.52</v>
      </c>
      <c r="P6" s="32" t="n">
        <v>62.43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7.16</v>
      </c>
      <c r="U6" s="32" t="n">
        <v>134.64</v>
      </c>
      <c r="V6" s="32" t="n">
        <v>118.96</v>
      </c>
      <c r="W6" s="32" t="n">
        <v>41.64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IF(B7=0,"",RANK(B7,$B$2:$B$42,0))</f>
        <v/>
      </c>
      <c r="B7" s="32">
        <f>SUM(N7,Y7,AA7,AC7,AE7,AG7,AI7,AK7,AM7,AO7,AQ7,AS7,AU7,AW7,AY7,BA7,BC7,BE7,BG7,BI7,BK7,BM7,BO7,BQ7,BS7,BU7,BW7,BY7,CA7)</f>
        <v/>
      </c>
      <c r="C7" s="31" t="inlineStr">
        <is>
          <t>WELINV</t>
        </is>
      </c>
      <c r="D7" s="31" t="inlineStr">
        <is>
          <t>Welspun Investments And Commercials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825.62</v>
      </c>
      <c r="I7" s="32" t="n">
        <v>2214.1</v>
      </c>
      <c r="J7" s="32" t="n">
        <v>-2</v>
      </c>
      <c r="K7" s="32" t="n">
        <v>646</v>
      </c>
      <c r="L7" s="31" t="n">
        <v>86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83.05</v>
      </c>
      <c r="P7" s="32" t="n">
        <v>55.63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7.16</v>
      </c>
      <c r="U7" s="32" t="n">
        <v>140.57</v>
      </c>
      <c r="V7" s="32" t="n">
        <v>124.5</v>
      </c>
      <c r="W7" s="32" t="n">
        <v>24.69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IF(B8=0,"",RANK(B8,$B$2:$B$42,0))</f>
        <v/>
      </c>
      <c r="B8" s="32">
        <f>SUM(N8,Y8,AA8,AC8,AE8,AG8,AI8,AK8,AM8,AO8,AQ8,AS8,AU8,AW8,AY8,BA8,BC8,BE8,BG8,BI8,BK8,BM8,BO8,BQ8,BS8,BU8,BW8,BY8,CA8)</f>
        <v/>
      </c>
      <c r="C8" s="31" t="inlineStr">
        <is>
          <t>ESAFSFB</t>
        </is>
      </c>
      <c r="D8" s="31" t="inlineStr">
        <is>
          <t>ESAF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smallcap</t>
        </is>
      </c>
      <c r="H8" s="32" t="n">
        <v>2306.82</v>
      </c>
      <c r="I8" s="32" t="n">
        <v>42.97</v>
      </c>
      <c r="J8" s="32" t="n">
        <v>-3.89</v>
      </c>
      <c r="K8" s="32" t="n">
        <v>415246</v>
      </c>
      <c r="L8" s="31" t="n">
        <v>81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71.18000000000001</v>
      </c>
      <c r="P8" s="32" t="n">
        <v>38.78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7.16</v>
      </c>
      <c r="U8" s="32" t="n">
        <v>55.84</v>
      </c>
      <c r="V8" s="32" t="n">
        <v>45.43</v>
      </c>
      <c r="W8" s="32" t="n">
        <v>22.53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IF(B9=0,"",RANK(B9,$B$2:$B$42,0))</f>
        <v/>
      </c>
      <c r="B9" s="32">
        <f>SUM(N9,Y9,AA9,AC9,AE9,AG9,AI9,AK9,AM9,AO9,AQ9,AS9,AU9,AW9,AY9,BA9,BC9,BE9,BG9,BI9,BK9,BM9,BO9,BQ9,BS9,BU9,BW9,BY9,CA9)</f>
        <v/>
      </c>
      <c r="C9" s="31" t="inlineStr">
        <is>
          <t>CUB</t>
        </is>
      </c>
      <c r="D9" s="31" t="inlineStr">
        <is>
          <t>City Union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22019.26</v>
      </c>
      <c r="I9" s="32" t="n">
        <v>229.19</v>
      </c>
      <c r="J9" s="32" t="n">
        <v>3.13</v>
      </c>
      <c r="K9" s="32" t="n">
        <v>4962483</v>
      </c>
      <c r="L9" s="31" t="n">
        <v>62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60.19</v>
      </c>
      <c r="P9" s="32" t="n">
        <v>35.72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7.16</v>
      </c>
      <c r="U9" s="32" t="n">
        <v>52.56</v>
      </c>
      <c r="V9" s="32" t="n">
        <v>42.37</v>
      </c>
      <c r="W9" s="32" t="n">
        <v>13.42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IF(B10=0,"",RANK(B10,$B$2:$B$42,0))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DCBBANK</t>
        </is>
      </c>
      <c r="D10" s="31" t="inlineStr">
        <is>
          <t>Dcb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6859.28</v>
      </c>
      <c r="I10" s="32" t="n">
        <v>218.2</v>
      </c>
      <c r="J10" s="32" t="n">
        <v>2.46</v>
      </c>
      <c r="K10" s="32" t="n">
        <v>1777630</v>
      </c>
      <c r="L10" s="31" t="n">
        <v>74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68.56</v>
      </c>
      <c r="P10" s="32" t="n">
        <v>28.74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7.16</v>
      </c>
      <c r="U10" s="32" t="n">
        <v>75.5</v>
      </c>
      <c r="V10" s="32" t="n">
        <v>63.77</v>
      </c>
      <c r="W10" s="32" t="n">
        <v>18.11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IF(B11=0,"",RANK(B11,$B$2:$B$42,0))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KTKBANK</t>
        </is>
      </c>
      <c r="D11" s="31" t="inlineStr">
        <is>
          <t>The Karnataka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midcap</t>
        </is>
      </c>
      <c r="H11" s="32" t="n">
        <v>12493.95</v>
      </c>
      <c r="I11" s="32" t="n">
        <v>335.15</v>
      </c>
      <c r="J11" s="32" t="n">
        <v>1.45</v>
      </c>
      <c r="K11" s="32" t="n">
        <v>4358321</v>
      </c>
      <c r="L11" s="31" t="n">
        <v>77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78.58</v>
      </c>
      <c r="P11" s="32" t="n">
        <v>49.01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7.16</v>
      </c>
      <c r="U11" s="32" t="n">
        <v>97.93000000000001</v>
      </c>
      <c r="V11" s="32" t="n">
        <v>84.70999999999999</v>
      </c>
      <c r="W11" s="32" t="n">
        <v>20.16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IF(B12=0,"",RANK(B12,$B$2:$B$42,0))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KARURVYSYA</t>
        </is>
      </c>
      <c r="D12" s="31" t="inlineStr">
        <is>
          <t>Karur Vysya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33446.74</v>
      </c>
      <c r="I12" s="32" t="n">
        <v>347.6</v>
      </c>
      <c r="J12" s="32" t="n">
        <v>0.46</v>
      </c>
      <c r="K12" s="32" t="n">
        <v>1814597</v>
      </c>
      <c r="L12" s="31" t="n">
        <v>68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68.7</v>
      </c>
      <c r="P12" s="32" t="n">
        <v>26.57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7.16</v>
      </c>
      <c r="U12" s="32" t="n">
        <v>62.9</v>
      </c>
      <c r="V12" s="32" t="n">
        <v>52.02</v>
      </c>
      <c r="W12" s="32" t="n">
        <v>15.49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IF(B13=0,"",RANK(B13,$B$2:$B$42,0))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IIFL</t>
        </is>
      </c>
      <c r="D13" s="31" t="inlineStr">
        <is>
          <t>IIFL Finance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28039.55</v>
      </c>
      <c r="I13" s="32" t="n">
        <v>646.75</v>
      </c>
      <c r="J13" s="32" t="n">
        <v>-1.9</v>
      </c>
      <c r="K13" s="32" t="n">
        <v>1485055</v>
      </c>
      <c r="L13" s="31" t="n">
        <v>77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70.70999999999999</v>
      </c>
      <c r="P13" s="32" t="n">
        <v>29.07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7.16</v>
      </c>
      <c r="U13" s="32" t="n">
        <v>55.32</v>
      </c>
      <c r="V13" s="32" t="n">
        <v>44.94</v>
      </c>
      <c r="W13" s="32" t="n">
        <v>19.64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IF(B14=0,"",RANK(B14,$B$2:$B$42,0))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MANCREDIT</t>
        </is>
      </c>
      <c r="D14" s="31" t="inlineStr">
        <is>
          <t>Mangal Credit &amp; Fincorp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522.89</v>
      </c>
      <c r="I14" s="32" t="n">
        <v>242.74</v>
      </c>
      <c r="J14" s="32" t="n">
        <v>-1.98</v>
      </c>
      <c r="K14" s="32" t="n">
        <v>249942</v>
      </c>
      <c r="L14" s="31" t="n">
        <v>58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63.32</v>
      </c>
      <c r="P14" s="32" t="n">
        <v>52.17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7.16</v>
      </c>
      <c r="U14" s="32" t="n">
        <v>37.49</v>
      </c>
      <c r="V14" s="32" t="n">
        <v>28.31</v>
      </c>
      <c r="W14" s="32" t="n">
        <v>11.91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Above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IF(B15=0,"",RANK(B15,$B$2:$B$42,0))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GEECEE</t>
        </is>
      </c>
      <c r="D15" s="33" t="inlineStr">
        <is>
          <t>Geecee Ventures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773.73</v>
      </c>
      <c r="I15" s="32" t="n">
        <v>369.95</v>
      </c>
      <c r="J15" s="32" t="n">
        <v>-0.01</v>
      </c>
      <c r="K15" s="32" t="n">
        <v>5222</v>
      </c>
      <c r="L15" s="31" t="n">
        <v>32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61.64</v>
      </c>
      <c r="P15" s="32" t="n">
        <v>36.39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7.16</v>
      </c>
      <c r="U15" s="32" t="n">
        <v>5.37</v>
      </c>
      <c r="V15" s="32" t="n">
        <v>-1.67</v>
      </c>
      <c r="W15" s="32" t="n">
        <v>5.34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IF(B16=0,"",RANK(B16,$B$2:$B$42,0))</f>
        <v/>
      </c>
      <c r="B16" s="32">
        <f>SUM(N16,Y16,AA16,AC16,AE16,AG16,AI16,AK16,AM16,AO16,AQ16,AS16,AU16,AW16,AY16,BA16,BC16,BE16,BG16,BI16,BK16,BM16,BO16,BQ16,BS16,BU16,BW16,BY16,CA16)</f>
        <v/>
      </c>
      <c r="C16" s="33" t="inlineStr">
        <is>
          <t>NIACL</t>
        </is>
      </c>
      <c r="D16" s="33" t="inlineStr">
        <is>
          <t>New India Assurance Company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30708.83</v>
      </c>
      <c r="I16" s="32" t="n">
        <v>191.23</v>
      </c>
      <c r="J16" s="32" t="n">
        <v>2.62</v>
      </c>
      <c r="K16" s="32" t="n">
        <v>26274670</v>
      </c>
      <c r="L16" s="31" t="n">
        <v>29</v>
      </c>
      <c r="M16" s="31" t="inlineStr">
        <is>
          <t>Underperforming</t>
        </is>
      </c>
      <c r="N16" s="32">
        <f>IF(M16="Underperforming",-5,IF(L16&gt;=95,15,IF(L16&gt;=90,10,IF(L16&gt;=80,5,0))))</f>
        <v/>
      </c>
      <c r="O16" s="32" t="n">
        <v>60.39</v>
      </c>
      <c r="P16" s="32" t="n">
        <v>27.97</v>
      </c>
      <c r="Q16" s="32" t="inlineStr"/>
      <c r="R16" s="31" t="inlineStr">
        <is>
          <t>Volume Spike / Accumulation</t>
        </is>
      </c>
      <c r="S16" s="31" t="inlineStr">
        <is>
          <t>Nifty Bank</t>
        </is>
      </c>
      <c r="T16" s="32" t="n">
        <v>7.16</v>
      </c>
      <c r="U16" s="32" t="n">
        <v>0.7</v>
      </c>
      <c r="V16" s="32" t="n">
        <v>-6.03</v>
      </c>
      <c r="W16" s="32" t="n">
        <v>4.67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IF(B17=0,"",RANK(B17,$B$2:$B$42,0))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LTF</t>
        </is>
      </c>
      <c r="D17" s="31" t="inlineStr">
        <is>
          <t>L&amp;T Finance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78748.06</v>
      </c>
      <c r="I17" s="32" t="n">
        <v>321</v>
      </c>
      <c r="J17" s="32" t="n">
        <v>2.13</v>
      </c>
      <c r="K17" s="32" t="n">
        <v>4489382</v>
      </c>
      <c r="L17" s="31" t="n">
        <v>57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57.85</v>
      </c>
      <c r="P17" s="32" t="n">
        <v>29.28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7.16</v>
      </c>
      <c r="U17" s="32" t="n">
        <v>46.22</v>
      </c>
      <c r="V17" s="32" t="n">
        <v>36.45</v>
      </c>
      <c r="W17" s="32" t="n">
        <v>11.21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IF(B18=0,"",RANK(B18,$B$2:$B$42,0))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CGCL</t>
        </is>
      </c>
      <c r="D18" s="31" t="inlineStr">
        <is>
          <t>Capri Global Capital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24821.65</v>
      </c>
      <c r="I18" s="32" t="n">
        <v>256.46</v>
      </c>
      <c r="J18" s="32" t="n">
        <v>-0.59</v>
      </c>
      <c r="K18" s="32" t="n">
        <v>3765128</v>
      </c>
      <c r="L18" s="31" t="n">
        <v>65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69.23999999999999</v>
      </c>
      <c r="P18" s="32" t="n">
        <v>38.91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7.16</v>
      </c>
      <c r="U18" s="32" t="n">
        <v>39.33</v>
      </c>
      <c r="V18" s="32" t="n">
        <v>30.02</v>
      </c>
      <c r="W18" s="32" t="n">
        <v>14.16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IF(B19=0,"",RANK(B19,$B$2:$B$42,0))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STEL</t>
        </is>
      </c>
      <c r="D19" s="31" t="inlineStr">
        <is>
          <t>Stel Holdings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1175.42</v>
      </c>
      <c r="I19" s="32" t="n">
        <v>661.2</v>
      </c>
      <c r="J19" s="32" t="n">
        <v>3.82</v>
      </c>
      <c r="K19" s="32" t="n">
        <v>19646</v>
      </c>
      <c r="L19" s="31" t="n">
        <v>71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67.84</v>
      </c>
      <c r="P19" s="32" t="n">
        <v>23.98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7.16</v>
      </c>
      <c r="U19" s="32" t="n">
        <v>38.14</v>
      </c>
      <c r="V19" s="32" t="n">
        <v>28.91</v>
      </c>
      <c r="W19" s="32" t="n">
        <v>16.97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IF(B20=0,"",RANK(B20,$B$2:$B$42,0))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IDFCFIRSTB</t>
        </is>
      </c>
      <c r="D20" s="31" t="inlineStr">
        <is>
          <t>IDFC First Bank Ltd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largecap</t>
        </is>
      </c>
      <c r="H20" s="32" t="n">
        <v>71605.67999999999</v>
      </c>
      <c r="I20" s="32" t="n">
        <v>85.97</v>
      </c>
      <c r="J20" s="32" t="n">
        <v>3.43</v>
      </c>
      <c r="K20" s="32" t="n">
        <v>19780056</v>
      </c>
      <c r="L20" s="31" t="n">
        <v>46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60.28</v>
      </c>
      <c r="P20" s="32" t="n">
        <v>26.37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7.16</v>
      </c>
      <c r="U20" s="32" t="n">
        <v>22.61</v>
      </c>
      <c r="V20" s="32" t="n">
        <v>14.42</v>
      </c>
      <c r="W20" s="32" t="n">
        <v>8.08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IF(B21=0,"",RANK(B21,$B$2:$B$42,0))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INDIANB</t>
        </is>
      </c>
      <c r="D21" s="31" t="inlineStr">
        <is>
          <t>Indian Bank Ltd</t>
        </is>
      </c>
      <c r="E21" s="31" t="inlineStr">
        <is>
          <t>bank</t>
        </is>
      </c>
      <c r="F21" s="31" t="inlineStr">
        <is>
          <t>banks - public sector</t>
        </is>
      </c>
      <c r="G21" s="31" t="inlineStr">
        <is>
          <t>largecap</t>
        </is>
      </c>
      <c r="H21" s="32" t="n">
        <v>118856.1</v>
      </c>
      <c r="I21" s="32" t="n">
        <v>898.75</v>
      </c>
      <c r="J21" s="32" t="n">
        <v>1.85</v>
      </c>
      <c r="K21" s="32" t="n">
        <v>1651759</v>
      </c>
      <c r="L21" s="31" t="n">
        <v>52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55.06</v>
      </c>
      <c r="P21" s="32" t="n">
        <v>12.37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7.16</v>
      </c>
      <c r="U21" s="32" t="n">
        <v>37.99</v>
      </c>
      <c r="V21" s="32" t="n">
        <v>28.77</v>
      </c>
      <c r="W21" s="32" t="n">
        <v>9.51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IF(B22=0,"",RANK(B22,$B$2:$B$42,0))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UNIONBANK</t>
        </is>
      </c>
      <c r="D22" s="31" t="inlineStr">
        <is>
          <t>Union Bank Of India Ltd</t>
        </is>
      </c>
      <c r="E22" s="31" t="inlineStr">
        <is>
          <t>bank</t>
        </is>
      </c>
      <c r="F22" s="31" t="inlineStr">
        <is>
          <t>banks - public sector</t>
        </is>
      </c>
      <c r="G22" s="31" t="inlineStr">
        <is>
          <t>largecap</t>
        </is>
      </c>
      <c r="H22" s="32" t="n">
        <v>141985.06</v>
      </c>
      <c r="I22" s="32" t="n">
        <v>188.63</v>
      </c>
      <c r="J22" s="32" t="n">
        <v>1.41</v>
      </c>
      <c r="K22" s="32" t="n">
        <v>9767401</v>
      </c>
      <c r="L22" s="31" t="n">
        <v>61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63.03</v>
      </c>
      <c r="P22" s="32" t="n">
        <v>22.06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7.16</v>
      </c>
      <c r="U22" s="32" t="n">
        <v>53.41</v>
      </c>
      <c r="V22" s="32" t="n">
        <v>43.17</v>
      </c>
      <c r="W22" s="32" t="n">
        <v>13.18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IF(B23=0,"",RANK(B23,$B$2:$B$42,0))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IFCI</t>
        </is>
      </c>
      <c r="D23" s="31" t="inlineStr">
        <is>
          <t>Ifci Limited</t>
        </is>
      </c>
      <c r="E23" s="31" t="inlineStr">
        <is>
          <t>financials</t>
        </is>
      </c>
      <c r="F23" s="31" t="inlineStr">
        <is>
          <t>finance - term-lending institutions</t>
        </is>
      </c>
      <c r="G23" s="31" t="inlineStr">
        <is>
          <t>largecap</t>
        </is>
      </c>
      <c r="H23" s="32" t="n">
        <v>24238.05</v>
      </c>
      <c r="I23" s="32" t="n">
        <v>89.7</v>
      </c>
      <c r="J23" s="32" t="n">
        <v>-0.29</v>
      </c>
      <c r="K23" s="32" t="n">
        <v>50607497</v>
      </c>
      <c r="L23" s="31" t="n">
        <v>75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67.87</v>
      </c>
      <c r="P23" s="32" t="n">
        <v>46.48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7.16</v>
      </c>
      <c r="U23" s="32" t="n">
        <v>76.12</v>
      </c>
      <c r="V23" s="32" t="n">
        <v>64.34999999999999</v>
      </c>
      <c r="W23" s="32" t="n">
        <v>18.85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Above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IF(B24=0,"",RANK(B24,$B$2:$B$42,0))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KOTAKBANK</t>
        </is>
      </c>
      <c r="D24" s="31" t="inlineStr">
        <is>
          <t>Kotak Mahindra Bank Limited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largecap</t>
        </is>
      </c>
      <c r="H24" s="32" t="n">
        <v>421442.07</v>
      </c>
      <c r="I24" s="32" t="n">
        <v>419.4</v>
      </c>
      <c r="J24" s="32" t="n">
        <v>-1.01</v>
      </c>
      <c r="K24" s="32" t="n">
        <v>18992797</v>
      </c>
      <c r="L24" s="31" t="n">
        <v>26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61.96</v>
      </c>
      <c r="P24" s="32" t="n">
        <v>11.43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7.16</v>
      </c>
      <c r="U24" s="32" t="n">
        <v>8.26</v>
      </c>
      <c r="V24" s="32" t="n">
        <v>1.03</v>
      </c>
      <c r="W24" s="32" t="n">
        <v>3.91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IF(B25=0,"",RANK(B25,$B$2:$B$42,0))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OFSS</t>
        </is>
      </c>
      <c r="D25" s="31" t="inlineStr">
        <is>
          <t>Oracle Financial Services Software Limited</t>
        </is>
      </c>
      <c r="E25" s="31" t="inlineStr">
        <is>
          <t>i.t</t>
        </is>
      </c>
      <c r="F25" s="31" t="inlineStr">
        <is>
          <t>computers - software - large</t>
        </is>
      </c>
      <c r="G25" s="31" t="inlineStr">
        <is>
          <t>largecap</t>
        </is>
      </c>
      <c r="H25" s="32" t="n">
        <v>106140.94</v>
      </c>
      <c r="I25" s="32" t="n">
        <v>12540</v>
      </c>
      <c r="J25" s="32" t="n">
        <v>2.87</v>
      </c>
      <c r="K25" s="32" t="n">
        <v>487111</v>
      </c>
      <c r="L25" s="31" t="n">
        <v>68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70.61</v>
      </c>
      <c r="P25" s="32" t="n">
        <v>29.06</v>
      </c>
      <c r="Q25" s="32" t="inlineStr"/>
      <c r="R25" s="31" t="inlineStr">
        <is>
          <t>Earnings / Momentum Support</t>
        </is>
      </c>
      <c r="S25" s="31" t="inlineStr">
        <is>
          <t>Nifty IT</t>
        </is>
      </c>
      <c r="T25" s="32" t="n">
        <v>-11.08</v>
      </c>
      <c r="U25" s="32" t="n">
        <v>53.54</v>
      </c>
      <c r="V25" s="32" t="n">
        <v>72.68000000000001</v>
      </c>
      <c r="W25" s="32" t="n">
        <v>15.46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IF(B26=0,"",RANK(B26,$B$2:$B$42,0))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PRUDENT</t>
        </is>
      </c>
      <c r="D26" s="31" t="inlineStr">
        <is>
          <t>Prudent Corporate Advisory Services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midcap</t>
        </is>
      </c>
      <c r="H26" s="32" t="n">
        <v>14166.47</v>
      </c>
      <c r="I26" s="32" t="n">
        <v>3674.4</v>
      </c>
      <c r="J26" s="32" t="n">
        <v>7.4</v>
      </c>
      <c r="K26" s="32" t="n">
        <v>43144</v>
      </c>
      <c r="L26" s="31" t="n">
        <v>53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69.04000000000001</v>
      </c>
      <c r="P26" s="32" t="n">
        <v>33.7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7.16</v>
      </c>
      <c r="U26" s="32" t="n">
        <v>22.21</v>
      </c>
      <c r="V26" s="32" t="n">
        <v>14.04</v>
      </c>
      <c r="W26" s="32" t="n">
        <v>10.17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above 5x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IF(B27=0,"",RANK(B27,$B$2:$B$42,0))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MCX</t>
        </is>
      </c>
      <c r="D27" s="31" t="inlineStr">
        <is>
          <t>Multi Commodity Exchange Of India Limited</t>
        </is>
      </c>
      <c r="E27" s="31" t="inlineStr">
        <is>
          <t>financials</t>
        </is>
      </c>
      <c r="F27" s="31" t="inlineStr">
        <is>
          <t>miscellaneous</t>
        </is>
      </c>
      <c r="G27" s="31" t="inlineStr">
        <is>
          <t>largecap</t>
        </is>
      </c>
      <c r="H27" s="32" t="n">
        <v>84963.28</v>
      </c>
      <c r="I27" s="32" t="n">
        <v>3400</v>
      </c>
      <c r="J27" s="32" t="n">
        <v>2.04</v>
      </c>
      <c r="K27" s="32" t="n">
        <v>2802136</v>
      </c>
      <c r="L27" s="31" t="n">
        <v>79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69.73999999999999</v>
      </c>
      <c r="P27" s="32" t="n">
        <v>21.09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7.16</v>
      </c>
      <c r="U27" s="32" t="n">
        <v>125.99</v>
      </c>
      <c r="V27" s="32" t="n">
        <v>110.9</v>
      </c>
      <c r="W27" s="32" t="n">
        <v>20.92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above 5x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IF(B28=0,"",RANK(B28,$B$2:$B$42,0))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EDELWEISS</t>
        </is>
      </c>
      <c r="D28" s="31" t="inlineStr">
        <is>
          <t>Edelweiss Financial Services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midcap</t>
        </is>
      </c>
      <c r="H28" s="32" t="n">
        <v>11871.4</v>
      </c>
      <c r="I28" s="32" t="n">
        <v>127.31</v>
      </c>
      <c r="J28" s="32" t="n">
        <v>1.51</v>
      </c>
      <c r="K28" s="32" t="n">
        <v>5879760</v>
      </c>
      <c r="L28" s="31" t="n">
        <v>34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57.37</v>
      </c>
      <c r="P28" s="32" t="n">
        <v>14.22</v>
      </c>
      <c r="Q28" s="32" t="inlineStr"/>
      <c r="R28" s="31" t="inlineStr">
        <is>
          <t>Earnings / Momentum Support</t>
        </is>
      </c>
      <c r="S28" s="31" t="inlineStr">
        <is>
          <t>Nifty Bank</t>
        </is>
      </c>
      <c r="T28" s="32" t="n">
        <v>7.16</v>
      </c>
      <c r="U28" s="32" t="n">
        <v>18.59</v>
      </c>
      <c r="V28" s="32" t="n">
        <v>10.66</v>
      </c>
      <c r="W28" s="32" t="n">
        <v>5.79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IF(B29=0,"",RANK(B29,$B$2:$B$42,0))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ABSLAMC</t>
        </is>
      </c>
      <c r="D29" s="31" t="inlineStr">
        <is>
          <t>Aditya Birla Sun Life AMC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30264</v>
      </c>
      <c r="I29" s="32" t="n">
        <v>1051.8</v>
      </c>
      <c r="J29" s="32" t="n">
        <v>0.37</v>
      </c>
      <c r="K29" s="32" t="n">
        <v>297155</v>
      </c>
      <c r="L29" s="31" t="n">
        <v>37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55.52</v>
      </c>
      <c r="P29" s="32" t="n">
        <v>34.38</v>
      </c>
      <c r="Q29" s="32" t="inlineStr"/>
      <c r="R29" s="31" t="inlineStr">
        <is>
          <t>Earnings / Momentum Support</t>
        </is>
      </c>
      <c r="S29" s="31" t="inlineStr">
        <is>
          <t>Nifty Bank</t>
        </is>
      </c>
      <c r="T29" s="32" t="n">
        <v>7.16</v>
      </c>
      <c r="U29" s="32" t="n">
        <v>28.63</v>
      </c>
      <c r="V29" s="32" t="n">
        <v>20.03</v>
      </c>
      <c r="W29" s="32" t="n">
        <v>6.11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above 5x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IF(B30=0,"",RANK(B30,$B$2:$B$42,0))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ANANDRATHI</t>
        </is>
      </c>
      <c r="D30" s="31" t="inlineStr">
        <is>
          <t>Anand Rathi Wealth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36751.57</v>
      </c>
      <c r="I30" s="32" t="n">
        <v>2204.2</v>
      </c>
      <c r="J30" s="32" t="n">
        <v>-0.42</v>
      </c>
      <c r="K30" s="32" t="n">
        <v>421862</v>
      </c>
      <c r="L30" s="31" t="n">
        <v>69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76.54000000000001</v>
      </c>
      <c r="P30" s="32" t="n">
        <v>56.89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7.16</v>
      </c>
      <c r="U30" s="32" t="n">
        <v>59.06</v>
      </c>
      <c r="V30" s="32" t="n">
        <v>48.44</v>
      </c>
      <c r="W30" s="32" t="n">
        <v>15.81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above 5x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Above 40</t>
        </is>
      </c>
      <c r="BM30" s="31">
        <f>IF(BL30="Above 40",20,IF(BL30="20 to 40",10,IF(BL30="0 to 20",-5,0)))</f>
        <v/>
      </c>
      <c r="BN30" s="31" t="inlineStr">
        <is>
          <t>Above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IF(B31=0,"",RANK(B31,$B$2:$B$42,0))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ICICIBANK</t>
        </is>
      </c>
      <c r="D31" s="33" t="inlineStr">
        <is>
          <t>Icici Bank Limited</t>
        </is>
      </c>
      <c r="E31" s="31" t="inlineStr">
        <is>
          <t>bank</t>
        </is>
      </c>
      <c r="F31" s="31" t="inlineStr">
        <is>
          <t>banks - private sector</t>
        </is>
      </c>
      <c r="G31" s="31" t="inlineStr">
        <is>
          <t>largecap</t>
        </is>
      </c>
      <c r="H31" s="32" t="n">
        <v>1020662.05</v>
      </c>
      <c r="I31" s="32" t="n">
        <v>1454</v>
      </c>
      <c r="J31" s="32" t="n">
        <v>2.19</v>
      </c>
      <c r="K31" s="32" t="n">
        <v>15331697</v>
      </c>
      <c r="L31" s="31" t="n">
        <v>24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62.07</v>
      </c>
      <c r="P31" s="32" t="n">
        <v>24.02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7.16</v>
      </c>
      <c r="U31" s="32" t="n">
        <v>2.65</v>
      </c>
      <c r="V31" s="32" t="n">
        <v>-4.21</v>
      </c>
      <c r="W31" s="32" t="n">
        <v>3.63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IF(B32=0,"",RANK(B32,$B$2:$B$42,0))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SBFC</t>
        </is>
      </c>
      <c r="D32" s="33" t="inlineStr">
        <is>
          <t>SBFC Finance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midcap</t>
        </is>
      </c>
      <c r="H32" s="32" t="n">
        <v>10934.65</v>
      </c>
      <c r="I32" s="32" t="n">
        <v>98.81999999999999</v>
      </c>
      <c r="J32" s="32" t="n">
        <v>0.07000000000000001</v>
      </c>
      <c r="K32" s="32" t="n">
        <v>1305140</v>
      </c>
      <c r="L32" s="31" t="n">
        <v>11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55.94</v>
      </c>
      <c r="P32" s="32" t="n">
        <v>12.77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7.16</v>
      </c>
      <c r="U32" s="32" t="n">
        <v>-6.49</v>
      </c>
      <c r="V32" s="32" t="n">
        <v>-12.73</v>
      </c>
      <c r="W32" s="32" t="n">
        <v>-0.15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IF(B33=0,"",RANK(B33,$B$2:$B$42,0))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GEOJITFSL</t>
        </is>
      </c>
      <c r="D33" s="31" t="inlineStr">
        <is>
          <t>Geojit Financial Services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2336.25</v>
      </c>
      <c r="I33" s="32" t="n">
        <v>83.31999999999999</v>
      </c>
      <c r="J33" s="32" t="n">
        <v>-0.45</v>
      </c>
      <c r="K33" s="32" t="n">
        <v>465538</v>
      </c>
      <c r="L33" s="31" t="n">
        <v>44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66.31999999999999</v>
      </c>
      <c r="P33" s="32" t="n">
        <v>13.61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7.16</v>
      </c>
      <c r="U33" s="32" t="n">
        <v>19.68</v>
      </c>
      <c r="V33" s="32" t="n">
        <v>11.68</v>
      </c>
      <c r="W33" s="32" t="n">
        <v>7.72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IF(B34=0,"",RANK(B34,$B$2:$B$42,0))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AXISBANK</t>
        </is>
      </c>
      <c r="D34" s="31" t="inlineStr">
        <is>
          <t>Axis Bank Limited</t>
        </is>
      </c>
      <c r="E34" s="31" t="inlineStr">
        <is>
          <t>bank</t>
        </is>
      </c>
      <c r="F34" s="31" t="inlineStr">
        <is>
          <t>banks - private sector</t>
        </is>
      </c>
      <c r="G34" s="31" t="inlineStr">
        <is>
          <t>largecap</t>
        </is>
      </c>
      <c r="H34" s="32" t="n">
        <v>393513.43</v>
      </c>
      <c r="I34" s="32" t="n">
        <v>1300</v>
      </c>
      <c r="J34" s="32" t="n">
        <v>2.77</v>
      </c>
      <c r="K34" s="32" t="n">
        <v>6093670</v>
      </c>
      <c r="L34" s="31" t="n">
        <v>26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48.62</v>
      </c>
      <c r="P34" s="32" t="n">
        <v>10.27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7.16</v>
      </c>
      <c r="U34" s="32" t="n">
        <v>21.12</v>
      </c>
      <c r="V34" s="32" t="n">
        <v>13.03</v>
      </c>
      <c r="W34" s="32" t="n">
        <v>4.07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Below 45</t>
        </is>
      </c>
      <c r="BO34" s="31">
        <f>IF(BN34="Between 50 to 75",10,IF(BN34="Above 75",0,0))</f>
        <v/>
      </c>
      <c r="BP34" s="31" t="inlineStr">
        <is>
          <t>Stage 4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IF(B35=0,"",RANK(B35,$B$2:$B$42,0))</f>
        <v/>
      </c>
      <c r="B35" s="32">
        <f>SUM(N35,Y35,AA35,AC35,AE35,AG35,AI35,AK35,AM35,AO35,AQ35,AS35,AU35,AW35,AY35,BA35,BC35,BE35,BG35,BI35,BK35,BM35,BO35,BQ35,BS35,BU35,BW35,BY35,CA35)</f>
        <v/>
      </c>
      <c r="C35" s="33" t="inlineStr">
        <is>
          <t>BAJAJHLDNG</t>
        </is>
      </c>
      <c r="D35" s="33" t="inlineStr">
        <is>
          <t>Bajaj Holdings &amp; Investment Limited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126206.84</v>
      </c>
      <c r="I35" s="32" t="n">
        <v>11644</v>
      </c>
      <c r="J35" s="32" t="n">
        <v>2.68</v>
      </c>
      <c r="K35" s="32" t="n">
        <v>51276</v>
      </c>
      <c r="L35" s="31" t="n">
        <v>13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57.85</v>
      </c>
      <c r="P35" s="32" t="n">
        <v>15.58</v>
      </c>
      <c r="Q35" s="32" t="inlineStr"/>
      <c r="R35" s="31" t="inlineStr">
        <is>
          <t>Earnings / Momentum Support</t>
        </is>
      </c>
      <c r="S35" s="31" t="inlineStr">
        <is>
          <t>Nifty Bank</t>
        </is>
      </c>
      <c r="T35" s="32" t="n">
        <v>7.16</v>
      </c>
      <c r="U35" s="32" t="n">
        <v>-9.65</v>
      </c>
      <c r="V35" s="32" t="n">
        <v>-15.69</v>
      </c>
      <c r="W35" s="32" t="n">
        <v>0.39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IF(B36=0,"",RANK(B36,$B$2:$B$42,0))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VHL</t>
        </is>
      </c>
      <c r="D36" s="33" t="inlineStr">
        <is>
          <t>Vardhman Holdings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smallcap</t>
        </is>
      </c>
      <c r="H36" s="32" t="n">
        <v>1119.24</v>
      </c>
      <c r="I36" s="32" t="n">
        <v>3549.2</v>
      </c>
      <c r="J36" s="32" t="n">
        <v>1.21</v>
      </c>
      <c r="K36" s="32" t="n">
        <v>1207</v>
      </c>
      <c r="L36" s="31" t="n">
        <v>10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51.6</v>
      </c>
      <c r="P36" s="32" t="n">
        <v>7.87</v>
      </c>
      <c r="Q36" s="32" t="inlineStr"/>
      <c r="R36" s="31" t="inlineStr">
        <is>
          <t>Earnings / Momentum Support</t>
        </is>
      </c>
      <c r="S36" s="31" t="inlineStr">
        <is>
          <t>Nifty Bank</t>
        </is>
      </c>
      <c r="T36" s="32" t="n">
        <v>7.16</v>
      </c>
      <c r="U36" s="32" t="n">
        <v>-5.34</v>
      </c>
      <c r="V36" s="32" t="n">
        <v>-11.66</v>
      </c>
      <c r="W36" s="32" t="n">
        <v>-0.58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3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IF(B37=0,"",RANK(B37,$B$2:$B$42,0))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CARERATING</t>
        </is>
      </c>
      <c r="D37" s="31" t="inlineStr">
        <is>
          <t>CARE Ratings Ltd</t>
        </is>
      </c>
      <c r="E37" s="31" t="inlineStr">
        <is>
          <t>financials</t>
        </is>
      </c>
      <c r="F37" s="31" t="inlineStr">
        <is>
          <t>miscellaneous</t>
        </is>
      </c>
      <c r="G37" s="31" t="inlineStr">
        <is>
          <t>midcap</t>
        </is>
      </c>
      <c r="H37" s="32" t="n">
        <v>5056.46</v>
      </c>
      <c r="I37" s="32" t="n">
        <v>1729</v>
      </c>
      <c r="J37" s="32" t="n">
        <v>2.79</v>
      </c>
      <c r="K37" s="32" t="n">
        <v>138118</v>
      </c>
      <c r="L37" s="31" t="n">
        <v>21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53.53</v>
      </c>
      <c r="P37" s="32" t="n">
        <v>14.98</v>
      </c>
      <c r="Q37" s="32" t="inlineStr"/>
      <c r="R37" s="31" t="inlineStr">
        <is>
          <t>Earnings / Momentum Support</t>
        </is>
      </c>
      <c r="S37" s="31" t="inlineStr">
        <is>
          <t>Nifty Bank</t>
        </is>
      </c>
      <c r="T37" s="32" t="n">
        <v>7.16</v>
      </c>
      <c r="U37" s="32" t="n">
        <v>9.08</v>
      </c>
      <c r="V37" s="32" t="n">
        <v>1.79</v>
      </c>
      <c r="W37" s="32" t="n">
        <v>2.76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above 5x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3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IF(B38=0,"",RANK(B38,$B$2:$B$42,0))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MOTILALOFS</t>
        </is>
      </c>
      <c r="D38" s="31" t="inlineStr">
        <is>
          <t>Motilal Oswal Financial Services Limited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62520.89</v>
      </c>
      <c r="I38" s="32" t="n">
        <v>1042.9</v>
      </c>
      <c r="J38" s="32" t="n">
        <v>0.44</v>
      </c>
      <c r="K38" s="32" t="n">
        <v>635723</v>
      </c>
      <c r="L38" s="31" t="n">
        <v>50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65.77</v>
      </c>
      <c r="P38" s="32" t="n">
        <v>17.27</v>
      </c>
      <c r="Q38" s="32" t="inlineStr"/>
      <c r="R38" s="31" t="inlineStr">
        <is>
          <t>Earnings / Momentum Support</t>
        </is>
      </c>
      <c r="S38" s="31" t="inlineStr">
        <is>
          <t>Nifty Bank</t>
        </is>
      </c>
      <c r="T38" s="32" t="n">
        <v>7.16</v>
      </c>
      <c r="U38" s="32" t="n">
        <v>22.09</v>
      </c>
      <c r="V38" s="32" t="n">
        <v>13.93</v>
      </c>
      <c r="W38" s="32" t="n">
        <v>9.1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between 2.5x to 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3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IF(B39=0,"",RANK(B39,$B$2:$B$42,0))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CAMS</t>
        </is>
      </c>
      <c r="D39" s="33" t="inlineStr">
        <is>
          <t>Computer Age Management Services Ltd</t>
        </is>
      </c>
      <c r="E39" s="31" t="inlineStr">
        <is>
          <t>financials</t>
        </is>
      </c>
      <c r="F39" s="31" t="inlineStr">
        <is>
          <t>miscellaneous</t>
        </is>
      </c>
      <c r="G39" s="31" t="inlineStr">
        <is>
          <t>midcap</t>
        </is>
      </c>
      <c r="H39" s="32" t="n">
        <v>18913.2</v>
      </c>
      <c r="I39" s="32" t="n">
        <v>782</v>
      </c>
      <c r="J39" s="32" t="n">
        <v>2.62</v>
      </c>
      <c r="K39" s="32" t="n">
        <v>3784113</v>
      </c>
      <c r="L39" s="31" t="n">
        <v>15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50.95</v>
      </c>
      <c r="P39" s="32" t="n">
        <v>12.9</v>
      </c>
      <c r="Q39" s="32" t="inlineStr"/>
      <c r="R39" s="31" t="inlineStr">
        <is>
          <t>Earnings / Momentum Support</t>
        </is>
      </c>
      <c r="S39" s="31" t="inlineStr">
        <is>
          <t>Nifty Bank</t>
        </is>
      </c>
      <c r="T39" s="32" t="n">
        <v>7.16</v>
      </c>
      <c r="U39" s="32" t="n">
        <v>4.6</v>
      </c>
      <c r="V39" s="32" t="n">
        <v>-2.39</v>
      </c>
      <c r="W39" s="32" t="n">
        <v>0.76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above 5x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3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IF(B40=0,"",RANK(B40,$B$2:$B$42,0))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CRISIL</t>
        </is>
      </c>
      <c r="D40" s="33" t="inlineStr">
        <is>
          <t>Crisil Limited</t>
        </is>
      </c>
      <c r="E40" s="31" t="inlineStr">
        <is>
          <t>financials</t>
        </is>
      </c>
      <c r="F40" s="31" t="inlineStr">
        <is>
          <t>miscellaneous</t>
        </is>
      </c>
      <c r="G40" s="31" t="inlineStr">
        <is>
          <t>largecap</t>
        </is>
      </c>
      <c r="H40" s="32" t="n">
        <v>34610.24</v>
      </c>
      <c r="I40" s="32" t="n">
        <v>4821.8</v>
      </c>
      <c r="J40" s="32" t="n">
        <v>1.88</v>
      </c>
      <c r="K40" s="32" t="n">
        <v>120068</v>
      </c>
      <c r="L40" s="31" t="n">
        <v>25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63.34</v>
      </c>
      <c r="P40" s="32" t="n">
        <v>14.67</v>
      </c>
      <c r="Q40" s="32" t="inlineStr"/>
      <c r="R40" s="31" t="inlineStr">
        <is>
          <t>Earnings / Momentum Support</t>
        </is>
      </c>
      <c r="S40" s="31" t="inlineStr">
        <is>
          <t>Nifty Bank</t>
        </is>
      </c>
      <c r="T40" s="32" t="n">
        <v>7.16</v>
      </c>
      <c r="U40" s="32" t="n">
        <v>-3.65</v>
      </c>
      <c r="V40" s="32" t="n">
        <v>-10.08</v>
      </c>
      <c r="W40" s="32" t="n">
        <v>3.86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above 5x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3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IF(B41=0,"",RANK(B41,$B$2:$B$42,0))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BAJAJFINSV</t>
        </is>
      </c>
      <c r="D41" s="33" t="inlineStr">
        <is>
          <t>Bajaj Finserv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320430.11</v>
      </c>
      <c r="I41" s="32" t="n">
        <v>2021</v>
      </c>
      <c r="J41" s="32" t="n">
        <v>0.95</v>
      </c>
      <c r="K41" s="32" t="n">
        <v>724648</v>
      </c>
      <c r="L41" s="31" t="n">
        <v>25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58.38</v>
      </c>
      <c r="P41" s="32" t="n">
        <v>19.58</v>
      </c>
      <c r="Q41" s="32" t="inlineStr"/>
      <c r="R41" s="31" t="inlineStr">
        <is>
          <t>Earnings / Momentum Support</t>
        </is>
      </c>
      <c r="S41" s="31" t="inlineStr">
        <is>
          <t>Nifty Bank</t>
        </is>
      </c>
      <c r="T41" s="32" t="n">
        <v>7.16</v>
      </c>
      <c r="U41" s="32" t="n">
        <v>4.71</v>
      </c>
      <c r="V41" s="32" t="n">
        <v>-2.28</v>
      </c>
      <c r="W41" s="32" t="n">
        <v>3.76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3</t>
        </is>
      </c>
      <c r="BQ41" s="31">
        <f>IF(BP41="Stage 2",20,IF(BP41="Stage 1",0,IF(BP41="Stage 3",5,IF(BP41="Stage 4",-5,0))))</f>
        <v/>
      </c>
      <c r="BR41" s="31" t="inlineStr">
        <is>
          <t>Negative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IF(B42=0,"",RANK(B42,$B$2:$B$42,0))</f>
        <v/>
      </c>
      <c r="B42" s="32">
        <f>SUM(N42,Y42,AA42,AC42,AE42,AG42,AI42,AK42,AM42,AO42,AQ42,AS42,AU42,AW42,AY42,BA42,BC42,BE42,BG42,BI42,BK42,BM42,BO42,BQ42,BS42,BU42,BW42,BY42,CA42)</f>
        <v/>
      </c>
      <c r="C42" s="33" t="inlineStr">
        <is>
          <t>CDSL</t>
        </is>
      </c>
      <c r="D42" s="33" t="inlineStr">
        <is>
          <t>Central Depository Services Ltd</t>
        </is>
      </c>
      <c r="E42" s="31" t="inlineStr">
        <is>
          <t>financials</t>
        </is>
      </c>
      <c r="F42" s="31" t="inlineStr">
        <is>
          <t>miscellaneous</t>
        </is>
      </c>
      <c r="G42" s="31" t="inlineStr">
        <is>
          <t>largecap</t>
        </is>
      </c>
      <c r="H42" s="32" t="n">
        <v>29567.23</v>
      </c>
      <c r="I42" s="32" t="n">
        <v>1402.5</v>
      </c>
      <c r="J42" s="32" t="n">
        <v>-0.86</v>
      </c>
      <c r="K42" s="32" t="n">
        <v>1190879</v>
      </c>
      <c r="L42" s="31" t="n">
        <v>25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57.62</v>
      </c>
      <c r="P42" s="32" t="n">
        <v>11.47</v>
      </c>
      <c r="Q42" s="32" t="inlineStr"/>
      <c r="R42" s="31" t="inlineStr">
        <is>
          <t>Earnings / Momentum Support</t>
        </is>
      </c>
      <c r="S42" s="31" t="inlineStr">
        <is>
          <t>Nifty Bank</t>
        </is>
      </c>
      <c r="T42" s="32" t="n">
        <v>7.16</v>
      </c>
      <c r="U42" s="32" t="n">
        <v>0.22</v>
      </c>
      <c r="V42" s="32" t="n">
        <v>-6.47</v>
      </c>
      <c r="W42" s="32" t="n">
        <v>3.89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above 5x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3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</sheetData>
  <autoFilter ref="A1:CA42"/>
  <conditionalFormatting sqref="B2:B4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2">
    <cfRule type="cellIs" priority="34" operator="equal" dxfId="3" stopIfTrue="1">
      <formula>"Underperforming"</formula>
    </cfRule>
  </conditionalFormatting>
  <conditionalFormatting sqref="N2:N42">
    <cfRule type="cellIs" priority="35" operator="equal" dxfId="3" stopIfTrue="1">
      <formula>-5</formula>
    </cfRule>
  </conditionalFormatting>
  <conditionalFormatting sqref="Q2:Q4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2" showDropDown="0" showInputMessage="0" showErrorMessage="0" allowBlank="1" type="list">
      <formula1>"Growing Industry,Stagnant Industry,Cyclical in an Upturn"</formula1>
    </dataValidation>
    <dataValidation sqref="Z2:Z42" showDropDown="0" showInputMessage="0" showErrorMessage="0" allowBlank="1" type="list">
      <formula1>"Fragmented with Low ROE,Fragmented with High ROE,Highly Cyclical"</formula1>
    </dataValidation>
    <dataValidation sqref="AB2:AB42" showDropDown="0" showInputMessage="0" showErrorMessage="0" allowBlank="1" type="list">
      <formula1>"Yes,No"</formula1>
    </dataValidation>
    <dataValidation sqref="AD2:AD42" showDropDown="0" showInputMessage="0" showErrorMessage="0" allowBlank="1" type="list">
      <formula1>"Tailwind,Headwind"</formula1>
    </dataValidation>
    <dataValidation sqref="AF2:AF4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2" showDropDown="0" showInputMessage="0" showErrorMessage="0" allowBlank="1" type="list">
      <formula1>"Yes,No"</formula1>
    </dataValidation>
    <dataValidation sqref="AJ2:AJ42" showDropDown="0" showInputMessage="0" showErrorMessage="0" allowBlank="1" type="list">
      <formula1>"Yes,No,Not Applicable"</formula1>
    </dataValidation>
    <dataValidation sqref="AL2:AL42" showDropDown="0" showInputMessage="0" showErrorMessage="0" allowBlank="1" type="list">
      <formula1>"Yes,No"</formula1>
    </dataValidation>
    <dataValidation sqref="AN2:AN42" showDropDown="0" showInputMessage="0" showErrorMessage="0" allowBlank="1" type="list">
      <formula1>"Yes,No"</formula1>
    </dataValidation>
    <dataValidation sqref="AP2:AP42" showDropDown="0" showInputMessage="0" showErrorMessage="0" allowBlank="1" type="list">
      <formula1>"Yes,No"</formula1>
    </dataValidation>
    <dataValidation sqref="AR2:AR42" showDropDown="0" showInputMessage="0" showErrorMessage="0" allowBlank="1" type="list">
      <formula1>"Yes,No"</formula1>
    </dataValidation>
    <dataValidation sqref="AT2:AT42" showDropDown="0" showInputMessage="0" showErrorMessage="0" allowBlank="1" type="list">
      <formula1>"No,Yes"</formula1>
    </dataValidation>
    <dataValidation sqref="AV2:AV42" showDropDown="0" showInputMessage="0" showErrorMessage="0" allowBlank="1" type="list">
      <formula1>"No,Yes"</formula1>
    </dataValidation>
    <dataValidation sqref="AX2:AX42" showDropDown="0" showInputMessage="0" showErrorMessage="0" allowBlank="1" type="list">
      <formula1>"No,Yes CEO Resignation,Yes CEO Retirement"</formula1>
    </dataValidation>
    <dataValidation sqref="AZ2:AZ42" showDropDown="0" showInputMessage="0" showErrorMessage="0" allowBlank="1" type="list">
      <formula1>"No,Yes"</formula1>
    </dataValidation>
    <dataValidation sqref="BB2:BB42" showDropDown="0" showInputMessage="0" showErrorMessage="0" allowBlank="1" type="list">
      <formula1>"No,Yes"</formula1>
    </dataValidation>
    <dataValidation sqref="BD2:BD42" showDropDown="0" showInputMessage="0" showErrorMessage="0" allowBlank="1" type="list">
      <formula1>"Yes,No"</formula1>
    </dataValidation>
    <dataValidation sqref="BF2:BF42" showDropDown="0" showInputMessage="0" showErrorMessage="0" allowBlank="1" type="list">
      <formula1>"Yes,No"</formula1>
    </dataValidation>
    <dataValidation sqref="BH2:BH42" showDropDown="0" showInputMessage="0" showErrorMessage="0" allowBlank="1" type="list">
      <formula1>"Yes,No"</formula1>
    </dataValidation>
    <dataValidation sqref="BJ2:BJ4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2" showDropDown="0" showInputMessage="0" showErrorMessage="0" allowBlank="1" type="list">
      <formula1>"Above 40,20 to 40,0 to 20"</formula1>
    </dataValidation>
    <dataValidation sqref="BN2:BN42" showDropDown="0" showInputMessage="0" showErrorMessage="0" allowBlank="1" type="list">
      <formula1>"Between 50 to 75,Above 75,Below 45"</formula1>
    </dataValidation>
    <dataValidation sqref="BP2:BP42" showDropDown="0" showInputMessage="0" showErrorMessage="0" allowBlank="1" type="list">
      <formula1>"Stage 1,Stage 2,Stage 3,Stage 4"</formula1>
    </dataValidation>
    <dataValidation sqref="BR2:BR42" showDropDown="0" showInputMessage="0" showErrorMessage="0" allowBlank="1" type="list">
      <formula1>"Positive Trend,Negative Trend"</formula1>
    </dataValidation>
    <dataValidation sqref="BT2:BT42" showDropDown="0" showInputMessage="0" showErrorMessage="0" allowBlank="1" type="list">
      <formula1>"Uptrend,Sideways,Downtrend"</formula1>
    </dataValidation>
    <dataValidation sqref="BV2:BV42" showDropDown="0" showInputMessage="0" showErrorMessage="0" allowBlank="1" type="list">
      <formula1>"Uptrend,Sideways,Downtrend"</formula1>
    </dataValidation>
    <dataValidation sqref="BX2:BX4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139.3</v>
      </c>
      <c r="E2" s="32" t="inlineStr">
        <is>
          <t>5%</t>
        </is>
      </c>
      <c r="F2" s="32" t="n">
        <v>50000</v>
      </c>
      <c r="G2" s="32" t="n">
        <v>127</v>
      </c>
      <c r="H2" s="31" t="inlineStr">
        <is>
          <t>SUVEN</t>
        </is>
      </c>
      <c r="I2" s="31" t="inlineStr">
        <is>
          <t>Suven Life Sciences Limited</t>
        </is>
      </c>
      <c r="J2" s="31" t="inlineStr">
        <is>
          <t>healthcare</t>
        </is>
      </c>
      <c r="K2" s="31" t="inlineStr">
        <is>
          <t>miscellaneous</t>
        </is>
      </c>
      <c r="L2" s="31" t="inlineStr">
        <is>
          <t>smallcap</t>
        </is>
      </c>
      <c r="M2" s="32" t="n">
        <v>705.04</v>
      </c>
      <c r="N2" s="32" t="n">
        <v>392.05</v>
      </c>
      <c r="O2" s="32" t="n">
        <v>7.43</v>
      </c>
      <c r="P2" s="32" t="n">
        <v>1703616</v>
      </c>
      <c r="Q2" s="31" t="n">
        <v>84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69.72</v>
      </c>
      <c r="U2" s="32" t="n">
        <v>47.18</v>
      </c>
      <c r="V2" s="32" t="inlineStr"/>
      <c r="W2" s="31" t="inlineStr">
        <is>
          <t>Earnings / Momentum Support</t>
        </is>
      </c>
      <c r="X2" s="31" t="inlineStr">
        <is>
          <t>Nifty Pharma</t>
        </is>
      </c>
      <c r="Y2" s="32" t="n">
        <v>23.79</v>
      </c>
      <c r="Z2" s="32" t="n">
        <v>70.58</v>
      </c>
      <c r="AA2" s="32" t="n">
        <v>37.79</v>
      </c>
      <c r="AB2" s="32" t="n">
        <v>23.57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No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3</t>
        </is>
      </c>
      <c r="BH2" s="31">
        <f>IF(BG2="Stage 2",20,IF(BG2="Stage 1",0,IF(BG2="Stage 3",5,IF(BG2="Stage 4",-5,0))))</f>
        <v/>
      </c>
      <c r="BI2" s="31" t="inlineStr">
        <is>
          <t>Negative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29</v>
      </c>
      <c r="H3" s="31" t="inlineStr">
        <is>
          <t>AUROPHARMA</t>
        </is>
      </c>
      <c r="I3" s="31" t="inlineStr">
        <is>
          <t>Aurobindo Pharma Limited</t>
        </is>
      </c>
      <c r="J3" s="31" t="inlineStr">
        <is>
          <t>healthcare</t>
        </is>
      </c>
      <c r="K3" s="31" t="inlineStr">
        <is>
          <t>pharmaceuticals - indian - bulk drugs &amp; formln</t>
        </is>
      </c>
      <c r="L3" s="31" t="inlineStr">
        <is>
          <t>largecap</t>
        </is>
      </c>
      <c r="M3" s="32" t="n">
        <v>94666.92999999999</v>
      </c>
      <c r="N3" s="32" t="n">
        <v>1717</v>
      </c>
      <c r="O3" s="32" t="n">
        <v>4.36</v>
      </c>
      <c r="P3" s="32" t="n">
        <v>2416718</v>
      </c>
      <c r="Q3" s="31" t="n">
        <v>62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68.64</v>
      </c>
      <c r="U3" s="32" t="n">
        <v>40.64</v>
      </c>
      <c r="V3" s="32" t="inlineStr"/>
      <c r="W3" s="31" t="inlineStr">
        <is>
          <t>Earnings / Momentum Support</t>
        </is>
      </c>
      <c r="X3" s="31" t="inlineStr">
        <is>
          <t>Nifty Pharma</t>
        </is>
      </c>
      <c r="Y3" s="32" t="n">
        <v>23.79</v>
      </c>
      <c r="Z3" s="32" t="n">
        <v>60.06</v>
      </c>
      <c r="AA3" s="32" t="n">
        <v>29.3</v>
      </c>
      <c r="AB3" s="32" t="n">
        <v>13.28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No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161</v>
      </c>
      <c r="H4" s="31" t="inlineStr">
        <is>
          <t>BIRLACABLE</t>
        </is>
      </c>
      <c r="I4" s="31" t="inlineStr">
        <is>
          <t>Birla Cable Limited</t>
        </is>
      </c>
      <c r="J4" s="31" t="inlineStr">
        <is>
          <t>industrials</t>
        </is>
      </c>
      <c r="K4" s="31" t="inlineStr">
        <is>
          <t>cables - telephone</t>
        </is>
      </c>
      <c r="L4" s="31" t="inlineStr">
        <is>
          <t>smallcap</t>
        </is>
      </c>
      <c r="M4" s="32" t="n">
        <v>885.33</v>
      </c>
      <c r="N4" s="32" t="n">
        <v>309.86</v>
      </c>
      <c r="O4" s="32" t="n">
        <v>5</v>
      </c>
      <c r="P4" s="32" t="n">
        <v>370744</v>
      </c>
      <c r="Q4" s="31" t="n">
        <v>26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71.84999999999999</v>
      </c>
      <c r="U4" s="32" t="n">
        <v>49.42</v>
      </c>
      <c r="V4" s="32" t="inlineStr"/>
      <c r="W4" s="31" t="inlineStr">
        <is>
          <t>Earnings / Momentum Support</t>
        </is>
      </c>
      <c r="X4" s="31" t="inlineStr">
        <is>
          <t>Nifty Infra</t>
        </is>
      </c>
      <c r="Y4" s="32" t="n">
        <v>1.74</v>
      </c>
      <c r="Z4" s="32" t="n">
        <v>2.54</v>
      </c>
      <c r="AA4" s="32" t="n">
        <v>0.78</v>
      </c>
      <c r="AB4" s="32" t="n">
        <v>4.22</v>
      </c>
      <c r="AC4" s="31" t="inlineStr">
        <is>
          <t>Cyclical in an Upturn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140</v>
      </c>
      <c r="E5" s="32" t="inlineStr">
        <is>
          <t>5%</t>
        </is>
      </c>
      <c r="F5" s="32" t="n">
        <v>50000</v>
      </c>
      <c r="G5" s="32" t="n">
        <v>29</v>
      </c>
      <c r="H5" s="31" t="inlineStr">
        <is>
          <t>ATHERENERG</t>
        </is>
      </c>
      <c r="I5" s="31" t="inlineStr">
        <is>
          <t>Ather Energy Ltd</t>
        </is>
      </c>
      <c r="J5" s="31" t="inlineStr">
        <is>
          <t>auto</t>
        </is>
      </c>
      <c r="K5" s="31" t="inlineStr">
        <is>
          <t>automobiles - scooters and 3 - wheelers</t>
        </is>
      </c>
      <c r="L5" s="31" t="inlineStr">
        <is>
          <t>largecap</t>
        </is>
      </c>
      <c r="M5" s="32" t="n">
        <v>63702.47</v>
      </c>
      <c r="N5" s="32" t="n">
        <v>1717.7</v>
      </c>
      <c r="O5" s="32" t="n">
        <v>6.27</v>
      </c>
      <c r="P5" s="32" t="n">
        <v>19768043</v>
      </c>
      <c r="Q5" s="31" t="n">
        <v>97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79.97</v>
      </c>
      <c r="U5" s="32" t="n">
        <v>65.56999999999999</v>
      </c>
      <c r="V5" s="32" t="inlineStr"/>
      <c r="W5" s="31" t="inlineStr">
        <is>
          <t>Earnings / Momentum Support</t>
        </is>
      </c>
      <c r="X5" s="31" t="inlineStr">
        <is>
          <t>Nifty Auto</t>
        </is>
      </c>
      <c r="Y5" s="32" t="n">
        <v>13.41</v>
      </c>
      <c r="Z5" s="32" t="n">
        <v>275.68</v>
      </c>
      <c r="AA5" s="32" t="n">
        <v>231.25</v>
      </c>
      <c r="AB5" s="32" t="n">
        <v>46.25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139.3</v>
      </c>
      <c r="E6" s="32" t="inlineStr">
        <is>
          <t>5%</t>
        </is>
      </c>
      <c r="F6" s="32" t="n">
        <v>50000</v>
      </c>
      <c r="G6" s="32" t="n">
        <v>55</v>
      </c>
      <c r="H6" s="31" t="inlineStr">
        <is>
          <t>UNIPARTS</t>
        </is>
      </c>
      <c r="I6" s="31" t="inlineStr">
        <is>
          <t>Uniparts India Ltd</t>
        </is>
      </c>
      <c r="J6" s="31" t="inlineStr">
        <is>
          <t>industrials</t>
        </is>
      </c>
      <c r="K6" s="31" t="inlineStr">
        <is>
          <t>engineering</t>
        </is>
      </c>
      <c r="L6" s="31" t="inlineStr">
        <is>
          <t>smallcap</t>
        </is>
      </c>
      <c r="M6" s="32" t="n">
        <v>3941.67</v>
      </c>
      <c r="N6" s="32" t="n">
        <v>893.45</v>
      </c>
      <c r="O6" s="32" t="n">
        <v>2.32</v>
      </c>
      <c r="P6" s="32" t="n">
        <v>443265</v>
      </c>
      <c r="Q6" s="31" t="n">
        <v>91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82.42</v>
      </c>
      <c r="U6" s="32" t="n">
        <v>67.90000000000001</v>
      </c>
      <c r="V6" s="32" t="inlineStr"/>
      <c r="W6" s="31" t="inlineStr">
        <is>
          <t>Earnings / Momentum Support</t>
        </is>
      </c>
      <c r="X6" s="31" t="inlineStr">
        <is>
          <t>Nifty 50</t>
        </is>
      </c>
      <c r="Y6" s="32" t="n">
        <v>-1.03</v>
      </c>
      <c r="Z6" s="32" t="n">
        <v>136.33</v>
      </c>
      <c r="AA6" s="32" t="n">
        <v>138.79</v>
      </c>
      <c r="AB6" s="32" t="n">
        <v>29.92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110</v>
      </c>
      <c r="H7" s="31" t="inlineStr">
        <is>
          <t>MODISONLTD</t>
        </is>
      </c>
      <c r="I7" s="31" t="inlineStr">
        <is>
          <t>Modison Ltd</t>
        </is>
      </c>
      <c r="J7" s="31" t="inlineStr">
        <is>
          <t>industrials</t>
        </is>
      </c>
      <c r="K7" s="31" t="inlineStr">
        <is>
          <t>electric equipment</t>
        </is>
      </c>
      <c r="L7" s="31" t="inlineStr">
        <is>
          <t>smallcap</t>
        </is>
      </c>
      <c r="M7" s="32" t="n">
        <v>1339.54</v>
      </c>
      <c r="N7" s="32" t="n">
        <v>454.05</v>
      </c>
      <c r="O7" s="32" t="n">
        <v>9.99</v>
      </c>
      <c r="P7" s="32" t="n">
        <v>392989</v>
      </c>
      <c r="Q7" s="31" t="n">
        <v>95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76.76000000000001</v>
      </c>
      <c r="U7" s="32" t="n">
        <v>58.89</v>
      </c>
      <c r="V7" s="32" t="inlineStr"/>
      <c r="W7" s="31" t="inlineStr">
        <is>
          <t>Earnings / Momentum Support</t>
        </is>
      </c>
      <c r="X7" s="31" t="inlineStr">
        <is>
          <t>Nifty 50</t>
        </is>
      </c>
      <c r="Y7" s="32" t="n">
        <v>-1.03</v>
      </c>
      <c r="Z7" s="32" t="n">
        <v>175.57</v>
      </c>
      <c r="AA7" s="32" t="n">
        <v>178.44</v>
      </c>
      <c r="AB7" s="32" t="n">
        <v>38.21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139.6</v>
      </c>
      <c r="E8" s="32" t="inlineStr">
        <is>
          <t>5%</t>
        </is>
      </c>
      <c r="F8" s="32" t="n">
        <v>50000</v>
      </c>
      <c r="G8" s="32" t="n">
        <v>20</v>
      </c>
      <c r="H8" s="31" t="inlineStr">
        <is>
          <t>HAPPYFORGE</t>
        </is>
      </c>
      <c r="I8" s="31" t="inlineStr">
        <is>
          <t>Happy Forgings Ltd</t>
        </is>
      </c>
      <c r="J8" s="31" t="inlineStr">
        <is>
          <t>industrials</t>
        </is>
      </c>
      <c r="K8" s="31" t="inlineStr">
        <is>
          <t>castings &amp; forgings</t>
        </is>
      </c>
      <c r="L8" s="31" t="inlineStr">
        <is>
          <t>largecap</t>
        </is>
      </c>
      <c r="M8" s="32" t="n">
        <v>21773.17</v>
      </c>
      <c r="N8" s="32" t="n">
        <v>2412</v>
      </c>
      <c r="O8" s="32" t="n">
        <v>4.55</v>
      </c>
      <c r="P8" s="32" t="n">
        <v>241750</v>
      </c>
      <c r="Q8" s="31" t="n">
        <v>95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88.70999999999999</v>
      </c>
      <c r="U8" s="32" t="n">
        <v>61.84</v>
      </c>
      <c r="V8" s="32" t="inlineStr"/>
      <c r="W8" s="31" t="inlineStr">
        <is>
          <t>Earnings / Momentum Support</t>
        </is>
      </c>
      <c r="X8" s="31" t="inlineStr">
        <is>
          <t>Nifty 50</t>
        </is>
      </c>
      <c r="Y8" s="32" t="n">
        <v>-1.03</v>
      </c>
      <c r="Z8" s="32" t="n">
        <v>156.56</v>
      </c>
      <c r="AA8" s="32" t="n">
        <v>159.23</v>
      </c>
      <c r="AB8" s="32" t="n">
        <v>36.22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Between 1.5 to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139.9</v>
      </c>
      <c r="E9" s="32" t="inlineStr">
        <is>
          <t>5%</t>
        </is>
      </c>
      <c r="F9" s="32" t="n">
        <v>50000</v>
      </c>
      <c r="G9" s="32" t="n">
        <v>52</v>
      </c>
      <c r="H9" s="31" t="inlineStr">
        <is>
          <t>SHILPAMED</t>
        </is>
      </c>
      <c r="I9" s="31" t="inlineStr">
        <is>
          <t>Shilpa Medicare Limited</t>
        </is>
      </c>
      <c r="J9" s="31" t="inlineStr">
        <is>
          <t>healthcare</t>
        </is>
      </c>
      <c r="K9" s="31" t="inlineStr">
        <is>
          <t>pharmaceuticals - indian - formulations</t>
        </is>
      </c>
      <c r="L9" s="31" t="inlineStr">
        <is>
          <t>midcap</t>
        </is>
      </c>
      <c r="M9" s="32" t="n">
        <v>17676.68</v>
      </c>
      <c r="N9" s="32" t="n">
        <v>949.3</v>
      </c>
      <c r="O9" s="32" t="n">
        <v>5.03</v>
      </c>
      <c r="P9" s="32" t="n">
        <v>2572207</v>
      </c>
      <c r="Q9" s="31" t="n">
        <v>95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90.20999999999999</v>
      </c>
      <c r="U9" s="32" t="n">
        <v>77.7</v>
      </c>
      <c r="V9" s="32" t="inlineStr"/>
      <c r="W9" s="31" t="inlineStr">
        <is>
          <t>Earnings / Momentum Support</t>
        </is>
      </c>
      <c r="X9" s="31" t="inlineStr">
        <is>
          <t>Nifty Pharma</t>
        </is>
      </c>
      <c r="Y9" s="32" t="n">
        <v>23.79</v>
      </c>
      <c r="Z9" s="32" t="n">
        <v>113.86</v>
      </c>
      <c r="AA9" s="32" t="n">
        <v>72.76000000000001</v>
      </c>
      <c r="AB9" s="32" t="n">
        <v>37.98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139.5</v>
      </c>
      <c r="E10" s="32" t="inlineStr">
        <is>
          <t>5%</t>
        </is>
      </c>
      <c r="F10" s="32" t="n">
        <v>50000</v>
      </c>
      <c r="G10" s="32" t="n">
        <v>164</v>
      </c>
      <c r="H10" s="31" t="inlineStr">
        <is>
          <t>BAFNAPH</t>
        </is>
      </c>
      <c r="I10" s="31" t="inlineStr">
        <is>
          <t>Bafna Pharmaceuticals Ltd</t>
        </is>
      </c>
      <c r="J10" s="31" t="inlineStr">
        <is>
          <t>healthcare</t>
        </is>
      </c>
      <c r="K10" s="31" t="inlineStr">
        <is>
          <t>pharmaceuticals - indian - formulations</t>
        </is>
      </c>
      <c r="L10" s="31" t="inlineStr">
        <is>
          <t>smallcap</t>
        </is>
      </c>
      <c r="M10" s="32" t="n">
        <v>688.64</v>
      </c>
      <c r="N10" s="32" t="n">
        <v>304.25</v>
      </c>
      <c r="O10" s="32" t="n">
        <v>4.52</v>
      </c>
      <c r="P10" s="32" t="n">
        <v>29517</v>
      </c>
      <c r="Q10" s="31" t="n">
        <v>98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71.01000000000001</v>
      </c>
      <c r="U10" s="32" t="n">
        <v>57.47</v>
      </c>
      <c r="V10" s="32" t="inlineStr"/>
      <c r="W10" s="31" t="inlineStr">
        <is>
          <t>Earnings / Momentum Support</t>
        </is>
      </c>
      <c r="X10" s="31" t="inlineStr">
        <is>
          <t>Nifty Pharma</t>
        </is>
      </c>
      <c r="Y10" s="32" t="n">
        <v>23.79</v>
      </c>
      <c r="Z10" s="32" t="n">
        <v>180.28</v>
      </c>
      <c r="AA10" s="32" t="n">
        <v>126.41</v>
      </c>
      <c r="AB10" s="32" t="n">
        <v>56.29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Less than 12%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139.1</v>
      </c>
      <c r="E11" s="32" t="inlineStr">
        <is>
          <t>5%</t>
        </is>
      </c>
      <c r="F11" s="32" t="n">
        <v>50000</v>
      </c>
      <c r="G11" s="32" t="n">
        <v>254</v>
      </c>
      <c r="H11" s="31" t="inlineStr">
        <is>
          <t>WELSPUNLIV</t>
        </is>
      </c>
      <c r="I11" s="31" t="inlineStr">
        <is>
          <t>Welspun Living Ltd</t>
        </is>
      </c>
      <c r="J11" s="31" t="inlineStr">
        <is>
          <t>textiles</t>
        </is>
      </c>
      <c r="K11" s="31" t="inlineStr">
        <is>
          <t>textiles - products</t>
        </is>
      </c>
      <c r="L11" s="31" t="inlineStr">
        <is>
          <t>midcap</t>
        </is>
      </c>
      <c r="M11" s="32" t="n">
        <v>17993.76</v>
      </c>
      <c r="N11" s="32" t="n">
        <v>196.21</v>
      </c>
      <c r="O11" s="32" t="n">
        <v>3.02</v>
      </c>
      <c r="P11" s="32" t="n">
        <v>3865770</v>
      </c>
      <c r="Q11" s="31" t="n">
        <v>79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73.98</v>
      </c>
      <c r="U11" s="32" t="n">
        <v>37.77</v>
      </c>
      <c r="V11" s="32" t="inlineStr"/>
      <c r="W11" s="31" t="inlineStr">
        <is>
          <t>Earnings / Momentum Support</t>
        </is>
      </c>
      <c r="X11" s="31" t="inlineStr">
        <is>
          <t>Nifty 50</t>
        </is>
      </c>
      <c r="Y11" s="32" t="n">
        <v>-1.03</v>
      </c>
      <c r="Z11" s="32" t="n">
        <v>74.33</v>
      </c>
      <c r="AA11" s="32" t="n">
        <v>76.14</v>
      </c>
      <c r="AB11" s="32" t="n">
        <v>21.34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Less than 1.5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140</v>
      </c>
      <c r="E12" s="32" t="inlineStr">
        <is>
          <t>5%</t>
        </is>
      </c>
      <c r="F12" s="32" t="n">
        <v>50000</v>
      </c>
      <c r="G12" s="32" t="n">
        <v>5</v>
      </c>
      <c r="H12" s="31" t="inlineStr">
        <is>
          <t>DIVISLAB</t>
        </is>
      </c>
      <c r="I12" s="31" t="inlineStr">
        <is>
          <t>Divi's Laboratories Limited</t>
        </is>
      </c>
      <c r="J12" s="31" t="inlineStr">
        <is>
          <t>healthcare</t>
        </is>
      </c>
      <c r="K12" s="31" t="inlineStr">
        <is>
          <t>pharmaceuticals - indian - bulk drugs</t>
        </is>
      </c>
      <c r="L12" s="31" t="inlineStr">
        <is>
          <t>largecap</t>
        </is>
      </c>
      <c r="M12" s="32" t="n">
        <v>245266.42</v>
      </c>
      <c r="N12" s="32" t="n">
        <v>9467</v>
      </c>
      <c r="O12" s="32" t="n">
        <v>2.47</v>
      </c>
      <c r="P12" s="32" t="n">
        <v>680805</v>
      </c>
      <c r="Q12" s="31" t="n">
        <v>71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87.89</v>
      </c>
      <c r="U12" s="32" t="n">
        <v>40.84</v>
      </c>
      <c r="V12" s="32" t="inlineStr"/>
      <c r="W12" s="31" t="inlineStr">
        <is>
          <t>Earnings / Momentum Support</t>
        </is>
      </c>
      <c r="X12" s="31" t="inlineStr">
        <is>
          <t>Nifty Pharma</t>
        </is>
      </c>
      <c r="Y12" s="32" t="n">
        <v>23.79</v>
      </c>
      <c r="Z12" s="32" t="n">
        <v>51.3</v>
      </c>
      <c r="AA12" s="32" t="n">
        <v>22.22</v>
      </c>
      <c r="AB12" s="32" t="n">
        <v>17.38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139.9</v>
      </c>
      <c r="E13" s="32" t="inlineStr">
        <is>
          <t>5%</t>
        </is>
      </c>
      <c r="F13" s="32" t="n">
        <v>50000</v>
      </c>
      <c r="G13" s="32" t="n">
        <v>81</v>
      </c>
      <c r="H13" s="31" t="inlineStr">
        <is>
          <t>BLISSGVS</t>
        </is>
      </c>
      <c r="I13" s="31" t="inlineStr">
        <is>
          <t>Bliss Gvs Pharma Limited</t>
        </is>
      </c>
      <c r="J13" s="31" t="inlineStr">
        <is>
          <t>healthcare</t>
        </is>
      </c>
      <c r="K13" s="31" t="inlineStr">
        <is>
          <t>pharmaceuticals - indian - formulations</t>
        </is>
      </c>
      <c r="L13" s="31" t="inlineStr">
        <is>
          <t>midcap</t>
        </is>
      </c>
      <c r="M13" s="32" t="n">
        <v>6237.17</v>
      </c>
      <c r="N13" s="32" t="n">
        <v>616.75</v>
      </c>
      <c r="O13" s="32" t="n">
        <v>4.87</v>
      </c>
      <c r="P13" s="32" t="n">
        <v>746998</v>
      </c>
      <c r="Q13" s="31" t="n">
        <v>96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82.88</v>
      </c>
      <c r="U13" s="32" t="n">
        <v>74.43000000000001</v>
      </c>
      <c r="V13" s="32" t="inlineStr"/>
      <c r="W13" s="31" t="inlineStr">
        <is>
          <t>Earnings / Momentum Support</t>
        </is>
      </c>
      <c r="X13" s="31" t="inlineStr">
        <is>
          <t>Nifty Pharma</t>
        </is>
      </c>
      <c r="Y13" s="32" t="n">
        <v>23.79</v>
      </c>
      <c r="Z13" s="32" t="n">
        <v>279.27</v>
      </c>
      <c r="AA13" s="32" t="n">
        <v>206.38</v>
      </c>
      <c r="AB13" s="32" t="n">
        <v>42.46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139.4</v>
      </c>
      <c r="E14" s="32" t="inlineStr">
        <is>
          <t>5%</t>
        </is>
      </c>
      <c r="F14" s="32" t="n">
        <v>50000</v>
      </c>
      <c r="G14" s="32" t="n">
        <v>59</v>
      </c>
      <c r="H14" s="31" t="inlineStr">
        <is>
          <t>CYIENTDLM</t>
        </is>
      </c>
      <c r="I14" s="31" t="inlineStr">
        <is>
          <t>Cyient DLM Ltd</t>
        </is>
      </c>
      <c r="J14" s="31" t="inlineStr">
        <is>
          <t>aerospace &amp; defence</t>
        </is>
      </c>
      <c r="K14" s="31" t="inlineStr">
        <is>
          <t>electronics - components</t>
        </is>
      </c>
      <c r="L14" s="31" t="inlineStr">
        <is>
          <t>midcap</t>
        </is>
      </c>
      <c r="M14" s="32" t="n">
        <v>6502.29</v>
      </c>
      <c r="N14" s="32" t="n">
        <v>843</v>
      </c>
      <c r="O14" s="32" t="n">
        <v>2.92</v>
      </c>
      <c r="P14" s="32" t="n">
        <v>731178</v>
      </c>
      <c r="Q14" s="31" t="n">
        <v>80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89.08</v>
      </c>
      <c r="U14" s="32" t="n">
        <v>70.43000000000001</v>
      </c>
      <c r="V14" s="32" t="inlineStr"/>
      <c r="W14" s="31" t="inlineStr">
        <is>
          <t>Earnings / Momentum Support</t>
        </is>
      </c>
      <c r="X14" s="31" t="inlineStr">
        <is>
          <t>Nifty Infra</t>
        </is>
      </c>
      <c r="Y14" s="32" t="n">
        <v>1.74</v>
      </c>
      <c r="Z14" s="32" t="n">
        <v>20.92</v>
      </c>
      <c r="AA14" s="32" t="n">
        <v>18.85</v>
      </c>
      <c r="AB14" s="32" t="n">
        <v>21.45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139.2</v>
      </c>
      <c r="E15" s="32" t="inlineStr">
        <is>
          <t>5%</t>
        </is>
      </c>
      <c r="F15" s="32" t="n">
        <v>50000</v>
      </c>
      <c r="G15" s="32" t="n">
        <v>12</v>
      </c>
      <c r="H15" s="31" t="inlineStr">
        <is>
          <t>SANSERA</t>
        </is>
      </c>
      <c r="I15" s="31" t="inlineStr">
        <is>
          <t>Sansera Engineering Ltd</t>
        </is>
      </c>
      <c r="J15" s="31" t="inlineStr">
        <is>
          <t>auto</t>
        </is>
      </c>
      <c r="K15" s="31" t="inlineStr">
        <is>
          <t>auto ancillaries</t>
        </is>
      </c>
      <c r="L15" s="31" t="inlineStr">
        <is>
          <t>largecap</t>
        </is>
      </c>
      <c r="M15" s="32" t="n">
        <v>24081.54</v>
      </c>
      <c r="N15" s="32" t="n">
        <v>4018</v>
      </c>
      <c r="O15" s="32" t="n">
        <v>4.12</v>
      </c>
      <c r="P15" s="32" t="n">
        <v>292153</v>
      </c>
      <c r="Q15" s="31" t="n">
        <v>89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80.14</v>
      </c>
      <c r="U15" s="32" t="n">
        <v>61.48</v>
      </c>
      <c r="V15" s="32" t="inlineStr"/>
      <c r="W15" s="31" t="inlineStr">
        <is>
          <t>Earnings / Momentum Support</t>
        </is>
      </c>
      <c r="X15" s="31" t="inlineStr">
        <is>
          <t>Nifty Auto</t>
        </is>
      </c>
      <c r="Y15" s="32" t="n">
        <v>13.41</v>
      </c>
      <c r="Z15" s="32" t="n">
        <v>137.65</v>
      </c>
      <c r="AA15" s="32" t="n">
        <v>109.54</v>
      </c>
      <c r="AB15" s="32" t="n">
        <v>26.81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140</v>
      </c>
      <c r="E16" s="32" t="inlineStr">
        <is>
          <t>5%</t>
        </is>
      </c>
      <c r="F16" s="32" t="n">
        <v>50000</v>
      </c>
      <c r="G16" s="32" t="n">
        <v>143</v>
      </c>
      <c r="H16" s="31" t="inlineStr">
        <is>
          <t>NYKAA</t>
        </is>
      </c>
      <c r="I16" s="31" t="inlineStr">
        <is>
          <t>FSN E-Commerce Ventures Ltd</t>
        </is>
      </c>
      <c r="J16" s="31" t="inlineStr">
        <is>
          <t>i.t</t>
        </is>
      </c>
      <c r="K16" s="31" t="inlineStr">
        <is>
          <t>trading</t>
        </is>
      </c>
      <c r="L16" s="31" t="inlineStr">
        <is>
          <t>largecap</t>
        </is>
      </c>
      <c r="M16" s="32" t="n">
        <v>96124.25999999999</v>
      </c>
      <c r="N16" s="32" t="n">
        <v>349.55</v>
      </c>
      <c r="O16" s="32" t="n">
        <v>4.14</v>
      </c>
      <c r="P16" s="32" t="n">
        <v>7930224</v>
      </c>
      <c r="Q16" s="31" t="n">
        <v>64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72.16</v>
      </c>
      <c r="U16" s="32" t="n">
        <v>48.2</v>
      </c>
      <c r="V16" s="32" t="inlineStr"/>
      <c r="W16" s="31" t="inlineStr">
        <is>
          <t>Earnings / Momentum Support</t>
        </is>
      </c>
      <c r="X16" s="31" t="inlineStr">
        <is>
          <t>Nifty IT</t>
        </is>
      </c>
      <c r="Y16" s="32" t="n">
        <v>-11.08</v>
      </c>
      <c r="Z16" s="32" t="n">
        <v>45.84</v>
      </c>
      <c r="AA16" s="32" t="n">
        <v>64.02</v>
      </c>
      <c r="AB16" s="32" t="n">
        <v>14.04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140</v>
      </c>
      <c r="E17" s="32" t="inlineStr">
        <is>
          <t>5%</t>
        </is>
      </c>
      <c r="F17" s="32" t="n">
        <v>50000</v>
      </c>
      <c r="G17" s="32" t="n">
        <v>420</v>
      </c>
      <c r="H17" s="31" t="inlineStr">
        <is>
          <t>BODALCHEM</t>
        </is>
      </c>
      <c r="I17" s="31" t="inlineStr">
        <is>
          <t>Bodal Chemicals Limited</t>
        </is>
      </c>
      <c r="J17" s="31" t="inlineStr">
        <is>
          <t>chemicals</t>
        </is>
      </c>
      <c r="K17" s="31" t="inlineStr">
        <is>
          <t>dyes and pigments</t>
        </is>
      </c>
      <c r="L17" s="31" t="inlineStr">
        <is>
          <t>smallcap</t>
        </is>
      </c>
      <c r="M17" s="32" t="n">
        <v>1247.85</v>
      </c>
      <c r="N17" s="32" t="n">
        <v>118.89</v>
      </c>
      <c r="O17" s="32" t="n">
        <v>19.99</v>
      </c>
      <c r="P17" s="32" t="n">
        <v>7034891</v>
      </c>
      <c r="Q17" s="31" t="n">
        <v>78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75.34999999999999</v>
      </c>
      <c r="U17" s="32" t="n">
        <v>34.79</v>
      </c>
      <c r="V17" s="32" t="inlineStr"/>
      <c r="W17" s="31" t="inlineStr">
        <is>
          <t>Volume Spike / Accumulation</t>
        </is>
      </c>
      <c r="X17" s="31" t="inlineStr">
        <is>
          <t>Nifty IT</t>
        </is>
      </c>
      <c r="Y17" s="32" t="n">
        <v>-11.08</v>
      </c>
      <c r="Z17" s="32" t="n">
        <v>53.21</v>
      </c>
      <c r="AA17" s="32" t="n">
        <v>72.31</v>
      </c>
      <c r="AB17" s="32" t="n">
        <v>20.21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Between 0.7 to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730</v>
      </c>
      <c r="H18" s="31" t="inlineStr">
        <is>
          <t>PVP</t>
        </is>
      </c>
      <c r="I18" s="31" t="inlineStr">
        <is>
          <t>Pvp Ventures Limited</t>
        </is>
      </c>
      <c r="J18" s="31" t="inlineStr">
        <is>
          <t>realty</t>
        </is>
      </c>
      <c r="K18" s="31" t="inlineStr">
        <is>
          <t>construction</t>
        </is>
      </c>
      <c r="L18" s="31" t="inlineStr">
        <is>
          <t>smallcap</t>
        </is>
      </c>
      <c r="M18" s="32" t="n">
        <v>1698.35</v>
      </c>
      <c r="N18" s="32" t="n">
        <v>68.48</v>
      </c>
      <c r="O18" s="32" t="n">
        <v>5</v>
      </c>
      <c r="P18" s="32" t="n">
        <v>6346569</v>
      </c>
      <c r="Q18" s="31" t="n">
        <v>36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82.38</v>
      </c>
      <c r="U18" s="32" t="n">
        <v>24.55</v>
      </c>
      <c r="V18" s="32" t="inlineStr"/>
      <c r="W18" s="31" t="inlineStr">
        <is>
          <t>Earnings / Momentum Support</t>
        </is>
      </c>
      <c r="X18" s="31" t="inlineStr">
        <is>
          <t>Nifty Realty</t>
        </is>
      </c>
      <c r="Y18" s="32" t="n">
        <v>-8.119999999999999</v>
      </c>
      <c r="Z18" s="32" t="n">
        <v>40.19</v>
      </c>
      <c r="AA18" s="32" t="n">
        <v>52.58</v>
      </c>
      <c r="AB18" s="32" t="n">
        <v>5.95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140</v>
      </c>
      <c r="E19" s="32" t="inlineStr">
        <is>
          <t>5%</t>
        </is>
      </c>
      <c r="F19" s="32" t="n">
        <v>50000</v>
      </c>
      <c r="G19" s="32" t="n">
        <v>502</v>
      </c>
      <c r="H19" s="33" t="inlineStr">
        <is>
          <t>MANAKSTEEL</t>
        </is>
      </c>
      <c r="I19" s="33" t="inlineStr">
        <is>
          <t>Manaksia Steels Limited</t>
        </is>
      </c>
      <c r="J19" s="31" t="inlineStr">
        <is>
          <t>metals &amp; mining</t>
        </is>
      </c>
      <c r="K19" s="31" t="inlineStr">
        <is>
          <t>steel - medium / small</t>
        </is>
      </c>
      <c r="L19" s="31" t="inlineStr">
        <is>
          <t>smallcap</t>
        </is>
      </c>
      <c r="M19" s="32" t="n">
        <v>621.2</v>
      </c>
      <c r="N19" s="32" t="n">
        <v>99.52</v>
      </c>
      <c r="O19" s="32" t="n">
        <v>4.99</v>
      </c>
      <c r="P19" s="32" t="n">
        <v>80576</v>
      </c>
      <c r="Q19" s="31" t="n">
        <v>36</v>
      </c>
      <c r="R19" s="31" t="inlineStr">
        <is>
          <t>Underperforming</t>
        </is>
      </c>
      <c r="S19" s="32">
        <f>IF(R19="Underperforming",-5,IF(Q19&gt;=95,15,IF(Q19&gt;=90,10,IF(Q19&gt;=80,5,0))))</f>
        <v/>
      </c>
      <c r="T19" s="32" t="n">
        <v>71.40000000000001</v>
      </c>
      <c r="U19" s="32" t="n">
        <v>41.17</v>
      </c>
      <c r="V19" s="32" t="inlineStr"/>
      <c r="W19" s="31" t="inlineStr">
        <is>
          <t>Earnings / Momentum Support</t>
        </is>
      </c>
      <c r="X19" s="31" t="inlineStr">
        <is>
          <t>Nifty Metal</t>
        </is>
      </c>
      <c r="Y19" s="32" t="n">
        <v>31.49</v>
      </c>
      <c r="Z19" s="32" t="n">
        <v>22.49</v>
      </c>
      <c r="AA19" s="32" t="n">
        <v>-6.85</v>
      </c>
      <c r="AB19" s="32" t="n">
        <v>6.01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140</v>
      </c>
      <c r="E20" s="32" t="inlineStr">
        <is>
          <t>5%</t>
        </is>
      </c>
      <c r="F20" s="32" t="n">
        <v>50000</v>
      </c>
      <c r="G20" s="32" t="n">
        <v>1</v>
      </c>
      <c r="H20" s="33" t="inlineStr">
        <is>
          <t>BOSCHLTD</t>
        </is>
      </c>
      <c r="I20" s="33" t="inlineStr">
        <is>
          <t>Bosch Limited</t>
        </is>
      </c>
      <c r="J20" s="31" t="inlineStr">
        <is>
          <t>auto</t>
        </is>
      </c>
      <c r="K20" s="31" t="inlineStr">
        <is>
          <t>auto ancillaries</t>
        </is>
      </c>
      <c r="L20" s="31" t="inlineStr">
        <is>
          <t>largecap</t>
        </is>
      </c>
      <c r="M20" s="32" t="n">
        <v>143469.03</v>
      </c>
      <c r="N20" s="32" t="n">
        <v>50000</v>
      </c>
      <c r="O20" s="32" t="n">
        <v>2.8</v>
      </c>
      <c r="P20" s="32" t="n">
        <v>60545</v>
      </c>
      <c r="Q20" s="31" t="n">
        <v>23</v>
      </c>
      <c r="R20" s="31" t="inlineStr">
        <is>
          <t>Underperforming</t>
        </is>
      </c>
      <c r="S20" s="32">
        <f>IF(R20="Underperforming",-5,IF(Q20&gt;=95,15,IF(Q20&gt;=90,10,IF(Q20&gt;=80,5,0))))</f>
        <v/>
      </c>
      <c r="T20" s="32" t="n">
        <v>75.59</v>
      </c>
      <c r="U20" s="32" t="n">
        <v>39.97</v>
      </c>
      <c r="V20" s="32" t="inlineStr"/>
      <c r="W20" s="31" t="inlineStr">
        <is>
          <t>Earnings / Momentum Support</t>
        </is>
      </c>
      <c r="X20" s="31" t="inlineStr">
        <is>
          <t>Nifty Auto</t>
        </is>
      </c>
      <c r="Y20" s="32" t="n">
        <v>13.41</v>
      </c>
      <c r="Z20" s="32" t="n">
        <v>8.26</v>
      </c>
      <c r="AA20" s="32" t="n">
        <v>-4.55</v>
      </c>
      <c r="AB20" s="32" t="n">
        <v>3.48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139.4</v>
      </c>
      <c r="E21" s="32" t="inlineStr">
        <is>
          <t>5%</t>
        </is>
      </c>
      <c r="F21" s="32" t="n">
        <v>50000</v>
      </c>
      <c r="G21" s="32" t="n">
        <v>36</v>
      </c>
      <c r="H21" s="31" t="inlineStr">
        <is>
          <t>MAHASTEEL</t>
        </is>
      </c>
      <c r="I21" s="31" t="inlineStr">
        <is>
          <t>Mahamaya Steel Industries Limited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smallcap</t>
        </is>
      </c>
      <c r="M21" s="32" t="n">
        <v>2185.28</v>
      </c>
      <c r="N21" s="32" t="n">
        <v>1373</v>
      </c>
      <c r="O21" s="32" t="n">
        <v>3.26</v>
      </c>
      <c r="P21" s="32" t="n">
        <v>37097</v>
      </c>
      <c r="Q21" s="31" t="n">
        <v>72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74.77</v>
      </c>
      <c r="U21" s="32" t="n">
        <v>21.8</v>
      </c>
      <c r="V21" s="32" t="inlineStr"/>
      <c r="W21" s="31" t="inlineStr">
        <is>
          <t>Earnings / Momentum Support</t>
        </is>
      </c>
      <c r="X21" s="31" t="inlineStr">
        <is>
          <t>Nifty Metal</t>
        </is>
      </c>
      <c r="Y21" s="32" t="n">
        <v>31.49</v>
      </c>
      <c r="Z21" s="32" t="n">
        <v>122.02</v>
      </c>
      <c r="AA21" s="32" t="n">
        <v>68.84999999999999</v>
      </c>
      <c r="AB21" s="32" t="n">
        <v>17.89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Headwind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No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3</t>
        </is>
      </c>
      <c r="BH21" s="31">
        <f>IF(BG21="Stage 2",20,IF(BG21="Stage 1",0,IF(BG21="Stage 3",5,IF(BG21="Stage 4",-5,0))))</f>
        <v/>
      </c>
      <c r="BI21" s="31" t="inlineStr">
        <is>
          <t>Negative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3</v>
      </c>
      <c r="H2" s="31" t="inlineStr">
        <is>
          <t>OFSS</t>
        </is>
      </c>
      <c r="I2" s="31" t="inlineStr">
        <is>
          <t>Oracle Financial Services Software Limited</t>
        </is>
      </c>
      <c r="J2" s="31" t="inlineStr">
        <is>
          <t>i.t</t>
        </is>
      </c>
      <c r="K2" s="31" t="inlineStr">
        <is>
          <t>computers - software - large</t>
        </is>
      </c>
      <c r="L2" s="31" t="inlineStr">
        <is>
          <t>largecap</t>
        </is>
      </c>
      <c r="M2" s="32" t="n">
        <v>106140.94</v>
      </c>
      <c r="N2" s="32" t="n">
        <v>12540</v>
      </c>
      <c r="O2" s="32" t="n">
        <v>2.87</v>
      </c>
      <c r="P2" s="32" t="n">
        <v>487111</v>
      </c>
      <c r="Q2" s="31" t="n">
        <v>68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70.61</v>
      </c>
      <c r="U2" s="32" t="n">
        <v>29.06</v>
      </c>
      <c r="V2" s="32" t="inlineStr"/>
      <c r="W2" s="31" t="inlineStr">
        <is>
          <t>Earnings / Momentum Support</t>
        </is>
      </c>
      <c r="X2" s="31" t="inlineStr">
        <is>
          <t>Nifty IT</t>
        </is>
      </c>
      <c r="Y2" s="32" t="n">
        <v>-11.08</v>
      </c>
      <c r="Z2" s="32" t="n">
        <v>53.54</v>
      </c>
      <c r="AA2" s="32" t="n">
        <v>72.68000000000001</v>
      </c>
      <c r="AB2" s="32" t="n">
        <v>15.46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No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above 5x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EMA Crossover</t>
        </is>
      </c>
      <c r="D3" s="32" t="n">
        <v>151.7</v>
      </c>
      <c r="E3" s="32" t="inlineStr">
        <is>
          <t>7%</t>
        </is>
      </c>
      <c r="F3" s="32" t="n">
        <v>70000</v>
      </c>
      <c r="G3" s="32" t="n">
        <v>53</v>
      </c>
      <c r="H3" s="31" t="inlineStr">
        <is>
          <t>AXISBANK</t>
        </is>
      </c>
      <c r="I3" s="31" t="inlineStr">
        <is>
          <t>Axis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393513.43</v>
      </c>
      <c r="N3" s="32" t="n">
        <v>1300</v>
      </c>
      <c r="O3" s="32" t="n">
        <v>2.77</v>
      </c>
      <c r="P3" s="32" t="n">
        <v>6093670</v>
      </c>
      <c r="Q3" s="31" t="n">
        <v>26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48.62</v>
      </c>
      <c r="U3" s="32" t="n">
        <v>10.27</v>
      </c>
      <c r="V3" s="32" t="inlineStr"/>
      <c r="W3" s="31" t="inlineStr">
        <is>
          <t>Earnings / Momentum Support</t>
        </is>
      </c>
      <c r="X3" s="31" t="inlineStr">
        <is>
          <t>Nifty Bank</t>
        </is>
      </c>
      <c r="Y3" s="32" t="n">
        <v>7.16</v>
      </c>
      <c r="Z3" s="32" t="n">
        <v>21.12</v>
      </c>
      <c r="AA3" s="32" t="n">
        <v>13.03</v>
      </c>
      <c r="AB3" s="32" t="n">
        <v>4.07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No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0 to 20</t>
        </is>
      </c>
      <c r="BR3" s="31">
        <f>IF(BQ3="Above 40",20,IF(BQ3="20 to 40",10,IF(BQ3="0 to 20",-5,0)))</f>
        <v/>
      </c>
      <c r="BS3" s="31" t="inlineStr">
        <is>
          <t>Below 45</t>
        </is>
      </c>
      <c r="BT3" s="31">
        <f>IF(BS3="Between 50 to 75",10,IF(BS3="Above 75",0,0))</f>
        <v/>
      </c>
      <c r="BU3" s="31" t="inlineStr">
        <is>
          <t>Stage 4</t>
        </is>
      </c>
      <c r="BV3" s="31">
        <f>IF(BU3="Stage 2",20,IF(BU3="Stage 1",0,IF(BU3="Stage 3",5,IF(BU3="Stage 4",-5,0))))</f>
        <v/>
      </c>
      <c r="BW3" s="31" t="inlineStr">
        <is>
          <t>Negative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Close to 52 week high or retracement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0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NAVINFLUOR</t>
        </is>
      </c>
      <c r="D2" s="31" t="inlineStr">
        <is>
          <t>Navin Fluorine International Ltd</t>
        </is>
      </c>
      <c r="E2" s="31" t="inlineStr">
        <is>
          <t>chemicals</t>
        </is>
      </c>
      <c r="F2" s="31" t="inlineStr">
        <is>
          <t>Chemicals - Flourine</t>
        </is>
      </c>
      <c r="G2" s="31" t="inlineStr">
        <is>
          <t>largecap</t>
        </is>
      </c>
      <c r="H2" s="32" t="n">
        <v>44446.15</v>
      </c>
      <c r="I2" s="32" t="n">
        <v>8661.5</v>
      </c>
      <c r="J2" s="32" t="n">
        <v>1.69</v>
      </c>
      <c r="K2" s="32" t="n">
        <v>0</v>
      </c>
      <c r="L2" s="31" t="n">
        <v>71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77.67</v>
      </c>
      <c r="P2" s="32" t="n">
        <v>59.13</v>
      </c>
      <c r="Q2" s="32" t="inlineStr"/>
      <c r="R2" s="31" t="inlineStr">
        <is>
          <t>Earnings / Momentum Support</t>
        </is>
      </c>
      <c r="S2" s="31" t="inlineStr">
        <is>
          <t>Nifty 50</t>
        </is>
      </c>
      <c r="T2" s="32" t="n">
        <v>-1.03</v>
      </c>
      <c r="U2" s="32" t="n">
        <v>82.12</v>
      </c>
      <c r="V2" s="32" t="n">
        <v>84.01000000000001</v>
      </c>
      <c r="W2" s="32" t="n">
        <v>16.95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Oligopoly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Shallow Cyclical (2 to 3 Years Growth)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3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19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PRICOLLTD</t>
        </is>
      </c>
      <c r="D3" s="31" t="inlineStr">
        <is>
          <t>Pricol Ltd</t>
        </is>
      </c>
      <c r="E3" s="31" t="inlineStr">
        <is>
          <t>auto</t>
        </is>
      </c>
      <c r="F3" s="31" t="inlineStr">
        <is>
          <t>Auto Ancillaries - 2 Wheelers</t>
        </is>
      </c>
      <c r="G3" s="31" t="inlineStr">
        <is>
          <t>midcap</t>
        </is>
      </c>
      <c r="H3" s="32" t="n">
        <v>9860.82</v>
      </c>
      <c r="I3" s="32" t="n">
        <v>809.05</v>
      </c>
      <c r="J3" s="32" t="n">
        <v>4.98</v>
      </c>
      <c r="K3" s="32" t="n">
        <v>0</v>
      </c>
      <c r="L3" s="31" t="n">
        <v>44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69.98999999999999</v>
      </c>
      <c r="P3" s="32" t="n">
        <v>34.5</v>
      </c>
      <c r="Q3" s="32" t="inlineStr"/>
      <c r="R3" s="31" t="inlineStr">
        <is>
          <t>Earnings / Momentum Support</t>
        </is>
      </c>
      <c r="S3" s="31" t="inlineStr">
        <is>
          <t>Nifty Auto</t>
        </is>
      </c>
      <c r="T3" s="32" t="n">
        <v>13.41</v>
      </c>
      <c r="U3" s="32" t="n">
        <v>36.08</v>
      </c>
      <c r="V3" s="32" t="n">
        <v>19.98</v>
      </c>
      <c r="W3" s="32" t="n">
        <v>7.62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Allocated capital in Non-core Areas</t>
        </is>
      </c>
      <c r="AU3" s="31">
        <f>IF(AT3="Good",10,0)</f>
        <v/>
      </c>
      <c r="AV3" s="31" t="inlineStr">
        <is>
          <t>Yes only for next 1 to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Between 12 to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PGIL</t>
        </is>
      </c>
      <c r="D4" s="31" t="inlineStr">
        <is>
          <t>Pearl Global Industries Ltd</t>
        </is>
      </c>
      <c r="E4" s="31" t="inlineStr">
        <is>
          <t>consumer discretionary</t>
        </is>
      </c>
      <c r="F4" s="31" t="inlineStr">
        <is>
          <t>Textiles - Readymade Apparel</t>
        </is>
      </c>
      <c r="G4" s="31" t="inlineStr">
        <is>
          <t>midcap</t>
        </is>
      </c>
      <c r="H4" s="32" t="n">
        <v>11491.74</v>
      </c>
      <c r="I4" s="32" t="n">
        <v>2487.9</v>
      </c>
      <c r="J4" s="32" t="n">
        <v>7.5</v>
      </c>
      <c r="K4" s="32" t="n">
        <v>0</v>
      </c>
      <c r="L4" s="31" t="n">
        <v>84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66.93000000000001</v>
      </c>
      <c r="P4" s="32" t="n">
        <v>57.68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-1.03</v>
      </c>
      <c r="U4" s="32" t="n">
        <v>89.3</v>
      </c>
      <c r="V4" s="32" t="n">
        <v>91.27</v>
      </c>
      <c r="W4" s="32" t="n">
        <v>23.29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25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DIFFNKG</t>
        </is>
      </c>
      <c r="D5" s="31" t="inlineStr">
        <is>
          <t>Diffusion Engineers Ltd</t>
        </is>
      </c>
      <c r="E5" s="31" t="inlineStr">
        <is>
          <t>industrials</t>
        </is>
      </c>
      <c r="F5" s="31" t="inlineStr">
        <is>
          <t>Welding Equipments</t>
        </is>
      </c>
      <c r="G5" s="31" t="inlineStr">
        <is>
          <t>smallcap</t>
        </is>
      </c>
      <c r="H5" s="32" t="n">
        <v>1845.86</v>
      </c>
      <c r="I5" s="32" t="n">
        <v>493.2</v>
      </c>
      <c r="J5" s="32" t="n">
        <v>20</v>
      </c>
      <c r="K5" s="32" t="n">
        <v>0</v>
      </c>
      <c r="L5" s="31" t="n">
        <v>51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60.92</v>
      </c>
      <c r="P5" s="32" t="n">
        <v>41.46</v>
      </c>
      <c r="Q5" s="32" t="inlineStr"/>
      <c r="R5" s="31" t="inlineStr">
        <is>
          <t>Volume Spike / Accumulation</t>
        </is>
      </c>
      <c r="S5" s="31" t="inlineStr">
        <is>
          <t>Nifty 50</t>
        </is>
      </c>
      <c r="T5" s="32" t="n">
        <v>-1.03</v>
      </c>
      <c r="U5" s="32" t="n">
        <v>14.04</v>
      </c>
      <c r="V5" s="32" t="n">
        <v>15.23</v>
      </c>
      <c r="W5" s="32" t="n">
        <v>9.32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TIMEX</t>
        </is>
      </c>
      <c r="D6" s="31" t="inlineStr">
        <is>
          <t>Timex Group India Ltd</t>
        </is>
      </c>
      <c r="E6" s="31" t="inlineStr">
        <is>
          <t>Consumer Cyclical</t>
        </is>
      </c>
      <c r="F6" s="31" t="inlineStr">
        <is>
          <t>Watches</t>
        </is>
      </c>
      <c r="G6" s="31" t="inlineStr">
        <is>
          <t>midcap</t>
        </is>
      </c>
      <c r="H6" s="32" t="n">
        <v>6814.13</v>
      </c>
      <c r="I6" s="32" t="n">
        <v>675</v>
      </c>
      <c r="J6" s="32" t="n">
        <v>3.34</v>
      </c>
      <c r="K6" s="32" t="n">
        <v>0</v>
      </c>
      <c r="L6" s="31" t="n">
        <v>89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72.25</v>
      </c>
      <c r="P6" s="32" t="n">
        <v>60.72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-1.03</v>
      </c>
      <c r="U6" s="32" t="n">
        <v>105.83</v>
      </c>
      <c r="V6" s="32" t="n">
        <v>107.97</v>
      </c>
      <c r="W6" s="32" t="n">
        <v>27.86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21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INDOTECH</t>
        </is>
      </c>
      <c r="D7" s="31" t="inlineStr">
        <is>
          <t>Indo Tech Transformers Ltd</t>
        </is>
      </c>
      <c r="E7" s="31" t="inlineStr">
        <is>
          <t>Industrials</t>
        </is>
      </c>
      <c r="F7" s="31" t="inlineStr">
        <is>
          <t>Capital Goods - Transformers</t>
        </is>
      </c>
      <c r="G7" s="31" t="inlineStr">
        <is>
          <t>smallcap</t>
        </is>
      </c>
      <c r="H7" s="32" t="n">
        <v>3954.89</v>
      </c>
      <c r="I7" s="32" t="n">
        <v>3724</v>
      </c>
      <c r="J7" s="32" t="n">
        <v>-0.88</v>
      </c>
      <c r="K7" s="32" t="n">
        <v>0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70.90000000000001</v>
      </c>
      <c r="P7" s="32" t="n">
        <v>54.01</v>
      </c>
      <c r="Q7" s="32" t="inlineStr"/>
      <c r="R7" s="31" t="inlineStr">
        <is>
          <t>Earnings / Momentum Support</t>
        </is>
      </c>
      <c r="S7" s="31" t="inlineStr">
        <is>
          <t>Nifty Infra</t>
        </is>
      </c>
      <c r="T7" s="32" t="n">
        <v>1.74</v>
      </c>
      <c r="U7" s="32" t="n">
        <v>80.76000000000001</v>
      </c>
      <c r="V7" s="32" t="n">
        <v>77.67</v>
      </c>
      <c r="W7" s="32" t="n">
        <v>34.4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19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INDOBORAX</t>
        </is>
      </c>
      <c r="D8" s="31" t="inlineStr">
        <is>
          <t>Indo Borax &amp; Chemicals Ltd</t>
        </is>
      </c>
      <c r="E8" s="31" t="inlineStr">
        <is>
          <t>chemicals</t>
        </is>
      </c>
      <c r="F8" s="31" t="inlineStr">
        <is>
          <t>Chemicals - Inorganic</t>
        </is>
      </c>
      <c r="G8" s="31" t="inlineStr">
        <is>
          <t>smallcap</t>
        </is>
      </c>
      <c r="H8" s="32" t="n">
        <v>1632.42</v>
      </c>
      <c r="I8" s="32" t="n">
        <v>508.7</v>
      </c>
      <c r="J8" s="32" t="n">
        <v>2.75</v>
      </c>
      <c r="K8" s="32" t="n">
        <v>0</v>
      </c>
      <c r="L8" s="31" t="n">
        <v>91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76.56</v>
      </c>
      <c r="P8" s="32" t="n">
        <v>75.31999999999999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-1.03</v>
      </c>
      <c r="U8" s="32" t="n">
        <v>126.65</v>
      </c>
      <c r="V8" s="32" t="n">
        <v>129.01</v>
      </c>
      <c r="W8" s="32" t="n">
        <v>31.44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23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ICIL</t>
        </is>
      </c>
      <c r="D9" s="31" t="inlineStr">
        <is>
          <t>Indo Count Industries Ltd</t>
        </is>
      </c>
      <c r="E9" s="31" t="inlineStr">
        <is>
          <t>textiles</t>
        </is>
      </c>
      <c r="F9" s="31" t="inlineStr">
        <is>
          <t>Textiles - Home Textile</t>
        </is>
      </c>
      <c r="G9" s="31" t="inlineStr">
        <is>
          <t>midcap</t>
        </is>
      </c>
      <c r="H9" s="32" t="n">
        <v>9326.379999999999</v>
      </c>
      <c r="I9" s="32" t="n">
        <v>470.9</v>
      </c>
      <c r="J9" s="32" t="n">
        <v>8.27</v>
      </c>
      <c r="K9" s="32" t="n">
        <v>0</v>
      </c>
      <c r="L9" s="31" t="n">
        <v>86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64.15000000000001</v>
      </c>
      <c r="P9" s="32" t="n">
        <v>55.66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-1.03</v>
      </c>
      <c r="U9" s="32" t="n">
        <v>89.08</v>
      </c>
      <c r="V9" s="32" t="n">
        <v>91.04000000000001</v>
      </c>
      <c r="W9" s="32" t="n">
        <v>23.93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QUESS</t>
        </is>
      </c>
      <c r="D10" s="31" t="inlineStr">
        <is>
          <t>Quess Corp Ltd</t>
        </is>
      </c>
      <c r="E10" s="31" t="inlineStr">
        <is>
          <t>miscellaneous</t>
        </is>
      </c>
      <c r="F10" s="31" t="inlineStr">
        <is>
          <t>Facility Management</t>
        </is>
      </c>
      <c r="G10" s="31" t="inlineStr">
        <is>
          <t>midcap</t>
        </is>
      </c>
      <c r="H10" s="32" t="n">
        <v>5724.96</v>
      </c>
      <c r="I10" s="32" t="n">
        <v>383.3</v>
      </c>
      <c r="J10" s="32" t="n">
        <v>2.97</v>
      </c>
      <c r="K10" s="32" t="n">
        <v>0</v>
      </c>
      <c r="L10" s="31" t="n">
        <v>90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78.95999999999999</v>
      </c>
      <c r="P10" s="32" t="n">
        <v>62.21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-1.03</v>
      </c>
      <c r="U10" s="32" t="n">
        <v>45.41</v>
      </c>
      <c r="V10" s="32" t="n">
        <v>46.92</v>
      </c>
      <c r="W10" s="32" t="n">
        <v>28.22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AURUM</t>
        </is>
      </c>
      <c r="D11" s="31" t="inlineStr">
        <is>
          <t>Aurum Proptech Ltd</t>
        </is>
      </c>
      <c r="E11" s="31" t="inlineStr">
        <is>
          <t>Real Estate</t>
        </is>
      </c>
      <c r="F11" s="31" t="inlineStr">
        <is>
          <t>IT Enabled Services</t>
        </is>
      </c>
      <c r="G11" s="31" t="inlineStr">
        <is>
          <t>smallcap</t>
        </is>
      </c>
      <c r="H11" s="32" t="n">
        <v>1672.68</v>
      </c>
      <c r="I11" s="32" t="n">
        <v>231.95</v>
      </c>
      <c r="J11" s="32" t="n">
        <v>-0.44</v>
      </c>
      <c r="K11" s="32" t="n">
        <v>0</v>
      </c>
      <c r="L11" s="31" t="n">
        <v>58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64.76000000000001</v>
      </c>
      <c r="P11" s="32" t="n">
        <v>52.16</v>
      </c>
      <c r="Q11" s="32" t="inlineStr"/>
      <c r="R11" s="31" t="inlineStr">
        <is>
          <t>Earnings / Momentum Support</t>
        </is>
      </c>
      <c r="S11" s="31" t="inlineStr">
        <is>
          <t>Nifty Realty</t>
        </is>
      </c>
      <c r="T11" s="32" t="n">
        <v>-8.119999999999999</v>
      </c>
      <c r="U11" s="32" t="n">
        <v>20.51</v>
      </c>
      <c r="V11" s="32" t="n">
        <v>31.17</v>
      </c>
      <c r="W11" s="32" t="n">
        <v>11.82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20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AVTNPL</t>
        </is>
      </c>
      <c r="D12" s="31" t="inlineStr">
        <is>
          <t>AVT Natural Products Ltd</t>
        </is>
      </c>
      <c r="E12" s="31" t="inlineStr">
        <is>
          <t>fmcg</t>
        </is>
      </c>
      <c r="F12" s="31" t="inlineStr">
        <is>
          <t>Agricultural Processing - Maize</t>
        </is>
      </c>
      <c r="G12" s="31" t="inlineStr">
        <is>
          <t>smallcap</t>
        </is>
      </c>
      <c r="H12" s="32" t="n">
        <v>1419.29</v>
      </c>
      <c r="I12" s="32" t="n">
        <v>93.2</v>
      </c>
      <c r="J12" s="32" t="n">
        <v>9.4</v>
      </c>
      <c r="K12" s="32" t="n">
        <v>0</v>
      </c>
      <c r="L12" s="31" t="n">
        <v>16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71.43000000000001</v>
      </c>
      <c r="P12" s="32" t="n">
        <v>40.3</v>
      </c>
      <c r="Q12" s="32" t="inlineStr"/>
      <c r="R12" s="31" t="inlineStr">
        <is>
          <t>Earnings / Momentum Support</t>
        </is>
      </c>
      <c r="S12" s="31" t="inlineStr">
        <is>
          <t>Nifty FMCG</t>
        </is>
      </c>
      <c r="T12" s="32" t="n">
        <v>-13.73</v>
      </c>
      <c r="U12" s="32" t="n">
        <v>2.14</v>
      </c>
      <c r="V12" s="32" t="n">
        <v>18.39</v>
      </c>
      <c r="W12" s="32" t="n">
        <v>1.38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28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VINCOFE</t>
        </is>
      </c>
      <c r="D13" s="31" t="inlineStr">
        <is>
          <t>Vintage Coffee &amp; Beverages Ltd</t>
        </is>
      </c>
      <c r="E13" s="31" t="inlineStr">
        <is>
          <t>consumer discretionary</t>
        </is>
      </c>
      <c r="F13" s="31" t="inlineStr">
        <is>
          <t>FMCG - Coffee</t>
        </is>
      </c>
      <c r="G13" s="31" t="inlineStr">
        <is>
          <t>smallcap</t>
        </is>
      </c>
      <c r="H13" s="32" t="n">
        <v>2710.53</v>
      </c>
      <c r="I13" s="32" t="n">
        <v>186.05</v>
      </c>
      <c r="J13" s="32" t="n">
        <v>4.61</v>
      </c>
      <c r="K13" s="32" t="n">
        <v>0</v>
      </c>
      <c r="L13" s="31" t="n">
        <v>50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66.98999999999999</v>
      </c>
      <c r="P13" s="32" t="n">
        <v>27.26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-1.03</v>
      </c>
      <c r="U13" s="32" t="n">
        <v>21.79</v>
      </c>
      <c r="V13" s="32" t="n">
        <v>23.05</v>
      </c>
      <c r="W13" s="32" t="n">
        <v>9.16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27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IOLCP</t>
        </is>
      </c>
      <c r="D14" s="31" t="inlineStr">
        <is>
          <t>IOL Chemicals &amp; Pharmaceuticals Ltd</t>
        </is>
      </c>
      <c r="E14" s="31" t="inlineStr">
        <is>
          <t>healthcare</t>
        </is>
      </c>
      <c r="F14" s="31" t="inlineStr">
        <is>
          <t>Pharma - API &amp; CRAMS</t>
        </is>
      </c>
      <c r="G14" s="31" t="inlineStr">
        <is>
          <t>midcap</t>
        </is>
      </c>
      <c r="H14" s="32" t="n">
        <v>5694.43</v>
      </c>
      <c r="I14" s="32" t="n">
        <v>194</v>
      </c>
      <c r="J14" s="32" t="n">
        <v>-0.49</v>
      </c>
      <c r="K14" s="32" t="n">
        <v>0</v>
      </c>
      <c r="L14" s="31" t="n">
        <v>92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78.33</v>
      </c>
      <c r="P14" s="32" t="n">
        <v>80.53</v>
      </c>
      <c r="Q14" s="32" t="inlineStr"/>
      <c r="R14" s="31" t="inlineStr">
        <is>
          <t>Earnings / Momentum Support</t>
        </is>
      </c>
      <c r="S14" s="31" t="inlineStr">
        <is>
          <t>Nifty Pharma</t>
        </is>
      </c>
      <c r="T14" s="32" t="n">
        <v>23.79</v>
      </c>
      <c r="U14" s="32" t="n">
        <v>117.76</v>
      </c>
      <c r="V14" s="32" t="n">
        <v>75.90000000000001</v>
      </c>
      <c r="W14" s="32" t="n">
        <v>32.06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LENSKART</t>
        </is>
      </c>
      <c r="D15" s="31" t="inlineStr">
        <is>
          <t>Lenskart Solutions Ltd</t>
        </is>
      </c>
      <c r="E15" s="31" t="inlineStr">
        <is>
          <t>Healthcare</t>
        </is>
      </c>
      <c r="F15" s="31" t="inlineStr">
        <is>
          <t>New age - Platform - E-Retail</t>
        </is>
      </c>
      <c r="G15" s="31" t="inlineStr">
        <is>
          <t>largecap</t>
        </is>
      </c>
      <c r="H15" s="32" t="n">
        <v>115316</v>
      </c>
      <c r="I15" s="32" t="n">
        <v>663</v>
      </c>
      <c r="J15" s="32" t="n">
        <v>4.22</v>
      </c>
      <c r="K15" s="32" t="n">
        <v>0</v>
      </c>
      <c r="L15" s="31" t="n">
        <v>68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69.31</v>
      </c>
      <c r="P15" s="32" t="n">
        <v>44.57</v>
      </c>
      <c r="Q15" s="32" t="inlineStr"/>
      <c r="R15" s="31" t="inlineStr">
        <is>
          <t>Volume Spike / Accumulation</t>
        </is>
      </c>
      <c r="S15" s="31" t="inlineStr">
        <is>
          <t>Nifty Pharma</t>
        </is>
      </c>
      <c r="T15" s="32" t="n">
        <v>18.28</v>
      </c>
      <c r="U15" s="32" t="n">
        <v>55.52</v>
      </c>
      <c r="V15" s="32" t="n">
        <v>31.49</v>
      </c>
      <c r="W15" s="32" t="n">
        <v>15.48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21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VADILALIND</t>
        </is>
      </c>
      <c r="D16" s="31" t="inlineStr">
        <is>
          <t>Vadilal Industries Ltd</t>
        </is>
      </c>
      <c r="E16" s="31" t="inlineStr">
        <is>
          <t>fmcg</t>
        </is>
      </c>
      <c r="F16" s="31" t="inlineStr">
        <is>
          <t>FMCG - Dairy Products</t>
        </is>
      </c>
      <c r="G16" s="31" t="inlineStr">
        <is>
          <t>midcap</t>
        </is>
      </c>
      <c r="H16" s="32" t="n">
        <v>5505.88</v>
      </c>
      <c r="I16" s="32" t="n">
        <v>7660</v>
      </c>
      <c r="J16" s="32" t="n">
        <v>-3.04</v>
      </c>
      <c r="K16" s="32" t="n">
        <v>0</v>
      </c>
      <c r="L16" s="31" t="n">
        <v>69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76.53</v>
      </c>
      <c r="P16" s="32" t="n">
        <v>52.65</v>
      </c>
      <c r="Q16" s="32" t="inlineStr"/>
      <c r="R16" s="31" t="inlineStr">
        <is>
          <t>Earnings / Momentum Support</t>
        </is>
      </c>
      <c r="S16" s="31" t="inlineStr">
        <is>
          <t>Nifty FMCG</t>
        </is>
      </c>
      <c r="T16" s="32" t="n">
        <v>-13.73</v>
      </c>
      <c r="U16" s="32" t="n">
        <v>26.81</v>
      </c>
      <c r="V16" s="32" t="n">
        <v>46.99</v>
      </c>
      <c r="W16" s="32" t="n">
        <v>15.98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VENKEYS</t>
        </is>
      </c>
      <c r="D17" s="31" t="inlineStr">
        <is>
          <t>Venkys (India) Ltd</t>
        </is>
      </c>
      <c r="E17" s="31" t="inlineStr">
        <is>
          <t>fmcg</t>
        </is>
      </c>
      <c r="F17" s="31" t="inlineStr">
        <is>
          <t>FMCG - Animal/Polutry</t>
        </is>
      </c>
      <c r="G17" s="31" t="inlineStr">
        <is>
          <t>smallcap</t>
        </is>
      </c>
      <c r="H17" s="32" t="n">
        <v>2392.03</v>
      </c>
      <c r="I17" s="32" t="n">
        <v>1698</v>
      </c>
      <c r="J17" s="32" t="n">
        <v>8.02</v>
      </c>
      <c r="K17" s="32" t="n">
        <v>0</v>
      </c>
      <c r="L17" s="31" t="n">
        <v>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56.95</v>
      </c>
      <c r="P17" s="32" t="n">
        <v>38.17</v>
      </c>
      <c r="Q17" s="32" t="inlineStr"/>
      <c r="R17" s="31" t="inlineStr">
        <is>
          <t>Volume Spike / Accumulation</t>
        </is>
      </c>
      <c r="S17" s="31" t="inlineStr">
        <is>
          <t>Nifty FMCG</t>
        </is>
      </c>
      <c r="T17" s="32" t="n">
        <v>-13.73</v>
      </c>
      <c r="U17" s="32" t="n">
        <v>-7.57</v>
      </c>
      <c r="V17" s="32" t="n">
        <v>7.13</v>
      </c>
      <c r="W17" s="32" t="n">
        <v>-3.14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CUPID</t>
        </is>
      </c>
      <c r="D18" s="31" t="inlineStr">
        <is>
          <t>Cupid Ltd</t>
        </is>
      </c>
      <c r="E18" s="31" t="inlineStr">
        <is>
          <t>fmcg</t>
        </is>
      </c>
      <c r="F18" s="31" t="inlineStr">
        <is>
          <t>Contraceptives/Protectives</t>
        </is>
      </c>
      <c r="G18" s="31" t="inlineStr">
        <is>
          <t>largecap</t>
        </is>
      </c>
      <c r="H18" s="32" t="n">
        <v>37784.97</v>
      </c>
      <c r="I18" s="32" t="n">
        <v>281</v>
      </c>
      <c r="J18" s="32" t="n">
        <v>-0.47</v>
      </c>
      <c r="K18" s="32" t="n">
        <v>0</v>
      </c>
      <c r="L18" s="31" t="n">
        <v>99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86.75</v>
      </c>
      <c r="P18" s="32" t="n">
        <v>73.52</v>
      </c>
      <c r="Q18" s="32" t="inlineStr"/>
      <c r="R18" s="31" t="inlineStr">
        <is>
          <t>Earnings / Momentum Support</t>
        </is>
      </c>
      <c r="S18" s="31" t="inlineStr">
        <is>
          <t>Nifty FMCG</t>
        </is>
      </c>
      <c r="T18" s="32" t="n">
        <v>-13.73</v>
      </c>
      <c r="U18" s="32" t="n">
        <v>631.6900000000001</v>
      </c>
      <c r="V18" s="32" t="n">
        <v>748.13</v>
      </c>
      <c r="W18" s="32" t="n">
        <v>76.51000000000001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UNIPARTS</t>
        </is>
      </c>
      <c r="D19" s="31" t="inlineStr">
        <is>
          <t>Uniparts India Ltd</t>
        </is>
      </c>
      <c r="E19" s="31" t="inlineStr">
        <is>
          <t>industrials</t>
        </is>
      </c>
      <c r="F19" s="31" t="inlineStr">
        <is>
          <t>Castings, Forgings &amp; Fastners</t>
        </is>
      </c>
      <c r="G19" s="31" t="inlineStr">
        <is>
          <t>smallcap</t>
        </is>
      </c>
      <c r="H19" s="32" t="n">
        <v>4028.36</v>
      </c>
      <c r="I19" s="32" t="n">
        <v>892</v>
      </c>
      <c r="J19" s="32" t="n">
        <v>2.16</v>
      </c>
      <c r="K19" s="32" t="n">
        <v>0</v>
      </c>
      <c r="L19" s="31" t="n">
        <v>91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82.42</v>
      </c>
      <c r="P19" s="32" t="n">
        <v>67.90000000000001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-1.03</v>
      </c>
      <c r="U19" s="32" t="n">
        <v>136.33</v>
      </c>
      <c r="V19" s="32" t="n">
        <v>138.79</v>
      </c>
      <c r="W19" s="32" t="n">
        <v>29.92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22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PARAS</t>
        </is>
      </c>
      <c r="D20" s="31" t="inlineStr">
        <is>
          <t>Paras Defence and Space Technologies Ltd</t>
        </is>
      </c>
      <c r="E20" s="31" t="inlineStr">
        <is>
          <t>aerospace &amp; defence</t>
        </is>
      </c>
      <c r="F20" s="31" t="inlineStr">
        <is>
          <t>Aerospace &amp; Defence - Equipments</t>
        </is>
      </c>
      <c r="G20" s="31" t="inlineStr">
        <is>
          <t>midcap</t>
        </is>
      </c>
      <c r="H20" s="32" t="n">
        <v>11515.93</v>
      </c>
      <c r="I20" s="32" t="n">
        <v>1429</v>
      </c>
      <c r="J20" s="32" t="n">
        <v>-0.74</v>
      </c>
      <c r="K20" s="32" t="n">
        <v>0</v>
      </c>
      <c r="L20" s="31" t="n">
        <v>94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69.16</v>
      </c>
      <c r="P20" s="32" t="n">
        <v>67.18000000000001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-1.03</v>
      </c>
      <c r="U20" s="32" t="n">
        <v>122.09</v>
      </c>
      <c r="V20" s="32" t="n">
        <v>124.4</v>
      </c>
      <c r="W20" s="32" t="n">
        <v>35.93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22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MENONBE</t>
        </is>
      </c>
      <c r="D21" s="31" t="inlineStr">
        <is>
          <t>Menon Bearings Ltd</t>
        </is>
      </c>
      <c r="E21" s="31" t="inlineStr">
        <is>
          <t>auto</t>
        </is>
      </c>
      <c r="F21" s="31" t="inlineStr">
        <is>
          <t>Auto Ancillaries - Bearings</t>
        </is>
      </c>
      <c r="G21" s="31" t="inlineStr">
        <is>
          <t>smallcap</t>
        </is>
      </c>
      <c r="H21" s="32" t="n">
        <v>1624.6</v>
      </c>
      <c r="I21" s="32" t="n">
        <v>289.9</v>
      </c>
      <c r="J21" s="32" t="n">
        <v>1.86</v>
      </c>
      <c r="K21" s="32" t="n">
        <v>0</v>
      </c>
      <c r="L21" s="31" t="n">
        <v>85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82.66</v>
      </c>
      <c r="P21" s="32" t="n">
        <v>60.04</v>
      </c>
      <c r="Q21" s="32" t="inlineStr"/>
      <c r="R21" s="31" t="inlineStr">
        <is>
          <t>Earnings / Momentum Support</t>
        </is>
      </c>
      <c r="S21" s="31" t="inlineStr">
        <is>
          <t>Nifty Auto</t>
        </is>
      </c>
      <c r="T21" s="32" t="n">
        <v>13.41</v>
      </c>
      <c r="U21" s="32" t="n">
        <v>59.56</v>
      </c>
      <c r="V21" s="32" t="n">
        <v>40.68</v>
      </c>
      <c r="W21" s="32" t="n">
        <v>23.69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IRISDOREME</t>
        </is>
      </c>
      <c r="D22" s="31" t="inlineStr">
        <is>
          <t>Iris Clothings Ltd</t>
        </is>
      </c>
      <c r="E22" s="31" t="inlineStr">
        <is>
          <t>consumer discretionary</t>
        </is>
      </c>
      <c r="F22" s="31" t="inlineStr">
        <is>
          <t>Textiles - Readymade Apparel</t>
        </is>
      </c>
      <c r="G22" s="31" t="inlineStr">
        <is>
          <t>smallcap</t>
        </is>
      </c>
      <c r="H22" s="32" t="n">
        <v>1103.92</v>
      </c>
      <c r="I22" s="32" t="n">
        <v>58</v>
      </c>
      <c r="J22" s="32" t="n">
        <v>-1.19</v>
      </c>
      <c r="K22" s="32" t="n">
        <v>0</v>
      </c>
      <c r="L22" s="31" t="n">
        <v>90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82.77</v>
      </c>
      <c r="P22" s="32" t="n">
        <v>48.72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-1.03</v>
      </c>
      <c r="U22" s="32" t="n">
        <v>85.76000000000001</v>
      </c>
      <c r="V22" s="32" t="n">
        <v>87.69</v>
      </c>
      <c r="W22" s="32" t="n">
        <v>28.23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21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ATHERENERG</t>
        </is>
      </c>
      <c r="D23" s="31" t="inlineStr">
        <is>
          <t>Ather Energy Ltd</t>
        </is>
      </c>
      <c r="E23" s="31" t="inlineStr">
        <is>
          <t>auto</t>
        </is>
      </c>
      <c r="F23" s="31" t="inlineStr">
        <is>
          <t>Auto - 2 &amp; 3 Wheelers</t>
        </is>
      </c>
      <c r="G23" s="31" t="inlineStr">
        <is>
          <t>largecap</t>
        </is>
      </c>
      <c r="H23" s="32" t="n">
        <v>68041.39</v>
      </c>
      <c r="I23" s="32" t="n">
        <v>1717.7</v>
      </c>
      <c r="J23" s="32" t="n">
        <v>6.27</v>
      </c>
      <c r="K23" s="32" t="n">
        <v>0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79.97</v>
      </c>
      <c r="P23" s="32" t="n">
        <v>65.56999999999999</v>
      </c>
      <c r="Q23" s="32" t="inlineStr"/>
      <c r="R23" s="31" t="inlineStr">
        <is>
          <t>Earnings / Momentum Support</t>
        </is>
      </c>
      <c r="S23" s="31" t="inlineStr">
        <is>
          <t>Nifty Auto</t>
        </is>
      </c>
      <c r="T23" s="32" t="n">
        <v>13.41</v>
      </c>
      <c r="U23" s="32" t="n">
        <v>275.68</v>
      </c>
      <c r="V23" s="32" t="n">
        <v>231.25</v>
      </c>
      <c r="W23" s="32" t="n">
        <v>46.25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20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KMCSHIL</t>
        </is>
      </c>
      <c r="D24" s="31" t="inlineStr">
        <is>
          <t>KMC Speciality Hospitals (India) Ltd</t>
        </is>
      </c>
      <c r="E24" s="31" t="inlineStr">
        <is>
          <t>Healthcare</t>
        </is>
      </c>
      <c r="F24" s="31" t="inlineStr">
        <is>
          <t>Hospitals</t>
        </is>
      </c>
      <c r="G24" s="31" t="inlineStr">
        <is>
          <t>smallcap</t>
        </is>
      </c>
      <c r="H24" s="32" t="n">
        <v>2226.11</v>
      </c>
      <c r="I24" s="32" t="n">
        <v>136.5</v>
      </c>
      <c r="J24" s="32" t="n">
        <v>-1.19</v>
      </c>
      <c r="K24" s="32" t="n">
        <v>0</v>
      </c>
      <c r="L24" s="31" t="n">
        <v>83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69.89</v>
      </c>
      <c r="P24" s="32" t="n">
        <v>61.61</v>
      </c>
      <c r="Q24" s="32" t="inlineStr"/>
      <c r="R24" s="31" t="inlineStr">
        <is>
          <t>Earnings / Momentum Support</t>
        </is>
      </c>
      <c r="S24" s="31" t="inlineStr">
        <is>
          <t>Nifty Pharma</t>
        </is>
      </c>
      <c r="T24" s="32" t="n">
        <v>23.79</v>
      </c>
      <c r="U24" s="32" t="n">
        <v>101.41</v>
      </c>
      <c r="V24" s="32" t="n">
        <v>62.7</v>
      </c>
      <c r="W24" s="32" t="n">
        <v>23.15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24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MARKSANS</t>
        </is>
      </c>
      <c r="D25" s="31" t="inlineStr">
        <is>
          <t>Marksans Pharma Ltd</t>
        </is>
      </c>
      <c r="E25" s="31" t="inlineStr">
        <is>
          <t>healthcare</t>
        </is>
      </c>
      <c r="F25" s="31" t="inlineStr">
        <is>
          <t>Pharma - Formulators</t>
        </is>
      </c>
      <c r="G25" s="31" t="inlineStr">
        <is>
          <t>midcap</t>
        </is>
      </c>
      <c r="H25" s="32" t="n">
        <v>14535.23</v>
      </c>
      <c r="I25" s="32" t="n">
        <v>320.75</v>
      </c>
      <c r="J25" s="32" t="n">
        <v>-2.71</v>
      </c>
      <c r="K25" s="32" t="n">
        <v>0</v>
      </c>
      <c r="L25" s="31" t="n">
        <v>82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74.63</v>
      </c>
      <c r="P25" s="32" t="n">
        <v>58.9</v>
      </c>
      <c r="Q25" s="32" t="inlineStr"/>
      <c r="R25" s="31" t="inlineStr">
        <is>
          <t>Earnings / Momentum Support</t>
        </is>
      </c>
      <c r="S25" s="31" t="inlineStr">
        <is>
          <t>Nifty Pharma</t>
        </is>
      </c>
      <c r="T25" s="32" t="n">
        <v>23.79</v>
      </c>
      <c r="U25" s="32" t="n">
        <v>96.09</v>
      </c>
      <c r="V25" s="32" t="n">
        <v>58.4</v>
      </c>
      <c r="W25" s="32" t="n">
        <v>22.83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CNL</t>
        </is>
      </c>
      <c r="D26" s="31" t="inlineStr">
        <is>
          <t>Creative Newtech Ltd</t>
        </is>
      </c>
      <c r="E26" s="31" t="inlineStr">
        <is>
          <t>Technology</t>
        </is>
      </c>
      <c r="F26" s="31" t="inlineStr">
        <is>
          <t>E-Commerce - Platform - Utility</t>
        </is>
      </c>
      <c r="G26" s="31" t="inlineStr">
        <is>
          <t>smallcap</t>
        </is>
      </c>
      <c r="H26" s="32" t="n">
        <v>1922.28</v>
      </c>
      <c r="I26" s="32" t="n">
        <v>1280.1</v>
      </c>
      <c r="J26" s="32" t="n">
        <v>3.06</v>
      </c>
      <c r="K26" s="32" t="n">
        <v>0</v>
      </c>
      <c r="L26" s="31" t="n">
        <v>96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87.84999999999999</v>
      </c>
      <c r="P26" s="32" t="n">
        <v>61.36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-1.03</v>
      </c>
      <c r="U26" s="32" t="n">
        <v>97.16</v>
      </c>
      <c r="V26" s="32" t="n">
        <v>99.20999999999999</v>
      </c>
      <c r="W26" s="32" t="n">
        <v>39.12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Oligopoly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Between 0.7 to 1.2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MODISONLTD</t>
        </is>
      </c>
      <c r="D27" s="31" t="inlineStr">
        <is>
          <t>Modison Ltd</t>
        </is>
      </c>
      <c r="E27" s="31" t="inlineStr">
        <is>
          <t>industrials</t>
        </is>
      </c>
      <c r="F27" s="31" t="inlineStr">
        <is>
          <t>Capital Goods - Electric General</t>
        </is>
      </c>
      <c r="G27" s="31" t="inlineStr">
        <is>
          <t>smallcap</t>
        </is>
      </c>
      <c r="H27" s="32" t="n">
        <v>1473.39</v>
      </c>
      <c r="I27" s="32" t="n">
        <v>454.05</v>
      </c>
      <c r="J27" s="32" t="n">
        <v>9.99</v>
      </c>
      <c r="K27" s="32" t="n">
        <v>0</v>
      </c>
      <c r="L27" s="31" t="n">
        <v>95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76.76000000000001</v>
      </c>
      <c r="P27" s="32" t="n">
        <v>58.89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-1.03</v>
      </c>
      <c r="U27" s="32" t="n">
        <v>175.57</v>
      </c>
      <c r="V27" s="32" t="n">
        <v>178.44</v>
      </c>
      <c r="W27" s="32" t="n">
        <v>38.21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27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ADOR</t>
        </is>
      </c>
      <c r="D28" s="31" t="inlineStr">
        <is>
          <t>Ador Welding Ltd</t>
        </is>
      </c>
      <c r="E28" s="31" t="inlineStr">
        <is>
          <t>industrials</t>
        </is>
      </c>
      <c r="F28" s="31" t="inlineStr">
        <is>
          <t>Welding Equipments</t>
        </is>
      </c>
      <c r="G28" s="31" t="inlineStr">
        <is>
          <t>smallcap</t>
        </is>
      </c>
      <c r="H28" s="32" t="n">
        <v>2952.39</v>
      </c>
      <c r="I28" s="32" t="n">
        <v>1696.5</v>
      </c>
      <c r="J28" s="32" t="n">
        <v>3.72</v>
      </c>
      <c r="K28" s="32" t="n">
        <v>0</v>
      </c>
      <c r="L28" s="31" t="n">
        <v>83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81.98</v>
      </c>
      <c r="P28" s="32" t="n">
        <v>63.28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-1.03</v>
      </c>
      <c r="U28" s="32" t="n">
        <v>82.44</v>
      </c>
      <c r="V28" s="32" t="n">
        <v>84.34</v>
      </c>
      <c r="W28" s="32" t="n">
        <v>23.24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24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JGCHEM</t>
        </is>
      </c>
      <c r="D29" s="31" t="inlineStr">
        <is>
          <t>JGChemicals Ltd</t>
        </is>
      </c>
      <c r="E29" s="31" t="inlineStr">
        <is>
          <t>chemicals</t>
        </is>
      </c>
      <c r="F29" s="31" t="inlineStr">
        <is>
          <t>Chemicals - Inorganic</t>
        </is>
      </c>
      <c r="G29" s="31" t="inlineStr">
        <is>
          <t>smallcap</t>
        </is>
      </c>
      <c r="H29" s="32" t="n">
        <v>2469.51</v>
      </c>
      <c r="I29" s="32" t="n">
        <v>630.2</v>
      </c>
      <c r="J29" s="32" t="n">
        <v>-3.24</v>
      </c>
      <c r="K29" s="32" t="n">
        <v>0</v>
      </c>
      <c r="L29" s="31" t="n">
        <v>76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80.65000000000001</v>
      </c>
      <c r="P29" s="32" t="n">
        <v>40.91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-1.03</v>
      </c>
      <c r="U29" s="32" t="n">
        <v>40.31</v>
      </c>
      <c r="V29" s="32" t="n">
        <v>41.76</v>
      </c>
      <c r="W29" s="32" t="n">
        <v>19.17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23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HONASA</t>
        </is>
      </c>
      <c r="D30" s="31" t="inlineStr">
        <is>
          <t>Honasa Consumer Ltd</t>
        </is>
      </c>
      <c r="E30" s="31" t="inlineStr">
        <is>
          <t>Consumer Defensive</t>
        </is>
      </c>
      <c r="F30" s="31" t="inlineStr">
        <is>
          <t>New age - Platform - E-Retail</t>
        </is>
      </c>
      <c r="G30" s="31" t="inlineStr">
        <is>
          <t>midcap</t>
        </is>
      </c>
      <c r="H30" s="32" t="n">
        <v>15812.17</v>
      </c>
      <c r="I30" s="32" t="n">
        <v>485</v>
      </c>
      <c r="J30" s="32" t="n">
        <v>3.05</v>
      </c>
      <c r="K30" s="32" t="n">
        <v>0</v>
      </c>
      <c r="L30" s="31" t="n">
        <v>65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68.16</v>
      </c>
      <c r="P30" s="32" t="n">
        <v>61.82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-1.03</v>
      </c>
      <c r="U30" s="32" t="n">
        <v>61.66</v>
      </c>
      <c r="V30" s="32" t="n">
        <v>63.34</v>
      </c>
      <c r="W30" s="32" t="n">
        <v>14.13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22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KMEW</t>
        </is>
      </c>
      <c r="D31" s="31" t="inlineStr">
        <is>
          <t>Knowledge Marine &amp; Engineering Works Ltd</t>
        </is>
      </c>
      <c r="E31" s="31" t="inlineStr">
        <is>
          <t>transportation</t>
        </is>
      </c>
      <c r="F31" s="31" t="inlineStr">
        <is>
          <t>Shipping</t>
        </is>
      </c>
      <c r="G31" s="31" t="inlineStr">
        <is>
          <t>midcap</t>
        </is>
      </c>
      <c r="H31" s="32" t="n">
        <v>7400.29</v>
      </c>
      <c r="I31" s="32" t="n">
        <v>2917.6</v>
      </c>
      <c r="J31" s="32" t="n">
        <v>-4.35</v>
      </c>
      <c r="K31" s="32" t="n">
        <v>0</v>
      </c>
      <c r="L31" s="31" t="n">
        <v>96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82.02</v>
      </c>
      <c r="P31" s="32" t="n">
        <v>54.17</v>
      </c>
      <c r="Q31" s="32" t="inlineStr"/>
      <c r="R31" s="31" t="inlineStr">
        <is>
          <t>Earnings / Momentum Support</t>
        </is>
      </c>
      <c r="S31" s="31" t="inlineStr">
        <is>
          <t>Nifty 50</t>
        </is>
      </c>
      <c r="T31" s="32" t="n">
        <v>-1.03</v>
      </c>
      <c r="U31" s="32" t="n">
        <v>224.58</v>
      </c>
      <c r="V31" s="32" t="n">
        <v>227.96</v>
      </c>
      <c r="W31" s="32" t="n">
        <v>40.22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GHCLTEXTIL</t>
        </is>
      </c>
      <c r="D32" s="31" t="inlineStr">
        <is>
          <t>GHCL Textiles Ltd</t>
        </is>
      </c>
      <c r="E32" s="31" t="inlineStr">
        <is>
          <t>textiles</t>
        </is>
      </c>
      <c r="F32" s="31" t="inlineStr">
        <is>
          <t>Textiles - General</t>
        </is>
      </c>
      <c r="G32" s="31" t="inlineStr">
        <is>
          <t>smallcap</t>
        </is>
      </c>
      <c r="H32" s="32" t="n">
        <v>1277.03</v>
      </c>
      <c r="I32" s="32" t="n">
        <v>133.6</v>
      </c>
      <c r="J32" s="32" t="n">
        <v>2.15</v>
      </c>
      <c r="K32" s="32" t="n">
        <v>0</v>
      </c>
      <c r="L32" s="31" t="n">
        <v>76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74.95999999999999</v>
      </c>
      <c r="P32" s="32" t="n">
        <v>42.3</v>
      </c>
      <c r="Q32" s="32" t="inlineStr"/>
      <c r="R32" s="31" t="inlineStr">
        <is>
          <t>Earnings / Momentum Support</t>
        </is>
      </c>
      <c r="S32" s="31" t="inlineStr">
        <is>
          <t>Nifty 50</t>
        </is>
      </c>
      <c r="T32" s="32" t="n">
        <v>-1.03</v>
      </c>
      <c r="U32" s="32" t="n">
        <v>65.44</v>
      </c>
      <c r="V32" s="32" t="n">
        <v>67.16</v>
      </c>
      <c r="W32" s="32" t="n">
        <v>19.24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21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RPEL</t>
        </is>
      </c>
      <c r="D33" s="31" t="inlineStr">
        <is>
          <t>Raghav Productivity Enhancers Ltd</t>
        </is>
      </c>
      <c r="E33" s="31" t="inlineStr">
        <is>
          <t>building materials</t>
        </is>
      </c>
      <c r="F33" s="31" t="inlineStr">
        <is>
          <t>Steel Products</t>
        </is>
      </c>
      <c r="G33" s="31" t="inlineStr">
        <is>
          <t>midcap</t>
        </is>
      </c>
      <c r="H33" s="32" t="n">
        <v>8220.950000000001</v>
      </c>
      <c r="I33" s="32" t="n">
        <v>1790.2</v>
      </c>
      <c r="J33" s="32" t="n">
        <v>2.39</v>
      </c>
      <c r="K33" s="32" t="n">
        <v>0</v>
      </c>
      <c r="L33" s="31" t="n">
        <v>94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83.65000000000001</v>
      </c>
      <c r="P33" s="32" t="n">
        <v>62.17</v>
      </c>
      <c r="Q33" s="32" t="inlineStr"/>
      <c r="R33" s="31" t="inlineStr">
        <is>
          <t>Earnings / Momentum Support</t>
        </is>
      </c>
      <c r="S33" s="31" t="inlineStr">
        <is>
          <t>Nifty Infra</t>
        </is>
      </c>
      <c r="T33" s="32" t="n">
        <v>1.74</v>
      </c>
      <c r="U33" s="32" t="n">
        <v>89.84999999999999</v>
      </c>
      <c r="V33" s="32" t="n">
        <v>86.59999999999999</v>
      </c>
      <c r="W33" s="32" t="n">
        <v>35.04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Between 1.5 to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21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IGPL</t>
        </is>
      </c>
      <c r="D34" s="31" t="inlineStr">
        <is>
          <t>I G Petrochemicals Ltd</t>
        </is>
      </c>
      <c r="E34" s="31" t="inlineStr">
        <is>
          <t>chemicals</t>
        </is>
      </c>
      <c r="F34" s="31" t="inlineStr">
        <is>
          <t>Chemicals - Organic - Maleic Anhydride</t>
        </is>
      </c>
      <c r="G34" s="31" t="inlineStr">
        <is>
          <t>smallcap</t>
        </is>
      </c>
      <c r="H34" s="32" t="n">
        <v>1654.3</v>
      </c>
      <c r="I34" s="32" t="n">
        <v>537.2</v>
      </c>
      <c r="J34" s="32" t="n">
        <v>0.9</v>
      </c>
      <c r="K34" s="32" t="n">
        <v>0</v>
      </c>
      <c r="L34" s="31" t="n">
        <v>55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67.69</v>
      </c>
      <c r="P34" s="32" t="n">
        <v>26.01</v>
      </c>
      <c r="Q34" s="32" t="inlineStr"/>
      <c r="R34" s="31" t="inlineStr">
        <is>
          <t>Earnings / Momentum Support</t>
        </is>
      </c>
      <c r="S34" s="31" t="inlineStr">
        <is>
          <t>Nifty IT</t>
        </is>
      </c>
      <c r="T34" s="32" t="n">
        <v>-11.08</v>
      </c>
      <c r="U34" s="32" t="n">
        <v>25.51</v>
      </c>
      <c r="V34" s="32" t="n">
        <v>41.16</v>
      </c>
      <c r="W34" s="32" t="n">
        <v>10.89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KINGFA</t>
        </is>
      </c>
      <c r="D35" s="31" t="inlineStr">
        <is>
          <t>Kingfa Science &amp; Technology (India) Ltd</t>
        </is>
      </c>
      <c r="E35" s="31" t="inlineStr">
        <is>
          <t>plastic products</t>
        </is>
      </c>
      <c r="F35" s="31" t="inlineStr">
        <is>
          <t>Plastics - Plastic &amp; Plastic Products</t>
        </is>
      </c>
      <c r="G35" s="31" t="inlineStr">
        <is>
          <t>midcap</t>
        </is>
      </c>
      <c r="H35" s="32" t="n">
        <v>8198.59</v>
      </c>
      <c r="I35" s="32" t="n">
        <v>6050</v>
      </c>
      <c r="J35" s="32" t="n">
        <v>1.73</v>
      </c>
      <c r="K35" s="32" t="n">
        <v>0</v>
      </c>
      <c r="L35" s="31" t="n">
        <v>55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69.73999999999999</v>
      </c>
      <c r="P35" s="32" t="n">
        <v>35.1</v>
      </c>
      <c r="Q35" s="32" t="inlineStr"/>
      <c r="R35" s="31" t="inlineStr">
        <is>
          <t>Earnings / Momentum Support</t>
        </is>
      </c>
      <c r="S35" s="31" t="inlineStr">
        <is>
          <t>Nifty Infra</t>
        </is>
      </c>
      <c r="T35" s="32" t="n">
        <v>1.74</v>
      </c>
      <c r="U35" s="32" t="n">
        <v>49.6</v>
      </c>
      <c r="V35" s="32" t="n">
        <v>47.04</v>
      </c>
      <c r="W35" s="32" t="n">
        <v>10.82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20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TBZ</t>
        </is>
      </c>
      <c r="D36" s="31" t="inlineStr">
        <is>
          <t>Tribhovandas Bhimji Zaveri Ltd</t>
        </is>
      </c>
      <c r="E36" s="31" t="inlineStr">
        <is>
          <t>consumer discretionary</t>
        </is>
      </c>
      <c r="F36" s="31" t="inlineStr">
        <is>
          <t>Diamond, Gems &amp; Jewellery</t>
        </is>
      </c>
      <c r="G36" s="31" t="inlineStr">
        <is>
          <t>smallcap</t>
        </is>
      </c>
      <c r="H36" s="32" t="n">
        <v>2031.28</v>
      </c>
      <c r="I36" s="32" t="n">
        <v>304.4</v>
      </c>
      <c r="J36" s="32" t="n">
        <v>0.89</v>
      </c>
      <c r="K36" s="32" t="n">
        <v>0</v>
      </c>
      <c r="L36" s="31" t="n">
        <v>91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76.52</v>
      </c>
      <c r="P36" s="32" t="n">
        <v>47.14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-1.03</v>
      </c>
      <c r="U36" s="32" t="n">
        <v>64.78</v>
      </c>
      <c r="V36" s="32" t="n">
        <v>66.5</v>
      </c>
      <c r="W36" s="32" t="n">
        <v>31.36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20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SJS</t>
        </is>
      </c>
      <c r="D37" s="31" t="inlineStr">
        <is>
          <t>S J S Enterprises Ltd</t>
        </is>
      </c>
      <c r="E37" s="31" t="inlineStr">
        <is>
          <t>auto</t>
        </is>
      </c>
      <c r="F37" s="31" t="inlineStr">
        <is>
          <t>Auto Ancillaries - Diversified</t>
        </is>
      </c>
      <c r="G37" s="31" t="inlineStr">
        <is>
          <t>midcap</t>
        </is>
      </c>
      <c r="H37" s="32" t="n">
        <v>7984.89</v>
      </c>
      <c r="I37" s="32" t="n">
        <v>2493.2</v>
      </c>
      <c r="J37" s="32" t="n">
        <v>-0.65</v>
      </c>
      <c r="K37" s="32" t="n">
        <v>0</v>
      </c>
      <c r="L37" s="31" t="n">
        <v>74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71.81</v>
      </c>
      <c r="P37" s="32" t="n">
        <v>48.34</v>
      </c>
      <c r="Q37" s="32" t="inlineStr"/>
      <c r="R37" s="31" t="inlineStr">
        <is>
          <t>Earnings / Momentum Support</t>
        </is>
      </c>
      <c r="S37" s="31" t="inlineStr">
        <is>
          <t>Nifty Auto</t>
        </is>
      </c>
      <c r="T37" s="32" t="n">
        <v>13.41</v>
      </c>
      <c r="U37" s="32" t="n">
        <v>76.45</v>
      </c>
      <c r="V37" s="32" t="n">
        <v>55.58</v>
      </c>
      <c r="W37" s="32" t="n">
        <v>18.09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20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MOREPENLAB</t>
        </is>
      </c>
      <c r="D38" s="31" t="inlineStr">
        <is>
          <t>Morepen Laboratories Ltd</t>
        </is>
      </c>
      <c r="E38" s="31" t="inlineStr">
        <is>
          <t>healthcare</t>
        </is>
      </c>
      <c r="F38" s="31" t="inlineStr">
        <is>
          <t>Pharma - API &amp; CRAMS</t>
        </is>
      </c>
      <c r="G38" s="31" t="inlineStr">
        <is>
          <t>midcap</t>
        </is>
      </c>
      <c r="H38" s="32" t="n">
        <v>5883.93</v>
      </c>
      <c r="I38" s="32" t="n">
        <v>107.38</v>
      </c>
      <c r="J38" s="32" t="n">
        <v>1.12</v>
      </c>
      <c r="K38" s="32" t="n">
        <v>0</v>
      </c>
      <c r="L38" s="31" t="n">
        <v>98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85.87</v>
      </c>
      <c r="P38" s="32" t="n">
        <v>48.14</v>
      </c>
      <c r="Q38" s="32" t="inlineStr"/>
      <c r="R38" s="31" t="inlineStr">
        <is>
          <t>Earnings / Momentum Support</t>
        </is>
      </c>
      <c r="S38" s="31" t="inlineStr">
        <is>
          <t>Nifty Pharma</t>
        </is>
      </c>
      <c r="T38" s="32" t="n">
        <v>23.79</v>
      </c>
      <c r="U38" s="32" t="n">
        <v>127.73</v>
      </c>
      <c r="V38" s="32" t="n">
        <v>83.95999999999999</v>
      </c>
      <c r="W38" s="32" t="n">
        <v>56.78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24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LAURUSLABS</t>
        </is>
      </c>
      <c r="D39" s="31" t="inlineStr">
        <is>
          <t>Laurus Labs Ltd</t>
        </is>
      </c>
      <c r="E39" s="31" t="inlineStr">
        <is>
          <t>healthcare</t>
        </is>
      </c>
      <c r="F39" s="31" t="inlineStr">
        <is>
          <t>Pharma - API &amp; CRAMS</t>
        </is>
      </c>
      <c r="G39" s="31" t="inlineStr">
        <is>
          <t>largecap</t>
        </is>
      </c>
      <c r="H39" s="32" t="n">
        <v>103469.79</v>
      </c>
      <c r="I39" s="32" t="n">
        <v>1915</v>
      </c>
      <c r="J39" s="32" t="n">
        <v>-1.21</v>
      </c>
      <c r="K39" s="32" t="n">
        <v>0</v>
      </c>
      <c r="L39" s="31" t="n">
        <v>89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83.54000000000001</v>
      </c>
      <c r="P39" s="32" t="n">
        <v>69.86</v>
      </c>
      <c r="Q39" s="32" t="inlineStr"/>
      <c r="R39" s="31" t="inlineStr">
        <is>
          <t>Volume Spike / Accumulation</t>
        </is>
      </c>
      <c r="S39" s="31" t="inlineStr">
        <is>
          <t>Nifty Pharma</t>
        </is>
      </c>
      <c r="T39" s="32" t="n">
        <v>23.79</v>
      </c>
      <c r="U39" s="32" t="n">
        <v>126.63</v>
      </c>
      <c r="V39" s="32" t="n">
        <v>83.08</v>
      </c>
      <c r="W39" s="32" t="n">
        <v>27.23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24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SHILPAMED</t>
        </is>
      </c>
      <c r="D40" s="31" t="inlineStr">
        <is>
          <t>Shilpa Medicare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midcap</t>
        </is>
      </c>
      <c r="H40" s="32" t="n">
        <v>18563.65</v>
      </c>
      <c r="I40" s="32" t="n">
        <v>949.15</v>
      </c>
      <c r="J40" s="32" t="n">
        <v>5.02</v>
      </c>
      <c r="K40" s="32" t="n">
        <v>0</v>
      </c>
      <c r="L40" s="31" t="n">
        <v>95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90.20999999999999</v>
      </c>
      <c r="P40" s="32" t="n">
        <v>77.7</v>
      </c>
      <c r="Q40" s="32" t="inlineStr"/>
      <c r="R40" s="31" t="inlineStr">
        <is>
          <t>Earnings / Momentum Support</t>
        </is>
      </c>
      <c r="S40" s="31" t="inlineStr">
        <is>
          <t>Nifty Pharma</t>
        </is>
      </c>
      <c r="T40" s="32" t="n">
        <v>23.79</v>
      </c>
      <c r="U40" s="32" t="n">
        <v>113.86</v>
      </c>
      <c r="V40" s="32" t="n">
        <v>72.76000000000001</v>
      </c>
      <c r="W40" s="32" t="n">
        <v>37.98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23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KPL</t>
        </is>
      </c>
      <c r="D41" s="31" t="inlineStr">
        <is>
          <t>Kwality Pharmaceuticals Ltd</t>
        </is>
      </c>
      <c r="E41" s="31" t="inlineStr">
        <is>
          <t>Healthcare</t>
        </is>
      </c>
      <c r="F41" s="31" t="inlineStr">
        <is>
          <t>Pharma - Formulators</t>
        </is>
      </c>
      <c r="G41" s="31" t="inlineStr">
        <is>
          <t>smallcap</t>
        </is>
      </c>
      <c r="H41" s="32" t="n">
        <v>3423.11</v>
      </c>
      <c r="I41" s="32" t="n">
        <v>3299</v>
      </c>
      <c r="J41" s="32" t="n">
        <v>-0.34</v>
      </c>
      <c r="K41" s="32" t="n">
        <v>0</v>
      </c>
      <c r="L41" s="31" t="n">
        <v>96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75.36</v>
      </c>
      <c r="P41" s="32" t="n">
        <v>70.44</v>
      </c>
      <c r="Q41" s="32" t="inlineStr"/>
      <c r="R41" s="31" t="inlineStr">
        <is>
          <t>Earnings / Momentum Support</t>
        </is>
      </c>
      <c r="S41" s="31" t="inlineStr">
        <is>
          <t>Nifty Pharma</t>
        </is>
      </c>
      <c r="T41" s="32" t="n">
        <v>23.79</v>
      </c>
      <c r="U41" s="32" t="n">
        <v>234.22</v>
      </c>
      <c r="V41" s="32" t="n">
        <v>169.98</v>
      </c>
      <c r="W41" s="32" t="n">
        <v>39.23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22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INDSWFTLAB</t>
        </is>
      </c>
      <c r="D42" s="31" t="inlineStr">
        <is>
          <t>Ind-Swift Laboratories Ltd</t>
        </is>
      </c>
      <c r="E42" s="31" t="inlineStr">
        <is>
          <t>healthcare</t>
        </is>
      </c>
      <c r="F42" s="31" t="inlineStr">
        <is>
          <t>Pharma - API</t>
        </is>
      </c>
      <c r="G42" s="31" t="inlineStr">
        <is>
          <t>smallcap</t>
        </is>
      </c>
      <c r="H42" s="32" t="n">
        <v>3200.19</v>
      </c>
      <c r="I42" s="32" t="n">
        <v>368</v>
      </c>
      <c r="J42" s="32" t="n">
        <v>1.4</v>
      </c>
      <c r="K42" s="32" t="n">
        <v>0</v>
      </c>
      <c r="L42" s="31" t="n">
        <v>98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89.25</v>
      </c>
      <c r="P42" s="32" t="n">
        <v>71.73</v>
      </c>
      <c r="Q42" s="32" t="inlineStr"/>
      <c r="R42" s="31" t="inlineStr">
        <is>
          <t>Earnings / Momentum Support</t>
        </is>
      </c>
      <c r="S42" s="31" t="inlineStr">
        <is>
          <t>Nifty Pharma</t>
        </is>
      </c>
      <c r="T42" s="32" t="n">
        <v>23.79</v>
      </c>
      <c r="U42" s="32" t="n">
        <v>277.81</v>
      </c>
      <c r="V42" s="32" t="n">
        <v>205.19</v>
      </c>
      <c r="W42" s="32" t="n">
        <v>66.48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21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AVALON</t>
        </is>
      </c>
      <c r="D43" s="31" t="inlineStr">
        <is>
          <t>Avalon Technologies Ltd</t>
        </is>
      </c>
      <c r="E43" s="31" t="inlineStr">
        <is>
          <t>consumer discretionary</t>
        </is>
      </c>
      <c r="F43" s="31" t="inlineStr">
        <is>
          <t>Consumer Electronics - EMS</t>
        </is>
      </c>
      <c r="G43" s="31" t="inlineStr">
        <is>
          <t>midcap</t>
        </is>
      </c>
      <c r="H43" s="32" t="n">
        <v>15907.88</v>
      </c>
      <c r="I43" s="32" t="n">
        <v>2381</v>
      </c>
      <c r="J43" s="32" t="n">
        <v>6.69</v>
      </c>
      <c r="K43" s="32" t="n">
        <v>0</v>
      </c>
      <c r="L43" s="31" t="n">
        <v>92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83.47</v>
      </c>
      <c r="P43" s="32" t="n">
        <v>59.51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-1.03</v>
      </c>
      <c r="U43" s="32" t="n">
        <v>168.65</v>
      </c>
      <c r="V43" s="32" t="n">
        <v>171.44</v>
      </c>
      <c r="W43" s="32" t="n">
        <v>32.91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25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HFCL</t>
        </is>
      </c>
      <c r="D44" s="31" t="inlineStr">
        <is>
          <t>HFCL Ltd</t>
        </is>
      </c>
      <c r="E44" s="31" t="inlineStr">
        <is>
          <t>telecom</t>
        </is>
      </c>
      <c r="F44" s="31" t="inlineStr">
        <is>
          <t>Telecom Services</t>
        </is>
      </c>
      <c r="G44" s="31" t="inlineStr">
        <is>
          <t>largecap</t>
        </is>
      </c>
      <c r="H44" s="32" t="n">
        <v>38110.47</v>
      </c>
      <c r="I44" s="32" t="n">
        <v>248.99</v>
      </c>
      <c r="J44" s="32" t="n">
        <v>-0.99</v>
      </c>
      <c r="K44" s="32" t="n">
        <v>0</v>
      </c>
      <c r="L44" s="31" t="n">
        <v>98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81.08</v>
      </c>
      <c r="P44" s="32" t="n">
        <v>62.04</v>
      </c>
      <c r="Q44" s="32" t="inlineStr"/>
      <c r="R44" s="31" t="inlineStr">
        <is>
          <t>Earnings / Momentum Support</t>
        </is>
      </c>
      <c r="S44" s="31" t="inlineStr">
        <is>
          <t>Nifty Infra</t>
        </is>
      </c>
      <c r="T44" s="32" t="n">
        <v>1.74</v>
      </c>
      <c r="U44" s="32" t="n">
        <v>161.74</v>
      </c>
      <c r="V44" s="32" t="n">
        <v>157.26</v>
      </c>
      <c r="W44" s="32" t="n">
        <v>53.93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Oligopoly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25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MACPOWER</t>
        </is>
      </c>
      <c r="D45" s="31" t="inlineStr">
        <is>
          <t>Macpower CNC Machines Ltd</t>
        </is>
      </c>
      <c r="E45" s="31" t="inlineStr">
        <is>
          <t>industrials</t>
        </is>
      </c>
      <c r="F45" s="31" t="inlineStr">
        <is>
          <t>CNC - Machines</t>
        </is>
      </c>
      <c r="G45" s="31" t="inlineStr">
        <is>
          <t>smallcap</t>
        </is>
      </c>
      <c r="H45" s="32" t="n">
        <v>2000.83</v>
      </c>
      <c r="I45" s="32" t="n">
        <v>2000</v>
      </c>
      <c r="J45" s="32" t="n">
        <v>-0.35</v>
      </c>
      <c r="K45" s="32" t="n">
        <v>0</v>
      </c>
      <c r="L45" s="31" t="n">
        <v>97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80.03</v>
      </c>
      <c r="P45" s="32" t="n">
        <v>40.15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-1.03</v>
      </c>
      <c r="U45" s="32" t="n">
        <v>148.27</v>
      </c>
      <c r="V45" s="32" t="n">
        <v>150.85</v>
      </c>
      <c r="W45" s="32" t="n">
        <v>46.82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23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KDDL</t>
        </is>
      </c>
      <c r="D46" s="31" t="inlineStr">
        <is>
          <t>KDDL Ltd</t>
        </is>
      </c>
      <c r="E46" s="31" t="inlineStr">
        <is>
          <t>consumer discretionary</t>
        </is>
      </c>
      <c r="F46" s="31" t="inlineStr">
        <is>
          <t>Watches</t>
        </is>
      </c>
      <c r="G46" s="31" t="inlineStr">
        <is>
          <t>smallcap</t>
        </is>
      </c>
      <c r="H46" s="32" t="n">
        <v>4836.08</v>
      </c>
      <c r="I46" s="32" t="n">
        <v>3932</v>
      </c>
      <c r="J46" s="32" t="n">
        <v>-0.12</v>
      </c>
      <c r="K46" s="32" t="n">
        <v>0</v>
      </c>
      <c r="L46" s="31" t="n">
        <v>77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75.47</v>
      </c>
      <c r="P46" s="32" t="n">
        <v>45.39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-1.03</v>
      </c>
      <c r="U46" s="32" t="n">
        <v>66.44</v>
      </c>
      <c r="V46" s="32" t="n">
        <v>68.17</v>
      </c>
      <c r="W46" s="32" t="n">
        <v>20.12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22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WELSPUNLIV</t>
        </is>
      </c>
      <c r="D47" s="31" t="inlineStr">
        <is>
          <t>Welspun Living Ltd</t>
        </is>
      </c>
      <c r="E47" s="31" t="inlineStr">
        <is>
          <t>textiles</t>
        </is>
      </c>
      <c r="F47" s="31" t="inlineStr">
        <is>
          <t>Textiles - Home Textile</t>
        </is>
      </c>
      <c r="G47" s="31" t="inlineStr">
        <is>
          <t>midcap</t>
        </is>
      </c>
      <c r="H47" s="32" t="n">
        <v>18432.12</v>
      </c>
      <c r="I47" s="32" t="n">
        <v>195.1</v>
      </c>
      <c r="J47" s="32" t="n">
        <v>2.44</v>
      </c>
      <c r="K47" s="32" t="n">
        <v>0</v>
      </c>
      <c r="L47" s="31" t="n">
        <v>79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73.98</v>
      </c>
      <c r="P47" s="32" t="n">
        <v>37.77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-1.03</v>
      </c>
      <c r="U47" s="32" t="n">
        <v>74.33</v>
      </c>
      <c r="V47" s="32" t="n">
        <v>76.14</v>
      </c>
      <c r="W47" s="32" t="n">
        <v>21.34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20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3" t="inlineStr">
        <is>
          <t>SYNCOMF</t>
        </is>
      </c>
      <c r="D48" s="33" t="inlineStr">
        <is>
          <t>Syncom Formulations (India) Ltd</t>
        </is>
      </c>
      <c r="E48" s="31" t="inlineStr">
        <is>
          <t>healthcare</t>
        </is>
      </c>
      <c r="F48" s="31" t="inlineStr">
        <is>
          <t>Pharma - Others</t>
        </is>
      </c>
      <c r="G48" s="31" t="inlineStr">
        <is>
          <t>smallcap</t>
        </is>
      </c>
      <c r="H48" s="32" t="n">
        <v>1833</v>
      </c>
      <c r="I48" s="32" t="n">
        <v>19.5</v>
      </c>
      <c r="J48" s="32" t="n">
        <v>0.21</v>
      </c>
      <c r="K48" s="32" t="n">
        <v>0</v>
      </c>
      <c r="L48" s="31" t="n">
        <v>54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74.29000000000001</v>
      </c>
      <c r="P48" s="32" t="n">
        <v>22.94</v>
      </c>
      <c r="Q48" s="32" t="inlineStr"/>
      <c r="R48" s="31" t="inlineStr">
        <is>
          <t>Earnings / Momentum Support</t>
        </is>
      </c>
      <c r="S48" s="31" t="inlineStr">
        <is>
          <t>Nifty Pharma</t>
        </is>
      </c>
      <c r="T48" s="32" t="n">
        <v>23.79</v>
      </c>
      <c r="U48" s="32" t="n">
        <v>16.32</v>
      </c>
      <c r="V48" s="32" t="n">
        <v>-6.04</v>
      </c>
      <c r="W48" s="32" t="n">
        <v>10.38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22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KENNAMET</t>
        </is>
      </c>
      <c r="D49" s="31" t="inlineStr">
        <is>
          <t>Kennametal India Ltd</t>
        </is>
      </c>
      <c r="E49" s="31" t="inlineStr">
        <is>
          <t>industrials</t>
        </is>
      </c>
      <c r="F49" s="31" t="inlineStr">
        <is>
          <t>Castings, Forgings &amp; Fastners</t>
        </is>
      </c>
      <c r="G49" s="31" t="inlineStr">
        <is>
          <t>midcap</t>
        </is>
      </c>
      <c r="H49" s="32" t="n">
        <v>9613.280000000001</v>
      </c>
      <c r="I49" s="32" t="n">
        <v>4374</v>
      </c>
      <c r="J49" s="32" t="n">
        <v>-4.5</v>
      </c>
      <c r="K49" s="32" t="n">
        <v>0</v>
      </c>
      <c r="L49" s="31" t="n">
        <v>90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84.61</v>
      </c>
      <c r="P49" s="32" t="n">
        <v>47.04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-1.03</v>
      </c>
      <c r="U49" s="32" t="n">
        <v>110.89</v>
      </c>
      <c r="V49" s="32" t="n">
        <v>113.08</v>
      </c>
      <c r="W49" s="32" t="n">
        <v>29.34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27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SKYGOLD</t>
        </is>
      </c>
      <c r="D50" s="31" t="inlineStr">
        <is>
          <t>Sky Gold &amp; Diamonds Ltd</t>
        </is>
      </c>
      <c r="E50" s="31" t="inlineStr">
        <is>
          <t>consumer discretionary</t>
        </is>
      </c>
      <c r="F50" s="31" t="inlineStr">
        <is>
          <t>Diamond, Gems &amp; Jewellery</t>
        </is>
      </c>
      <c r="G50" s="31" t="inlineStr">
        <is>
          <t>midcap</t>
        </is>
      </c>
      <c r="H50" s="32" t="n">
        <v>12513.81</v>
      </c>
      <c r="I50" s="32" t="n">
        <v>808</v>
      </c>
      <c r="J50" s="32" t="n">
        <v>-0.42</v>
      </c>
      <c r="K50" s="32" t="n">
        <v>0</v>
      </c>
      <c r="L50" s="31" t="n">
        <v>94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81.81</v>
      </c>
      <c r="P50" s="32" t="n">
        <v>67.42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-1.03</v>
      </c>
      <c r="U50" s="32" t="n">
        <v>181.83</v>
      </c>
      <c r="V50" s="32" t="n">
        <v>184.76</v>
      </c>
      <c r="W50" s="32" t="n">
        <v>35.96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27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3" t="inlineStr">
        <is>
          <t>DYCL</t>
        </is>
      </c>
      <c r="D51" s="33" t="inlineStr">
        <is>
          <t>Dynamic Cables Ltd</t>
        </is>
      </c>
      <c r="E51" s="31" t="inlineStr">
        <is>
          <t>industrials</t>
        </is>
      </c>
      <c r="F51" s="31" t="inlineStr">
        <is>
          <t>Cables - Power</t>
        </is>
      </c>
      <c r="G51" s="31" t="inlineStr">
        <is>
          <t>smallcap</t>
        </is>
      </c>
      <c r="H51" s="32" t="n">
        <v>2378.83</v>
      </c>
      <c r="I51" s="32" t="n">
        <v>490.9</v>
      </c>
      <c r="J51" s="32" t="n">
        <v>0.68</v>
      </c>
      <c r="K51" s="32" t="n">
        <v>0</v>
      </c>
      <c r="L51" s="31" t="n">
        <v>14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71.12</v>
      </c>
      <c r="P51" s="32" t="n">
        <v>31.89</v>
      </c>
      <c r="Q51" s="32" t="inlineStr"/>
      <c r="R51" s="31" t="inlineStr">
        <is>
          <t>Earnings / Momentum Support</t>
        </is>
      </c>
      <c r="S51" s="31" t="inlineStr">
        <is>
          <t>Nifty Energy</t>
        </is>
      </c>
      <c r="T51" s="32" t="n">
        <v>8.41</v>
      </c>
      <c r="U51" s="32" t="n">
        <v>-17.15</v>
      </c>
      <c r="V51" s="32" t="n">
        <v>-23.57</v>
      </c>
      <c r="W51" s="32" t="n">
        <v>0.62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23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BHAGERIA</t>
        </is>
      </c>
      <c r="D52" s="31" t="inlineStr">
        <is>
          <t>Bhageria Industries Ltd</t>
        </is>
      </c>
      <c r="E52" s="31" t="inlineStr">
        <is>
          <t>chemicals</t>
        </is>
      </c>
      <c r="F52" s="31" t="inlineStr">
        <is>
          <t>Dyes &amp; Pigments</t>
        </is>
      </c>
      <c r="G52" s="31" t="inlineStr">
        <is>
          <t>smallcap</t>
        </is>
      </c>
      <c r="H52" s="32" t="n">
        <v>1094.07</v>
      </c>
      <c r="I52" s="32" t="n">
        <v>250.68</v>
      </c>
      <c r="J52" s="32" t="n">
        <v>5</v>
      </c>
      <c r="K52" s="32" t="n">
        <v>0</v>
      </c>
      <c r="L52" s="31" t="n">
        <v>71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64.45999999999999</v>
      </c>
      <c r="P52" s="32" t="n">
        <v>33.32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-1.03</v>
      </c>
      <c r="U52" s="32" t="n">
        <v>25.45</v>
      </c>
      <c r="V52" s="32" t="n">
        <v>26.75</v>
      </c>
      <c r="W52" s="32" t="n">
        <v>17.31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22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FCL</t>
        </is>
      </c>
      <c r="D53" s="31" t="inlineStr">
        <is>
          <t>Fineotex Chemical Ltd</t>
        </is>
      </c>
      <c r="E53" s="31" t="inlineStr">
        <is>
          <t>chemicals</t>
        </is>
      </c>
      <c r="F53" s="31" t="inlineStr">
        <is>
          <t>Speciality Chemicals</t>
        </is>
      </c>
      <c r="G53" s="31" t="inlineStr">
        <is>
          <t>midcap</t>
        </is>
      </c>
      <c r="H53" s="32" t="n">
        <v>5928.47</v>
      </c>
      <c r="I53" s="32" t="n">
        <v>50.91</v>
      </c>
      <c r="J53" s="32" t="n">
        <v>1.76</v>
      </c>
      <c r="K53" s="32" t="n">
        <v>0</v>
      </c>
      <c r="L53" s="31" t="n">
        <v>85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75.70999999999999</v>
      </c>
      <c r="P53" s="32" t="n">
        <v>49.02</v>
      </c>
      <c r="Q53" s="32" t="inlineStr"/>
      <c r="R53" s="31" t="inlineStr">
        <is>
          <t>Earnings / Momentum Support</t>
        </is>
      </c>
      <c r="S53" s="31" t="inlineStr">
        <is>
          <t>Nifty 50</t>
        </is>
      </c>
      <c r="T53" s="32" t="n">
        <v>-1.03</v>
      </c>
      <c r="U53" s="32" t="n">
        <v>110.84</v>
      </c>
      <c r="V53" s="32" t="n">
        <v>113.03</v>
      </c>
      <c r="W53" s="32" t="n">
        <v>23.89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NYKAA</t>
        </is>
      </c>
      <c r="D54" s="31" t="inlineStr">
        <is>
          <t>FSN E-Commerce Ventures Ltd</t>
        </is>
      </c>
      <c r="E54" s="31" t="inlineStr">
        <is>
          <t>i.t</t>
        </is>
      </c>
      <c r="F54" s="31" t="inlineStr">
        <is>
          <t>New age - Platform - E-Retail</t>
        </is>
      </c>
      <c r="G54" s="31" t="inlineStr">
        <is>
          <t>largecap</t>
        </is>
      </c>
      <c r="H54" s="32" t="n">
        <v>100115.1</v>
      </c>
      <c r="I54" s="32" t="n">
        <v>349.55</v>
      </c>
      <c r="J54" s="32" t="n">
        <v>4.14</v>
      </c>
      <c r="K54" s="32" t="n">
        <v>0</v>
      </c>
      <c r="L54" s="31" t="n">
        <v>64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72.16</v>
      </c>
      <c r="P54" s="32" t="n">
        <v>48.2</v>
      </c>
      <c r="Q54" s="32" t="inlineStr"/>
      <c r="R54" s="31" t="inlineStr">
        <is>
          <t>Earnings / Momentum Support</t>
        </is>
      </c>
      <c r="S54" s="31" t="inlineStr">
        <is>
          <t>Nifty IT</t>
        </is>
      </c>
      <c r="T54" s="32" t="n">
        <v>-11.08</v>
      </c>
      <c r="U54" s="32" t="n">
        <v>45.84</v>
      </c>
      <c r="V54" s="32" t="n">
        <v>64.02</v>
      </c>
      <c r="W54" s="32" t="n">
        <v>14.04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21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CYIENTDLM</t>
        </is>
      </c>
      <c r="D55" s="31" t="inlineStr">
        <is>
          <t>Cyient DLM Ltd</t>
        </is>
      </c>
      <c r="E55" s="31" t="inlineStr">
        <is>
          <t>aerospace &amp; defence</t>
        </is>
      </c>
      <c r="F55" s="31" t="inlineStr">
        <is>
          <t>Consumer Electronics - EMS</t>
        </is>
      </c>
      <c r="G55" s="31" t="inlineStr">
        <is>
          <t>midcap</t>
        </is>
      </c>
      <c r="H55" s="32" t="n">
        <v>6715.04</v>
      </c>
      <c r="I55" s="32" t="n">
        <v>845.9</v>
      </c>
      <c r="J55" s="32" t="n">
        <v>3.27</v>
      </c>
      <c r="K55" s="32" t="n">
        <v>0</v>
      </c>
      <c r="L55" s="31" t="n">
        <v>80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89.08</v>
      </c>
      <c r="P55" s="32" t="n">
        <v>70.43000000000001</v>
      </c>
      <c r="Q55" s="32" t="inlineStr"/>
      <c r="R55" s="31" t="inlineStr">
        <is>
          <t>Earnings / Momentum Support</t>
        </is>
      </c>
      <c r="S55" s="31" t="inlineStr">
        <is>
          <t>Nifty Infra</t>
        </is>
      </c>
      <c r="T55" s="32" t="n">
        <v>1.74</v>
      </c>
      <c r="U55" s="32" t="n">
        <v>20.92</v>
      </c>
      <c r="V55" s="32" t="n">
        <v>18.85</v>
      </c>
      <c r="W55" s="32" t="n">
        <v>21.45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NEULANDLAB</t>
        </is>
      </c>
      <c r="D56" s="31" t="inlineStr">
        <is>
          <t>Neuland Laboratories Ltd</t>
        </is>
      </c>
      <c r="E56" s="31" t="inlineStr">
        <is>
          <t>healthcare</t>
        </is>
      </c>
      <c r="F56" s="31" t="inlineStr">
        <is>
          <t>Pharma - API &amp; CRAMS</t>
        </is>
      </c>
      <c r="G56" s="31" t="inlineStr">
        <is>
          <t>largecap</t>
        </is>
      </c>
      <c r="H56" s="32" t="n">
        <v>29490.78</v>
      </c>
      <c r="I56" s="32" t="n">
        <v>22986</v>
      </c>
      <c r="J56" s="32" t="n">
        <v>-0.9399999999999999</v>
      </c>
      <c r="K56" s="32" t="n">
        <v>0</v>
      </c>
      <c r="L56" s="31" t="n">
        <v>80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76.66</v>
      </c>
      <c r="P56" s="32" t="n">
        <v>57.23</v>
      </c>
      <c r="Q56" s="32" t="inlineStr"/>
      <c r="R56" s="31" t="inlineStr">
        <is>
          <t>Earnings / Momentum Support</t>
        </is>
      </c>
      <c r="S56" s="31" t="inlineStr">
        <is>
          <t>Nifty Pharma</t>
        </is>
      </c>
      <c r="T56" s="32" t="n">
        <v>23.79</v>
      </c>
      <c r="U56" s="32" t="n">
        <v>72.78</v>
      </c>
      <c r="V56" s="32" t="n">
        <v>39.57</v>
      </c>
      <c r="W56" s="32" t="n">
        <v>21.6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21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TVSSRICHAK</t>
        </is>
      </c>
      <c r="D57" s="31" t="inlineStr">
        <is>
          <t>TVS Srichakra Ltd</t>
        </is>
      </c>
      <c r="E57" s="31" t="inlineStr">
        <is>
          <t>auto</t>
        </is>
      </c>
      <c r="F57" s="31" t="inlineStr">
        <is>
          <t>Tyres &amp; Tubes</t>
        </is>
      </c>
      <c r="G57" s="31" t="inlineStr">
        <is>
          <t>smallcap</t>
        </is>
      </c>
      <c r="H57" s="32" t="n">
        <v>4196.06</v>
      </c>
      <c r="I57" s="32" t="n">
        <v>5480</v>
      </c>
      <c r="J57" s="32" t="n">
        <v>3.55</v>
      </c>
      <c r="K57" s="32" t="n">
        <v>0</v>
      </c>
      <c r="L57" s="31" t="n">
        <v>41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74.92</v>
      </c>
      <c r="P57" s="32" t="n">
        <v>28.88</v>
      </c>
      <c r="Q57" s="32" t="inlineStr"/>
      <c r="R57" s="31" t="inlineStr">
        <is>
          <t>Earnings / Momentum Support</t>
        </is>
      </c>
      <c r="S57" s="31" t="inlineStr">
        <is>
          <t>Nifty Auto</t>
        </is>
      </c>
      <c r="T57" s="32" t="n">
        <v>13.41</v>
      </c>
      <c r="U57" s="32" t="n">
        <v>30.29</v>
      </c>
      <c r="V57" s="32" t="n">
        <v>14.88</v>
      </c>
      <c r="W57" s="32" t="n">
        <v>7.03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27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THELEELA</t>
        </is>
      </c>
      <c r="D58" s="31" t="inlineStr">
        <is>
          <t>Leela Palaces Hotels &amp; Resorts Ltd</t>
        </is>
      </c>
      <c r="E58" s="31" t="inlineStr">
        <is>
          <t>services</t>
        </is>
      </c>
      <c r="F58" s="31" t="inlineStr">
        <is>
          <t>Hotels</t>
        </is>
      </c>
      <c r="G58" s="31" t="inlineStr">
        <is>
          <t>midcap</t>
        </is>
      </c>
      <c r="H58" s="32" t="n">
        <v>19074</v>
      </c>
      <c r="I58" s="32" t="n">
        <v>571.15</v>
      </c>
      <c r="J58" s="32" t="n">
        <v>2.86</v>
      </c>
      <c r="K58" s="32" t="n">
        <v>0</v>
      </c>
      <c r="L58" s="31" t="n">
        <v>66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68.84999999999999</v>
      </c>
      <c r="P58" s="32" t="n">
        <v>37.49</v>
      </c>
      <c r="Q58" s="32" t="inlineStr"/>
      <c r="R58" s="31" t="inlineStr">
        <is>
          <t>Earnings / Momentum Support</t>
        </is>
      </c>
      <c r="S58" s="31" t="inlineStr">
        <is>
          <t>Nifty 50</t>
        </is>
      </c>
      <c r="T58" s="32" t="n">
        <v>-1.03</v>
      </c>
      <c r="U58" s="32" t="n">
        <v>39</v>
      </c>
      <c r="V58" s="32" t="n">
        <v>40.45</v>
      </c>
      <c r="W58" s="32" t="n">
        <v>14.6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23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KRISHANA</t>
        </is>
      </c>
      <c r="D59" s="31" t="inlineStr">
        <is>
          <t>Krishana Phoschem Ltd</t>
        </is>
      </c>
      <c r="E59" s="31" t="inlineStr">
        <is>
          <t>chemicals</t>
        </is>
      </c>
      <c r="F59" s="31" t="inlineStr">
        <is>
          <t>Fertilisers</t>
        </is>
      </c>
      <c r="G59" s="31" t="inlineStr">
        <is>
          <t>midcap</t>
        </is>
      </c>
      <c r="H59" s="32" t="n">
        <v>5873.62</v>
      </c>
      <c r="I59" s="32" t="n">
        <v>190</v>
      </c>
      <c r="J59" s="32" t="n">
        <v>-1.51</v>
      </c>
      <c r="K59" s="32" t="n">
        <v>0</v>
      </c>
      <c r="L59" s="31" t="n">
        <v>81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75.16</v>
      </c>
      <c r="P59" s="32" t="n">
        <v>52.35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-1.03</v>
      </c>
      <c r="U59" s="32" t="n">
        <v>67.09999999999999</v>
      </c>
      <c r="V59" s="32" t="n">
        <v>68.84</v>
      </c>
      <c r="W59" s="32" t="n">
        <v>22.06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More than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22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ACMESOLAR</t>
        </is>
      </c>
      <c r="D60" s="31" t="inlineStr">
        <is>
          <t>ACME Solar Holdings Ltd</t>
        </is>
      </c>
      <c r="E60" s="31" t="inlineStr">
        <is>
          <t>realty</t>
        </is>
      </c>
      <c r="F60" s="31" t="inlineStr">
        <is>
          <t>Engineering - Turnkey Services</t>
        </is>
      </c>
      <c r="G60" s="31" t="inlineStr">
        <is>
          <t>largecap</t>
        </is>
      </c>
      <c r="H60" s="32" t="n">
        <v>28840.47</v>
      </c>
      <c r="I60" s="32" t="n">
        <v>408</v>
      </c>
      <c r="J60" s="32" t="n">
        <v>3.63</v>
      </c>
      <c r="K60" s="32" t="n">
        <v>0</v>
      </c>
      <c r="L60" s="31" t="n">
        <v>66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67.72</v>
      </c>
      <c r="P60" s="32" t="n">
        <v>46.52</v>
      </c>
      <c r="Q60" s="32" t="inlineStr"/>
      <c r="R60" s="31" t="inlineStr">
        <is>
          <t>Earnings / Momentum Support</t>
        </is>
      </c>
      <c r="S60" s="31" t="inlineStr">
        <is>
          <t>Nifty Realty</t>
        </is>
      </c>
      <c r="T60" s="32" t="n">
        <v>-8.119999999999999</v>
      </c>
      <c r="U60" s="32" t="n">
        <v>39.94</v>
      </c>
      <c r="V60" s="32" t="n">
        <v>52.31</v>
      </c>
      <c r="W60" s="32" t="n">
        <v>14.48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More than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22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UNIVCABLES</t>
        </is>
      </c>
      <c r="D61" s="31" t="inlineStr">
        <is>
          <t>Universal Cables Ltd</t>
        </is>
      </c>
      <c r="E61" s="31" t="inlineStr">
        <is>
          <t>industrials</t>
        </is>
      </c>
      <c r="F61" s="31" t="inlineStr">
        <is>
          <t>Cables - Power</t>
        </is>
      </c>
      <c r="G61" s="31" t="inlineStr">
        <is>
          <t>midcap</t>
        </is>
      </c>
      <c r="H61" s="32" t="n">
        <v>5741.74</v>
      </c>
      <c r="I61" s="32" t="n">
        <v>1654.9</v>
      </c>
      <c r="J61" s="32" t="n">
        <v>-2.26</v>
      </c>
      <c r="K61" s="32" t="n">
        <v>0</v>
      </c>
      <c r="L61" s="31" t="n">
        <v>72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75.56999999999999</v>
      </c>
      <c r="P61" s="32" t="n">
        <v>60.65</v>
      </c>
      <c r="Q61" s="32" t="inlineStr"/>
      <c r="R61" s="31" t="inlineStr">
        <is>
          <t>Earnings / Momentum Support</t>
        </is>
      </c>
      <c r="S61" s="31" t="inlineStr">
        <is>
          <t>Nifty Energy</t>
        </is>
      </c>
      <c r="T61" s="32" t="n">
        <v>8.41</v>
      </c>
      <c r="U61" s="32" t="n">
        <v>52.2</v>
      </c>
      <c r="V61" s="32" t="n">
        <v>40.4</v>
      </c>
      <c r="W61" s="32" t="n">
        <v>17.73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21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BHEL</t>
        </is>
      </c>
      <c r="D62" s="31" t="inlineStr">
        <is>
          <t>Bharat Heavy Electricals Ltd</t>
        </is>
      </c>
      <c r="E62" s="31" t="inlineStr">
        <is>
          <t>industrials</t>
        </is>
      </c>
      <c r="F62" s="31" t="inlineStr">
        <is>
          <t>Capital Goods - Engineering Heavy</t>
        </is>
      </c>
      <c r="G62" s="31" t="inlineStr">
        <is>
          <t>largecap</t>
        </is>
      </c>
      <c r="H62" s="32" t="n">
        <v>154133.53</v>
      </c>
      <c r="I62" s="32" t="n">
        <v>442.65</v>
      </c>
      <c r="J62" s="32" t="n">
        <v>2.74</v>
      </c>
      <c r="K62" s="32" t="n">
        <v>0</v>
      </c>
      <c r="L62" s="31" t="n">
        <v>76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66.06999999999999</v>
      </c>
      <c r="P62" s="32" t="n">
        <v>36.88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-1.03</v>
      </c>
      <c r="U62" s="32" t="n">
        <v>107.8</v>
      </c>
      <c r="V62" s="32" t="n">
        <v>109.96</v>
      </c>
      <c r="W62" s="32" t="n">
        <v>19.13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21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CRAFTSMAN</t>
        </is>
      </c>
      <c r="D63" s="31" t="inlineStr">
        <is>
          <t>Craftsman Automation Ltd</t>
        </is>
      </c>
      <c r="E63" s="31" t="inlineStr">
        <is>
          <t>auto</t>
        </is>
      </c>
      <c r="F63" s="31" t="inlineStr">
        <is>
          <t>Auto &amp; Auto Ancl - CV</t>
        </is>
      </c>
      <c r="G63" s="31" t="inlineStr">
        <is>
          <t>largecap</t>
        </is>
      </c>
      <c r="H63" s="32" t="n">
        <v>29890.59</v>
      </c>
      <c r="I63" s="32" t="n">
        <v>11428.5</v>
      </c>
      <c r="J63" s="32" t="n">
        <v>2.79</v>
      </c>
      <c r="K63" s="32" t="n">
        <v>0</v>
      </c>
      <c r="L63" s="31" t="n">
        <v>57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72.90000000000001</v>
      </c>
      <c r="P63" s="32" t="n">
        <v>65.77</v>
      </c>
      <c r="Q63" s="32" t="inlineStr"/>
      <c r="R63" s="31" t="inlineStr">
        <is>
          <t>Earnings / Momentum Support</t>
        </is>
      </c>
      <c r="S63" s="31" t="inlineStr">
        <is>
          <t>Nifty Auto</t>
        </is>
      </c>
      <c r="T63" s="32" t="n">
        <v>13.41</v>
      </c>
      <c r="U63" s="32" t="n">
        <v>42.38</v>
      </c>
      <c r="V63" s="32" t="n">
        <v>25.54</v>
      </c>
      <c r="W63" s="32" t="n">
        <v>11.32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3" t="inlineStr">
        <is>
          <t>OMAXE</t>
        </is>
      </c>
      <c r="D64" s="33" t="inlineStr">
        <is>
          <t>Omaxe Ltd</t>
        </is>
      </c>
      <c r="E64" s="31" t="inlineStr">
        <is>
          <t>realty</t>
        </is>
      </c>
      <c r="F64" s="31" t="inlineStr">
        <is>
          <t>Realty - Construction &amp; Contracting</t>
        </is>
      </c>
      <c r="G64" s="31" t="inlineStr">
        <is>
          <t>smallcap</t>
        </is>
      </c>
      <c r="H64" s="32" t="n">
        <v>2322.84</v>
      </c>
      <c r="I64" s="32" t="n">
        <v>127</v>
      </c>
      <c r="J64" s="32" t="n">
        <v>-3.6</v>
      </c>
      <c r="K64" s="32" t="n">
        <v>0</v>
      </c>
      <c r="L64" s="31" t="n">
        <v>20</v>
      </c>
      <c r="M64" s="31" t="inlineStr">
        <is>
          <t>Underperforming</t>
        </is>
      </c>
      <c r="N64" s="32">
        <f>IF(M64="Underperforming",-5,IF(L64&gt;=95,15,IF(L64&gt;=90,10,IF(L64&gt;=80,5,0))))</f>
        <v/>
      </c>
      <c r="O64" s="32" t="n">
        <v>80.03</v>
      </c>
      <c r="P64" s="32" t="n">
        <v>35.41</v>
      </c>
      <c r="Q64" s="32" t="inlineStr"/>
      <c r="R64" s="31" t="inlineStr">
        <is>
          <t>Earnings / Momentum Support</t>
        </is>
      </c>
      <c r="S64" s="31" t="inlineStr">
        <is>
          <t>Nifty Realty</t>
        </is>
      </c>
      <c r="T64" s="32" t="n">
        <v>-8.119999999999999</v>
      </c>
      <c r="U64" s="32" t="n">
        <v>-11.01</v>
      </c>
      <c r="V64" s="32" t="n">
        <v>-3.15</v>
      </c>
      <c r="W64" s="32" t="n">
        <v>2.25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RRKABEL</t>
        </is>
      </c>
      <c r="D65" s="31" t="inlineStr">
        <is>
          <t>R R Kabel Ltd</t>
        </is>
      </c>
      <c r="E65" s="31" t="inlineStr">
        <is>
          <t>industrials</t>
        </is>
      </c>
      <c r="F65" s="31" t="inlineStr">
        <is>
          <t>Cables - Power</t>
        </is>
      </c>
      <c r="G65" s="31" t="inlineStr">
        <is>
          <t>largecap</t>
        </is>
      </c>
      <c r="H65" s="32" t="n">
        <v>33161.4</v>
      </c>
      <c r="I65" s="32" t="n">
        <v>2931.9</v>
      </c>
      <c r="J65" s="32" t="n">
        <v>0.92</v>
      </c>
      <c r="K65" s="32" t="n">
        <v>0</v>
      </c>
      <c r="L65" s="31" t="n">
        <v>82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78.66</v>
      </c>
      <c r="P65" s="32" t="n">
        <v>69.34</v>
      </c>
      <c r="Q65" s="32" t="inlineStr"/>
      <c r="R65" s="31" t="inlineStr">
        <is>
          <t>Earnings / Momentum Support</t>
        </is>
      </c>
      <c r="S65" s="31" t="inlineStr">
        <is>
          <t>Nifty Energy</t>
        </is>
      </c>
      <c r="T65" s="32" t="n">
        <v>8.41</v>
      </c>
      <c r="U65" s="32" t="n">
        <v>56.69</v>
      </c>
      <c r="V65" s="32" t="n">
        <v>44.54</v>
      </c>
      <c r="W65" s="32" t="n">
        <v>22.92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COFORGE</t>
        </is>
      </c>
      <c r="D66" s="31" t="inlineStr">
        <is>
          <t>Coforge Ltd</t>
        </is>
      </c>
      <c r="E66" s="31" t="inlineStr">
        <is>
          <t>i.t</t>
        </is>
      </c>
      <c r="F66" s="31" t="inlineStr">
        <is>
          <t>IT - Software</t>
        </is>
      </c>
      <c r="G66" s="31" t="inlineStr">
        <is>
          <t>largecap</t>
        </is>
      </c>
      <c r="H66" s="32" t="n">
        <v>87933.00999999999</v>
      </c>
      <c r="I66" s="32" t="n">
        <v>1985.3</v>
      </c>
      <c r="J66" s="32" t="n">
        <v>-1.45</v>
      </c>
      <c r="K66" s="32" t="n">
        <v>0</v>
      </c>
      <c r="L66" s="31" t="n">
        <v>69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74.17</v>
      </c>
      <c r="P66" s="32" t="n">
        <v>19.65</v>
      </c>
      <c r="Q66" s="32" t="inlineStr"/>
      <c r="R66" s="31" t="inlineStr">
        <is>
          <t>Earnings / Momentum Support</t>
        </is>
      </c>
      <c r="S66" s="31" t="inlineStr">
        <is>
          <t>Nifty IT</t>
        </is>
      </c>
      <c r="T66" s="32" t="n">
        <v>-11.08</v>
      </c>
      <c r="U66" s="32" t="n">
        <v>17.92</v>
      </c>
      <c r="V66" s="32" t="n">
        <v>32.62</v>
      </c>
      <c r="W66" s="32" t="n">
        <v>15.56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0 to 20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BODALCHEM</t>
        </is>
      </c>
      <c r="D67" s="31" t="inlineStr">
        <is>
          <t>Bodal Chemicals Ltd</t>
        </is>
      </c>
      <c r="E67" s="31" t="inlineStr">
        <is>
          <t>chemicals</t>
        </is>
      </c>
      <c r="F67" s="31" t="inlineStr">
        <is>
          <t>Dyes &amp; Pigments</t>
        </is>
      </c>
      <c r="G67" s="31" t="inlineStr">
        <is>
          <t>smallcap</t>
        </is>
      </c>
      <c r="H67" s="32" t="n">
        <v>1497.35</v>
      </c>
      <c r="I67" s="32" t="n">
        <v>118.89</v>
      </c>
      <c r="J67" s="32" t="n">
        <v>19.99</v>
      </c>
      <c r="K67" s="32" t="n">
        <v>0</v>
      </c>
      <c r="L67" s="31" t="n">
        <v>78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75.34999999999999</v>
      </c>
      <c r="P67" s="32" t="n">
        <v>34.79</v>
      </c>
      <c r="Q67" s="32" t="inlineStr"/>
      <c r="R67" s="31" t="inlineStr">
        <is>
          <t>Volume Spike / Accumulation</t>
        </is>
      </c>
      <c r="S67" s="31" t="inlineStr">
        <is>
          <t>Nifty IT</t>
        </is>
      </c>
      <c r="T67" s="32" t="n">
        <v>-11.08</v>
      </c>
      <c r="U67" s="32" t="n">
        <v>53.21</v>
      </c>
      <c r="V67" s="32" t="n">
        <v>72.31</v>
      </c>
      <c r="W67" s="32" t="n">
        <v>20.21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26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CHENNPETRO</t>
        </is>
      </c>
      <c r="D68" s="31" t="inlineStr">
        <is>
          <t>Chennai Petroleum Corporation Ltd</t>
        </is>
      </c>
      <c r="E68" s="31" t="inlineStr">
        <is>
          <t>Energy</t>
        </is>
      </c>
      <c r="F68" s="31" t="inlineStr">
        <is>
          <t>Refineries</t>
        </is>
      </c>
      <c r="G68" s="31" t="inlineStr">
        <is>
          <t>largecap</t>
        </is>
      </c>
      <c r="H68" s="32" t="n">
        <v>20341.3</v>
      </c>
      <c r="I68" s="32" t="n">
        <v>1366</v>
      </c>
      <c r="J68" s="32" t="n">
        <v>1.86</v>
      </c>
      <c r="K68" s="32" t="n">
        <v>0</v>
      </c>
      <c r="L68" s="31" t="n">
        <v>61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69.48</v>
      </c>
      <c r="P68" s="32" t="n">
        <v>56.54</v>
      </c>
      <c r="Q68" s="32" t="inlineStr"/>
      <c r="R68" s="31" t="inlineStr">
        <is>
          <t>Earnings / Momentum Support</t>
        </is>
      </c>
      <c r="S68" s="31" t="inlineStr">
        <is>
          <t>Nifty Energy</t>
        </is>
      </c>
      <c r="T68" s="32" t="n">
        <v>8.41</v>
      </c>
      <c r="U68" s="32" t="n">
        <v>56.41</v>
      </c>
      <c r="V68" s="32" t="n">
        <v>44.28</v>
      </c>
      <c r="W68" s="32" t="n">
        <v>12.99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Oligopoly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23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STLTECH</t>
        </is>
      </c>
      <c r="D69" s="31" t="inlineStr">
        <is>
          <t>Sterlite Technologies Ltd</t>
        </is>
      </c>
      <c r="E69" s="31" t="inlineStr">
        <is>
          <t>industrials</t>
        </is>
      </c>
      <c r="F69" s="31" t="inlineStr">
        <is>
          <t>Cables - Telecom</t>
        </is>
      </c>
      <c r="G69" s="31" t="inlineStr">
        <is>
          <t>largecap</t>
        </is>
      </c>
      <c r="H69" s="32" t="n">
        <v>37464.13</v>
      </c>
      <c r="I69" s="32" t="n">
        <v>729</v>
      </c>
      <c r="J69" s="32" t="n">
        <v>0.73</v>
      </c>
      <c r="K69" s="32" t="n">
        <v>0</v>
      </c>
      <c r="L69" s="31" t="n">
        <v>99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76.33</v>
      </c>
      <c r="P69" s="32" t="n">
        <v>75.48999999999999</v>
      </c>
      <c r="Q69" s="32" t="inlineStr"/>
      <c r="R69" s="31" t="inlineStr">
        <is>
          <t>Earnings / Momentum Support</t>
        </is>
      </c>
      <c r="S69" s="31" t="inlineStr">
        <is>
          <t>Nifty Infra</t>
        </is>
      </c>
      <c r="T69" s="32" t="n">
        <v>1.74</v>
      </c>
      <c r="U69" s="32" t="n">
        <v>350.72</v>
      </c>
      <c r="V69" s="32" t="n">
        <v>343.01</v>
      </c>
      <c r="W69" s="32" t="n">
        <v>71.36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23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PTCIL</t>
        </is>
      </c>
      <c r="D70" s="31" t="inlineStr">
        <is>
          <t>PTC Industries Ltd</t>
        </is>
      </c>
      <c r="E70" s="31" t="inlineStr">
        <is>
          <t>industrials</t>
        </is>
      </c>
      <c r="F70" s="31" t="inlineStr">
        <is>
          <t>Castings - Steel/Alloy</t>
        </is>
      </c>
      <c r="G70" s="31" t="inlineStr">
        <is>
          <t>largecap</t>
        </is>
      </c>
      <c r="H70" s="32" t="n">
        <v>32833.68</v>
      </c>
      <c r="I70" s="32" t="n">
        <v>21900</v>
      </c>
      <c r="J70" s="32" t="n">
        <v>-0.95</v>
      </c>
      <c r="K70" s="32" t="n">
        <v>0</v>
      </c>
      <c r="L70" s="31" t="n">
        <v>74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73.97</v>
      </c>
      <c r="P70" s="32" t="n">
        <v>29.89</v>
      </c>
      <c r="Q70" s="32" t="inlineStr"/>
      <c r="R70" s="31" t="inlineStr">
        <is>
          <t>Earnings / Momentum Support</t>
        </is>
      </c>
      <c r="S70" s="31" t="inlineStr">
        <is>
          <t>Nifty 50</t>
        </is>
      </c>
      <c r="T70" s="32" t="n">
        <v>-1.03</v>
      </c>
      <c r="U70" s="32" t="n">
        <v>57.8</v>
      </c>
      <c r="V70" s="32" t="n">
        <v>59.44</v>
      </c>
      <c r="W70" s="32" t="n">
        <v>18.36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22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3" t="inlineStr">
        <is>
          <t>AEROENTER</t>
        </is>
      </c>
      <c r="D71" s="33" t="inlineStr">
        <is>
          <t>Aeroflex Enterprises Ltd</t>
        </is>
      </c>
      <c r="E71" s="31" t="inlineStr">
        <is>
          <t>metals &amp; mining</t>
        </is>
      </c>
      <c r="F71" s="31" t="inlineStr">
        <is>
          <t>Miscellaneous</t>
        </is>
      </c>
      <c r="G71" s="31" t="inlineStr">
        <is>
          <t>smallcap</t>
        </is>
      </c>
      <c r="H71" s="32" t="n">
        <v>1559.4</v>
      </c>
      <c r="I71" s="32" t="n">
        <v>137.8</v>
      </c>
      <c r="J71" s="32" t="n">
        <v>-5.8</v>
      </c>
      <c r="K71" s="32" t="n">
        <v>0</v>
      </c>
      <c r="L71" s="31" t="n">
        <v>48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69.25</v>
      </c>
      <c r="P71" s="32" t="n">
        <v>53.07</v>
      </c>
      <c r="Q71" s="32" t="inlineStr"/>
      <c r="R71" s="31" t="inlineStr">
        <is>
          <t>Earnings / Momentum Support</t>
        </is>
      </c>
      <c r="S71" s="31" t="inlineStr">
        <is>
          <t>Nifty Metal</t>
        </is>
      </c>
      <c r="T71" s="32" t="n">
        <v>31.49</v>
      </c>
      <c r="U71" s="32" t="n">
        <v>6.38</v>
      </c>
      <c r="V71" s="32" t="n">
        <v>-19.1</v>
      </c>
      <c r="W71" s="32" t="n">
        <v>8.710000000000001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22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PRECWIRE</t>
        </is>
      </c>
      <c r="D72" s="31" t="inlineStr">
        <is>
          <t>Precision Wires India Ltd</t>
        </is>
      </c>
      <c r="E72" s="31" t="inlineStr">
        <is>
          <t>metals &amp; mining</t>
        </is>
      </c>
      <c r="F72" s="31" t="inlineStr">
        <is>
          <t>Copper Wires</t>
        </is>
      </c>
      <c r="G72" s="31" t="inlineStr">
        <is>
          <t>midcap</t>
        </is>
      </c>
      <c r="H72" s="32" t="n">
        <v>9231.799999999999</v>
      </c>
      <c r="I72" s="32" t="n">
        <v>505</v>
      </c>
      <c r="J72" s="32" t="n">
        <v>-0.46</v>
      </c>
      <c r="K72" s="32" t="n">
        <v>0</v>
      </c>
      <c r="L72" s="31" t="n">
        <v>68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70.8</v>
      </c>
      <c r="P72" s="32" t="n">
        <v>41.7</v>
      </c>
      <c r="Q72" s="32" t="inlineStr"/>
      <c r="R72" s="31" t="inlineStr">
        <is>
          <t>Earnings / Momentum Support</t>
        </is>
      </c>
      <c r="S72" s="31" t="inlineStr">
        <is>
          <t>Nifty Metal</t>
        </is>
      </c>
      <c r="T72" s="32" t="n">
        <v>31.49</v>
      </c>
      <c r="U72" s="32" t="n">
        <v>90.40000000000001</v>
      </c>
      <c r="V72" s="32" t="n">
        <v>44.8</v>
      </c>
      <c r="W72" s="32" t="n">
        <v>15.49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21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3" t="inlineStr">
        <is>
          <t>BOSCH-HCIL</t>
        </is>
      </c>
      <c r="D73" s="33" t="inlineStr">
        <is>
          <t>Bosch Home Comfort India Ltd</t>
        </is>
      </c>
      <c r="E73" s="31" t="inlineStr">
        <is>
          <t>consumer discretionary</t>
        </is>
      </c>
      <c r="F73" s="31" t="inlineStr">
        <is>
          <t>Consumer Electronics</t>
        </is>
      </c>
      <c r="G73" s="31" t="inlineStr">
        <is>
          <t>smallcap</t>
        </is>
      </c>
      <c r="H73" s="32" t="n">
        <v>4717.62</v>
      </c>
      <c r="I73" s="32" t="n">
        <v>1735</v>
      </c>
      <c r="J73" s="32" t="n">
        <v>2.35</v>
      </c>
      <c r="K73" s="32" t="n">
        <v>0</v>
      </c>
      <c r="L73" s="31" t="n">
        <v>28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66.67</v>
      </c>
      <c r="P73" s="32" t="n">
        <v>23.89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-1.03</v>
      </c>
      <c r="U73" s="32" t="n">
        <v>-2.05</v>
      </c>
      <c r="V73" s="32" t="n">
        <v>-1.03</v>
      </c>
      <c r="W73" s="32" t="n">
        <v>4.5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21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KABRAEXTRU</t>
        </is>
      </c>
      <c r="D74" s="31" t="inlineStr">
        <is>
          <t>Kabra Extrusion Technik Ltd</t>
        </is>
      </c>
      <c r="E74" s="31" t="inlineStr">
        <is>
          <t>industrials</t>
        </is>
      </c>
      <c r="F74" s="31" t="inlineStr">
        <is>
          <t>Capital Goods - Engineering Heavy</t>
        </is>
      </c>
      <c r="G74" s="31" t="inlineStr">
        <is>
          <t>smallcap</t>
        </is>
      </c>
      <c r="H74" s="32" t="n">
        <v>2105.36</v>
      </c>
      <c r="I74" s="32" t="n">
        <v>602</v>
      </c>
      <c r="J74" s="32" t="n">
        <v>-0.25</v>
      </c>
      <c r="K74" s="32" t="n">
        <v>0</v>
      </c>
      <c r="L74" s="31" t="n">
        <v>57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89.84999999999999</v>
      </c>
      <c r="P74" s="32" t="n">
        <v>51.05</v>
      </c>
      <c r="Q74" s="32" t="inlineStr"/>
      <c r="R74" s="31" t="inlineStr">
        <is>
          <t>Earnings / Momentum Support</t>
        </is>
      </c>
      <c r="S74" s="31" t="inlineStr">
        <is>
          <t>Nifty Infra</t>
        </is>
      </c>
      <c r="T74" s="32" t="n">
        <v>1.74</v>
      </c>
      <c r="U74" s="32" t="n">
        <v>6.76</v>
      </c>
      <c r="V74" s="32" t="n">
        <v>4.94</v>
      </c>
      <c r="W74" s="32" t="n">
        <v>11.12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GANDHAR</t>
        </is>
      </c>
      <c r="D75" s="31" t="inlineStr">
        <is>
          <t>Gandhar Oil Refinery (India) Ltd</t>
        </is>
      </c>
      <c r="E75" s="31" t="inlineStr">
        <is>
          <t>energy</t>
        </is>
      </c>
      <c r="F75" s="31" t="inlineStr">
        <is>
          <t>Refineries</t>
        </is>
      </c>
      <c r="G75" s="31" t="inlineStr">
        <is>
          <t>smallcap</t>
        </is>
      </c>
      <c r="H75" s="32" t="n">
        <v>2524.31</v>
      </c>
      <c r="I75" s="32" t="n">
        <v>257.9</v>
      </c>
      <c r="J75" s="32" t="n">
        <v>0.5600000000000001</v>
      </c>
      <c r="K75" s="32" t="n">
        <v>0</v>
      </c>
      <c r="L75" s="31" t="n">
        <v>66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68.12</v>
      </c>
      <c r="P75" s="32" t="n">
        <v>70.64</v>
      </c>
      <c r="Q75" s="32" t="inlineStr"/>
      <c r="R75" s="31" t="inlineStr">
        <is>
          <t>Earnings / Momentum Support</t>
        </is>
      </c>
      <c r="S75" s="31" t="inlineStr">
        <is>
          <t>Nifty Energy</t>
        </is>
      </c>
      <c r="T75" s="32" t="n">
        <v>8.41</v>
      </c>
      <c r="U75" s="32" t="n">
        <v>24.11</v>
      </c>
      <c r="V75" s="32" t="n">
        <v>14.48</v>
      </c>
      <c r="W75" s="32" t="n">
        <v>14.4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KAPSTON</t>
        </is>
      </c>
      <c r="D76" s="31" t="inlineStr">
        <is>
          <t>Kapston Services Ltd</t>
        </is>
      </c>
      <c r="E76" s="31" t="inlineStr">
        <is>
          <t>miscellaneous</t>
        </is>
      </c>
      <c r="F76" s="31" t="inlineStr">
        <is>
          <t>Services - Others</t>
        </is>
      </c>
      <c r="G76" s="31" t="inlineStr">
        <is>
          <t>smallcap</t>
        </is>
      </c>
      <c r="H76" s="32" t="n">
        <v>1795.5</v>
      </c>
      <c r="I76" s="32" t="n">
        <v>590</v>
      </c>
      <c r="J76" s="32" t="n">
        <v>5.51</v>
      </c>
      <c r="K76" s="32" t="n">
        <v>0</v>
      </c>
      <c r="L76" s="31" t="n">
        <v>93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72.55</v>
      </c>
      <c r="P76" s="32" t="n">
        <v>36.1</v>
      </c>
      <c r="Q76" s="32" t="inlineStr"/>
      <c r="R76" s="31" t="inlineStr">
        <is>
          <t>Earnings / Momentum Support</t>
        </is>
      </c>
      <c r="S76" s="31" t="inlineStr">
        <is>
          <t>Nifty 50</t>
        </is>
      </c>
      <c r="T76" s="32" t="n">
        <v>-1.03</v>
      </c>
      <c r="U76" s="32" t="n">
        <v>130.91</v>
      </c>
      <c r="V76" s="32" t="n">
        <v>133.31</v>
      </c>
      <c r="W76" s="32" t="n">
        <v>33.15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Between 1.5 to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More than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20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ENTERO</t>
        </is>
      </c>
      <c r="D77" s="31" t="inlineStr">
        <is>
          <t>Entero Healthcare Solutions Ltd</t>
        </is>
      </c>
      <c r="E77" s="31" t="inlineStr">
        <is>
          <t>healthcare</t>
        </is>
      </c>
      <c r="F77" s="31" t="inlineStr">
        <is>
          <t>Pharmacy Distribution</t>
        </is>
      </c>
      <c r="G77" s="31" t="inlineStr">
        <is>
          <t>midcap</t>
        </is>
      </c>
      <c r="H77" s="32" t="n">
        <v>7835.02</v>
      </c>
      <c r="I77" s="32" t="n">
        <v>1800.2</v>
      </c>
      <c r="J77" s="32" t="n">
        <v>-0.46</v>
      </c>
      <c r="K77" s="32" t="n">
        <v>0</v>
      </c>
      <c r="L77" s="31" t="n">
        <v>79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77.91</v>
      </c>
      <c r="P77" s="32" t="n">
        <v>33.2</v>
      </c>
      <c r="Q77" s="32" t="inlineStr"/>
      <c r="R77" s="31" t="inlineStr">
        <is>
          <t>Earnings / Momentum Support</t>
        </is>
      </c>
      <c r="S77" s="31" t="inlineStr">
        <is>
          <t>Nifty Pharma</t>
        </is>
      </c>
      <c r="T77" s="32" t="n">
        <v>23.79</v>
      </c>
      <c r="U77" s="32" t="n">
        <v>53.01</v>
      </c>
      <c r="V77" s="32" t="n">
        <v>23.6</v>
      </c>
      <c r="W77" s="32" t="n">
        <v>21.08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30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KHAZANCHI</t>
        </is>
      </c>
      <c r="D78" s="31" t="inlineStr">
        <is>
          <t>Khazanchi Jewellers Ltd</t>
        </is>
      </c>
      <c r="E78" s="31" t="inlineStr">
        <is>
          <t>Consumer Cyclical</t>
        </is>
      </c>
      <c r="F78" s="31" t="inlineStr">
        <is>
          <t>Diamond, Gems &amp; Jewellery</t>
        </is>
      </c>
      <c r="G78" s="31" t="inlineStr">
        <is>
          <t>smallcap</t>
        </is>
      </c>
      <c r="H78" s="32" t="n">
        <v>1929.02</v>
      </c>
      <c r="I78" s="32" t="n">
        <v>779.5</v>
      </c>
      <c r="J78" s="32" t="n">
        <v>-1.6</v>
      </c>
      <c r="K78" s="32" t="n">
        <v>0</v>
      </c>
      <c r="L78" s="31" t="n">
        <v>60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69.26000000000001</v>
      </c>
      <c r="P78" s="32" t="n">
        <v>28.51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-1.03</v>
      </c>
      <c r="U78" s="32" t="n">
        <v>33.44</v>
      </c>
      <c r="V78" s="32" t="n">
        <v>34.83</v>
      </c>
      <c r="W78" s="32" t="n">
        <v>12.8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B2C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24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PVP</t>
        </is>
      </c>
      <c r="D79" s="31" t="inlineStr">
        <is>
          <t>PVP Ventures Ltd</t>
        </is>
      </c>
      <c r="E79" s="31" t="inlineStr">
        <is>
          <t>realty</t>
        </is>
      </c>
      <c r="F79" s="31" t="inlineStr">
        <is>
          <t>Realty - Construction &amp; Contracting</t>
        </is>
      </c>
      <c r="G79" s="31" t="inlineStr">
        <is>
          <t>smallcap</t>
        </is>
      </c>
      <c r="H79" s="32" t="n">
        <v>1783.24</v>
      </c>
      <c r="I79" s="32" t="n">
        <v>68.48</v>
      </c>
      <c r="J79" s="32" t="n">
        <v>5</v>
      </c>
      <c r="K79" s="32" t="n">
        <v>0</v>
      </c>
      <c r="L79" s="31" t="n">
        <v>36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82.38</v>
      </c>
      <c r="P79" s="32" t="n">
        <v>24.55</v>
      </c>
      <c r="Q79" s="32" t="inlineStr"/>
      <c r="R79" s="31" t="inlineStr">
        <is>
          <t>Earnings / Momentum Support</t>
        </is>
      </c>
      <c r="S79" s="31" t="inlineStr">
        <is>
          <t>Nifty Realty</t>
        </is>
      </c>
      <c r="T79" s="32" t="n">
        <v>-8.119999999999999</v>
      </c>
      <c r="U79" s="32" t="n">
        <v>40.19</v>
      </c>
      <c r="V79" s="32" t="n">
        <v>52.58</v>
      </c>
      <c r="W79" s="32" t="n">
        <v>5.95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24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AEROFLEX</t>
        </is>
      </c>
      <c r="D80" s="31" t="inlineStr">
        <is>
          <t>Aeroflex Industries Ltd</t>
        </is>
      </c>
      <c r="E80" s="31" t="inlineStr">
        <is>
          <t>metals &amp; mining</t>
        </is>
      </c>
      <c r="F80" s="31" t="inlineStr">
        <is>
          <t>Stainless Steel</t>
        </is>
      </c>
      <c r="G80" s="31" t="inlineStr">
        <is>
          <t>midcap</t>
        </is>
      </c>
      <c r="H80" s="32" t="n">
        <v>6973.83</v>
      </c>
      <c r="I80" s="32" t="n">
        <v>527</v>
      </c>
      <c r="J80" s="32" t="n">
        <v>-2.79</v>
      </c>
      <c r="K80" s="32" t="n">
        <v>0</v>
      </c>
      <c r="L80" s="31" t="n">
        <v>86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72.34999999999999</v>
      </c>
      <c r="P80" s="32" t="n">
        <v>61.98</v>
      </c>
      <c r="Q80" s="32" t="inlineStr"/>
      <c r="R80" s="31" t="inlineStr">
        <is>
          <t>Earnings / Momentum Support</t>
        </is>
      </c>
      <c r="S80" s="31" t="inlineStr">
        <is>
          <t>Nifty Metal</t>
        </is>
      </c>
      <c r="T80" s="32" t="n">
        <v>31.49</v>
      </c>
      <c r="U80" s="32" t="n">
        <v>92.06</v>
      </c>
      <c r="V80" s="32" t="n">
        <v>46.06</v>
      </c>
      <c r="W80" s="32" t="n">
        <v>24.86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21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EMIL</t>
        </is>
      </c>
      <c r="D81" s="31" t="inlineStr">
        <is>
          <t>Electronics Mart India Ltd</t>
        </is>
      </c>
      <c r="E81" s="31" t="inlineStr">
        <is>
          <t>consumer discretionary</t>
        </is>
      </c>
      <c r="F81" s="31" t="inlineStr">
        <is>
          <t>Retail - Electronics</t>
        </is>
      </c>
      <c r="G81" s="31" t="inlineStr">
        <is>
          <t>midcap</t>
        </is>
      </c>
      <c r="H81" s="32" t="n">
        <v>6979.34</v>
      </c>
      <c r="I81" s="32" t="n">
        <v>181.4</v>
      </c>
      <c r="J81" s="32" t="n">
        <v>2.28</v>
      </c>
      <c r="K81" s="32" t="n">
        <v>0</v>
      </c>
      <c r="L81" s="31" t="n">
        <v>79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69.72</v>
      </c>
      <c r="P81" s="32" t="n">
        <v>34.65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-1.03</v>
      </c>
      <c r="U81" s="32" t="n">
        <v>41.72</v>
      </c>
      <c r="V81" s="32" t="n">
        <v>43.19</v>
      </c>
      <c r="W81" s="32" t="n">
        <v>20.89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3" t="inlineStr">
        <is>
          <t>FMGOETZE</t>
        </is>
      </c>
      <c r="D82" s="33" t="inlineStr">
        <is>
          <t>Federal-Mogul Goetze (India) Ltd</t>
        </is>
      </c>
      <c r="E82" s="31" t="inlineStr">
        <is>
          <t>auto</t>
        </is>
      </c>
      <c r="F82" s="31" t="inlineStr">
        <is>
          <t>Engines</t>
        </is>
      </c>
      <c r="G82" s="31" t="inlineStr">
        <is>
          <t>smallcap</t>
        </is>
      </c>
      <c r="H82" s="32" t="n">
        <v>3484.24</v>
      </c>
      <c r="I82" s="32" t="n">
        <v>626.3</v>
      </c>
      <c r="J82" s="32" t="n">
        <v>4.03</v>
      </c>
      <c r="K82" s="32" t="n">
        <v>0</v>
      </c>
      <c r="L82" s="31" t="n">
        <v>9</v>
      </c>
      <c r="M82" s="31" t="inlineStr">
        <is>
          <t>Underperforming</t>
        </is>
      </c>
      <c r="N82" s="32">
        <f>IF(M82="Underperforming",-5,IF(L82&gt;=95,15,IF(L82&gt;=90,10,IF(L82&gt;=80,5,0))))</f>
        <v/>
      </c>
      <c r="O82" s="32" t="n">
        <v>70.97</v>
      </c>
      <c r="P82" s="32" t="n">
        <v>20.81</v>
      </c>
      <c r="Q82" s="32" t="inlineStr"/>
      <c r="R82" s="31" t="inlineStr">
        <is>
          <t>Earnings / Momentum Support</t>
        </is>
      </c>
      <c r="S82" s="31" t="inlineStr">
        <is>
          <t>Nifty Auto</t>
        </is>
      </c>
      <c r="T82" s="32" t="n">
        <v>13.41</v>
      </c>
      <c r="U82" s="32" t="n">
        <v>-15.27</v>
      </c>
      <c r="V82" s="32" t="n">
        <v>-25.29</v>
      </c>
      <c r="W82" s="32" t="n">
        <v>-0.83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3" t="inlineStr">
        <is>
          <t>MMP</t>
        </is>
      </c>
      <c r="D83" s="33" t="inlineStr">
        <is>
          <t>MMP Industries Ltd</t>
        </is>
      </c>
      <c r="E83" s="31" t="inlineStr">
        <is>
          <t>metals &amp; mining</t>
        </is>
      </c>
      <c r="F83" s="31" t="inlineStr">
        <is>
          <t>Aluminium Products</t>
        </is>
      </c>
      <c r="G83" s="31" t="inlineStr">
        <is>
          <t>smallcap</t>
        </is>
      </c>
      <c r="H83" s="32" t="n">
        <v>1016.1</v>
      </c>
      <c r="I83" s="32" t="n">
        <v>400</v>
      </c>
      <c r="J83" s="32" t="n">
        <v>-1.09</v>
      </c>
      <c r="K83" s="32" t="n">
        <v>0</v>
      </c>
      <c r="L83" s="31" t="n">
        <v>19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79.26000000000001</v>
      </c>
      <c r="P83" s="32" t="n">
        <v>46.61</v>
      </c>
      <c r="Q83" s="32" t="inlineStr"/>
      <c r="R83" s="31" t="inlineStr">
        <is>
          <t>Earnings / Momentum Support</t>
        </is>
      </c>
      <c r="S83" s="31" t="inlineStr">
        <is>
          <t>Nifty Metal</t>
        </is>
      </c>
      <c r="T83" s="32" t="n">
        <v>31.49</v>
      </c>
      <c r="U83" s="32" t="n">
        <v>-1.03</v>
      </c>
      <c r="V83" s="32" t="n">
        <v>-24.73</v>
      </c>
      <c r="W83" s="32" t="n">
        <v>2.09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24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PAYTM</t>
        </is>
      </c>
      <c r="D84" s="31" t="inlineStr">
        <is>
          <t>One 97 Communications Ltd</t>
        </is>
      </c>
      <c r="E84" s="31" t="inlineStr">
        <is>
          <t>i.t</t>
        </is>
      </c>
      <c r="F84" s="31" t="inlineStr">
        <is>
          <t>E-Commerce - Platform - Utility</t>
        </is>
      </c>
      <c r="G84" s="31" t="inlineStr">
        <is>
          <t>largecap</t>
        </is>
      </c>
      <c r="H84" s="32" t="n">
        <v>110088.97</v>
      </c>
      <c r="I84" s="32" t="n">
        <v>1717.1</v>
      </c>
      <c r="J84" s="32" t="n">
        <v>4.01</v>
      </c>
      <c r="K84" s="32" t="n">
        <v>0</v>
      </c>
      <c r="L84" s="31" t="n">
        <v>73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75.06</v>
      </c>
      <c r="P84" s="32" t="n">
        <v>26.14</v>
      </c>
      <c r="Q84" s="32" t="inlineStr"/>
      <c r="R84" s="31" t="inlineStr">
        <is>
          <t>Earnings / Momentum Support</t>
        </is>
      </c>
      <c r="S84" s="31" t="inlineStr">
        <is>
          <t>Nifty IT</t>
        </is>
      </c>
      <c r="T84" s="32" t="n">
        <v>-11.08</v>
      </c>
      <c r="U84" s="32" t="n">
        <v>36.78</v>
      </c>
      <c r="V84" s="32" t="n">
        <v>53.83</v>
      </c>
      <c r="W84" s="32" t="n">
        <v>17.91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20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INOVSYNTH</t>
        </is>
      </c>
      <c r="D85" s="31" t="inlineStr">
        <is>
          <t>Innovassynth Technologies (India) Ltd</t>
        </is>
      </c>
      <c r="E85" s="31" t="inlineStr">
        <is>
          <t>Basic Materials</t>
        </is>
      </c>
      <c r="F85" s="31" t="inlineStr">
        <is>
          <t>Chemicals - Speciality</t>
        </is>
      </c>
      <c r="G85" s="31" t="inlineStr">
        <is>
          <t>smallcap</t>
        </is>
      </c>
      <c r="H85" s="32" t="n">
        <v>1311.66</v>
      </c>
      <c r="I85" s="32" t="n">
        <v>141.25</v>
      </c>
      <c r="J85" s="32" t="n">
        <v/>
      </c>
      <c r="K85" s="32" t="n">
        <v>0</v>
      </c>
      <c r="L85" s="31" t="n">
        <v>88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78.23999999999999</v>
      </c>
      <c r="P85" s="32" t="n">
        <v>49.74</v>
      </c>
      <c r="Q85" s="32" t="inlineStr"/>
      <c r="R85" s="31" t="inlineStr">
        <is>
          <t>Earnings / Momentum Support</t>
        </is>
      </c>
      <c r="S85" s="31" t="inlineStr">
        <is>
          <t>Nifty 50</t>
        </is>
      </c>
      <c r="T85" s="32" t="n">
        <v>-1.03</v>
      </c>
      <c r="U85" s="32" t="n">
        <v>42.61</v>
      </c>
      <c r="V85" s="32" t="n">
        <v>44.09</v>
      </c>
      <c r="W85" s="32" t="n">
        <v>26.8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20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GIPCL</t>
        </is>
      </c>
      <c r="D86" s="31" t="inlineStr">
        <is>
          <t>Gujarat Industries Power Co Ltd</t>
        </is>
      </c>
      <c r="E86" s="31" t="inlineStr">
        <is>
          <t>power &amp; utilities</t>
        </is>
      </c>
      <c r="F86" s="31" t="inlineStr">
        <is>
          <t>Power - Generation/Distribution</t>
        </is>
      </c>
      <c r="G86" s="31" t="inlineStr">
        <is>
          <t>smallcap</t>
        </is>
      </c>
      <c r="H86" s="32" t="n">
        <v>3088.8</v>
      </c>
      <c r="I86" s="32" t="n">
        <v>199</v>
      </c>
      <c r="J86" s="32" t="n">
        <v>-3.36</v>
      </c>
      <c r="K86" s="32" t="n">
        <v>0</v>
      </c>
      <c r="L86" s="31" t="n">
        <v>51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72.36</v>
      </c>
      <c r="P86" s="32" t="n">
        <v>19.07</v>
      </c>
      <c r="Q86" s="32" t="inlineStr"/>
      <c r="R86" s="31" t="inlineStr">
        <is>
          <t>Earnings / Momentum Support</t>
        </is>
      </c>
      <c r="S86" s="31" t="inlineStr">
        <is>
          <t>Nifty IT</t>
        </is>
      </c>
      <c r="T86" s="32" t="n">
        <v>-11.08</v>
      </c>
      <c r="U86" s="32" t="n">
        <v>18.24</v>
      </c>
      <c r="V86" s="32" t="n">
        <v>32.98</v>
      </c>
      <c r="W86" s="32" t="n">
        <v>9.31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Shallow Cyclical (2 to 3 Years Growth)</t>
        </is>
      </c>
      <c r="AG86" s="31">
        <f>IF(AF86="Structural (10 Years Consistency)",10,IF(AF86="Shallow Cyclical (2 to 3 years growth)",5,0))</f>
        <v/>
      </c>
      <c r="AH86" s="31" t="inlineStr">
        <is>
          <t>Yes due to Product Mix change or Operating Leverage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Allocated capital in Non-core Areas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Sideways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Overhead supply in last 2 years in last 2 years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More than 15%</t>
        </is>
      </c>
      <c r="CC86" s="31">
        <f>IF(CB86="More than 15%",-10,IF(CB86="Less than 15%",10,0))</f>
        <v/>
      </c>
      <c r="CD86" s="31" t="inlineStr">
        <is>
          <t>Yes Upto 10%</t>
        </is>
      </c>
      <c r="CE86" s="31">
        <f>IF(CD86="Yes, more than 10%",-10,IF(CD86="No",10,0))</f>
        <v/>
      </c>
      <c r="CF86" s="31" t="inlineStr">
        <is>
          <t>23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3" t="inlineStr">
        <is>
          <t>TNPETRO</t>
        </is>
      </c>
      <c r="D87" s="33" t="inlineStr">
        <is>
          <t>Tamil Nadu Petro Products Ltd</t>
        </is>
      </c>
      <c r="E87" s="31" t="inlineStr">
        <is>
          <t>energy</t>
        </is>
      </c>
      <c r="F87" s="31" t="inlineStr">
        <is>
          <t>Petrochem - Others</t>
        </is>
      </c>
      <c r="G87" s="31" t="inlineStr">
        <is>
          <t>smallcap</t>
        </is>
      </c>
      <c r="H87" s="32" t="n">
        <v>1085.06</v>
      </c>
      <c r="I87" s="32" t="n">
        <v>120.6</v>
      </c>
      <c r="J87" s="32" t="n">
        <v>8.289999999999999</v>
      </c>
      <c r="K87" s="32" t="n">
        <v>0</v>
      </c>
      <c r="L87" s="31" t="n">
        <v>6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66.89</v>
      </c>
      <c r="P87" s="32" t="n">
        <v>31.15</v>
      </c>
      <c r="Q87" s="32" t="inlineStr"/>
      <c r="R87" s="31" t="inlineStr">
        <is>
          <t>Volume Spike / Accumulation</t>
        </is>
      </c>
      <c r="S87" s="31" t="inlineStr">
        <is>
          <t>Nifty Energy</t>
        </is>
      </c>
      <c r="T87" s="32" t="n">
        <v>8.41</v>
      </c>
      <c r="U87" s="32" t="n">
        <v>-12.81</v>
      </c>
      <c r="V87" s="32" t="n">
        <v>-19.57</v>
      </c>
      <c r="W87" s="32" t="n">
        <v>-1.91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23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3" t="inlineStr">
        <is>
          <t>MANALIPETC</t>
        </is>
      </c>
      <c r="D88" s="33" t="inlineStr">
        <is>
          <t>Manali Petrochemicals Ltd</t>
        </is>
      </c>
      <c r="E88" s="31" t="inlineStr">
        <is>
          <t>energy</t>
        </is>
      </c>
      <c r="F88" s="31" t="inlineStr">
        <is>
          <t>Petrochem - Polymers</t>
        </is>
      </c>
      <c r="G88" s="31" t="inlineStr">
        <is>
          <t>smallcap</t>
        </is>
      </c>
      <c r="H88" s="32" t="n">
        <v>1444.79</v>
      </c>
      <c r="I88" s="32" t="n">
        <v>84</v>
      </c>
      <c r="J88" s="32" t="n">
        <v>14.5</v>
      </c>
      <c r="K88" s="32" t="n">
        <v>0</v>
      </c>
      <c r="L88" s="31" t="n">
        <v>7</v>
      </c>
      <c r="M88" s="31" t="inlineStr">
        <is>
          <t>Underperforming</t>
        </is>
      </c>
      <c r="N88" s="32">
        <f>IF(M88="Underperforming",-5,IF(L88&gt;=95,15,IF(L88&gt;=90,10,IF(L88&gt;=80,5,0))))</f>
        <v/>
      </c>
      <c r="O88" s="32" t="n">
        <v>66.09999999999999</v>
      </c>
      <c r="P88" s="32" t="n">
        <v>37.7</v>
      </c>
      <c r="Q88" s="32" t="inlineStr"/>
      <c r="R88" s="31" t="inlineStr">
        <is>
          <t>Volume Spike / Accumulation</t>
        </is>
      </c>
      <c r="S88" s="31" t="inlineStr">
        <is>
          <t>Nifty Energy</t>
        </is>
      </c>
      <c r="T88" s="32" t="n">
        <v>8.41</v>
      </c>
      <c r="U88" s="32" t="n">
        <v>-21.51</v>
      </c>
      <c r="V88" s="32" t="n">
        <v>-27.6</v>
      </c>
      <c r="W88" s="32" t="n">
        <v>-1.78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20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3" t="inlineStr">
        <is>
          <t>DEEPINDS</t>
        </is>
      </c>
      <c r="D89" s="33" t="inlineStr">
        <is>
          <t>Deep Industries Ltd</t>
        </is>
      </c>
      <c r="E89" s="31" t="inlineStr">
        <is>
          <t>energy</t>
        </is>
      </c>
      <c r="F89" s="31" t="inlineStr">
        <is>
          <t>Oil Drilling &amp; Exploration</t>
        </is>
      </c>
      <c r="G89" s="31" t="inlineStr">
        <is>
          <t>smallcap</t>
        </is>
      </c>
      <c r="H89" s="32" t="n">
        <v>4401.28</v>
      </c>
      <c r="I89" s="32" t="n">
        <v>687.7</v>
      </c>
      <c r="J89" s="32" t="n">
        <v>1.96</v>
      </c>
      <c r="K89" s="32" t="n">
        <v>0</v>
      </c>
      <c r="L89" s="31" t="n">
        <v>16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73.84</v>
      </c>
      <c r="P89" s="32" t="n">
        <v>29.33</v>
      </c>
      <c r="Q89" s="32" t="inlineStr"/>
      <c r="R89" s="31" t="inlineStr">
        <is>
          <t>Earnings / Momentum Support</t>
        </is>
      </c>
      <c r="S89" s="31" t="inlineStr">
        <is>
          <t>Nifty Energy</t>
        </is>
      </c>
      <c r="T89" s="32" t="n">
        <v>8.41</v>
      </c>
      <c r="U89" s="32" t="n">
        <v>0.27</v>
      </c>
      <c r="V89" s="32" t="n">
        <v>-7.51</v>
      </c>
      <c r="W89" s="32" t="n">
        <v>1.2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POLICYBZR</t>
        </is>
      </c>
      <c r="D90" s="31" t="inlineStr">
        <is>
          <t>PB Fintech Ltd</t>
        </is>
      </c>
      <c r="E90" s="31" t="inlineStr">
        <is>
          <t>i.t</t>
        </is>
      </c>
      <c r="F90" s="31" t="inlineStr">
        <is>
          <t>Insurance - Proxy</t>
        </is>
      </c>
      <c r="G90" s="31" t="inlineStr">
        <is>
          <t>largecap</t>
        </is>
      </c>
      <c r="H90" s="32" t="n">
        <v>86755.28999999999</v>
      </c>
      <c r="I90" s="32" t="n">
        <v>1875</v>
      </c>
      <c r="J90" s="32" t="n">
        <v>3.51</v>
      </c>
      <c r="K90" s="32" t="n">
        <v>0</v>
      </c>
      <c r="L90" s="31" t="n">
        <v>20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62.34</v>
      </c>
      <c r="P90" s="32" t="n">
        <v>10.4</v>
      </c>
      <c r="Q90" s="32" t="inlineStr"/>
      <c r="R90" s="31" t="inlineStr">
        <is>
          <t>Earnings / Momentum Support</t>
        </is>
      </c>
      <c r="S90" s="31" t="inlineStr">
        <is>
          <t>Nifty IT</t>
        </is>
      </c>
      <c r="T90" s="32" t="n">
        <v>-11.08</v>
      </c>
      <c r="U90" s="32" t="n">
        <v>2.3</v>
      </c>
      <c r="V90" s="32" t="n">
        <v>15.05</v>
      </c>
      <c r="W90" s="32" t="n">
        <v>2.38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Monopoly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B2C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Fully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Allocated capital in Non-core Areas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Below 45</t>
        </is>
      </c>
      <c r="BA90" s="31">
        <f>IF(AZ90="Between 50 to 75",10,IF(AZ90="Above 75",0,0))</f>
        <v/>
      </c>
      <c r="BB90" s="31" t="inlineStr">
        <is>
          <t>Stage 1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Downtrend</t>
        </is>
      </c>
      <c r="BG90" s="31">
        <f>IF(BF90="Uptrend",10,IF(BF90="Sideways",5,0))</f>
        <v/>
      </c>
      <c r="BH90" s="31" t="inlineStr">
        <is>
          <t>Downtrend</t>
        </is>
      </c>
      <c r="BI90" s="31">
        <f>IF(BH90="Uptrend",10,IF(BH90="Sideways",5,0))</f>
        <v/>
      </c>
      <c r="BJ90" s="31" t="inlineStr">
        <is>
          <t>Overhead supply in last 2 years in last 2 years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Yes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3" t="inlineStr">
        <is>
          <t>UFLEX</t>
        </is>
      </c>
      <c r="D91" s="33" t="inlineStr">
        <is>
          <t>Uflex Ltd</t>
        </is>
      </c>
      <c r="E91" s="31" t="inlineStr">
        <is>
          <t>industrials</t>
        </is>
      </c>
      <c r="F91" s="31" t="inlineStr">
        <is>
          <t>Packaging - BOPP</t>
        </is>
      </c>
      <c r="G91" s="31" t="inlineStr">
        <is>
          <t>smallcap</t>
        </is>
      </c>
      <c r="H91" s="32" t="n">
        <v>4679.3</v>
      </c>
      <c r="I91" s="32" t="n">
        <v>648</v>
      </c>
      <c r="J91" s="32" t="n">
        <v>2.15</v>
      </c>
      <c r="K91" s="32" t="n">
        <v>0</v>
      </c>
      <c r="L91" s="31" t="n">
        <v>4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76.84</v>
      </c>
      <c r="P91" s="32" t="n">
        <v>25.76</v>
      </c>
      <c r="Q91" s="32" t="inlineStr"/>
      <c r="R91" s="31" t="inlineStr">
        <is>
          <t>Earnings / Momentum Support</t>
        </is>
      </c>
      <c r="S91" s="31" t="inlineStr">
        <is>
          <t>Nifty Infra</t>
        </is>
      </c>
      <c r="T91" s="32" t="n">
        <v>1.74</v>
      </c>
      <c r="U91" s="32" t="n">
        <v>-26.47</v>
      </c>
      <c r="V91" s="32" t="n">
        <v>-27.72</v>
      </c>
      <c r="W91" s="32" t="n">
        <v>-3.81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More than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27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3" t="inlineStr">
        <is>
          <t>MANINDS</t>
        </is>
      </c>
      <c r="D92" s="33" t="inlineStr">
        <is>
          <t>Man Industries (India) Ltd</t>
        </is>
      </c>
      <c r="E92" s="31" t="inlineStr">
        <is>
          <t>metals &amp; mining</t>
        </is>
      </c>
      <c r="F92" s="31" t="inlineStr">
        <is>
          <t>Steel - Tubes/Pipes</t>
        </is>
      </c>
      <c r="G92" s="31" t="inlineStr">
        <is>
          <t>midcap</t>
        </is>
      </c>
      <c r="H92" s="32" t="n">
        <v>5700.73</v>
      </c>
      <c r="I92" s="32" t="n">
        <v>760</v>
      </c>
      <c r="J92" s="32" t="n">
        <v>-1.07</v>
      </c>
      <c r="K92" s="32" t="n">
        <v>0</v>
      </c>
      <c r="L92" s="31" t="n">
        <v>37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75.15000000000001</v>
      </c>
      <c r="P92" s="32" t="n">
        <v>32.28</v>
      </c>
      <c r="Q92" s="32" t="inlineStr"/>
      <c r="R92" s="31" t="inlineStr">
        <is>
          <t>Earnings / Momentum Support</t>
        </is>
      </c>
      <c r="S92" s="31" t="inlineStr">
        <is>
          <t>Nifty Metal</t>
        </is>
      </c>
      <c r="T92" s="32" t="n">
        <v>31.49</v>
      </c>
      <c r="U92" s="32" t="n">
        <v>21.23</v>
      </c>
      <c r="V92" s="32" t="n">
        <v>-7.8</v>
      </c>
      <c r="W92" s="32" t="n">
        <v>6.28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23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LUMAXTECH</t>
        </is>
      </c>
      <c r="D93" s="31" t="inlineStr">
        <is>
          <t>Lumax Auto Technologies Ltd</t>
        </is>
      </c>
      <c r="E93" s="31" t="inlineStr">
        <is>
          <t>auto</t>
        </is>
      </c>
      <c r="F93" s="31" t="inlineStr">
        <is>
          <t>Auto Ancillaries - Diversified</t>
        </is>
      </c>
      <c r="G93" s="31" t="inlineStr">
        <is>
          <t>midcap</t>
        </is>
      </c>
      <c r="H93" s="32" t="n">
        <v>14193.84</v>
      </c>
      <c r="I93" s="32" t="n">
        <v>2082.5</v>
      </c>
      <c r="J93" s="32" t="n">
        <v>4.89</v>
      </c>
      <c r="K93" s="32" t="n">
        <v>0</v>
      </c>
      <c r="L93" s="31" t="n">
        <v>17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65.48999999999999</v>
      </c>
      <c r="P93" s="32" t="n">
        <v>18.96</v>
      </c>
      <c r="Q93" s="32" t="inlineStr"/>
      <c r="R93" s="31" t="inlineStr">
        <is>
          <t>Earnings / Momentum Support</t>
        </is>
      </c>
      <c r="S93" s="31" t="inlineStr">
        <is>
          <t>Nifty Auto</t>
        </is>
      </c>
      <c r="T93" s="32" t="n">
        <v>13.41</v>
      </c>
      <c r="U93" s="32" t="n">
        <v>24.53</v>
      </c>
      <c r="V93" s="32" t="n">
        <v>9.800000000000001</v>
      </c>
      <c r="W93" s="32" t="n">
        <v>1.74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21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RATNAVEER</t>
        </is>
      </c>
      <c r="D94" s="33" t="inlineStr">
        <is>
          <t>Ratnaveer Precision Engineering Ltd</t>
        </is>
      </c>
      <c r="E94" s="31" t="inlineStr">
        <is>
          <t>metals &amp; mining</t>
        </is>
      </c>
      <c r="F94" s="31" t="inlineStr">
        <is>
          <t>Stainless Steel</t>
        </is>
      </c>
      <c r="G94" s="31" t="inlineStr">
        <is>
          <t>smallcap</t>
        </is>
      </c>
      <c r="H94" s="32" t="n">
        <v>2566.47</v>
      </c>
      <c r="I94" s="32" t="n">
        <v>305.8</v>
      </c>
      <c r="J94" s="32" t="n">
        <v>3.68</v>
      </c>
      <c r="K94" s="32" t="n">
        <v>0</v>
      </c>
      <c r="L94" s="31" t="n">
        <v>42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82.14</v>
      </c>
      <c r="P94" s="32" t="n">
        <v>54.72</v>
      </c>
      <c r="Q94" s="32" t="inlineStr"/>
      <c r="R94" s="31" t="inlineStr">
        <is>
          <t>Earnings / Momentum Support</t>
        </is>
      </c>
      <c r="S94" s="31" t="inlineStr">
        <is>
          <t>Nifty Metal</t>
        </is>
      </c>
      <c r="T94" s="32" t="n">
        <v>31.49</v>
      </c>
      <c r="U94" s="32" t="n">
        <v>20.72</v>
      </c>
      <c r="V94" s="32" t="n">
        <v>-8.19</v>
      </c>
      <c r="W94" s="32" t="n">
        <v>7.17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Less than 12%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22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3" t="inlineStr">
        <is>
          <t>RAMRAT</t>
        </is>
      </c>
      <c r="D95" s="33" t="inlineStr">
        <is>
          <t>Ram Ratna Wires Ltd</t>
        </is>
      </c>
      <c r="E95" s="31" t="inlineStr">
        <is>
          <t>metals &amp; mining</t>
        </is>
      </c>
      <c r="F95" s="31" t="inlineStr">
        <is>
          <t>Copper Wires</t>
        </is>
      </c>
      <c r="G95" s="31" t="inlineStr">
        <is>
          <t>midcap</t>
        </is>
      </c>
      <c r="H95" s="32" t="n">
        <v>5283.56</v>
      </c>
      <c r="I95" s="32" t="n">
        <v>566</v>
      </c>
      <c r="J95" s="32" t="n">
        <v>-4.38</v>
      </c>
      <c r="K95" s="32" t="n">
        <v>0</v>
      </c>
      <c r="L95" s="31" t="n">
        <v>32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81.01000000000001</v>
      </c>
      <c r="P95" s="32" t="n">
        <v>44</v>
      </c>
      <c r="Q95" s="32" t="inlineStr"/>
      <c r="R95" s="31" t="inlineStr">
        <is>
          <t>Earnings / Momentum Support</t>
        </is>
      </c>
      <c r="S95" s="31" t="inlineStr">
        <is>
          <t>Nifty Metal</t>
        </is>
      </c>
      <c r="T95" s="32" t="n">
        <v>31.49</v>
      </c>
      <c r="U95" s="32" t="n">
        <v>18.75</v>
      </c>
      <c r="V95" s="32" t="n">
        <v>-9.69</v>
      </c>
      <c r="W95" s="32" t="n">
        <v>5.5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Between 0.7 to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22</t>
        </is>
      </c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3" t="inlineStr">
        <is>
          <t>JTLIND</t>
        </is>
      </c>
      <c r="D96" s="33" t="inlineStr">
        <is>
          <t>JTL Industries Ltd</t>
        </is>
      </c>
      <c r="E96" s="31" t="inlineStr">
        <is>
          <t>metals &amp; mining</t>
        </is>
      </c>
      <c r="F96" s="31" t="inlineStr">
        <is>
          <t>Steel - Tubes/Pipes</t>
        </is>
      </c>
      <c r="G96" s="31" t="inlineStr">
        <is>
          <t>smallcap</t>
        </is>
      </c>
      <c r="H96" s="32" t="n">
        <v>3412.78</v>
      </c>
      <c r="I96" s="32" t="n">
        <v>89.33</v>
      </c>
      <c r="J96" s="32" t="n">
        <v>-0.6</v>
      </c>
      <c r="K96" s="32" t="n">
        <v>0</v>
      </c>
      <c r="L96" s="31" t="n">
        <v>21</v>
      </c>
      <c r="M96" s="31" t="inlineStr">
        <is>
          <t>Underperforming</t>
        </is>
      </c>
      <c r="N96" s="32">
        <f>IF(M96="Underperforming",-5,IF(L96&gt;=95,15,IF(L96&gt;=90,10,IF(L96&gt;=80,5,0))))</f>
        <v/>
      </c>
      <c r="O96" s="32" t="n">
        <v>64.44</v>
      </c>
      <c r="P96" s="32" t="n">
        <v>12.62</v>
      </c>
      <c r="Q96" s="32" t="inlineStr"/>
      <c r="R96" s="31" t="inlineStr">
        <is>
          <t>Earnings / Momentum Support</t>
        </is>
      </c>
      <c r="S96" s="31" t="inlineStr">
        <is>
          <t>Nifty Metal</t>
        </is>
      </c>
      <c r="T96" s="32" t="n">
        <v>31.49</v>
      </c>
      <c r="U96" s="32" t="n">
        <v>1.19</v>
      </c>
      <c r="V96" s="32" t="n">
        <v>-23.05</v>
      </c>
      <c r="W96" s="32" t="n">
        <v>2.86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Cyclical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0 to 20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  <c r="CF96" s="31" t="inlineStr">
        <is>
          <t>20</t>
        </is>
      </c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PCCL</t>
        </is>
      </c>
      <c r="D97" s="31" t="inlineStr">
        <is>
          <t>Petro Carbon &amp; Chemicals Ltd</t>
        </is>
      </c>
      <c r="E97" s="31" t="inlineStr">
        <is>
          <t>unknown</t>
        </is>
      </c>
      <c r="F97" s="31" t="inlineStr">
        <is>
          <t>Chemicals - Others</t>
        </is>
      </c>
      <c r="G97" s="31" t="inlineStr">
        <is>
          <t>smallcap</t>
        </is>
      </c>
      <c r="H97" s="32" t="n">
        <v>1017.39</v>
      </c>
      <c r="I97" s="32" t="n">
        <v>411.9</v>
      </c>
      <c r="J97" s="32" t="n">
        <v>5.1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4" t="inlineStr">
        <is>
          <t>Symbol</t>
        </is>
      </c>
      <c r="B102" s="34" t="inlineStr">
        <is>
          <t>Company Name</t>
        </is>
      </c>
      <c r="C102" s="34" t="inlineStr">
        <is>
          <t>Sector</t>
        </is>
      </c>
      <c r="D102" s="34" t="inlineStr">
        <is>
          <t>Date of Removal</t>
        </is>
      </c>
    </row>
    <row r="103">
      <c r="A103" s="35" t="inlineStr">
        <is>
          <t>ACCENTMIC</t>
        </is>
      </c>
      <c r="B103" s="36" t="inlineStr">
        <is>
          <t>ACCENTMIC</t>
        </is>
      </c>
      <c r="C103" s="36" t="inlineStr">
        <is>
          <t>unknown</t>
        </is>
      </c>
      <c r="D103" s="37" t="inlineStr">
        <is>
          <t>2026-08-31</t>
        </is>
      </c>
    </row>
    <row r="104">
      <c r="A104" s="35" t="inlineStr">
        <is>
          <t>GLENMARK</t>
        </is>
      </c>
      <c r="B104" s="36" t="inlineStr">
        <is>
          <t>Glenmark Pharmaceuticals Limited</t>
        </is>
      </c>
      <c r="C104" s="36" t="inlineStr">
        <is>
          <t>Healthcare</t>
        </is>
      </c>
      <c r="D104" s="37" t="inlineStr">
        <is>
          <t>2026-08-31</t>
        </is>
      </c>
    </row>
    <row r="105">
      <c r="A105" s="35" t="inlineStr">
        <is>
          <t>PCCL</t>
        </is>
      </c>
      <c r="B105" s="36" t="inlineStr">
        <is>
          <t>PCCL</t>
        </is>
      </c>
      <c r="C105" s="36" t="inlineStr">
        <is>
          <t>unknown</t>
        </is>
      </c>
      <c r="D105" s="37" t="inlineStr">
        <is>
          <t>2026-08-31</t>
        </is>
      </c>
    </row>
    <row r="106">
      <c r="A106" s="35" t="inlineStr">
        <is>
          <t>SAMBHV</t>
        </is>
      </c>
      <c r="B106" s="36" t="inlineStr">
        <is>
          <t>Sambhv Steel Tubes Limited</t>
        </is>
      </c>
      <c r="C106" s="36" t="inlineStr">
        <is>
          <t>Basic Materials</t>
        </is>
      </c>
      <c r="D106" s="37" t="inlineStr">
        <is>
          <t>2026-08-31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midcap</t>
        </is>
      </c>
      <c r="H2" s="32" t="n">
        <v>6463.16</v>
      </c>
      <c r="I2" s="32" t="n">
        <v>139.6</v>
      </c>
      <c r="J2" s="32" t="n">
        <v>-0.67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85.52</v>
      </c>
      <c r="P2" s="32" t="n">
        <v>62.43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7.16</v>
      </c>
      <c r="U2" s="32" t="n">
        <v>134.64</v>
      </c>
      <c r="V2" s="32" t="n">
        <v>118.96</v>
      </c>
      <c r="W2" s="32" t="n">
        <v>41.64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22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IIFL</t>
        </is>
      </c>
      <c r="D3" s="31" t="inlineStr">
        <is>
          <t>IIFL Finance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27394.54</v>
      </c>
      <c r="I3" s="32" t="n">
        <v>644</v>
      </c>
      <c r="J3" s="32" t="n">
        <v>-2.31</v>
      </c>
      <c r="K3" s="32" t="n">
        <v>0</v>
      </c>
      <c r="L3" s="31" t="n">
        <v>77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70.70999999999999</v>
      </c>
      <c r="P3" s="32" t="n">
        <v>29.07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7.16</v>
      </c>
      <c r="U3" s="32" t="n">
        <v>55.32</v>
      </c>
      <c r="V3" s="32" t="n">
        <v>44.94</v>
      </c>
      <c r="W3" s="32" t="n">
        <v>19.64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22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CGCL</t>
        </is>
      </c>
      <c r="D4" s="31" t="inlineStr">
        <is>
          <t>Capri Global Capital Ltd</t>
        </is>
      </c>
      <c r="E4" s="31" t="inlineStr">
        <is>
          <t>financials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24583.03</v>
      </c>
      <c r="I4" s="32" t="n">
        <v>255.5</v>
      </c>
      <c r="J4" s="32" t="n">
        <v>-0.96</v>
      </c>
      <c r="K4" s="32" t="n">
        <v>0</v>
      </c>
      <c r="L4" s="31" t="n">
        <v>65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69.23999999999999</v>
      </c>
      <c r="P4" s="32" t="n">
        <v>38.91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7.16</v>
      </c>
      <c r="U4" s="32" t="n">
        <v>39.33</v>
      </c>
      <c r="V4" s="32" t="n">
        <v>30.02</v>
      </c>
      <c r="W4" s="32" t="n">
        <v>14.16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26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OFSS</t>
        </is>
      </c>
      <c r="D5" s="31" t="inlineStr">
        <is>
          <t>Oracle Financial Services Software Ltd</t>
        </is>
      </c>
      <c r="E5" s="31" t="inlineStr">
        <is>
          <t>i.t</t>
        </is>
      </c>
      <c r="F5" s="31" t="inlineStr">
        <is>
          <t>IT Product Companies</t>
        </is>
      </c>
      <c r="G5" s="31" t="inlineStr">
        <is>
          <t>largecap</t>
        </is>
      </c>
      <c r="H5" s="32" t="n">
        <v>109202.24</v>
      </c>
      <c r="I5" s="32" t="n">
        <v>12540</v>
      </c>
      <c r="J5" s="32" t="n">
        <v>2.87</v>
      </c>
      <c r="K5" s="32" t="n">
        <v>0</v>
      </c>
      <c r="L5" s="31" t="n">
        <v>68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70.61</v>
      </c>
      <c r="P5" s="32" t="n">
        <v>29.06</v>
      </c>
      <c r="Q5" s="32" t="inlineStr"/>
      <c r="R5" s="31" t="inlineStr">
        <is>
          <t>Earnings / Momentum Support</t>
        </is>
      </c>
      <c r="S5" s="31" t="inlineStr">
        <is>
          <t>Nifty IT</t>
        </is>
      </c>
      <c r="T5" s="32" t="n">
        <v>-11.08</v>
      </c>
      <c r="U5" s="32" t="n">
        <v>53.54</v>
      </c>
      <c r="V5" s="32" t="n">
        <v>72.68000000000001</v>
      </c>
      <c r="W5" s="32" t="n">
        <v>15.46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22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4" t="inlineStr">
        <is>
          <t>Symbol</t>
        </is>
      </c>
      <c r="B10" s="34" t="inlineStr">
        <is>
          <t>Company Name</t>
        </is>
      </c>
      <c r="C10" s="34" t="inlineStr">
        <is>
          <t>Sector</t>
        </is>
      </c>
      <c r="D10" s="34" t="inlineStr">
        <is>
          <t>Date of Removal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2026-08-31T17:40:09Z</dcterms:created>
  <dcterms:modified xmlns:dcterms="http://purl.org/dc/terms/" xmlns:xsi="http://www.w3.org/2001/XMLSchema-instance" xsi:type="dcterms:W3CDTF">2026-08-31T17:42:40Z</dcterms:modified>
</cp:coreProperties>
</file>