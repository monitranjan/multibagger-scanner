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Universe'!$A$1:$J$410</definedName>
    <definedName name="_xlnm._FilterDatabase" localSheetId="3" hidden="1">'Confluence Overlap'!$A$1:$K$97</definedName>
    <definedName name="_xlnm._FilterDatabase" localSheetId="4" hidden="1">'Monit Non Financial'!$A$1:$CE$370</definedName>
    <definedName name="_xlnm._FilterDatabase" localSheetId="5" hidden="1">'Monit Banks NBFC'!$A$1:$CA$41</definedName>
    <definedName name="_xlnm._FilterDatabase" localSheetId="6" hidden="1">'Scanner Non Financial'!$A$1:$CJ$17</definedName>
    <definedName name="_xlnm._FilterDatabase" localSheetId="7" hidden="1">'Scanner Banks NBFC'!$A$1:$CF$7</definedName>
    <definedName name="_xlnm._FilterDatabase" localSheetId="8" hidden="1">'Scan Match Non Financial'!$A$1:$CG$98</definedName>
    <definedName name="_xlnm._FilterDatabase" localSheetId="9" hidden="1">'Scan Match Banks NBFC'!$A$1:$CC$4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25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5" customWidth="1" min="3" max="3"/>
    <col width="38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642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92</v>
      </c>
      <c r="G6" s="19" t="n">
        <v>63552.44</v>
      </c>
      <c r="H6" s="18" t="inlineStr">
        <is>
          <t>Potential Leader</t>
        </is>
      </c>
      <c r="J6" s="18" t="inlineStr">
        <is>
          <t>co-working</t>
        </is>
      </c>
      <c r="K6" s="16" t="n">
        <v>5</v>
      </c>
      <c r="L6" s="16" t="n">
        <v>2</v>
      </c>
      <c r="M6" s="20" t="inlineStr">
        <is>
          <t>150.0%</t>
        </is>
      </c>
    </row>
    <row r="7">
      <c r="A7" s="16" t="n">
        <v>2</v>
      </c>
      <c r="B7" s="17" t="n">
        <v>534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74</v>
      </c>
      <c r="G7" s="19" t="n">
        <v>2861.98</v>
      </c>
      <c r="H7" s="18" t="inlineStr">
        <is>
          <t>Potential Leader</t>
        </is>
      </c>
      <c r="J7" s="18" t="inlineStr">
        <is>
          <t>services</t>
        </is>
      </c>
      <c r="K7" s="16" t="n">
        <v>47</v>
      </c>
      <c r="L7" s="16" t="n">
        <v>34</v>
      </c>
      <c r="M7" s="20" t="inlineStr">
        <is>
          <t>38.2%</t>
        </is>
      </c>
    </row>
    <row r="8">
      <c r="A8" s="16" t="n">
        <v>3</v>
      </c>
      <c r="B8" s="17" t="n">
        <v>528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73</v>
      </c>
      <c r="G8" s="19" t="n">
        <v>97298.95</v>
      </c>
      <c r="H8" s="18" t="inlineStr">
        <is>
          <t>Potential Leader</t>
        </is>
      </c>
      <c r="J8" s="18" t="inlineStr">
        <is>
          <t>realty</t>
        </is>
      </c>
      <c r="K8" s="16" t="n">
        <v>99</v>
      </c>
      <c r="L8" s="16" t="n">
        <v>75</v>
      </c>
      <c r="M8" s="20" t="inlineStr">
        <is>
          <t>32.0%</t>
        </is>
      </c>
    </row>
    <row r="9">
      <c r="A9" s="16" t="n">
        <v>4</v>
      </c>
      <c r="B9" s="17" t="n">
        <v>462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62</v>
      </c>
      <c r="G9" s="19" t="n">
        <v>5194.8</v>
      </c>
      <c r="H9" s="18" t="inlineStr">
        <is>
          <t>Potential Leader</t>
        </is>
      </c>
      <c r="J9" s="18" t="inlineStr">
        <is>
          <t>textiles</t>
        </is>
      </c>
      <c r="K9" s="16" t="n">
        <v>51</v>
      </c>
      <c r="L9" s="16" t="n">
        <v>39</v>
      </c>
      <c r="M9" s="20" t="inlineStr">
        <is>
          <t>30.8%</t>
        </is>
      </c>
    </row>
    <row r="10">
      <c r="A10" s="16" t="n">
        <v>5</v>
      </c>
      <c r="B10" s="17" t="n">
        <v>456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61</v>
      </c>
      <c r="G10" s="19" t="n">
        <v>38512.43</v>
      </c>
      <c r="H10" s="18" t="inlineStr">
        <is>
          <t>Potential Leader</t>
        </is>
      </c>
      <c r="J10" s="18" t="inlineStr">
        <is>
          <t>metals &amp; mining</t>
        </is>
      </c>
      <c r="K10" s="16" t="n">
        <v>113</v>
      </c>
      <c r="L10" s="16" t="n">
        <v>92</v>
      </c>
      <c r="M10" s="20" t="inlineStr">
        <is>
          <t>22.8%</t>
        </is>
      </c>
    </row>
    <row r="11">
      <c r="A11" s="16" t="n">
        <v>6</v>
      </c>
      <c r="B11" s="17" t="n">
        <v>396</v>
      </c>
      <c r="C11" s="17" t="inlineStr">
        <is>
          <t>VADILALIND</t>
        </is>
      </c>
      <c r="D11" s="18" t="inlineStr">
        <is>
          <t>Vadilal Industries Limited</t>
        </is>
      </c>
      <c r="E11" s="18" t="inlineStr">
        <is>
          <t>fmcg</t>
        </is>
      </c>
      <c r="F11" s="16" t="n">
        <v>51</v>
      </c>
      <c r="G11" s="19" t="n">
        <v>5337.32</v>
      </c>
      <c r="H11" s="18" t="inlineStr">
        <is>
          <t>Potential Leader</t>
        </is>
      </c>
      <c r="J11" s="18" t="inlineStr">
        <is>
          <t>fmcg</t>
        </is>
      </c>
      <c r="K11" s="16" t="n">
        <v>155</v>
      </c>
      <c r="L11" s="16" t="n">
        <v>132</v>
      </c>
      <c r="M11" s="20" t="inlineStr">
        <is>
          <t>17.4%</t>
        </is>
      </c>
    </row>
    <row r="12">
      <c r="A12" s="16" t="n">
        <v>7</v>
      </c>
      <c r="B12" s="17" t="n">
        <v>378</v>
      </c>
      <c r="C12" s="17" t="inlineStr">
        <is>
          <t>HITECHCORP</t>
        </is>
      </c>
      <c r="D12" s="18" t="inlineStr">
        <is>
          <t>Hitech Corporation</t>
        </is>
      </c>
      <c r="E12" s="18" t="inlineStr">
        <is>
          <t>industrials</t>
        </is>
      </c>
      <c r="F12" s="16" t="n">
        <v>48</v>
      </c>
      <c r="G12" s="19" t="n">
        <v>571.35</v>
      </c>
      <c r="H12" s="18" t="inlineStr">
        <is>
          <t>Potential Leader</t>
        </is>
      </c>
      <c r="J12" s="18" t="inlineStr">
        <is>
          <t>financials</t>
        </is>
      </c>
      <c r="K12" s="16" t="n">
        <v>141</v>
      </c>
      <c r="L12" s="16" t="n">
        <v>121</v>
      </c>
      <c r="M12" s="20" t="inlineStr">
        <is>
          <t>16.5%</t>
        </is>
      </c>
    </row>
    <row r="13">
      <c r="A13" s="16" t="n">
        <v>8</v>
      </c>
      <c r="B13" s="17" t="n">
        <v>330</v>
      </c>
      <c r="C13" s="17" t="inlineStr">
        <is>
          <t>ADOR</t>
        </is>
      </c>
      <c r="D13" s="18" t="inlineStr">
        <is>
          <t>Ador Welding Ltd</t>
        </is>
      </c>
      <c r="E13" s="18" t="inlineStr">
        <is>
          <t>industrials</t>
        </is>
      </c>
      <c r="F13" s="16" t="n">
        <v>40</v>
      </c>
      <c r="G13" s="19" t="n">
        <v>2828.65</v>
      </c>
      <c r="H13" s="18" t="inlineStr">
        <is>
          <t>Potential Leader</t>
        </is>
      </c>
      <c r="J13" s="18" t="inlineStr">
        <is>
          <t>media</t>
        </is>
      </c>
      <c r="K13" s="16" t="n">
        <v>11</v>
      </c>
      <c r="L13" s="16" t="n">
        <v>10</v>
      </c>
      <c r="M13" s="20" t="inlineStr">
        <is>
          <t>10.0%</t>
        </is>
      </c>
    </row>
    <row r="14">
      <c r="A14" s="16" t="n">
        <v>9</v>
      </c>
      <c r="B14" s="17" t="n">
        <v>330</v>
      </c>
      <c r="C14" s="17" t="inlineStr">
        <is>
          <t>CYIENTDLM</t>
        </is>
      </c>
      <c r="D14" s="18" t="inlineStr">
        <is>
          <t>Cyient DLM Ltd</t>
        </is>
      </c>
      <c r="E14" s="18" t="inlineStr">
        <is>
          <t>aerospace &amp; defence</t>
        </is>
      </c>
      <c r="F14" s="16" t="n">
        <v>40</v>
      </c>
      <c r="G14" s="19" t="n">
        <v>5841.43</v>
      </c>
      <c r="H14" s="18" t="inlineStr">
        <is>
          <t>Potential Leader</t>
        </is>
      </c>
      <c r="J14" s="18" t="inlineStr">
        <is>
          <t>transportation</t>
        </is>
      </c>
      <c r="K14" s="16" t="n">
        <v>39</v>
      </c>
      <c r="L14" s="16" t="n">
        <v>37</v>
      </c>
      <c r="M14" s="20" t="inlineStr">
        <is>
          <t>5.4%</t>
        </is>
      </c>
    </row>
    <row r="15">
      <c r="A15" s="16" t="n">
        <v>10</v>
      </c>
      <c r="B15" s="17" t="n">
        <v>330</v>
      </c>
      <c r="C15" s="17" t="inlineStr">
        <is>
          <t>IRISDOREME</t>
        </is>
      </c>
      <c r="D15" s="18" t="inlineStr">
        <is>
          <t>Iris Clothings Ltd</t>
        </is>
      </c>
      <c r="E15" s="18" t="inlineStr">
        <is>
          <t>consumer discretionary</t>
        </is>
      </c>
      <c r="F15" s="16" t="n">
        <v>40</v>
      </c>
      <c r="G15" s="19" t="n">
        <v>1096.31</v>
      </c>
      <c r="H15" s="18" t="inlineStr">
        <is>
          <t>Potential Leader</t>
        </is>
      </c>
      <c r="J15" s="18" t="inlineStr">
        <is>
          <t>bank</t>
        </is>
      </c>
      <c r="K15" s="16" t="n">
        <v>64</v>
      </c>
      <c r="L15" s="16" t="n">
        <v>61</v>
      </c>
      <c r="M15" s="20" t="inlineStr">
        <is>
          <t>4.9%</t>
        </is>
      </c>
    </row>
    <row r="16">
      <c r="A16" s="16" t="n">
        <v>11</v>
      </c>
      <c r="B16" s="17" t="n">
        <v>330</v>
      </c>
      <c r="C16" s="17" t="inlineStr">
        <is>
          <t>RADICO</t>
        </is>
      </c>
      <c r="D16" s="18" t="inlineStr">
        <is>
          <t>Radico Khaitan Limited</t>
        </is>
      </c>
      <c r="E16" s="18" t="inlineStr">
        <is>
          <t>fmcg</t>
        </is>
      </c>
      <c r="F16" s="16" t="n">
        <v>40</v>
      </c>
      <c r="G16" s="19" t="n">
        <v>61608.42</v>
      </c>
      <c r="H16" s="18" t="inlineStr">
        <is>
          <t>Potential Leader</t>
        </is>
      </c>
      <c r="J16" s="18" t="inlineStr">
        <is>
          <t>consumer discretionary</t>
        </is>
      </c>
      <c r="K16" s="16" t="n">
        <v>124</v>
      </c>
      <c r="L16" s="16" t="n">
        <v>122</v>
      </c>
      <c r="M16" s="20" t="inlineStr">
        <is>
          <t>1.6%</t>
        </is>
      </c>
    </row>
    <row r="17">
      <c r="A17" s="16" t="n">
        <v>12</v>
      </c>
      <c r="B17" s="17" t="n">
        <v>324</v>
      </c>
      <c r="C17" s="17" t="inlineStr">
        <is>
          <t>SETL</t>
        </is>
      </c>
      <c r="D17" s="18" t="inlineStr">
        <is>
          <t>Standard Enginnering Technology Ltd</t>
        </is>
      </c>
      <c r="E17" s="18" t="inlineStr">
        <is>
          <t>industrials</t>
        </is>
      </c>
      <c r="F17" s="16" t="n">
        <v>39</v>
      </c>
      <c r="G17" s="19" t="n">
        <v>6231.12</v>
      </c>
      <c r="H17" s="18" t="inlineStr">
        <is>
          <t>Potential Leader</t>
        </is>
      </c>
      <c r="J17" s="18" t="inlineStr">
        <is>
          <t>plastic products</t>
        </is>
      </c>
      <c r="K17" s="16" t="n">
        <v>30</v>
      </c>
      <c r="L17" s="16" t="n">
        <v>30</v>
      </c>
      <c r="M17" s="20" t="inlineStr">
        <is>
          <t>0.0%</t>
        </is>
      </c>
    </row>
    <row r="18">
      <c r="A18" s="16" t="n">
        <v>13</v>
      </c>
      <c r="B18" s="17" t="n">
        <v>312</v>
      </c>
      <c r="C18" s="17" t="inlineStr">
        <is>
          <t>HAPPYFORGE</t>
        </is>
      </c>
      <c r="D18" s="18" t="inlineStr">
        <is>
          <t>Happy Forgings Ltd</t>
        </is>
      </c>
      <c r="E18" s="18" t="inlineStr">
        <is>
          <t>industrials</t>
        </is>
      </c>
      <c r="F18" s="16" t="n">
        <v>37</v>
      </c>
      <c r="G18" s="19" t="n">
        <v>20678.38</v>
      </c>
      <c r="H18" s="18" t="inlineStr">
        <is>
          <t>Potential Leader</t>
        </is>
      </c>
      <c r="J18" s="18" t="inlineStr">
        <is>
          <t>industrials</t>
        </is>
      </c>
      <c r="K18" s="16" t="n">
        <v>304</v>
      </c>
      <c r="L18" s="16" t="n">
        <v>304</v>
      </c>
      <c r="M18" s="20" t="inlineStr">
        <is>
          <t>0.0%</t>
        </is>
      </c>
    </row>
    <row r="19">
      <c r="A19" s="16" t="n">
        <v>14</v>
      </c>
      <c r="B19" s="17" t="n">
        <v>306</v>
      </c>
      <c r="C19" s="17" t="inlineStr">
        <is>
          <t>SONACOMS</t>
        </is>
      </c>
      <c r="D19" s="18" t="inlineStr">
        <is>
          <t>Sona BLW Precision Forgings Ltd</t>
        </is>
      </c>
      <c r="E19" s="18" t="inlineStr">
        <is>
          <t>auto</t>
        </is>
      </c>
      <c r="F19" s="16" t="n">
        <v>36</v>
      </c>
      <c r="G19" s="19" t="n">
        <v>50602.53</v>
      </c>
      <c r="H19" s="18" t="inlineStr">
        <is>
          <t>Potential Leader</t>
        </is>
      </c>
      <c r="J19" s="18" t="inlineStr">
        <is>
          <t>chemicals</t>
        </is>
      </c>
      <c r="K19" s="16" t="n">
        <v>157</v>
      </c>
      <c r="L19" s="16" t="n">
        <v>163</v>
      </c>
      <c r="M19" s="21" t="inlineStr">
        <is>
          <t>-3.7%</t>
        </is>
      </c>
    </row>
    <row r="20">
      <c r="A20" s="16" t="n">
        <v>15</v>
      </c>
      <c r="B20" s="17" t="n">
        <v>300</v>
      </c>
      <c r="C20" s="17" t="inlineStr">
        <is>
          <t>AETHER</t>
        </is>
      </c>
      <c r="D20" s="18" t="inlineStr">
        <is>
          <t>Aether Industries Ltd</t>
        </is>
      </c>
      <c r="E20" s="18" t="inlineStr">
        <is>
          <t>chemicals</t>
        </is>
      </c>
      <c r="F20" s="16" t="n">
        <v>35</v>
      </c>
      <c r="G20" s="19" t="n">
        <v>22133.8</v>
      </c>
      <c r="H20" s="18" t="inlineStr">
        <is>
          <t>Potential Leader</t>
        </is>
      </c>
      <c r="J20" s="18" t="inlineStr">
        <is>
          <t>i.t</t>
        </is>
      </c>
      <c r="K20" s="16" t="n">
        <v>95</v>
      </c>
      <c r="L20" s="16" t="n">
        <v>103</v>
      </c>
      <c r="M20" s="21" t="inlineStr">
        <is>
          <t>-7.8%</t>
        </is>
      </c>
    </row>
    <row r="21">
      <c r="A21" s="16" t="n">
        <v>16</v>
      </c>
      <c r="B21" s="17" t="n">
        <v>282</v>
      </c>
      <c r="C21" s="17" t="inlineStr">
        <is>
          <t>DIACABS</t>
        </is>
      </c>
      <c r="D21" s="18" t="inlineStr">
        <is>
          <t>Diamond Power Infrastructure Ltd</t>
        </is>
      </c>
      <c r="E21" s="18" t="inlineStr">
        <is>
          <t>industrials</t>
        </is>
      </c>
      <c r="F21" s="16" t="n">
        <v>32</v>
      </c>
      <c r="G21" s="19" t="n">
        <v>18612.62</v>
      </c>
      <c r="H21" s="18" t="inlineStr">
        <is>
          <t>Potential Leader</t>
        </is>
      </c>
    </row>
    <row r="22">
      <c r="A22" s="16" t="n">
        <v>17</v>
      </c>
      <c r="B22" s="17" t="n">
        <v>282</v>
      </c>
      <c r="C22" s="17" t="inlineStr">
        <is>
          <t>SUNDRMFAST</t>
        </is>
      </c>
      <c r="D22" s="18" t="inlineStr">
        <is>
          <t>Sundram Fasteners Limited</t>
        </is>
      </c>
      <c r="E22" s="18" t="inlineStr">
        <is>
          <t>auto</t>
        </is>
      </c>
      <c r="F22" s="16" t="n">
        <v>32</v>
      </c>
      <c r="G22" s="19" t="n">
        <v>25619.9</v>
      </c>
      <c r="H22" s="18" t="inlineStr">
        <is>
          <t>Potential Leader</t>
        </is>
      </c>
    </row>
    <row r="23">
      <c r="A23" s="16" t="n">
        <v>18</v>
      </c>
      <c r="B23" s="17" t="n">
        <v>255</v>
      </c>
      <c r="C23" s="17" t="inlineStr">
        <is>
          <t>UNITDSPR</t>
        </is>
      </c>
      <c r="D23" s="18" t="inlineStr">
        <is>
          <t>United Spirits Ltd</t>
        </is>
      </c>
      <c r="E23" s="18" t="inlineStr">
        <is>
          <t>fmcg</t>
        </is>
      </c>
      <c r="F23" s="16" t="n">
        <v>28</v>
      </c>
      <c r="G23" s="19" t="n">
        <v>113103.06</v>
      </c>
      <c r="H23" s="18" t="inlineStr">
        <is>
          <t>Potential Leader</t>
        </is>
      </c>
    </row>
    <row r="24">
      <c r="A24" s="16" t="n">
        <v>19</v>
      </c>
      <c r="B24" s="17" t="n">
        <v>252</v>
      </c>
      <c r="C24" s="17" t="inlineStr">
        <is>
          <t>KABRAEXTRU</t>
        </is>
      </c>
      <c r="D24" s="18" t="inlineStr">
        <is>
          <t>Kabra Extrusion Technik Limited</t>
        </is>
      </c>
      <c r="E24" s="18" t="inlineStr">
        <is>
          <t>industrials</t>
        </is>
      </c>
      <c r="F24" s="16" t="n">
        <v>28</v>
      </c>
      <c r="G24" s="19" t="n">
        <v>2137.19</v>
      </c>
      <c r="H24" s="18" t="inlineStr">
        <is>
          <t>Potential Leader</t>
        </is>
      </c>
    </row>
    <row r="25">
      <c r="A25" s="16" t="n">
        <v>20</v>
      </c>
      <c r="B25" s="17" t="n">
        <v>252</v>
      </c>
      <c r="C25" s="17" t="inlineStr">
        <is>
          <t>QUESS</t>
        </is>
      </c>
      <c r="D25" s="18" t="inlineStr">
        <is>
          <t>Quess Corp Limited</t>
        </is>
      </c>
      <c r="E25" s="18" t="inlineStr">
        <is>
          <t>miscellaneous</t>
        </is>
      </c>
      <c r="F25" s="16" t="n">
        <v>28</v>
      </c>
      <c r="G25" s="19" t="n">
        <v>5057.32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CONCORDBIO</t>
        </is>
      </c>
      <c r="B30" s="18" t="inlineStr">
        <is>
          <t>Concord Biotech Ltd</t>
        </is>
      </c>
      <c r="C30" s="18" t="inlineStr">
        <is>
          <t>healthcare</t>
        </is>
      </c>
      <c r="D30" s="16" t="n">
        <v>10</v>
      </c>
      <c r="E30" s="16" t="n">
        <v>0</v>
      </c>
      <c r="F30" s="19" t="n">
        <v>16104.62</v>
      </c>
      <c r="J30" s="17" t="inlineStr">
        <is>
          <t>INDOBORAX</t>
        </is>
      </c>
      <c r="K30" s="18" t="inlineStr">
        <is>
          <t>chemicals</t>
        </is>
      </c>
      <c r="L30" s="19" t="n">
        <v>300</v>
      </c>
      <c r="M30" s="19" t="n">
        <v>1612.04</v>
      </c>
      <c r="N30" s="16" t="n">
        <v>13</v>
      </c>
    </row>
    <row r="31">
      <c r="A31" s="17" t="inlineStr">
        <is>
          <t>SHANTIGOLD</t>
        </is>
      </c>
      <c r="B31" s="18" t="inlineStr">
        <is>
          <t>Shanti Gold International Ltd</t>
        </is>
      </c>
      <c r="C31" s="18" t="inlineStr">
        <is>
          <t>consumer discretionary</t>
        </is>
      </c>
      <c r="D31" s="16" t="n">
        <v>10</v>
      </c>
      <c r="E31" s="16" t="n">
        <v>2</v>
      </c>
      <c r="F31" s="19" t="n">
        <v>1950.34</v>
      </c>
      <c r="J31" s="17" t="inlineStr">
        <is>
          <t>VADILALIND</t>
        </is>
      </c>
      <c r="K31" s="18" t="inlineStr">
        <is>
          <t>fmcg</t>
        </is>
      </c>
      <c r="L31" s="19" t="n">
        <v>297</v>
      </c>
      <c r="M31" s="19" t="n">
        <v>5337.32</v>
      </c>
      <c r="N31" s="16" t="n">
        <v>30</v>
      </c>
    </row>
    <row r="32">
      <c r="A32" s="17" t="inlineStr">
        <is>
          <t>AARTIPHARM</t>
        </is>
      </c>
      <c r="B32" s="18" t="inlineStr">
        <is>
          <t>Aarti Pharmalabs Ltd</t>
        </is>
      </c>
      <c r="C32" s="18" t="inlineStr">
        <is>
          <t>healthcare</t>
        </is>
      </c>
      <c r="D32" s="16" t="n">
        <v>10</v>
      </c>
      <c r="E32" s="16" t="n">
        <v>2</v>
      </c>
      <c r="F32" s="19" t="n">
        <v>7645.67</v>
      </c>
      <c r="J32" s="17" t="inlineStr">
        <is>
          <t>SCPL</t>
        </is>
      </c>
      <c r="K32" s="18" t="inlineStr">
        <is>
          <t>fmcg</t>
        </is>
      </c>
      <c r="L32" s="19" t="n">
        <v>295</v>
      </c>
      <c r="M32" s="19" t="n">
        <v>684.1799999999999</v>
      </c>
      <c r="N32" s="16" t="n">
        <v>28</v>
      </c>
    </row>
    <row r="33">
      <c r="A33" s="17" t="inlineStr">
        <is>
          <t>BEML</t>
        </is>
      </c>
      <c r="B33" s="18" t="inlineStr">
        <is>
          <t>Beml Limited</t>
        </is>
      </c>
      <c r="C33" s="18" t="inlineStr">
        <is>
          <t>aerospace &amp; defence</t>
        </is>
      </c>
      <c r="D33" s="16" t="n">
        <v>10</v>
      </c>
      <c r="E33" s="16" t="n">
        <v>2</v>
      </c>
      <c r="F33" s="19" t="n">
        <v>15949.84</v>
      </c>
      <c r="J33" s="17" t="inlineStr">
        <is>
          <t>TMB</t>
        </is>
      </c>
      <c r="K33" s="18" t="inlineStr">
        <is>
          <t>bank</t>
        </is>
      </c>
      <c r="L33" s="19" t="n">
        <v>295</v>
      </c>
      <c r="M33" s="19" t="n">
        <v>13857.34</v>
      </c>
      <c r="N33" s="16" t="n">
        <v>21</v>
      </c>
    </row>
    <row r="34">
      <c r="A34" s="17" t="inlineStr">
        <is>
          <t>CHEMBONDCH</t>
        </is>
      </c>
      <c r="B34" s="18" t="inlineStr">
        <is>
          <t>Chembond Chemicals Ltd</t>
        </is>
      </c>
      <c r="C34" s="18" t="inlineStr">
        <is>
          <t>chemicals</t>
        </is>
      </c>
      <c r="D34" s="16" t="n">
        <v>10</v>
      </c>
      <c r="E34" s="16" t="n">
        <v>2</v>
      </c>
      <c r="F34" s="19" t="n">
        <v>736.72</v>
      </c>
      <c r="J34" s="17" t="inlineStr">
        <is>
          <t>PREMIERPOL</t>
        </is>
      </c>
      <c r="K34" s="18" t="inlineStr">
        <is>
          <t>plastic products</t>
        </is>
      </c>
      <c r="L34" s="19" t="n">
        <v>293</v>
      </c>
      <c r="M34" s="19" t="n">
        <v>933.46</v>
      </c>
      <c r="N34" s="16" t="n">
        <v>21</v>
      </c>
    </row>
    <row r="35">
      <c r="A35" s="17" t="inlineStr">
        <is>
          <t>TIIL</t>
        </is>
      </c>
      <c r="B35" s="18" t="inlineStr">
        <is>
          <t>Technocraft Industries (india) Limited</t>
        </is>
      </c>
      <c r="C35" s="18" t="inlineStr">
        <is>
          <t>metals &amp; mining</t>
        </is>
      </c>
      <c r="D35" s="16" t="n">
        <v>10</v>
      </c>
      <c r="E35" s="16" t="n">
        <v>2</v>
      </c>
      <c r="F35" s="19" t="n">
        <v>7802.39</v>
      </c>
      <c r="J35" s="17" t="inlineStr">
        <is>
          <t>BLUSPRING</t>
        </is>
      </c>
      <c r="K35" s="18" t="inlineStr">
        <is>
          <t>miscellaneous</t>
        </is>
      </c>
      <c r="L35" s="19" t="n">
        <v>293</v>
      </c>
      <c r="M35" s="19" t="n">
        <v>1987.71</v>
      </c>
      <c r="N35" s="16" t="n">
        <v>16</v>
      </c>
    </row>
    <row r="36">
      <c r="A36" s="17" t="inlineStr">
        <is>
          <t>GIPCL</t>
        </is>
      </c>
      <c r="B36" s="18" t="inlineStr">
        <is>
          <t>Gujarat Industries Power Company Limited</t>
        </is>
      </c>
      <c r="C36" s="18" t="inlineStr">
        <is>
          <t>power &amp; utilities</t>
        </is>
      </c>
      <c r="D36" s="16" t="n">
        <v>10</v>
      </c>
      <c r="E36" s="16" t="n">
        <v>2</v>
      </c>
      <c r="F36" s="19" t="n">
        <v>2768.9</v>
      </c>
      <c r="J36" s="17" t="inlineStr">
        <is>
          <t>MSTCLTD</t>
        </is>
      </c>
      <c r="K36" s="18" t="inlineStr">
        <is>
          <t>i.t</t>
        </is>
      </c>
      <c r="L36" s="19" t="n">
        <v>293</v>
      </c>
      <c r="M36" s="19" t="n">
        <v>5143.42</v>
      </c>
      <c r="N36" s="16" t="n">
        <v>11</v>
      </c>
    </row>
    <row r="37">
      <c r="A37" s="17" t="inlineStr">
        <is>
          <t>VGUARD</t>
        </is>
      </c>
      <c r="B37" s="18" t="inlineStr">
        <is>
          <t>V-guard Industries Limited</t>
        </is>
      </c>
      <c r="C37" s="18" t="inlineStr">
        <is>
          <t>industrials</t>
        </is>
      </c>
      <c r="D37" s="16" t="n">
        <v>10</v>
      </c>
      <c r="E37" s="16" t="n">
        <v>0</v>
      </c>
      <c r="F37" s="19" t="n">
        <v>14485.12</v>
      </c>
      <c r="J37" s="17" t="inlineStr">
        <is>
          <t>TFCILTD</t>
        </is>
      </c>
      <c r="K37" s="18" t="inlineStr">
        <is>
          <t>financials</t>
        </is>
      </c>
      <c r="L37" s="19" t="n">
        <v>292</v>
      </c>
      <c r="M37" s="19" t="n">
        <v>5998.33</v>
      </c>
      <c r="N37" s="16" t="n">
        <v>28</v>
      </c>
    </row>
    <row r="38">
      <c r="A38" s="17" t="inlineStr">
        <is>
          <t>TNPETRO</t>
        </is>
      </c>
      <c r="B38" s="18" t="inlineStr">
        <is>
          <t>Tamilnadu Petroproducts Limited</t>
        </is>
      </c>
      <c r="C38" s="18" t="inlineStr">
        <is>
          <t>energy</t>
        </is>
      </c>
      <c r="D38" s="16" t="n">
        <v>10</v>
      </c>
      <c r="E38" s="16" t="n">
        <v>0</v>
      </c>
      <c r="F38" s="19" t="n">
        <v>1046.73</v>
      </c>
      <c r="J38" s="17" t="inlineStr">
        <is>
          <t>IOLCP</t>
        </is>
      </c>
      <c r="K38" s="18" t="inlineStr">
        <is>
          <t>healthcare</t>
        </is>
      </c>
      <c r="L38" s="19" t="n">
        <v>292</v>
      </c>
      <c r="M38" s="19" t="n">
        <v>4962.96</v>
      </c>
      <c r="N38" s="16" t="n">
        <v>16</v>
      </c>
    </row>
    <row r="39">
      <c r="A39" s="17" t="inlineStr">
        <is>
          <t>STYLEBAAZA</t>
        </is>
      </c>
      <c r="B39" s="18" t="inlineStr">
        <is>
          <t>Baazar Style Retail Ltd</t>
        </is>
      </c>
      <c r="C39" s="18" t="inlineStr">
        <is>
          <t>consumer discretionary</t>
        </is>
      </c>
      <c r="D39" s="16" t="n">
        <v>10</v>
      </c>
      <c r="E39" s="16" t="n">
        <v>1</v>
      </c>
      <c r="F39" s="19" t="n">
        <v>3020.34</v>
      </c>
      <c r="J39" s="17" t="inlineStr">
        <is>
          <t>WELINV</t>
        </is>
      </c>
      <c r="K39" s="18" t="inlineStr">
        <is>
          <t>financials</t>
        </is>
      </c>
      <c r="L39" s="19" t="n">
        <v>290</v>
      </c>
      <c r="M39" s="19" t="n">
        <v>775.88</v>
      </c>
      <c r="N39" s="16" t="n">
        <v>12</v>
      </c>
    </row>
    <row r="40">
      <c r="A40" s="17" t="inlineStr">
        <is>
          <t>SYNCOMF</t>
        </is>
      </c>
      <c r="B40" s="18" t="inlineStr">
        <is>
          <t>Syncom Formulations (India) Ltd</t>
        </is>
      </c>
      <c r="C40" s="18" t="inlineStr">
        <is>
          <t>healthcare</t>
        </is>
      </c>
      <c r="D40" s="16" t="n">
        <v>9</v>
      </c>
      <c r="E40" s="16" t="n">
        <v>0</v>
      </c>
      <c r="F40" s="19" t="n">
        <v>1614.92</v>
      </c>
      <c r="J40" s="17" t="inlineStr">
        <is>
          <t>VINDHYATEL</t>
        </is>
      </c>
      <c r="K40" s="18" t="inlineStr">
        <is>
          <t>realty</t>
        </is>
      </c>
      <c r="L40" s="19" t="n">
        <v>288</v>
      </c>
      <c r="M40" s="19" t="n">
        <v>2830.46</v>
      </c>
      <c r="N40" s="16" t="n">
        <v>18</v>
      </c>
    </row>
    <row r="41">
      <c r="A41" s="17" t="inlineStr">
        <is>
          <t>HATSUN</t>
        </is>
      </c>
      <c r="B41" s="18" t="inlineStr">
        <is>
          <t>Hatsun Agro Product Limited</t>
        </is>
      </c>
      <c r="C41" s="18" t="inlineStr">
        <is>
          <t>fmcg</t>
        </is>
      </c>
      <c r="D41" s="16" t="n">
        <v>9</v>
      </c>
      <c r="E41" s="16" t="n">
        <v>1</v>
      </c>
      <c r="F41" s="19" t="n">
        <v>23266.06</v>
      </c>
      <c r="J41" s="17" t="inlineStr">
        <is>
          <t>KANORICHEM</t>
        </is>
      </c>
      <c r="K41" s="18" t="inlineStr">
        <is>
          <t>chemicals</t>
        </is>
      </c>
      <c r="L41" s="19" t="n">
        <v>288</v>
      </c>
      <c r="M41" s="19" t="n">
        <v>675.8</v>
      </c>
      <c r="N41" s="16" t="n">
        <v>28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131.49</v>
      </c>
      <c r="D47" s="28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2847.67</v>
      </c>
    </row>
    <row r="48">
      <c r="A48" s="16" t="n">
        <v>2</v>
      </c>
      <c r="B48" s="27" t="n">
        <v>99</v>
      </c>
      <c r="C48" s="28" t="n">
        <v>67.90000000000001</v>
      </c>
      <c r="D48" s="28" t="n">
        <v>275</v>
      </c>
      <c r="E48" s="17" t="inlineStr">
        <is>
          <t>KABRAEXTRU</t>
        </is>
      </c>
      <c r="F48" s="18" t="inlineStr">
        <is>
          <t>Kabra Extrusion Technik Limited</t>
        </is>
      </c>
      <c r="G48" s="18" t="inlineStr">
        <is>
          <t>industrials</t>
        </is>
      </c>
      <c r="H48" s="19" t="n">
        <v>2137.19</v>
      </c>
    </row>
    <row r="49">
      <c r="A49" s="16" t="n">
        <v>3</v>
      </c>
      <c r="B49" s="27" t="n">
        <v>98</v>
      </c>
      <c r="C49" s="28" t="n">
        <v>64.91</v>
      </c>
      <c r="D49" s="28" t="n">
        <v>268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12502.01</v>
      </c>
    </row>
    <row r="50">
      <c r="A50" s="16" t="n">
        <v>4</v>
      </c>
      <c r="B50" s="27" t="n">
        <v>98</v>
      </c>
      <c r="C50" s="28" t="n">
        <v>56.35</v>
      </c>
      <c r="D50" s="28" t="n">
        <v>277</v>
      </c>
      <c r="E50" s="17" t="inlineStr">
        <is>
          <t>INDSWFTLAB</t>
        </is>
      </c>
      <c r="F50" s="18" t="inlineStr">
        <is>
          <t>Ind-swift Laboratories Limited</t>
        </is>
      </c>
      <c r="G50" s="18" t="inlineStr">
        <is>
          <t>healthcare</t>
        </is>
      </c>
      <c r="H50" s="19" t="n">
        <v>2845.99</v>
      </c>
    </row>
    <row r="51">
      <c r="A51" s="16" t="n">
        <v>5</v>
      </c>
      <c r="B51" s="27" t="n">
        <v>98</v>
      </c>
      <c r="C51" s="28" t="n">
        <v>49.28</v>
      </c>
      <c r="D51" s="28" t="n">
        <v>273</v>
      </c>
      <c r="E51" s="17" t="inlineStr">
        <is>
          <t>SETL</t>
        </is>
      </c>
      <c r="F51" s="18" t="inlineStr">
        <is>
          <t>Standard Enginnering Technology Ltd</t>
        </is>
      </c>
      <c r="G51" s="18" t="inlineStr">
        <is>
          <t>industrials</t>
        </is>
      </c>
      <c r="H51" s="19" t="n">
        <v>6231.12</v>
      </c>
    </row>
    <row r="52">
      <c r="A52" s="16" t="n">
        <v>6</v>
      </c>
      <c r="B52" s="27" t="n">
        <v>97</v>
      </c>
      <c r="C52" s="28" t="n">
        <v>49.06</v>
      </c>
      <c r="D52" s="28" t="n">
        <v>260</v>
      </c>
      <c r="E52" s="17" t="inlineStr">
        <is>
          <t>BAFNAPH</t>
        </is>
      </c>
      <c r="F52" s="18" t="inlineStr">
        <is>
          <t>Bafna Pharmaceuticals Ltd</t>
        </is>
      </c>
      <c r="G52" s="18" t="inlineStr">
        <is>
          <t>healthcare</t>
        </is>
      </c>
      <c r="H52" s="19" t="n">
        <v>602.17</v>
      </c>
    </row>
    <row r="53">
      <c r="A53" s="16" t="n">
        <v>7</v>
      </c>
      <c r="B53" s="27" t="n">
        <v>97</v>
      </c>
      <c r="C53" s="28" t="n">
        <v>45.58</v>
      </c>
      <c r="D53" s="28" t="n">
        <v>278</v>
      </c>
      <c r="E53" s="17" t="inlineStr">
        <is>
          <t>UFBL</t>
        </is>
      </c>
      <c r="F53" s="18" t="inlineStr">
        <is>
          <t>United Foodbrands Ltd</t>
        </is>
      </c>
      <c r="G53" s="18" t="inlineStr">
        <is>
          <t>consumer discretionary</t>
        </is>
      </c>
      <c r="H53" s="19" t="n">
        <v>3275.24</v>
      </c>
    </row>
    <row r="54">
      <c r="A54" s="16" t="n">
        <v>8</v>
      </c>
      <c r="B54" s="27" t="n">
        <v>96</v>
      </c>
      <c r="C54" s="28" t="n">
        <v>45.41</v>
      </c>
      <c r="D54" s="28" t="n">
        <v>282</v>
      </c>
      <c r="E54" s="17" t="inlineStr">
        <is>
          <t>MOREPENLAB</t>
        </is>
      </c>
      <c r="F54" s="18" t="inlineStr">
        <is>
          <t>Morepen Laboratories Limited</t>
        </is>
      </c>
      <c r="G54" s="18" t="inlineStr">
        <is>
          <t>healthcare</t>
        </is>
      </c>
      <c r="H54" s="19" t="n">
        <v>5217.62</v>
      </c>
    </row>
    <row r="55">
      <c r="A55" s="16" t="n">
        <v>9</v>
      </c>
      <c r="B55" s="27" t="n">
        <v>96</v>
      </c>
      <c r="C55" s="28" t="n">
        <v>44.78</v>
      </c>
      <c r="D55" s="28" t="n">
        <v>260</v>
      </c>
      <c r="E55" s="17" t="inlineStr">
        <is>
          <t>YASHO</t>
        </is>
      </c>
      <c r="F55" s="18" t="inlineStr">
        <is>
          <t>Yasho Industries Ltd</t>
        </is>
      </c>
      <c r="G55" s="18" t="inlineStr">
        <is>
          <t>chemicals</t>
        </is>
      </c>
      <c r="H55" s="19" t="n">
        <v>5194.8</v>
      </c>
    </row>
    <row r="56">
      <c r="A56" s="16" t="n">
        <v>10</v>
      </c>
      <c r="B56" s="27" t="n">
        <v>96</v>
      </c>
      <c r="C56" s="28" t="n">
        <v>42.53</v>
      </c>
      <c r="D56" s="28" t="n">
        <v>265</v>
      </c>
      <c r="E56" s="17" t="inlineStr">
        <is>
          <t>MACPOWER</t>
        </is>
      </c>
      <c r="F56" s="18" t="inlineStr">
        <is>
          <t>Macpower CNC Machines Ltd</t>
        </is>
      </c>
      <c r="G56" s="18" t="inlineStr">
        <is>
          <t>industrials</t>
        </is>
      </c>
      <c r="H56" s="19" t="n">
        <v>1964.22</v>
      </c>
    </row>
    <row r="57">
      <c r="A57" s="16" t="n">
        <v>11</v>
      </c>
      <c r="B57" s="27" t="n">
        <v>95</v>
      </c>
      <c r="C57" s="28" t="n">
        <v>40.29</v>
      </c>
      <c r="D57" s="28" t="n">
        <v>277</v>
      </c>
      <c r="E57" s="17" t="inlineStr">
        <is>
          <t>KPL</t>
        </is>
      </c>
      <c r="F57" s="18" t="inlineStr">
        <is>
          <t>Kwality Pharmaceuticals Limited</t>
        </is>
      </c>
      <c r="G57" s="18" t="inlineStr">
        <is>
          <t>Healthcare</t>
        </is>
      </c>
      <c r="H57" s="19" t="n">
        <v>3498.75</v>
      </c>
    </row>
    <row r="58">
      <c r="A58" s="16" t="n">
        <v>12</v>
      </c>
      <c r="B58" s="27" t="n">
        <v>95</v>
      </c>
      <c r="C58" s="28" t="n">
        <v>39.95</v>
      </c>
      <c r="D58" s="28" t="n">
        <v>270</v>
      </c>
      <c r="E58" s="17" t="inlineStr">
        <is>
          <t>BLISSGVS</t>
        </is>
      </c>
      <c r="F58" s="18" t="inlineStr">
        <is>
          <t>Bliss Gvs Pharma Limited</t>
        </is>
      </c>
      <c r="G58" s="18" t="inlineStr">
        <is>
          <t>healthcare</t>
        </is>
      </c>
      <c r="H58" s="19" t="n">
        <v>5991.12</v>
      </c>
    </row>
    <row r="59">
      <c r="A59" s="16" t="n">
        <v>13</v>
      </c>
      <c r="B59" s="27" t="n">
        <v>95</v>
      </c>
      <c r="C59" s="28" t="n">
        <v>39.7</v>
      </c>
      <c r="D59" s="28" t="n">
        <v>292</v>
      </c>
      <c r="E59" s="17" t="inlineStr">
        <is>
          <t>TFCILTD</t>
        </is>
      </c>
      <c r="F59" s="18" t="inlineStr">
        <is>
          <t>Tourism Finance Corporation Of India Limited</t>
        </is>
      </c>
      <c r="G59" s="18" t="inlineStr">
        <is>
          <t>financials</t>
        </is>
      </c>
      <c r="H59" s="19" t="n">
        <v>5998.33</v>
      </c>
    </row>
    <row r="60">
      <c r="A60" s="16" t="n">
        <v>14</v>
      </c>
      <c r="B60" s="29" t="n">
        <v>94</v>
      </c>
      <c r="C60" s="28" t="n">
        <v>38.51</v>
      </c>
      <c r="D60" s="28" t="n">
        <v>275</v>
      </c>
      <c r="E60" s="17" t="inlineStr">
        <is>
          <t>MODISONLTD</t>
        </is>
      </c>
      <c r="F60" s="18" t="inlineStr">
        <is>
          <t>Modison Ltd</t>
        </is>
      </c>
      <c r="G60" s="18" t="inlineStr">
        <is>
          <t>industrials</t>
        </is>
      </c>
      <c r="H60" s="19" t="n">
        <v>1287.62</v>
      </c>
    </row>
    <row r="61">
      <c r="A61" s="16" t="n">
        <v>15</v>
      </c>
      <c r="B61" s="29" t="n">
        <v>94</v>
      </c>
      <c r="C61" s="28" t="n">
        <v>38.33</v>
      </c>
      <c r="D61" s="28" t="n">
        <v>270</v>
      </c>
      <c r="E61" s="17" t="inlineStr">
        <is>
          <t>SKYGOLD</t>
        </is>
      </c>
      <c r="F61" s="18" t="inlineStr">
        <is>
          <t>Sky Gold Ltd</t>
        </is>
      </c>
      <c r="G61" s="18" t="inlineStr">
        <is>
          <t>consumer discretionary</t>
        </is>
      </c>
      <c r="H61" s="19" t="n">
        <v>12358.94</v>
      </c>
    </row>
    <row r="62">
      <c r="A62" s="16" t="n">
        <v>16</v>
      </c>
      <c r="B62" s="29" t="n">
        <v>94</v>
      </c>
      <c r="C62" s="28" t="n">
        <v>36.38</v>
      </c>
      <c r="D62" s="28" t="n">
        <v>268</v>
      </c>
      <c r="E62" s="17" t="inlineStr">
        <is>
          <t>COMSYN</t>
        </is>
      </c>
      <c r="F62" s="18" t="inlineStr">
        <is>
          <t>Commercial Syn Bags Ltd</t>
        </is>
      </c>
      <c r="G62" s="18" t="inlineStr">
        <is>
          <t>industrials</t>
        </is>
      </c>
      <c r="H62" s="19" t="n">
        <v>1166.49</v>
      </c>
    </row>
    <row r="63">
      <c r="A63" s="16" t="n">
        <v>17</v>
      </c>
      <c r="B63" s="29" t="n">
        <v>93</v>
      </c>
      <c r="C63" s="28" t="n">
        <v>36.15</v>
      </c>
      <c r="D63" s="28" t="n">
        <v>285</v>
      </c>
      <c r="E63" s="17" t="inlineStr">
        <is>
          <t>PARAS</t>
        </is>
      </c>
      <c r="F63" s="18" t="inlineStr">
        <is>
          <t>Paras Defence and Space Technologies Ltd</t>
        </is>
      </c>
      <c r="G63" s="18" t="inlineStr">
        <is>
          <t>aerospace &amp; defence</t>
        </is>
      </c>
      <c r="H63" s="19" t="n">
        <v>12249.27</v>
      </c>
    </row>
    <row r="64">
      <c r="A64" s="16" t="n">
        <v>18</v>
      </c>
      <c r="B64" s="29" t="n">
        <v>93</v>
      </c>
      <c r="C64" s="28" t="n">
        <v>34.59</v>
      </c>
      <c r="D64" s="28" t="n">
        <v>272</v>
      </c>
      <c r="E64" s="17" t="inlineStr">
        <is>
          <t>SHILPAMED</t>
        </is>
      </c>
      <c r="F64" s="18" t="inlineStr">
        <is>
          <t>Shilpa Medicare Limited</t>
        </is>
      </c>
      <c r="G64" s="18" t="inlineStr">
        <is>
          <t>healthcare</t>
        </is>
      </c>
      <c r="H64" s="19" t="n">
        <v>16737.89</v>
      </c>
    </row>
    <row r="65">
      <c r="A65" s="16" t="n">
        <v>19</v>
      </c>
      <c r="B65" s="29" t="n">
        <v>92</v>
      </c>
      <c r="C65" s="28" t="n">
        <v>33.78</v>
      </c>
      <c r="D65" s="28" t="n">
        <v>273</v>
      </c>
      <c r="E65" s="17" t="inlineStr">
        <is>
          <t>PANACHE</t>
        </is>
      </c>
      <c r="F65" s="18" t="inlineStr">
        <is>
          <t>Panache Digilife Ltd</t>
        </is>
      </c>
      <c r="G65" s="18" t="inlineStr">
        <is>
          <t>i.t</t>
        </is>
      </c>
      <c r="H65" s="19" t="n">
        <v>878.45</v>
      </c>
    </row>
    <row r="66">
      <c r="A66" s="16" t="n">
        <v>20</v>
      </c>
      <c r="B66" s="29" t="n">
        <v>92</v>
      </c>
      <c r="C66" s="28" t="n">
        <v>33.77</v>
      </c>
      <c r="D66" s="28" t="n">
        <v>270</v>
      </c>
      <c r="E66" s="17" t="inlineStr">
        <is>
          <t>E2E</t>
        </is>
      </c>
      <c r="F66" s="18" t="inlineStr">
        <is>
          <t>E2E Networks Ltd</t>
        </is>
      </c>
      <c r="G66" s="18" t="inlineStr">
        <is>
          <t>i.t</t>
        </is>
      </c>
      <c r="H66" s="19" t="n">
        <v>12599.07</v>
      </c>
    </row>
    <row r="67">
      <c r="A67" s="16" t="n">
        <v>21</v>
      </c>
      <c r="B67" s="29" t="n">
        <v>92</v>
      </c>
      <c r="C67" s="28" t="n">
        <v>32.57</v>
      </c>
      <c r="D67" s="28" t="n">
        <v>285</v>
      </c>
      <c r="E67" s="17" t="inlineStr">
        <is>
          <t>KMEW</t>
        </is>
      </c>
      <c r="F67" s="18" t="inlineStr">
        <is>
          <t>Knowledge Marine &amp; Engineering Works Ltd</t>
        </is>
      </c>
      <c r="G67" s="18" t="inlineStr">
        <is>
          <t>transportation</t>
        </is>
      </c>
      <c r="H67" s="19" t="n">
        <v>6630.95</v>
      </c>
    </row>
    <row r="68">
      <c r="A68" s="16" t="n">
        <v>22</v>
      </c>
      <c r="B68" s="29" t="n">
        <v>91</v>
      </c>
      <c r="C68" s="28" t="n">
        <v>31.71</v>
      </c>
      <c r="D68" s="28" t="n">
        <v>273</v>
      </c>
      <c r="E68" s="17" t="inlineStr">
        <is>
          <t>HAPPYFORGE</t>
        </is>
      </c>
      <c r="F68" s="18" t="inlineStr">
        <is>
          <t>Happy Forgings Ltd</t>
        </is>
      </c>
      <c r="G68" s="18" t="inlineStr">
        <is>
          <t>industrials</t>
        </is>
      </c>
      <c r="H68" s="19" t="n">
        <v>20678.38</v>
      </c>
    </row>
    <row r="69">
      <c r="A69" s="16" t="n">
        <v>23</v>
      </c>
      <c r="B69" s="29" t="n">
        <v>91</v>
      </c>
      <c r="C69" s="28" t="n">
        <v>30.46</v>
      </c>
      <c r="D69" s="28" t="n">
        <v>300</v>
      </c>
      <c r="E69" s="17" t="inlineStr">
        <is>
          <t>INDOBORAX</t>
        </is>
      </c>
      <c r="F69" s="18" t="inlineStr">
        <is>
          <t>Indo Borax &amp; Chemicals Ltd</t>
        </is>
      </c>
      <c r="G69" s="18" t="inlineStr">
        <is>
          <t>chemicals</t>
        </is>
      </c>
      <c r="H69" s="19" t="n">
        <v>1612.04</v>
      </c>
    </row>
    <row r="70">
      <c r="A70" s="16" t="n">
        <v>24</v>
      </c>
      <c r="B70" s="29" t="n">
        <v>91</v>
      </c>
      <c r="C70" s="28" t="n">
        <v>29.85</v>
      </c>
      <c r="D70" s="28" t="n">
        <v>283</v>
      </c>
      <c r="E70" s="17" t="inlineStr">
        <is>
          <t>FILATEX</t>
        </is>
      </c>
      <c r="F70" s="18" t="inlineStr">
        <is>
          <t>Filatex India Limited</t>
        </is>
      </c>
      <c r="G70" s="18" t="inlineStr">
        <is>
          <t>textiles</t>
        </is>
      </c>
      <c r="H70" s="19" t="n">
        <v>3732.31</v>
      </c>
    </row>
    <row r="71">
      <c r="A71" s="16" t="n">
        <v>25</v>
      </c>
      <c r="B71" s="29" t="n">
        <v>90</v>
      </c>
      <c r="C71" s="28" t="n">
        <v>29.75</v>
      </c>
      <c r="D71" s="28" t="n">
        <v>275</v>
      </c>
      <c r="E71" s="17" t="inlineStr">
        <is>
          <t>AVALON</t>
        </is>
      </c>
      <c r="F71" s="18" t="inlineStr">
        <is>
          <t>Avalon Technologies Ltd</t>
        </is>
      </c>
      <c r="G71" s="18" t="inlineStr">
        <is>
          <t>consumer discretionary</t>
        </is>
      </c>
      <c r="H71" s="19" t="n">
        <v>14160.08</v>
      </c>
    </row>
    <row r="72">
      <c r="A72" s="16" t="n">
        <v>26</v>
      </c>
      <c r="B72" s="29" t="n">
        <v>90</v>
      </c>
      <c r="C72" s="28" t="n">
        <v>29.73</v>
      </c>
      <c r="D72" s="28" t="n">
        <v>288</v>
      </c>
      <c r="E72" s="17" t="inlineStr">
        <is>
          <t>KANORICHEM</t>
        </is>
      </c>
      <c r="F72" s="18" t="inlineStr">
        <is>
          <t>Kanoria Chemicals &amp; Industries Limited</t>
        </is>
      </c>
      <c r="G72" s="18" t="inlineStr">
        <is>
          <t>chemicals</t>
        </is>
      </c>
      <c r="H72" s="19" t="n">
        <v>675.8</v>
      </c>
    </row>
    <row r="73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FACT</t>
        </is>
      </c>
      <c r="B2" s="31" t="inlineStr">
        <is>
          <t>Fertilizers And Chemicals Travancore Limited</t>
        </is>
      </c>
      <c r="C2" s="31" t="inlineStr">
        <is>
          <t>chemicals</t>
        </is>
      </c>
      <c r="D2" s="31" t="inlineStr">
        <is>
          <t>fertilizers</t>
        </is>
      </c>
      <c r="E2" s="31" t="inlineStr">
        <is>
          <t>largecap</t>
        </is>
      </c>
      <c r="F2" s="31" t="n">
        <v>50746.62</v>
      </c>
      <c r="G2" s="31" t="n">
        <v>876.1</v>
      </c>
      <c r="H2" s="31" t="n">
        <v>11.71</v>
      </c>
      <c r="I2" s="31" t="n">
        <v>36380722</v>
      </c>
      <c r="J2" s="31" t="inlineStr">
        <is>
          <t>590024</t>
        </is>
      </c>
    </row>
    <row r="3">
      <c r="A3" s="31" t="inlineStr">
        <is>
          <t>FMGOETZE</t>
        </is>
      </c>
      <c r="B3" s="31" t="inlineStr">
        <is>
          <t>Federal-mogul Goetze (india) Limited.</t>
        </is>
      </c>
      <c r="C3" s="31" t="inlineStr">
        <is>
          <t>auto</t>
        </is>
      </c>
      <c r="D3" s="31" t="inlineStr">
        <is>
          <t>auto ancillaries</t>
        </is>
      </c>
      <c r="E3" s="31" t="inlineStr">
        <is>
          <t>smallcap</t>
        </is>
      </c>
      <c r="F3" s="31" t="n">
        <v>2688.98</v>
      </c>
      <c r="G3" s="31" t="n">
        <v>534.1</v>
      </c>
      <c r="H3" s="31" t="n">
        <v>10.5</v>
      </c>
      <c r="I3" s="31" t="n">
        <v>22301628</v>
      </c>
      <c r="J3" s="31" t="inlineStr">
        <is>
          <t>505744</t>
        </is>
      </c>
    </row>
    <row r="4">
      <c r="A4" s="31" t="inlineStr">
        <is>
          <t>APOLLOPIPE</t>
        </is>
      </c>
      <c r="B4" s="31" t="inlineStr">
        <is>
          <t>Apollo Pipes Ltd</t>
        </is>
      </c>
      <c r="C4" s="31" t="inlineStr">
        <is>
          <t>plastic products</t>
        </is>
      </c>
      <c r="D4" s="31" t="inlineStr">
        <is>
          <t>plastics products</t>
        </is>
      </c>
      <c r="E4" s="31" t="inlineStr">
        <is>
          <t>smallcap</t>
        </is>
      </c>
      <c r="F4" s="31" t="n">
        <v>2683.64</v>
      </c>
      <c r="G4" s="31" t="n">
        <v>663.75</v>
      </c>
      <c r="H4" s="31" t="n">
        <v>8.949999999999999</v>
      </c>
      <c r="I4" s="31" t="n">
        <v>2852802</v>
      </c>
      <c r="J4" s="31" t="inlineStr">
        <is>
          <t>531761</t>
        </is>
      </c>
    </row>
    <row r="5">
      <c r="A5" s="31" t="inlineStr">
        <is>
          <t>IDEA</t>
        </is>
      </c>
      <c r="B5" s="31" t="inlineStr">
        <is>
          <t>Vodafone Idea Ltd</t>
        </is>
      </c>
      <c r="C5" s="31" t="inlineStr">
        <is>
          <t>telecom-service</t>
        </is>
      </c>
      <c r="D5" s="31" t="inlineStr">
        <is>
          <t>telecommunications - service provider</t>
        </is>
      </c>
      <c r="E5" s="31" t="inlineStr">
        <is>
          <t>largecap</t>
        </is>
      </c>
      <c r="F5" s="31" t="n">
        <v>152438.65</v>
      </c>
      <c r="G5" s="31" t="n">
        <v>15.19</v>
      </c>
      <c r="H5" s="31" t="n">
        <v>7.96</v>
      </c>
      <c r="I5" s="31" t="n">
        <v>1574066520</v>
      </c>
      <c r="J5" s="31" t="inlineStr">
        <is>
          <t>532822</t>
        </is>
      </c>
    </row>
    <row r="6">
      <c r="A6" s="31" t="inlineStr">
        <is>
          <t>NITINSPIN</t>
        </is>
      </c>
      <c r="B6" s="31" t="inlineStr">
        <is>
          <t>Nitin Spinners Limited</t>
        </is>
      </c>
      <c r="C6" s="31" t="inlineStr">
        <is>
          <t>textiles</t>
        </is>
      </c>
      <c r="D6" s="31" t="inlineStr">
        <is>
          <t>textiles - cotton/blended</t>
        </is>
      </c>
      <c r="E6" s="31" t="inlineStr">
        <is>
          <t>smallcap</t>
        </is>
      </c>
      <c r="F6" s="31" t="n">
        <v>3261.6</v>
      </c>
      <c r="G6" s="31" t="n">
        <v>623.65</v>
      </c>
      <c r="H6" s="31" t="n">
        <v>7.5</v>
      </c>
      <c r="I6" s="31" t="n">
        <v>787696</v>
      </c>
      <c r="J6" s="31" t="inlineStr">
        <is>
          <t>532698</t>
        </is>
      </c>
    </row>
    <row r="7">
      <c r="A7" s="31" t="inlineStr">
        <is>
          <t>GIPCL</t>
        </is>
      </c>
      <c r="B7" s="31" t="inlineStr">
        <is>
          <t>Gujarat Industries Power Company Limited</t>
        </is>
      </c>
      <c r="C7" s="31" t="inlineStr">
        <is>
          <t>power &amp; utilities</t>
        </is>
      </c>
      <c r="D7" s="31" t="inlineStr">
        <is>
          <t>power generation and supply</t>
        </is>
      </c>
      <c r="E7" s="31" t="inlineStr">
        <is>
          <t>smallcap</t>
        </is>
      </c>
      <c r="F7" s="31" t="n">
        <v>2768.9</v>
      </c>
      <c r="G7" s="31" t="n">
        <v>190.72</v>
      </c>
      <c r="H7" s="31" t="n">
        <v>6.91</v>
      </c>
      <c r="I7" s="31" t="n">
        <v>4136580</v>
      </c>
      <c r="J7" s="31" t="inlineStr">
        <is>
          <t>517300</t>
        </is>
      </c>
    </row>
    <row r="8">
      <c r="A8" s="31" t="inlineStr">
        <is>
          <t>ENTERO</t>
        </is>
      </c>
      <c r="B8" s="31" t="inlineStr">
        <is>
          <t>Entero Healthcare Solutions Ltd</t>
        </is>
      </c>
      <c r="C8" s="31" t="inlineStr">
        <is>
          <t>healthcare</t>
        </is>
      </c>
      <c r="D8" s="31" t="inlineStr">
        <is>
          <t>trading</t>
        </is>
      </c>
      <c r="E8" s="31" t="inlineStr">
        <is>
          <t>midcap</t>
        </is>
      </c>
      <c r="F8" s="31" t="n">
        <v>6658.16</v>
      </c>
      <c r="G8" s="31" t="n">
        <v>1633</v>
      </c>
      <c r="H8" s="31" t="n">
        <v>6.75</v>
      </c>
      <c r="I8" s="31" t="n">
        <v>2519389</v>
      </c>
      <c r="J8" s="31" t="inlineStr">
        <is>
          <t>544122</t>
        </is>
      </c>
    </row>
    <row r="9">
      <c r="A9" s="31" t="inlineStr">
        <is>
          <t>SHREEPUSHK</t>
        </is>
      </c>
      <c r="B9" s="31" t="inlineStr">
        <is>
          <t>Shree Pushkar Chemicals &amp; Fertilisers Limited</t>
        </is>
      </c>
      <c r="C9" s="31" t="inlineStr">
        <is>
          <t>chemicals</t>
        </is>
      </c>
      <c r="D9" s="31" t="inlineStr">
        <is>
          <t>dyes and pigments</t>
        </is>
      </c>
      <c r="E9" s="31" t="inlineStr">
        <is>
          <t>smallcap</t>
        </is>
      </c>
      <c r="F9" s="31" t="n">
        <v>1380.5</v>
      </c>
      <c r="G9" s="31" t="n">
        <v>454.1</v>
      </c>
      <c r="H9" s="31" t="n">
        <v>6.37</v>
      </c>
      <c r="I9" s="31" t="n">
        <v>530431</v>
      </c>
      <c r="J9" s="31" t="inlineStr">
        <is>
          <t>539334</t>
        </is>
      </c>
    </row>
    <row r="10">
      <c r="A10" s="31" t="inlineStr">
        <is>
          <t>SPORTKING</t>
        </is>
      </c>
      <c r="B10" s="31" t="inlineStr">
        <is>
          <t>Sportking India Ltd</t>
        </is>
      </c>
      <c r="C10" s="31" t="inlineStr">
        <is>
          <t>textiles</t>
        </is>
      </c>
      <c r="D10" s="31" t="inlineStr">
        <is>
          <t>textiles - spinning - synthetic / blended</t>
        </is>
      </c>
      <c r="E10" s="31" t="inlineStr">
        <is>
          <t>smallcap</t>
        </is>
      </c>
      <c r="F10" s="31" t="n">
        <v>2730.27</v>
      </c>
      <c r="G10" s="31" t="n">
        <v>228.26</v>
      </c>
      <c r="H10" s="31" t="n">
        <v>6.24</v>
      </c>
      <c r="I10" s="31" t="n">
        <v>1811370</v>
      </c>
      <c r="J10" s="31" t="inlineStr">
        <is>
          <t>539221</t>
        </is>
      </c>
    </row>
    <row r="11">
      <c r="A11" s="31" t="inlineStr">
        <is>
          <t>PAYTM</t>
        </is>
      </c>
      <c r="B11" s="31" t="inlineStr">
        <is>
          <t>One 97 Communications Ltd</t>
        </is>
      </c>
      <c r="C11" s="31" t="inlineStr">
        <is>
          <t>i.t</t>
        </is>
      </c>
      <c r="D11" s="31" t="inlineStr">
        <is>
          <t>miscellaneous</t>
        </is>
      </c>
      <c r="E11" s="31" t="inlineStr">
        <is>
          <t>largecap</t>
        </is>
      </c>
      <c r="F11" s="31" t="n">
        <v>103958.71</v>
      </c>
      <c r="G11" s="31" t="n">
        <v>1718</v>
      </c>
      <c r="H11" s="31" t="n">
        <v>5.82</v>
      </c>
      <c r="I11" s="31" t="n">
        <v>10127654</v>
      </c>
      <c r="J11" s="31" t="inlineStr">
        <is>
          <t>543396</t>
        </is>
      </c>
    </row>
    <row r="12">
      <c r="A12" s="31" t="inlineStr">
        <is>
          <t>TFCILTD</t>
        </is>
      </c>
      <c r="B12" s="31" t="inlineStr">
        <is>
          <t>Tourism Finance Corporation Of India Limited</t>
        </is>
      </c>
      <c r="C12" s="31" t="inlineStr">
        <is>
          <t>financials</t>
        </is>
      </c>
      <c r="D12" s="31" t="inlineStr">
        <is>
          <t>finance - term-lending institutions</t>
        </is>
      </c>
      <c r="E12" s="31" t="inlineStr">
        <is>
          <t>midcap</t>
        </is>
      </c>
      <c r="F12" s="31" t="n">
        <v>5998.33</v>
      </c>
      <c r="G12" s="31" t="n">
        <v>137.02</v>
      </c>
      <c r="H12" s="31" t="n">
        <v>5.76</v>
      </c>
      <c r="I12" s="31" t="n">
        <v>23133673</v>
      </c>
      <c r="J12" s="31" t="inlineStr">
        <is>
          <t>526650</t>
        </is>
      </c>
    </row>
    <row r="13">
      <c r="A13" s="31" t="inlineStr">
        <is>
          <t>PVP</t>
        </is>
      </c>
      <c r="B13" s="31" t="inlineStr">
        <is>
          <t>Pvp Ventures Limited</t>
        </is>
      </c>
      <c r="C13" s="31" t="inlineStr">
        <is>
          <t>realty</t>
        </is>
      </c>
      <c r="D13" s="31" t="inlineStr">
        <is>
          <t>construction</t>
        </is>
      </c>
      <c r="E13" s="31" t="inlineStr">
        <is>
          <t>smallcap</t>
        </is>
      </c>
      <c r="F13" s="31" t="n">
        <v>1265.3</v>
      </c>
      <c r="G13" s="31" t="n">
        <v>51.35</v>
      </c>
      <c r="H13" s="31" t="n">
        <v>5.68</v>
      </c>
      <c r="I13" s="31" t="n">
        <v>8889184</v>
      </c>
      <c r="J13" s="31" t="inlineStr">
        <is>
          <t>517556</t>
        </is>
      </c>
    </row>
    <row r="14">
      <c r="A14" s="31" t="inlineStr">
        <is>
          <t>SKYGOLD</t>
        </is>
      </c>
      <c r="B14" s="31" t="inlineStr">
        <is>
          <t>Sky Gold Ltd</t>
        </is>
      </c>
      <c r="C14" s="31" t="inlineStr">
        <is>
          <t>consumer discretionary</t>
        </is>
      </c>
      <c r="D14" s="31" t="inlineStr">
        <is>
          <t>diamond cutting / jewellery</t>
        </is>
      </c>
      <c r="E14" s="31" t="inlineStr">
        <is>
          <t>midcap</t>
        </is>
      </c>
      <c r="F14" s="31" t="n">
        <v>12358.94</v>
      </c>
      <c r="G14" s="31" t="n">
        <v>842.3</v>
      </c>
      <c r="H14" s="31" t="n">
        <v>5.55</v>
      </c>
      <c r="I14" s="31" t="n">
        <v>1863960</v>
      </c>
      <c r="J14" s="31" t="inlineStr">
        <is>
          <t>541967</t>
        </is>
      </c>
    </row>
    <row r="15">
      <c r="A15" s="31" t="inlineStr">
        <is>
          <t>BALAMINES</t>
        </is>
      </c>
      <c r="B15" s="31" t="inlineStr">
        <is>
          <t>Balaji Amines Limited</t>
        </is>
      </c>
      <c r="C15" s="31" t="inlineStr">
        <is>
          <t>chemicals</t>
        </is>
      </c>
      <c r="D15" s="31" t="inlineStr">
        <is>
          <t>chemicals</t>
        </is>
      </c>
      <c r="E15" s="31" t="inlineStr">
        <is>
          <t>midcap</t>
        </is>
      </c>
      <c r="F15" s="31" t="n">
        <v>7207.6</v>
      </c>
      <c r="G15" s="31" t="n">
        <v>2343.6</v>
      </c>
      <c r="H15" s="31" t="n">
        <v>5.35</v>
      </c>
      <c r="I15" s="31" t="n">
        <v>756675</v>
      </c>
      <c r="J15" s="31" t="inlineStr">
        <is>
          <t>530999</t>
        </is>
      </c>
    </row>
    <row r="16">
      <c r="A16" s="31" t="inlineStr">
        <is>
          <t>WELINV</t>
        </is>
      </c>
      <c r="B16" s="31" t="inlineStr">
        <is>
          <t>Welspun Investments And Commercials Limited</t>
        </is>
      </c>
      <c r="C16" s="31" t="inlineStr">
        <is>
          <t>financials</t>
        </is>
      </c>
      <c r="D16" s="31" t="inlineStr">
        <is>
          <t>finance &amp; investments</t>
        </is>
      </c>
      <c r="E16" s="31" t="inlineStr">
        <is>
          <t>smallcap</t>
        </is>
      </c>
      <c r="F16" s="31" t="n">
        <v>775.88</v>
      </c>
      <c r="G16" s="31" t="n">
        <v>2229.2</v>
      </c>
      <c r="H16" s="31" t="n">
        <v>5</v>
      </c>
      <c r="I16" s="31" t="n">
        <v>802</v>
      </c>
      <c r="J16" s="31" t="inlineStr">
        <is>
          <t>533252</t>
        </is>
      </c>
    </row>
    <row r="17">
      <c r="A17" s="31" t="inlineStr">
        <is>
          <t>HMT</t>
        </is>
      </c>
      <c r="B17" s="31" t="inlineStr">
        <is>
          <t>Hmt Limited</t>
        </is>
      </c>
      <c r="C17" s="31" t="inlineStr">
        <is>
          <t>consumer discretionary</t>
        </is>
      </c>
      <c r="D17" s="31" t="inlineStr">
        <is>
          <t>miscellaneous</t>
        </is>
      </c>
      <c r="E17" s="31" t="inlineStr">
        <is>
          <t>midcap</t>
        </is>
      </c>
      <c r="F17" s="31" t="n">
        <v>7341.35</v>
      </c>
      <c r="G17" s="31" t="n">
        <v>64.01000000000001</v>
      </c>
      <c r="H17" s="31" t="n">
        <v>4.99</v>
      </c>
      <c r="I17" s="31" t="n">
        <v>64021</v>
      </c>
      <c r="J17" s="31" t="inlineStr">
        <is>
          <t>500191</t>
        </is>
      </c>
    </row>
    <row r="18">
      <c r="A18" s="31" t="inlineStr">
        <is>
          <t>BODALCHEM</t>
        </is>
      </c>
      <c r="B18" s="31" t="inlineStr">
        <is>
          <t>Bodal Chemicals Limited</t>
        </is>
      </c>
      <c r="C18" s="31" t="inlineStr">
        <is>
          <t>chemicals</t>
        </is>
      </c>
      <c r="D18" s="31" t="inlineStr">
        <is>
          <t>dyes and pigments</t>
        </is>
      </c>
      <c r="E18" s="31" t="inlineStr">
        <is>
          <t>smallcap</t>
        </is>
      </c>
      <c r="F18" s="31" t="n">
        <v>1044.2</v>
      </c>
      <c r="G18" s="31" t="n">
        <v>87.05</v>
      </c>
      <c r="H18" s="31" t="n">
        <v>4.99</v>
      </c>
      <c r="I18" s="31" t="n">
        <v>1544129</v>
      </c>
      <c r="J18" s="31" t="inlineStr">
        <is>
          <t>524370</t>
        </is>
      </c>
    </row>
    <row r="19">
      <c r="A19" s="31" t="inlineStr">
        <is>
          <t>VALIANTLAB</t>
        </is>
      </c>
      <c r="B19" s="31" t="inlineStr">
        <is>
          <t>Valiant Laboratories Ltd</t>
        </is>
      </c>
      <c r="C19" s="31" t="inlineStr">
        <is>
          <t>healthcare</t>
        </is>
      </c>
      <c r="D19" s="31" t="inlineStr">
        <is>
          <t>pharmaceuticals - indian - bulk drugs &amp; formln</t>
        </is>
      </c>
      <c r="E19" s="31" t="inlineStr">
        <is>
          <t>smallcap</t>
        </is>
      </c>
      <c r="F19" s="31" t="n">
        <v>545.95</v>
      </c>
      <c r="G19" s="31" t="n">
        <v>105.54</v>
      </c>
      <c r="H19" s="31" t="n">
        <v>4.99</v>
      </c>
      <c r="I19" s="31" t="n">
        <v>1042295</v>
      </c>
      <c r="J19" s="31" t="n"/>
    </row>
    <row r="20">
      <c r="A20" s="31" t="inlineStr">
        <is>
          <t>BAFNAPH</t>
        </is>
      </c>
      <c r="B20" s="31" t="inlineStr">
        <is>
          <t>Bafna Pharmaceuticals Ltd</t>
        </is>
      </c>
      <c r="C20" s="31" t="inlineStr">
        <is>
          <t>healthcare</t>
        </is>
      </c>
      <c r="D20" s="31" t="inlineStr">
        <is>
          <t>pharmaceuticals - indian - formulations</t>
        </is>
      </c>
      <c r="E20" s="31" t="inlineStr">
        <is>
          <t>smallcap</t>
        </is>
      </c>
      <c r="F20" s="31" t="n">
        <v>602.17</v>
      </c>
      <c r="G20" s="31" t="n">
        <v>267.25</v>
      </c>
      <c r="H20" s="31" t="n">
        <v>4.99</v>
      </c>
      <c r="I20" s="31" t="n">
        <v>13983</v>
      </c>
      <c r="J20" s="31" t="inlineStr">
        <is>
          <t>532989</t>
        </is>
      </c>
    </row>
    <row r="21">
      <c r="A21" s="31" t="inlineStr">
        <is>
          <t>SIGMAADV</t>
        </is>
      </c>
      <c r="B21" s="31" t="inlineStr">
        <is>
          <t>Sigma Advanced System Ltd</t>
        </is>
      </c>
      <c r="C21" s="31" t="inlineStr">
        <is>
          <t>aerospace &amp; defence</t>
        </is>
      </c>
      <c r="D21" s="31" t="inlineStr">
        <is>
          <t>electronics - components</t>
        </is>
      </c>
      <c r="E21" s="31" t="inlineStr">
        <is>
          <t>midcap</t>
        </is>
      </c>
      <c r="F21" s="31" t="n">
        <v>12502.01</v>
      </c>
      <c r="G21" s="31" t="n">
        <v>692.7</v>
      </c>
      <c r="H21" s="31" t="n">
        <v>4.99</v>
      </c>
      <c r="I21" s="31" t="n">
        <v>155652</v>
      </c>
      <c r="J21" s="31" t="inlineStr">
        <is>
          <t>532408</t>
        </is>
      </c>
    </row>
    <row r="22">
      <c r="A22" s="31" t="inlineStr">
        <is>
          <t>LOTUSDEV</t>
        </is>
      </c>
      <c r="B22" s="31" t="inlineStr">
        <is>
          <t>Sri Lotus Developers &amp; Realty Ltd</t>
        </is>
      </c>
      <c r="C22" s="31" t="inlineStr">
        <is>
          <t>realty</t>
        </is>
      </c>
      <c r="D22" s="31" t="inlineStr">
        <is>
          <t>construction</t>
        </is>
      </c>
      <c r="E22" s="31" t="inlineStr">
        <is>
          <t>midcap</t>
        </is>
      </c>
      <c r="F22" s="31" t="n">
        <v>8457.360000000001</v>
      </c>
      <c r="G22" s="31" t="n">
        <v>181.56</v>
      </c>
      <c r="H22" s="31" t="n">
        <v>4.92</v>
      </c>
      <c r="I22" s="31" t="n">
        <v>3120782</v>
      </c>
      <c r="J22" s="31" t="inlineStr">
        <is>
          <t>544469</t>
        </is>
      </c>
    </row>
    <row r="23">
      <c r="A23" s="31" t="inlineStr">
        <is>
          <t>FOSECOIND</t>
        </is>
      </c>
      <c r="B23" s="31" t="inlineStr">
        <is>
          <t>Foseco India Limited</t>
        </is>
      </c>
      <c r="C23" s="31" t="inlineStr">
        <is>
          <t>chemicals</t>
        </is>
      </c>
      <c r="D23" s="31" t="inlineStr">
        <is>
          <t>chemicals</t>
        </is>
      </c>
      <c r="E23" s="31" t="inlineStr">
        <is>
          <t>smallcap</t>
        </is>
      </c>
      <c r="F23" s="31" t="n">
        <v>4038.46</v>
      </c>
      <c r="G23" s="31" t="n">
        <v>5615.5</v>
      </c>
      <c r="H23" s="31" t="n">
        <v>4.81</v>
      </c>
      <c r="I23" s="31" t="n">
        <v>28100</v>
      </c>
      <c r="J23" s="31" t="inlineStr">
        <is>
          <t>500150</t>
        </is>
      </c>
    </row>
    <row r="24">
      <c r="A24" s="31" t="inlineStr">
        <is>
          <t>CYIENTDLM</t>
        </is>
      </c>
      <c r="B24" s="31" t="inlineStr">
        <is>
          <t>Cyient DLM Ltd</t>
        </is>
      </c>
      <c r="C24" s="31" t="inlineStr">
        <is>
          <t>aerospace &amp; defence</t>
        </is>
      </c>
      <c r="D24" s="31" t="inlineStr">
        <is>
          <t>electronics - components</t>
        </is>
      </c>
      <c r="E24" s="31" t="inlineStr">
        <is>
          <t>midcap</t>
        </is>
      </c>
      <c r="F24" s="31" t="n">
        <v>5841.43</v>
      </c>
      <c r="G24" s="31" t="n">
        <v>769.35</v>
      </c>
      <c r="H24" s="31" t="n">
        <v>4.55</v>
      </c>
      <c r="I24" s="31" t="n">
        <v>1123660</v>
      </c>
      <c r="J24" s="31" t="inlineStr">
        <is>
          <t>543933</t>
        </is>
      </c>
    </row>
    <row r="25">
      <c r="A25" s="31" t="inlineStr">
        <is>
          <t>MODISONLTD</t>
        </is>
      </c>
      <c r="B25" s="31" t="inlineStr">
        <is>
          <t>Modison Ltd</t>
        </is>
      </c>
      <c r="C25" s="31" t="inlineStr">
        <is>
          <t>industrials</t>
        </is>
      </c>
      <c r="D25" s="31" t="inlineStr">
        <is>
          <t>electric equipment</t>
        </is>
      </c>
      <c r="E25" s="31" t="inlineStr">
        <is>
          <t>smallcap</t>
        </is>
      </c>
      <c r="F25" s="31" t="n">
        <v>1287.62</v>
      </c>
      <c r="G25" s="31" t="n">
        <v>414.85</v>
      </c>
      <c r="H25" s="31" t="n">
        <v>4.55</v>
      </c>
      <c r="I25" s="31" t="n">
        <v>160897</v>
      </c>
      <c r="J25" s="31" t="inlineStr">
        <is>
          <t>506261</t>
        </is>
      </c>
    </row>
    <row r="26">
      <c r="A26" s="31" t="inlineStr">
        <is>
          <t>CUB</t>
        </is>
      </c>
      <c r="B26" s="31" t="inlineStr">
        <is>
          <t>City Union Bank Limited</t>
        </is>
      </c>
      <c r="C26" s="31" t="inlineStr">
        <is>
          <t>bank</t>
        </is>
      </c>
      <c r="D26" s="31" t="inlineStr">
        <is>
          <t>banks - private sector</t>
        </is>
      </c>
      <c r="E26" s="31" t="inlineStr">
        <is>
          <t>largecap</t>
        </is>
      </c>
      <c r="F26" s="31" t="n">
        <v>21024.51</v>
      </c>
      <c r="G26" s="31" t="n">
        <v>221.6</v>
      </c>
      <c r="H26" s="31" t="n">
        <v>4.43</v>
      </c>
      <c r="I26" s="31" t="n">
        <v>4486291</v>
      </c>
      <c r="J26" s="31" t="inlineStr">
        <is>
          <t>532210</t>
        </is>
      </c>
    </row>
    <row r="27">
      <c r="A27" s="31" t="inlineStr">
        <is>
          <t>MENONBE</t>
        </is>
      </c>
      <c r="B27" s="31" t="inlineStr">
        <is>
          <t>Menon Bearings Limited</t>
        </is>
      </c>
      <c r="C27" s="31" t="inlineStr">
        <is>
          <t>auto</t>
        </is>
      </c>
      <c r="D27" s="31" t="inlineStr">
        <is>
          <t>auto ancillaries</t>
        </is>
      </c>
      <c r="E27" s="31" t="inlineStr">
        <is>
          <t>smallcap</t>
        </is>
      </c>
      <c r="F27" s="31" t="n">
        <v>1462.42</v>
      </c>
      <c r="G27" s="31" t="n">
        <v>272</v>
      </c>
      <c r="H27" s="31" t="n">
        <v>4.23</v>
      </c>
      <c r="I27" s="31" t="n">
        <v>260595</v>
      </c>
      <c r="J27" s="31" t="inlineStr">
        <is>
          <t>523828</t>
        </is>
      </c>
    </row>
    <row r="28">
      <c r="A28" s="31" t="inlineStr">
        <is>
          <t>DCBBANK</t>
        </is>
      </c>
      <c r="B28" s="31" t="inlineStr">
        <is>
          <t>Dcb Bank Limited</t>
        </is>
      </c>
      <c r="C28" s="31" t="inlineStr">
        <is>
          <t>bank</t>
        </is>
      </c>
      <c r="D28" s="31" t="inlineStr">
        <is>
          <t>banks - private sector</t>
        </is>
      </c>
      <c r="E28" s="31" t="inlineStr">
        <is>
          <t>midcap</t>
        </is>
      </c>
      <c r="F28" s="31" t="n">
        <v>6433.17</v>
      </c>
      <c r="G28" s="31" t="n">
        <v>207.37</v>
      </c>
      <c r="H28" s="31" t="n">
        <v>3.82</v>
      </c>
      <c r="I28" s="31" t="n">
        <v>8949955</v>
      </c>
      <c r="J28" s="31" t="inlineStr">
        <is>
          <t>532772</t>
        </is>
      </c>
    </row>
    <row r="29">
      <c r="A29" s="31" t="inlineStr">
        <is>
          <t>GANESHHOU</t>
        </is>
      </c>
      <c r="B29" s="31" t="inlineStr">
        <is>
          <t>Ganesh Housing Ltd</t>
        </is>
      </c>
      <c r="C29" s="31" t="inlineStr">
        <is>
          <t>realty</t>
        </is>
      </c>
      <c r="D29" s="31" t="inlineStr">
        <is>
          <t>construction</t>
        </is>
      </c>
      <c r="E29" s="31" t="inlineStr">
        <is>
          <t>midcap</t>
        </is>
      </c>
      <c r="F29" s="31" t="n">
        <v>6738.93</v>
      </c>
      <c r="G29" s="31" t="n">
        <v>839</v>
      </c>
      <c r="H29" s="31" t="n">
        <v>3.82</v>
      </c>
      <c r="I29" s="31" t="n">
        <v>126162</v>
      </c>
      <c r="J29" s="31" t="inlineStr">
        <is>
          <t>526367</t>
        </is>
      </c>
    </row>
    <row r="30">
      <c r="A30" s="31" t="inlineStr">
        <is>
          <t>ABDL</t>
        </is>
      </c>
      <c r="B30" s="31" t="inlineStr">
        <is>
          <t>Allied Blenders &amp; Distillers Ltd</t>
        </is>
      </c>
      <c r="C30" s="31" t="inlineStr">
        <is>
          <t>fmcg</t>
        </is>
      </c>
      <c r="D30" s="31" t="inlineStr">
        <is>
          <t>breweries &amp; distilleries</t>
        </is>
      </c>
      <c r="E30" s="31" t="inlineStr">
        <is>
          <t>midcap</t>
        </is>
      </c>
      <c r="F30" s="31" t="n">
        <v>17072.11</v>
      </c>
      <c r="G30" s="31" t="n">
        <v>633.45</v>
      </c>
      <c r="H30" s="31" t="n">
        <v>3.78</v>
      </c>
      <c r="I30" s="31" t="n">
        <v>1290350</v>
      </c>
      <c r="J30" s="31" t="inlineStr">
        <is>
          <t>544203</t>
        </is>
      </c>
    </row>
    <row r="31">
      <c r="A31" s="31" t="inlineStr">
        <is>
          <t>ADANIENT</t>
        </is>
      </c>
      <c r="B31" s="31" t="inlineStr">
        <is>
          <t>Adani Enterprises Limited</t>
        </is>
      </c>
      <c r="C31" s="31" t="inlineStr">
        <is>
          <t>services</t>
        </is>
      </c>
      <c r="D31" s="31" t="inlineStr">
        <is>
          <t>trading</t>
        </is>
      </c>
      <c r="E31" s="31" t="inlineStr">
        <is>
          <t>largecap</t>
        </is>
      </c>
      <c r="F31" s="31" t="n">
        <v>405927.26</v>
      </c>
      <c r="G31" s="31" t="n">
        <v>3110</v>
      </c>
      <c r="H31" s="31" t="n">
        <v>3.72</v>
      </c>
      <c r="I31" s="31" t="n">
        <v>2045161</v>
      </c>
      <c r="J31" s="31" t="inlineStr">
        <is>
          <t>512599</t>
        </is>
      </c>
    </row>
    <row r="32">
      <c r="A32" s="31" t="inlineStr">
        <is>
          <t>KRN</t>
        </is>
      </c>
      <c r="B32" s="31" t="inlineStr">
        <is>
          <t>KRN Heat Exchanger and Refrigeration Ltd</t>
        </is>
      </c>
      <c r="C32" s="31" t="inlineStr">
        <is>
          <t>industrials</t>
        </is>
      </c>
      <c r="D32" s="31" t="inlineStr">
        <is>
          <t>engineering</t>
        </is>
      </c>
      <c r="E32" s="31" t="inlineStr">
        <is>
          <t>midcap</t>
        </is>
      </c>
      <c r="F32" s="31" t="n">
        <v>9630.25</v>
      </c>
      <c r="G32" s="31" t="n">
        <v>1524.8</v>
      </c>
      <c r="H32" s="31" t="n">
        <v>3.64</v>
      </c>
      <c r="I32" s="31" t="n">
        <v>343658</v>
      </c>
      <c r="J32" s="31" t="inlineStr">
        <is>
          <t>544263</t>
        </is>
      </c>
    </row>
    <row r="33">
      <c r="A33" s="31" t="inlineStr">
        <is>
          <t>LAURUSLABS</t>
        </is>
      </c>
      <c r="B33" s="31" t="inlineStr">
        <is>
          <t>Laurus Labs Limited</t>
        </is>
      </c>
      <c r="C33" s="31" t="inlineStr">
        <is>
          <t>healthcare</t>
        </is>
      </c>
      <c r="D33" s="31" t="inlineStr">
        <is>
          <t>pharmaceuticals - indian - bulk drugs &amp; formln</t>
        </is>
      </c>
      <c r="E33" s="31" t="inlineStr">
        <is>
          <t>largecap</t>
        </is>
      </c>
      <c r="F33" s="31" t="n">
        <v>97298.95</v>
      </c>
      <c r="G33" s="31" t="n">
        <v>1866.2</v>
      </c>
      <c r="H33" s="31" t="n">
        <v>3.62</v>
      </c>
      <c r="I33" s="31" t="n">
        <v>3509584</v>
      </c>
      <c r="J33" s="31" t="inlineStr">
        <is>
          <t>540222</t>
        </is>
      </c>
    </row>
    <row r="34">
      <c r="A34" s="31" t="inlineStr">
        <is>
          <t>NIITLTD</t>
        </is>
      </c>
      <c r="B34" s="31" t="inlineStr">
        <is>
          <t>Niit Limited</t>
        </is>
      </c>
      <c r="C34" s="31" t="inlineStr">
        <is>
          <t>i.t</t>
        </is>
      </c>
      <c r="D34" s="31" t="inlineStr">
        <is>
          <t>computers - education</t>
        </is>
      </c>
      <c r="E34" s="31" t="inlineStr">
        <is>
          <t>smallcap</t>
        </is>
      </c>
      <c r="F34" s="31" t="n">
        <v>1354.24</v>
      </c>
      <c r="G34" s="31" t="n">
        <v>102.68</v>
      </c>
      <c r="H34" s="31" t="n">
        <v>3.61</v>
      </c>
      <c r="I34" s="31" t="n">
        <v>1783845</v>
      </c>
      <c r="J34" s="31" t="inlineStr">
        <is>
          <t>500304</t>
        </is>
      </c>
    </row>
    <row r="35">
      <c r="A35" s="31" t="inlineStr">
        <is>
          <t>GOKULAGRO</t>
        </is>
      </c>
      <c r="B35" s="31" t="inlineStr">
        <is>
          <t>Gokul Agro Resources Limited</t>
        </is>
      </c>
      <c r="C35" s="31" t="inlineStr">
        <is>
          <t>fmcg</t>
        </is>
      </c>
      <c r="D35" s="31" t="inlineStr">
        <is>
          <t>solvent extraction</t>
        </is>
      </c>
      <c r="E35" s="31" t="inlineStr">
        <is>
          <t>midcap</t>
        </is>
      </c>
      <c r="F35" s="31" t="n">
        <v>7201.59</v>
      </c>
      <c r="G35" s="31" t="n">
        <v>252.85</v>
      </c>
      <c r="H35" s="31" t="n">
        <v>3.61</v>
      </c>
      <c r="I35" s="31" t="n">
        <v>2707973</v>
      </c>
      <c r="J35" s="31" t="inlineStr">
        <is>
          <t>539725</t>
        </is>
      </c>
    </row>
    <row r="36">
      <c r="A36" s="31" t="inlineStr">
        <is>
          <t>BEPL</t>
        </is>
      </c>
      <c r="B36" s="31" t="inlineStr">
        <is>
          <t>Bhansali Engineering Polymers Limited</t>
        </is>
      </c>
      <c r="C36" s="31" t="inlineStr">
        <is>
          <t>energy</t>
        </is>
      </c>
      <c r="D36" s="31" t="inlineStr">
        <is>
          <t>petrochemicals</t>
        </is>
      </c>
      <c r="E36" s="31" t="inlineStr">
        <is>
          <t>smallcap</t>
        </is>
      </c>
      <c r="F36" s="31" t="n">
        <v>3117.2</v>
      </c>
      <c r="G36" s="31" t="n">
        <v>129.62</v>
      </c>
      <c r="H36" s="31" t="n">
        <v>3.48</v>
      </c>
      <c r="I36" s="31" t="n">
        <v>5825644</v>
      </c>
      <c r="J36" s="31" t="inlineStr">
        <is>
          <t>500052</t>
        </is>
      </c>
    </row>
    <row r="37">
      <c r="A37" s="31" t="inlineStr">
        <is>
          <t>ALEMBICLTD</t>
        </is>
      </c>
      <c r="B37" s="31" t="inlineStr">
        <is>
          <t>Alembic Limited</t>
        </is>
      </c>
      <c r="C37" s="31" t="inlineStr">
        <is>
          <t>realty</t>
        </is>
      </c>
      <c r="D37" s="31" t="inlineStr">
        <is>
          <t>construction</t>
        </is>
      </c>
      <c r="E37" s="31" t="inlineStr">
        <is>
          <t>smallcap</t>
        </is>
      </c>
      <c r="F37" s="31" t="n">
        <v>2353.15</v>
      </c>
      <c r="G37" s="31" t="n">
        <v>94.66</v>
      </c>
      <c r="H37" s="31" t="n">
        <v>3.3</v>
      </c>
      <c r="I37" s="31" t="n">
        <v>2297975</v>
      </c>
      <c r="J37" s="31" t="inlineStr">
        <is>
          <t>506235</t>
        </is>
      </c>
    </row>
    <row r="38">
      <c r="A38" s="31" t="inlineStr">
        <is>
          <t>SREEL</t>
        </is>
      </c>
      <c r="B38" s="31" t="inlineStr">
        <is>
          <t>Sreeleathers Limited</t>
        </is>
      </c>
      <c r="C38" s="31" t="inlineStr">
        <is>
          <t>consumer discretionary</t>
        </is>
      </c>
      <c r="D38" s="31" t="inlineStr">
        <is>
          <t>trading</t>
        </is>
      </c>
      <c r="E38" s="31" t="inlineStr">
        <is>
          <t>smallcap</t>
        </is>
      </c>
      <c r="F38" s="31" t="n">
        <v>578.2</v>
      </c>
      <c r="G38" s="31" t="n">
        <v>257.61</v>
      </c>
      <c r="H38" s="31" t="n">
        <v>3.16</v>
      </c>
      <c r="I38" s="31" t="n">
        <v>68881</v>
      </c>
      <c r="J38" s="31" t="inlineStr">
        <is>
          <t>535601</t>
        </is>
      </c>
    </row>
    <row r="39">
      <c r="A39" s="31" t="inlineStr">
        <is>
          <t>HDFCAMC</t>
        </is>
      </c>
      <c r="B39" s="31" t="inlineStr">
        <is>
          <t>HDFC Asset Management Company Ltd</t>
        </is>
      </c>
      <c r="C39" s="31" t="inlineStr">
        <is>
          <t>financials</t>
        </is>
      </c>
      <c r="D39" s="31" t="inlineStr">
        <is>
          <t>finance &amp; investments</t>
        </is>
      </c>
      <c r="E39" s="31" t="inlineStr">
        <is>
          <t>largecap</t>
        </is>
      </c>
      <c r="F39" s="31" t="n">
        <v>112221.42</v>
      </c>
      <c r="G39" s="31" t="n">
        <v>2698</v>
      </c>
      <c r="H39" s="31" t="n">
        <v>3.06</v>
      </c>
      <c r="I39" s="31" t="n">
        <v>1125357</v>
      </c>
      <c r="J39" s="31" t="inlineStr">
        <is>
          <t>541729</t>
        </is>
      </c>
    </row>
    <row r="40">
      <c r="A40" s="31" t="inlineStr">
        <is>
          <t>CLSEL</t>
        </is>
      </c>
      <c r="B40" s="31" t="inlineStr">
        <is>
          <t>Chamanlal Setia Exports Ltd</t>
        </is>
      </c>
      <c r="C40" s="31" t="inlineStr">
        <is>
          <t>fmcg</t>
        </is>
      </c>
      <c r="D40" s="31" t="inlineStr">
        <is>
          <t>food - processing - indian</t>
        </is>
      </c>
      <c r="E40" s="31" t="inlineStr">
        <is>
          <t>smallcap</t>
        </is>
      </c>
      <c r="F40" s="31" t="n">
        <v>1555.17</v>
      </c>
      <c r="G40" s="31" t="n">
        <v>322</v>
      </c>
      <c r="H40" s="31" t="n">
        <v>2.96</v>
      </c>
      <c r="I40" s="31" t="n">
        <v>923054</v>
      </c>
      <c r="J40" s="31" t="inlineStr">
        <is>
          <t>530307</t>
        </is>
      </c>
    </row>
    <row r="41">
      <c r="A41" s="31" t="inlineStr">
        <is>
          <t>DIVISLAB</t>
        </is>
      </c>
      <c r="B41" s="31" t="inlineStr">
        <is>
          <t>Divi's Laboratories Limited</t>
        </is>
      </c>
      <c r="C41" s="31" t="inlineStr">
        <is>
          <t>healthcare</t>
        </is>
      </c>
      <c r="D41" s="31" t="inlineStr">
        <is>
          <t>pharmaceuticals - indian - bulk drugs</t>
        </is>
      </c>
      <c r="E41" s="31" t="inlineStr">
        <is>
          <t>largecap</t>
        </is>
      </c>
      <c r="F41" s="31" t="n">
        <v>225542.11</v>
      </c>
      <c r="G41" s="31" t="n">
        <v>8744.5</v>
      </c>
      <c r="H41" s="31" t="n">
        <v>2.92</v>
      </c>
      <c r="I41" s="31" t="n">
        <v>565541</v>
      </c>
      <c r="J41" s="31" t="inlineStr">
        <is>
          <t>532488</t>
        </is>
      </c>
    </row>
    <row r="42">
      <c r="A42" s="31" t="inlineStr">
        <is>
          <t>NAZARA</t>
        </is>
      </c>
      <c r="B42" s="31" t="inlineStr">
        <is>
          <t>Nazara Technologies Ltd</t>
        </is>
      </c>
      <c r="C42" s="31" t="inlineStr">
        <is>
          <t>i.t</t>
        </is>
      </c>
      <c r="D42" s="31" t="inlineStr">
        <is>
          <t>telecommunications - service provider</t>
        </is>
      </c>
      <c r="E42" s="31" t="inlineStr">
        <is>
          <t>midcap</t>
        </is>
      </c>
      <c r="F42" s="31" t="n">
        <v>13385.5</v>
      </c>
      <c r="G42" s="31" t="n">
        <v>358</v>
      </c>
      <c r="H42" s="31" t="n">
        <v>2.89</v>
      </c>
      <c r="I42" s="31" t="n">
        <v>2724208</v>
      </c>
      <c r="J42" s="31" t="inlineStr">
        <is>
          <t>543280</t>
        </is>
      </c>
    </row>
    <row r="43">
      <c r="A43" s="31" t="inlineStr">
        <is>
          <t>DIXON</t>
        </is>
      </c>
      <c r="B43" s="31" t="inlineStr">
        <is>
          <t>Dixon Technologies Ltd</t>
        </is>
      </c>
      <c r="C43" s="31" t="inlineStr">
        <is>
          <t>consumer discretionary</t>
        </is>
      </c>
      <c r="D43" s="31" t="inlineStr">
        <is>
          <t>electronics - consumer</t>
        </is>
      </c>
      <c r="E43" s="31" t="inlineStr">
        <is>
          <t>largecap</t>
        </is>
      </c>
      <c r="F43" s="31" t="n">
        <v>89002.19</v>
      </c>
      <c r="G43" s="31" t="n">
        <v>14990</v>
      </c>
      <c r="H43" s="31" t="n">
        <v>2.88</v>
      </c>
      <c r="I43" s="31" t="n">
        <v>742124</v>
      </c>
      <c r="J43" s="31" t="inlineStr">
        <is>
          <t>540699</t>
        </is>
      </c>
    </row>
    <row r="44">
      <c r="A44" s="31" t="inlineStr">
        <is>
          <t>CHALET</t>
        </is>
      </c>
      <c r="B44" s="31" t="inlineStr">
        <is>
          <t>Chalet Hotels Ltd</t>
        </is>
      </c>
      <c r="C44" s="31" t="inlineStr">
        <is>
          <t>services</t>
        </is>
      </c>
      <c r="D44" s="31" t="inlineStr">
        <is>
          <t>hotels</t>
        </is>
      </c>
      <c r="E44" s="31" t="inlineStr">
        <is>
          <t>midcap</t>
        </is>
      </c>
      <c r="F44" s="31" t="n">
        <v>19042.63</v>
      </c>
      <c r="G44" s="31" t="n">
        <v>894.05</v>
      </c>
      <c r="H44" s="31" t="n">
        <v>2.82</v>
      </c>
      <c r="I44" s="31" t="n">
        <v>1187806</v>
      </c>
      <c r="J44" s="31" t="inlineStr">
        <is>
          <t>542399</t>
        </is>
      </c>
    </row>
    <row r="45">
      <c r="A45" s="31" t="inlineStr">
        <is>
          <t>KINGFA</t>
        </is>
      </c>
      <c r="B45" s="31" t="inlineStr">
        <is>
          <t>Kingfa Science &amp; Technology (india) Limited</t>
        </is>
      </c>
      <c r="C45" s="31" t="inlineStr">
        <is>
          <t>plastic products</t>
        </is>
      </c>
      <c r="D45" s="31" t="inlineStr">
        <is>
          <t>plastics products</t>
        </is>
      </c>
      <c r="E45" s="31" t="inlineStr">
        <is>
          <t>midcap</t>
        </is>
      </c>
      <c r="F45" s="31" t="n">
        <v>7783.91</v>
      </c>
      <c r="G45" s="31" t="n">
        <v>5905</v>
      </c>
      <c r="H45" s="31" t="n">
        <v>2.8</v>
      </c>
      <c r="I45" s="31" t="n">
        <v>18630</v>
      </c>
      <c r="J45" s="31" t="inlineStr">
        <is>
          <t>524019</t>
        </is>
      </c>
    </row>
    <row r="46">
      <c r="A46" s="31" t="inlineStr">
        <is>
          <t>KANORICHEM</t>
        </is>
      </c>
      <c r="B46" s="31" t="inlineStr">
        <is>
          <t>Kanoria Chemicals &amp; Industries Limited</t>
        </is>
      </c>
      <c r="C46" s="31" t="inlineStr">
        <is>
          <t>chemicals</t>
        </is>
      </c>
      <c r="D46" s="31" t="inlineStr">
        <is>
          <t>chemicals</t>
        </is>
      </c>
      <c r="E46" s="31" t="inlineStr">
        <is>
          <t>smallcap</t>
        </is>
      </c>
      <c r="F46" s="31" t="n">
        <v>675.8</v>
      </c>
      <c r="G46" s="31" t="n">
        <v>158.95</v>
      </c>
      <c r="H46" s="31" t="n">
        <v>2.77</v>
      </c>
      <c r="I46" s="31" t="n">
        <v>206295</v>
      </c>
      <c r="J46" s="31" t="inlineStr">
        <is>
          <t>506525</t>
        </is>
      </c>
    </row>
    <row r="47">
      <c r="A47" s="31" t="inlineStr">
        <is>
          <t>MAZDOCK</t>
        </is>
      </c>
      <c r="B47" s="31" t="inlineStr">
        <is>
          <t>Mazagon Dock Shipbuilders Ltd</t>
        </is>
      </c>
      <c r="C47" s="31" t="inlineStr">
        <is>
          <t>aerospace &amp; defence</t>
        </is>
      </c>
      <c r="D47" s="31" t="inlineStr">
        <is>
          <t>miscellaneous</t>
        </is>
      </c>
      <c r="E47" s="31" t="inlineStr">
        <is>
          <t>largecap</t>
        </is>
      </c>
      <c r="F47" s="31" t="n">
        <v>102458.52</v>
      </c>
      <c r="G47" s="31" t="n">
        <v>2610</v>
      </c>
      <c r="H47" s="31" t="n">
        <v>2.76</v>
      </c>
      <c r="I47" s="31" t="n">
        <v>1597630</v>
      </c>
      <c r="J47" s="31" t="inlineStr">
        <is>
          <t>543237</t>
        </is>
      </c>
    </row>
    <row r="48">
      <c r="A48" s="31" t="inlineStr">
        <is>
          <t>SAIL</t>
        </is>
      </c>
      <c r="B48" s="31" t="inlineStr">
        <is>
          <t>Steel Authority Of India Limited</t>
        </is>
      </c>
      <c r="C48" s="31" t="inlineStr">
        <is>
          <t>metals &amp; mining</t>
        </is>
      </c>
      <c r="D48" s="31" t="inlineStr">
        <is>
          <t>steel - large</t>
        </is>
      </c>
      <c r="E48" s="31" t="inlineStr">
        <is>
          <t>largecap</t>
        </is>
      </c>
      <c r="F48" s="31" t="n">
        <v>74204.89</v>
      </c>
      <c r="G48" s="31" t="n">
        <v>184.59</v>
      </c>
      <c r="H48" s="31" t="n">
        <v>2.75</v>
      </c>
      <c r="I48" s="31" t="n">
        <v>69755176</v>
      </c>
      <c r="J48" s="31" t="inlineStr">
        <is>
          <t>500113</t>
        </is>
      </c>
    </row>
    <row r="49">
      <c r="A49" s="31" t="inlineStr">
        <is>
          <t>KAMDHENU</t>
        </is>
      </c>
      <c r="B49" s="31" t="inlineStr">
        <is>
          <t>Kamdhenu Limited</t>
        </is>
      </c>
      <c r="C49" s="31" t="inlineStr">
        <is>
          <t>metals &amp; mining</t>
        </is>
      </c>
      <c r="D49" s="31" t="inlineStr">
        <is>
          <t>steel - medium / small</t>
        </is>
      </c>
      <c r="E49" s="31" t="inlineStr">
        <is>
          <t>smallcap</t>
        </is>
      </c>
      <c r="F49" s="31" t="n">
        <v>974.47</v>
      </c>
      <c r="G49" s="31" t="n">
        <v>35.5</v>
      </c>
      <c r="H49" s="31" t="n">
        <v>2.69</v>
      </c>
      <c r="I49" s="31" t="n">
        <v>968389</v>
      </c>
      <c r="J49" s="31" t="inlineStr">
        <is>
          <t>532741</t>
        </is>
      </c>
    </row>
    <row r="50">
      <c r="A50" s="31" t="inlineStr">
        <is>
          <t>GLAXO</t>
        </is>
      </c>
      <c r="B50" s="31" t="inlineStr">
        <is>
          <t>Glaxosmithkline Pharmaceuticals Limited</t>
        </is>
      </c>
      <c r="C50" s="31" t="inlineStr">
        <is>
          <t>healthcare</t>
        </is>
      </c>
      <c r="D50" s="31" t="inlineStr">
        <is>
          <t>pharmaceuticals - multinational</t>
        </is>
      </c>
      <c r="E50" s="31" t="inlineStr">
        <is>
          <t>largecap</t>
        </is>
      </c>
      <c r="F50" s="31" t="n">
        <v>49664.77</v>
      </c>
      <c r="G50" s="31" t="n">
        <v>3007.9</v>
      </c>
      <c r="H50" s="31" t="n">
        <v>2.6</v>
      </c>
      <c r="I50" s="31" t="n">
        <v>188162</v>
      </c>
      <c r="J50" s="31" t="inlineStr">
        <is>
          <t>500660</t>
        </is>
      </c>
    </row>
    <row r="51">
      <c r="A51" s="31" t="inlineStr">
        <is>
          <t>COSMOFIRST</t>
        </is>
      </c>
      <c r="B51" s="31" t="inlineStr">
        <is>
          <t>Cosmo First Ltd</t>
        </is>
      </c>
      <c r="C51" s="31" t="inlineStr">
        <is>
          <t>industrials</t>
        </is>
      </c>
      <c r="D51" s="31" t="inlineStr">
        <is>
          <t>packaging</t>
        </is>
      </c>
      <c r="E51" s="31" t="inlineStr">
        <is>
          <t>smallcap</t>
        </is>
      </c>
      <c r="F51" s="31" t="n">
        <v>2383.34</v>
      </c>
      <c r="G51" s="31" t="n">
        <v>930.65</v>
      </c>
      <c r="H51" s="31" t="n">
        <v>2.5</v>
      </c>
      <c r="I51" s="31" t="n">
        <v>88338</v>
      </c>
      <c r="J51" s="31" t="inlineStr">
        <is>
          <t>508814</t>
        </is>
      </c>
    </row>
    <row r="52">
      <c r="A52" s="31" t="inlineStr">
        <is>
          <t>QUESS</t>
        </is>
      </c>
      <c r="B52" s="31" t="inlineStr">
        <is>
          <t>Quess Corp Limited</t>
        </is>
      </c>
      <c r="C52" s="31" t="inlineStr">
        <is>
          <t>miscellaneous</t>
        </is>
      </c>
      <c r="D52" s="31" t="inlineStr">
        <is>
          <t>diversified - large</t>
        </is>
      </c>
      <c r="E52" s="31" t="inlineStr">
        <is>
          <t>midcap</t>
        </is>
      </c>
      <c r="F52" s="31" t="n">
        <v>5057.32</v>
      </c>
      <c r="G52" s="31" t="n">
        <v>347</v>
      </c>
      <c r="H52" s="31" t="n">
        <v>2.48</v>
      </c>
      <c r="I52" s="31" t="n">
        <v>564340</v>
      </c>
      <c r="J52" s="31" t="inlineStr">
        <is>
          <t>539978</t>
        </is>
      </c>
    </row>
    <row r="53">
      <c r="A53" s="31" t="inlineStr">
        <is>
          <t>KARURVYSYA</t>
        </is>
      </c>
      <c r="B53" s="31" t="inlineStr">
        <is>
          <t>Karur Vysya Bank Limited</t>
        </is>
      </c>
      <c r="C53" s="31" t="inlineStr">
        <is>
          <t>bank</t>
        </is>
      </c>
      <c r="D53" s="31" t="inlineStr">
        <is>
          <t>banks - private sector</t>
        </is>
      </c>
      <c r="E53" s="31" t="inlineStr">
        <is>
          <t>largecap</t>
        </is>
      </c>
      <c r="F53" s="31" t="n">
        <v>32687.91</v>
      </c>
      <c r="G53" s="31" t="n">
        <v>346</v>
      </c>
      <c r="H53" s="31" t="n">
        <v>2.32</v>
      </c>
      <c r="I53" s="31" t="n">
        <v>3255051</v>
      </c>
      <c r="J53" s="31" t="inlineStr">
        <is>
          <t>590003</t>
        </is>
      </c>
    </row>
    <row r="54">
      <c r="A54" s="31" t="inlineStr">
        <is>
          <t>CGCL</t>
        </is>
      </c>
      <c r="B54" s="31" t="inlineStr">
        <is>
          <t>Capri Global Capital Limited</t>
        </is>
      </c>
      <c r="C54" s="31" t="inlineStr">
        <is>
          <t>financials</t>
        </is>
      </c>
      <c r="D54" s="31" t="inlineStr">
        <is>
          <t>finance &amp; investments</t>
        </is>
      </c>
      <c r="E54" s="31" t="inlineStr">
        <is>
          <t>largecap</t>
        </is>
      </c>
      <c r="F54" s="31" t="n">
        <v>22545.19</v>
      </c>
      <c r="G54" s="31" t="n">
        <v>239.67</v>
      </c>
      <c r="H54" s="31" t="n">
        <v>2.28</v>
      </c>
      <c r="I54" s="31" t="n">
        <v>12643435</v>
      </c>
      <c r="J54" s="31" t="inlineStr">
        <is>
          <t>531595</t>
        </is>
      </c>
    </row>
    <row r="55">
      <c r="A55" s="31" t="inlineStr">
        <is>
          <t>PITTIENG</t>
        </is>
      </c>
      <c r="B55" s="31" t="inlineStr">
        <is>
          <t>Pitti Engineering Ltd</t>
        </is>
      </c>
      <c r="C55" s="31" t="inlineStr">
        <is>
          <t>industrials</t>
        </is>
      </c>
      <c r="D55" s="31" t="inlineStr">
        <is>
          <t>engineering</t>
        </is>
      </c>
      <c r="E55" s="31" t="inlineStr">
        <is>
          <t>smallcap</t>
        </is>
      </c>
      <c r="F55" s="31" t="n">
        <v>4135.31</v>
      </c>
      <c r="G55" s="31" t="n">
        <v>1123.3</v>
      </c>
      <c r="H55" s="31" t="n">
        <v>2.28</v>
      </c>
      <c r="I55" s="31" t="n">
        <v>584067</v>
      </c>
      <c r="J55" s="31" t="inlineStr">
        <is>
          <t>513519</t>
        </is>
      </c>
    </row>
    <row r="56">
      <c r="A56" s="31" t="inlineStr">
        <is>
          <t>MAHASTEEL</t>
        </is>
      </c>
      <c r="B56" s="31" t="inlineStr">
        <is>
          <t>Mahamaya Steel Industries Limited</t>
        </is>
      </c>
      <c r="C56" s="31" t="inlineStr">
        <is>
          <t>metals &amp; mining</t>
        </is>
      </c>
      <c r="D56" s="31" t="inlineStr">
        <is>
          <t>steel - medium / small</t>
        </is>
      </c>
      <c r="E56" s="31" t="inlineStr">
        <is>
          <t>smallcap</t>
        </is>
      </c>
      <c r="F56" s="31" t="n">
        <v>1932.19</v>
      </c>
      <c r="G56" s="31" t="n">
        <v>1202</v>
      </c>
      <c r="H56" s="31" t="n">
        <v>2.24</v>
      </c>
      <c r="I56" s="31" t="n">
        <v>38185</v>
      </c>
      <c r="J56" s="31" t="inlineStr">
        <is>
          <t>513554</t>
        </is>
      </c>
    </row>
    <row r="57">
      <c r="A57" s="31" t="inlineStr">
        <is>
          <t>BHAGCHEM</t>
        </is>
      </c>
      <c r="B57" s="31" t="inlineStr">
        <is>
          <t>Bhagiradha Chemicals &amp; Industries Ltd</t>
        </is>
      </c>
      <c r="C57" s="31" t="inlineStr">
        <is>
          <t>chemicals</t>
        </is>
      </c>
      <c r="D57" s="31" t="inlineStr">
        <is>
          <t>pesticides / agrochemicals - indian</t>
        </is>
      </c>
      <c r="E57" s="31" t="inlineStr">
        <is>
          <t>smallcap</t>
        </is>
      </c>
      <c r="F57" s="31" t="n">
        <v>3668.34</v>
      </c>
      <c r="G57" s="31" t="n">
        <v>289.2</v>
      </c>
      <c r="H57" s="31" t="n">
        <v>2.23</v>
      </c>
      <c r="I57" s="31" t="n">
        <v>68895</v>
      </c>
      <c r="J57" s="31" t="inlineStr">
        <is>
          <t>531719</t>
        </is>
      </c>
    </row>
    <row r="58">
      <c r="A58" s="31" t="inlineStr">
        <is>
          <t>SYNCOMF</t>
        </is>
      </c>
      <c r="B58" s="31" t="inlineStr">
        <is>
          <t>Syncom Formulations (India) Ltd</t>
        </is>
      </c>
      <c r="C58" s="31" t="inlineStr">
        <is>
          <t>healthcare</t>
        </is>
      </c>
      <c r="D58" s="31" t="inlineStr">
        <is>
          <t>pharmaceuticals - indian - bulk drugs &amp; formln</t>
        </is>
      </c>
      <c r="E58" s="31" t="inlineStr">
        <is>
          <t>smallcap</t>
        </is>
      </c>
      <c r="F58" s="31" t="n">
        <v>1614.92</v>
      </c>
      <c r="G58" s="31" t="n">
        <v>17.56</v>
      </c>
      <c r="H58" s="31" t="n">
        <v>2.21</v>
      </c>
      <c r="I58" s="31" t="n">
        <v>14633332</v>
      </c>
      <c r="J58" s="31" t="inlineStr">
        <is>
          <t>524470</t>
        </is>
      </c>
    </row>
    <row r="59">
      <c r="A59" s="31" t="inlineStr">
        <is>
          <t>EDELWEISS</t>
        </is>
      </c>
      <c r="B59" s="31" t="inlineStr">
        <is>
          <t>Edelweiss Financial Services Limited</t>
        </is>
      </c>
      <c r="C59" s="31" t="inlineStr">
        <is>
          <t>financials</t>
        </is>
      </c>
      <c r="D59" s="31" t="inlineStr">
        <is>
          <t>finance &amp; investments</t>
        </is>
      </c>
      <c r="E59" s="31" t="inlineStr">
        <is>
          <t>midcap</t>
        </is>
      </c>
      <c r="F59" s="31" t="n">
        <v>11870.45</v>
      </c>
      <c r="G59" s="31" t="n">
        <v>128.15</v>
      </c>
      <c r="H59" s="31" t="n">
        <v>2.18</v>
      </c>
      <c r="I59" s="31" t="n">
        <v>11166878</v>
      </c>
      <c r="J59" s="31" t="inlineStr">
        <is>
          <t>532922</t>
        </is>
      </c>
    </row>
    <row r="60">
      <c r="A60" s="31" t="inlineStr">
        <is>
          <t>MOTILALOFS</t>
        </is>
      </c>
      <c r="B60" s="31" t="inlineStr">
        <is>
          <t>Motilal Oswal Financial Services Limited</t>
        </is>
      </c>
      <c r="C60" s="31" t="inlineStr">
        <is>
          <t>financials</t>
        </is>
      </c>
      <c r="D60" s="31" t="inlineStr">
        <is>
          <t>finance &amp; investments</t>
        </is>
      </c>
      <c r="E60" s="31" t="inlineStr">
        <is>
          <t>largecap</t>
        </is>
      </c>
      <c r="F60" s="31" t="n">
        <v>59612.52</v>
      </c>
      <c r="G60" s="31" t="n">
        <v>1011.5</v>
      </c>
      <c r="H60" s="31" t="n">
        <v>2.17</v>
      </c>
      <c r="I60" s="31" t="n">
        <v>1852098</v>
      </c>
      <c r="J60" s="31" t="inlineStr">
        <is>
          <t>532892</t>
        </is>
      </c>
    </row>
    <row r="61">
      <c r="A61" s="31" t="inlineStr">
        <is>
          <t>UNIPARTS</t>
        </is>
      </c>
      <c r="B61" s="31" t="inlineStr">
        <is>
          <t>Uniparts India Ltd</t>
        </is>
      </c>
      <c r="C61" s="31" t="inlineStr">
        <is>
          <t>industrials</t>
        </is>
      </c>
      <c r="D61" s="31" t="inlineStr">
        <is>
          <t>engineering</t>
        </is>
      </c>
      <c r="E61" s="31" t="inlineStr">
        <is>
          <t>smallcap</t>
        </is>
      </c>
      <c r="F61" s="31" t="n">
        <v>3648.47</v>
      </c>
      <c r="G61" s="31" t="n">
        <v>825.6</v>
      </c>
      <c r="H61" s="31" t="n">
        <v>2.15</v>
      </c>
      <c r="I61" s="31" t="n">
        <v>350407</v>
      </c>
      <c r="J61" s="31" t="inlineStr">
        <is>
          <t>543689</t>
        </is>
      </c>
    </row>
    <row r="62">
      <c r="A62" s="31" t="inlineStr">
        <is>
          <t>AURUM</t>
        </is>
      </c>
      <c r="B62" s="31" t="inlineStr">
        <is>
          <t>Aurum Proptech Ltd</t>
        </is>
      </c>
      <c r="C62" s="31" t="inlineStr">
        <is>
          <t>i.t</t>
        </is>
      </c>
      <c r="D62" s="31" t="inlineStr">
        <is>
          <t>computers - software - medium / small</t>
        </is>
      </c>
      <c r="E62" s="31" t="inlineStr">
        <is>
          <t>smallcap</t>
        </is>
      </c>
      <c r="F62" s="31" t="n">
        <v>1781.58</v>
      </c>
      <c r="G62" s="31" t="n">
        <v>237</v>
      </c>
      <c r="H62" s="31" t="n">
        <v>2.08</v>
      </c>
      <c r="I62" s="31" t="n">
        <v>248174</v>
      </c>
      <c r="J62" s="31" t="inlineStr">
        <is>
          <t>539289</t>
        </is>
      </c>
    </row>
    <row r="63">
      <c r="A63" s="31" t="inlineStr">
        <is>
          <t>HITECHCORP</t>
        </is>
      </c>
      <c r="B63" s="31" t="inlineStr">
        <is>
          <t>Hitech Corporation</t>
        </is>
      </c>
      <c r="C63" s="31" t="inlineStr">
        <is>
          <t>industrials</t>
        </is>
      </c>
      <c r="D63" s="31" t="inlineStr">
        <is>
          <t>packaging</t>
        </is>
      </c>
      <c r="E63" s="31" t="inlineStr">
        <is>
          <t>smallcap</t>
        </is>
      </c>
      <c r="F63" s="31" t="n">
        <v>571.35</v>
      </c>
      <c r="G63" s="31" t="n">
        <v>339.4</v>
      </c>
      <c r="H63" s="31" t="n">
        <v>2.03</v>
      </c>
      <c r="I63" s="31" t="n">
        <v>40094</v>
      </c>
      <c r="J63" s="31" t="inlineStr">
        <is>
          <t>526217</t>
        </is>
      </c>
    </row>
    <row r="64">
      <c r="A64" s="31" t="inlineStr">
        <is>
          <t>SCPL</t>
        </is>
      </c>
      <c r="B64" s="31" t="inlineStr">
        <is>
          <t>Sheetal Cool Products Ltd</t>
        </is>
      </c>
      <c r="C64" s="31" t="inlineStr">
        <is>
          <t>fmcg</t>
        </is>
      </c>
      <c r="D64" s="31" t="inlineStr">
        <is>
          <t>food - processing - indian</t>
        </is>
      </c>
      <c r="E64" s="31" t="inlineStr">
        <is>
          <t>smallcap</t>
        </is>
      </c>
      <c r="F64" s="31" t="n">
        <v>684.1799999999999</v>
      </c>
      <c r="G64" s="31" t="n">
        <v>664.8</v>
      </c>
      <c r="H64" s="31" t="n">
        <v>2.03</v>
      </c>
      <c r="I64" s="31" t="n">
        <v>15991</v>
      </c>
      <c r="J64" s="31" t="inlineStr">
        <is>
          <t>540757</t>
        </is>
      </c>
    </row>
    <row r="65">
      <c r="A65" s="31" t="inlineStr">
        <is>
          <t>WELENT</t>
        </is>
      </c>
      <c r="B65" s="31" t="inlineStr">
        <is>
          <t>Welspun Enterprises Limited</t>
        </is>
      </c>
      <c r="C65" s="31" t="inlineStr">
        <is>
          <t>realty</t>
        </is>
      </c>
      <c r="D65" s="31" t="inlineStr">
        <is>
          <t>construction</t>
        </is>
      </c>
      <c r="E65" s="31" t="inlineStr">
        <is>
          <t>midcap</t>
        </is>
      </c>
      <c r="F65" s="31" t="n">
        <v>8967.83</v>
      </c>
      <c r="G65" s="31" t="n">
        <v>661</v>
      </c>
      <c r="H65" s="31" t="n">
        <v>2.02</v>
      </c>
      <c r="I65" s="31" t="n">
        <v>1128974</v>
      </c>
      <c r="J65" s="31" t="inlineStr">
        <is>
          <t>532553</t>
        </is>
      </c>
    </row>
    <row r="66">
      <c r="A66" s="31" t="inlineStr">
        <is>
          <t>RAJRILTD</t>
        </is>
      </c>
      <c r="B66" s="31" t="inlineStr">
        <is>
          <t>Raj Rayon Industries Ltd</t>
        </is>
      </c>
      <c r="C66" s="31" t="inlineStr">
        <is>
          <t>textiles</t>
        </is>
      </c>
      <c r="D66" s="31" t="inlineStr">
        <is>
          <t>textiles - manmade</t>
        </is>
      </c>
      <c r="E66" s="31" t="inlineStr">
        <is>
          <t>smallcap</t>
        </is>
      </c>
      <c r="F66" s="31" t="n">
        <v>1267.31</v>
      </c>
      <c r="G66" s="31" t="n">
        <v>23.24</v>
      </c>
      <c r="H66" s="31" t="n">
        <v>1.97</v>
      </c>
      <c r="I66" s="31" t="n">
        <v>33063</v>
      </c>
      <c r="J66" s="31" t="inlineStr">
        <is>
          <t>530699</t>
        </is>
      </c>
    </row>
    <row r="67">
      <c r="A67" s="31" t="inlineStr">
        <is>
          <t>KDDL</t>
        </is>
      </c>
      <c r="B67" s="31" t="inlineStr">
        <is>
          <t>Kddl Limited</t>
        </is>
      </c>
      <c r="C67" s="31" t="inlineStr">
        <is>
          <t>consumer discretionary</t>
        </is>
      </c>
      <c r="D67" s="31" t="inlineStr">
        <is>
          <t>miscellaneous</t>
        </is>
      </c>
      <c r="E67" s="31" t="inlineStr">
        <is>
          <t>smallcap</t>
        </is>
      </c>
      <c r="F67" s="31" t="n">
        <v>4733.62</v>
      </c>
      <c r="G67" s="31" t="n">
        <v>3924.6</v>
      </c>
      <c r="H67" s="31" t="n">
        <v>1.97</v>
      </c>
      <c r="I67" s="31" t="n">
        <v>157893</v>
      </c>
      <c r="J67" s="31" t="inlineStr">
        <is>
          <t>532054</t>
        </is>
      </c>
    </row>
    <row r="68">
      <c r="A68" s="31" t="inlineStr">
        <is>
          <t>IOLCP</t>
        </is>
      </c>
      <c r="B68" s="31" t="inlineStr">
        <is>
          <t>Iol Chemicals And Pharmaceuticals Limited</t>
        </is>
      </c>
      <c r="C68" s="31" t="inlineStr">
        <is>
          <t>healthcare</t>
        </is>
      </c>
      <c r="D68" s="31" t="inlineStr">
        <is>
          <t>pharmaceuticals - indian - bulk drugs &amp; formln</t>
        </is>
      </c>
      <c r="E68" s="31" t="inlineStr">
        <is>
          <t>smallcap</t>
        </is>
      </c>
      <c r="F68" s="31" t="n">
        <v>4962.96</v>
      </c>
      <c r="G68" s="31" t="n">
        <v>172.37</v>
      </c>
      <c r="H68" s="31" t="n">
        <v>1.95</v>
      </c>
      <c r="I68" s="31" t="n">
        <v>7083289</v>
      </c>
      <c r="J68" s="31" t="inlineStr">
        <is>
          <t>524164</t>
        </is>
      </c>
    </row>
    <row r="69">
      <c r="A69" s="31" t="inlineStr">
        <is>
          <t>VIYASH</t>
        </is>
      </c>
      <c r="B69" s="31" t="inlineStr">
        <is>
          <t>Viyash Scientific Ltd</t>
        </is>
      </c>
      <c r="C69" s="31" t="inlineStr">
        <is>
          <t>healthcare</t>
        </is>
      </c>
      <c r="D69" s="31" t="inlineStr">
        <is>
          <t>pharmaceuticals - indian - bulk drugs &amp; formln</t>
        </is>
      </c>
      <c r="E69" s="31" t="inlineStr">
        <is>
          <t>midcap</t>
        </is>
      </c>
      <c r="F69" s="31" t="n">
        <v>11935.44</v>
      </c>
      <c r="G69" s="31" t="n">
        <v>278.35</v>
      </c>
      <c r="H69" s="31" t="n">
        <v>1.89</v>
      </c>
      <c r="I69" s="31" t="n">
        <v>9688162</v>
      </c>
      <c r="J69" s="31" t="inlineStr">
        <is>
          <t>512529</t>
        </is>
      </c>
    </row>
    <row r="70">
      <c r="A70" s="31" t="inlineStr">
        <is>
          <t>UNIONBANK</t>
        </is>
      </c>
      <c r="B70" s="31" t="inlineStr">
        <is>
          <t>Union Bank Of India Ltd</t>
        </is>
      </c>
      <c r="C70" s="31" t="inlineStr">
        <is>
          <t>bank</t>
        </is>
      </c>
      <c r="D70" s="31" t="inlineStr">
        <is>
          <t>banks - public sector</t>
        </is>
      </c>
      <c r="E70" s="31" t="inlineStr">
        <is>
          <t>largecap</t>
        </is>
      </c>
      <c r="F70" s="31" t="n">
        <v>140153</v>
      </c>
      <c r="G70" s="31" t="n">
        <v>186.98</v>
      </c>
      <c r="H70" s="31" t="n">
        <v>1.84</v>
      </c>
      <c r="I70" s="31" t="n">
        <v>11289193</v>
      </c>
      <c r="J70" s="31" t="inlineStr">
        <is>
          <t>532477</t>
        </is>
      </c>
    </row>
    <row r="71">
      <c r="A71" s="31" t="inlineStr">
        <is>
          <t>OFSS</t>
        </is>
      </c>
      <c r="B71" s="31" t="inlineStr">
        <is>
          <t>Oracle Financial Services Software Limited</t>
        </is>
      </c>
      <c r="C71" s="31" t="inlineStr">
        <is>
          <t>i.t</t>
        </is>
      </c>
      <c r="D71" s="31" t="inlineStr">
        <is>
          <t>computers - software - large</t>
        </is>
      </c>
      <c r="E71" s="31" t="inlineStr">
        <is>
          <t>largecap</t>
        </is>
      </c>
      <c r="F71" s="31" t="n">
        <v>100289.69</v>
      </c>
      <c r="G71" s="31" t="n">
        <v>11729</v>
      </c>
      <c r="H71" s="31" t="n">
        <v>1.83</v>
      </c>
      <c r="I71" s="31" t="n">
        <v>193205</v>
      </c>
      <c r="J71" s="31" t="inlineStr">
        <is>
          <t>532466</t>
        </is>
      </c>
    </row>
    <row r="72">
      <c r="A72" s="31" t="inlineStr">
        <is>
          <t>OCCLLTD</t>
        </is>
      </c>
      <c r="B72" s="31" t="inlineStr">
        <is>
          <t>OCCL Ltd</t>
        </is>
      </c>
      <c r="C72" s="31" t="inlineStr">
        <is>
          <t>chemicals</t>
        </is>
      </c>
      <c r="D72" s="31" t="inlineStr">
        <is>
          <t>chemicals</t>
        </is>
      </c>
      <c r="E72" s="31" t="inlineStr">
        <is>
          <t>smallcap</t>
        </is>
      </c>
      <c r="F72" s="31" t="n">
        <v>785.02</v>
      </c>
      <c r="G72" s="31" t="n">
        <v>160</v>
      </c>
      <c r="H72" s="31" t="n">
        <v>1.81</v>
      </c>
      <c r="I72" s="31" t="n">
        <v>20733</v>
      </c>
      <c r="J72" s="31" t="inlineStr">
        <is>
          <t>544278</t>
        </is>
      </c>
    </row>
    <row r="73">
      <c r="A73" s="31" t="inlineStr">
        <is>
          <t>LODHA</t>
        </is>
      </c>
      <c r="B73" s="31" t="inlineStr">
        <is>
          <t>Lodha Developers Ltd</t>
        </is>
      </c>
      <c r="C73" s="31" t="inlineStr">
        <is>
          <t>realty</t>
        </is>
      </c>
      <c r="D73" s="31" t="inlineStr">
        <is>
          <t>construction</t>
        </is>
      </c>
      <c r="E73" s="31" t="inlineStr">
        <is>
          <t>largecap</t>
        </is>
      </c>
      <c r="F73" s="31" t="n">
        <v>125726.04</v>
      </c>
      <c r="G73" s="31" t="n">
        <v>1281.1</v>
      </c>
      <c r="H73" s="31" t="n">
        <v>1.8</v>
      </c>
      <c r="I73" s="31" t="n">
        <v>2236853</v>
      </c>
      <c r="J73" s="31" t="inlineStr">
        <is>
          <t>543287</t>
        </is>
      </c>
    </row>
    <row r="74">
      <c r="A74" s="31" t="inlineStr">
        <is>
          <t>APARINDS</t>
        </is>
      </c>
      <c r="B74" s="31" t="inlineStr">
        <is>
          <t>Apar Industries Limited</t>
        </is>
      </c>
      <c r="C74" s="31" t="inlineStr">
        <is>
          <t>industrials</t>
        </is>
      </c>
      <c r="D74" s="31" t="inlineStr">
        <is>
          <t>electric equipment</t>
        </is>
      </c>
      <c r="E74" s="31" t="inlineStr">
        <is>
          <t>largecap</t>
        </is>
      </c>
      <c r="F74" s="31" t="n">
        <v>69947.74000000001</v>
      </c>
      <c r="G74" s="31" t="n">
        <v>17001</v>
      </c>
      <c r="H74" s="31" t="n">
        <v>1.77</v>
      </c>
      <c r="I74" s="31" t="n">
        <v>162714</v>
      </c>
      <c r="J74" s="31" t="inlineStr">
        <is>
          <t>532259</t>
        </is>
      </c>
    </row>
    <row r="75">
      <c r="A75" s="31" t="inlineStr">
        <is>
          <t>KOLTEPATIL</t>
        </is>
      </c>
      <c r="B75" s="31" t="inlineStr">
        <is>
          <t>Kolte - Patil Developers Limited</t>
        </is>
      </c>
      <c r="C75" s="31" t="inlineStr">
        <is>
          <t>realty</t>
        </is>
      </c>
      <c r="D75" s="31" t="inlineStr">
        <is>
          <t>construction</t>
        </is>
      </c>
      <c r="E75" s="31" t="inlineStr">
        <is>
          <t>smallcap</t>
        </is>
      </c>
      <c r="F75" s="31" t="n">
        <v>4009.23</v>
      </c>
      <c r="G75" s="31" t="n">
        <v>460</v>
      </c>
      <c r="H75" s="31" t="n">
        <v>1.75</v>
      </c>
      <c r="I75" s="31" t="n">
        <v>218111</v>
      </c>
      <c r="J75" s="31" t="inlineStr">
        <is>
          <t>532924</t>
        </is>
      </c>
    </row>
    <row r="76">
      <c r="A76" s="31" t="inlineStr">
        <is>
          <t>SHRIRAMFIN</t>
        </is>
      </c>
      <c r="B76" s="31" t="inlineStr">
        <is>
          <t>Shriram Finance Ltd</t>
        </is>
      </c>
      <c r="C76" s="31" t="inlineStr">
        <is>
          <t>financials</t>
        </is>
      </c>
      <c r="D76" s="31" t="inlineStr">
        <is>
          <t>finance &amp; investments</t>
        </is>
      </c>
      <c r="E76" s="31" t="inlineStr">
        <is>
          <t>largecap</t>
        </is>
      </c>
      <c r="F76" s="31" t="n">
        <v>263291.2</v>
      </c>
      <c r="G76" s="31" t="n">
        <v>1138.5</v>
      </c>
      <c r="H76" s="31" t="n">
        <v>1.74</v>
      </c>
      <c r="I76" s="31" t="n">
        <v>2911692</v>
      </c>
      <c r="J76" s="31" t="inlineStr">
        <is>
          <t>511218</t>
        </is>
      </c>
    </row>
    <row r="77">
      <c r="A77" s="31" t="inlineStr">
        <is>
          <t>NIACL</t>
        </is>
      </c>
      <c r="B77" s="31" t="inlineStr">
        <is>
          <t>New India Assurance Company Ltd</t>
        </is>
      </c>
      <c r="C77" s="31" t="inlineStr">
        <is>
          <t>financials</t>
        </is>
      </c>
      <c r="D77" s="31" t="inlineStr">
        <is>
          <t>finance &amp; investments</t>
        </is>
      </c>
      <c r="E77" s="31" t="inlineStr">
        <is>
          <t>largecap</t>
        </is>
      </c>
      <c r="F77" s="31" t="n">
        <v>30336.38</v>
      </c>
      <c r="G77" s="31" t="n">
        <v>187.29</v>
      </c>
      <c r="H77" s="31" t="n">
        <v>1.74</v>
      </c>
      <c r="I77" s="31" t="n">
        <v>2996300</v>
      </c>
      <c r="J77" s="31" t="inlineStr">
        <is>
          <t>540769</t>
        </is>
      </c>
    </row>
    <row r="78">
      <c r="A78" s="31" t="inlineStr">
        <is>
          <t>BIL</t>
        </is>
      </c>
      <c r="B78" s="31" t="inlineStr">
        <is>
          <t>Bhartiya International Limited</t>
        </is>
      </c>
      <c r="C78" s="31" t="inlineStr">
        <is>
          <t>consumer discretionary</t>
        </is>
      </c>
      <c r="D78" s="31" t="inlineStr">
        <is>
          <t>leather / leather products</t>
        </is>
      </c>
      <c r="E78" s="31" t="inlineStr">
        <is>
          <t>smallcap</t>
        </is>
      </c>
      <c r="F78" s="31" t="n">
        <v>1120.37</v>
      </c>
      <c r="G78" s="31" t="n">
        <v>850</v>
      </c>
      <c r="H78" s="31" t="n">
        <v>1.74</v>
      </c>
      <c r="I78" s="31" t="n">
        <v>36010</v>
      </c>
      <c r="J78" s="31" t="inlineStr">
        <is>
          <t>526666</t>
        </is>
      </c>
    </row>
    <row r="79">
      <c r="A79" s="31" t="inlineStr">
        <is>
          <t>YATHARTH</t>
        </is>
      </c>
      <c r="B79" s="31" t="inlineStr">
        <is>
          <t>Yatharth Hospital &amp; Trauma Care Services Ltd</t>
        </is>
      </c>
      <c r="C79" s="31" t="inlineStr">
        <is>
          <t>healthcare</t>
        </is>
      </c>
      <c r="D79" s="31" t="inlineStr">
        <is>
          <t>healthcare</t>
        </is>
      </c>
      <c r="E79" s="31" t="inlineStr">
        <is>
          <t>midcap</t>
        </is>
      </c>
      <c r="F79" s="31" t="n">
        <v>8744.639999999999</v>
      </c>
      <c r="G79" s="31" t="n">
        <v>923.05</v>
      </c>
      <c r="H79" s="31" t="n">
        <v>1.71</v>
      </c>
      <c r="I79" s="31" t="n">
        <v>1180205</v>
      </c>
      <c r="J79" s="31" t="inlineStr">
        <is>
          <t>543950</t>
        </is>
      </c>
    </row>
    <row r="80">
      <c r="A80" s="31" t="inlineStr">
        <is>
          <t>POLYPLEX</t>
        </is>
      </c>
      <c r="B80" s="31" t="inlineStr">
        <is>
          <t>Polyplex Corporation Limited</t>
        </is>
      </c>
      <c r="C80" s="31" t="inlineStr">
        <is>
          <t>industrials</t>
        </is>
      </c>
      <c r="D80" s="31" t="inlineStr">
        <is>
          <t>packaging</t>
        </is>
      </c>
      <c r="E80" s="31" t="inlineStr">
        <is>
          <t>smallcap</t>
        </is>
      </c>
      <c r="F80" s="31" t="n">
        <v>3672.92</v>
      </c>
      <c r="G80" s="31" t="n">
        <v>1190</v>
      </c>
      <c r="H80" s="31" t="n">
        <v>1.71</v>
      </c>
      <c r="I80" s="31" t="n">
        <v>81139</v>
      </c>
      <c r="J80" s="31" t="inlineStr">
        <is>
          <t>524051</t>
        </is>
      </c>
    </row>
    <row r="81">
      <c r="A81" s="31" t="inlineStr">
        <is>
          <t>KEI</t>
        </is>
      </c>
      <c r="B81" s="31" t="inlineStr">
        <is>
          <t>Kei Industries Limited</t>
        </is>
      </c>
      <c r="C81" s="31" t="inlineStr">
        <is>
          <t>industrials</t>
        </is>
      </c>
      <c r="D81" s="31" t="inlineStr">
        <is>
          <t>cables - power</t>
        </is>
      </c>
      <c r="E81" s="31" t="inlineStr">
        <is>
          <t>largecap</t>
        </is>
      </c>
      <c r="F81" s="31" t="n">
        <v>52522.97</v>
      </c>
      <c r="G81" s="31" t="n">
        <v>5588</v>
      </c>
      <c r="H81" s="31" t="n">
        <v>1.71</v>
      </c>
      <c r="I81" s="31" t="n">
        <v>430421</v>
      </c>
      <c r="J81" s="31" t="inlineStr">
        <is>
          <t>517569</t>
        </is>
      </c>
    </row>
    <row r="82">
      <c r="A82" s="31" t="inlineStr">
        <is>
          <t>360ONE</t>
        </is>
      </c>
      <c r="B82" s="31" t="inlineStr">
        <is>
          <t>360 ONE WAM Ltd</t>
        </is>
      </c>
      <c r="C82" s="31" t="inlineStr">
        <is>
          <t>financials</t>
        </is>
      </c>
      <c r="D82" s="31" t="inlineStr">
        <is>
          <t>finance &amp; investments</t>
        </is>
      </c>
      <c r="E82" s="31" t="inlineStr">
        <is>
          <t>largecap</t>
        </is>
      </c>
      <c r="F82" s="31" t="n">
        <v>48387.38</v>
      </c>
      <c r="G82" s="31" t="n">
        <v>1210</v>
      </c>
      <c r="H82" s="31" t="n">
        <v>1.7</v>
      </c>
      <c r="I82" s="31" t="n">
        <v>531995</v>
      </c>
      <c r="J82" s="31" t="inlineStr">
        <is>
          <t>542772</t>
        </is>
      </c>
    </row>
    <row r="83">
      <c r="A83" s="31" t="inlineStr">
        <is>
          <t>SBCL</t>
        </is>
      </c>
      <c r="B83" s="31" t="inlineStr">
        <is>
          <t>Shivalik Bimetal Controls Ltd</t>
        </is>
      </c>
      <c r="C83" s="31" t="inlineStr">
        <is>
          <t>metals &amp; mining</t>
        </is>
      </c>
      <c r="D83" s="31" t="inlineStr">
        <is>
          <t>mining / minerals / metals</t>
        </is>
      </c>
      <c r="E83" s="31" t="inlineStr">
        <is>
          <t>midcap</t>
        </is>
      </c>
      <c r="F83" s="31" t="n">
        <v>5769.06</v>
      </c>
      <c r="G83" s="31" t="n">
        <v>1018.35</v>
      </c>
      <c r="H83" s="31" t="n">
        <v>1.68</v>
      </c>
      <c r="I83" s="31" t="n">
        <v>280525</v>
      </c>
      <c r="J83" s="31" t="inlineStr">
        <is>
          <t>513097</t>
        </is>
      </c>
    </row>
    <row r="84">
      <c r="A84" s="31" t="inlineStr">
        <is>
          <t>ABB</t>
        </is>
      </c>
      <c r="B84" s="31" t="inlineStr">
        <is>
          <t>Abb India Limited</t>
        </is>
      </c>
      <c r="C84" s="31" t="inlineStr">
        <is>
          <t>industrials</t>
        </is>
      </c>
      <c r="D84" s="31" t="inlineStr">
        <is>
          <t>electric equipment</t>
        </is>
      </c>
      <c r="E84" s="31" t="inlineStr">
        <is>
          <t>largecap</t>
        </is>
      </c>
      <c r="F84" s="31" t="n">
        <v>159016.04</v>
      </c>
      <c r="G84" s="31" t="n">
        <v>7627</v>
      </c>
      <c r="H84" s="31" t="n">
        <v>1.64</v>
      </c>
      <c r="I84" s="31" t="n">
        <v>177041</v>
      </c>
      <c r="J84" s="31" t="inlineStr">
        <is>
          <t>500002</t>
        </is>
      </c>
    </row>
    <row r="85">
      <c r="A85" s="31" t="inlineStr">
        <is>
          <t>SGFIN</t>
        </is>
      </c>
      <c r="B85" s="31" t="inlineStr">
        <is>
          <t>SG Finserve Ltd</t>
        </is>
      </c>
      <c r="C85" s="31" t="inlineStr">
        <is>
          <t>financials</t>
        </is>
      </c>
      <c r="D85" s="31" t="inlineStr">
        <is>
          <t>finance &amp; investments</t>
        </is>
      </c>
      <c r="E85" s="31" t="inlineStr">
        <is>
          <t>smallcap</t>
        </is>
      </c>
      <c r="F85" s="31" t="n">
        <v>4542.47</v>
      </c>
      <c r="G85" s="31" t="n">
        <v>700.5</v>
      </c>
      <c r="H85" s="31" t="n">
        <v>1.62</v>
      </c>
      <c r="I85" s="31" t="n">
        <v>300645</v>
      </c>
      <c r="J85" s="31" t="inlineStr">
        <is>
          <t>539199</t>
        </is>
      </c>
    </row>
    <row r="86">
      <c r="A86" s="31" t="inlineStr">
        <is>
          <t>SHANTIGEAR</t>
        </is>
      </c>
      <c r="B86" s="31" t="inlineStr">
        <is>
          <t>Shanthi Gears Limited</t>
        </is>
      </c>
      <c r="C86" s="31" t="inlineStr">
        <is>
          <t>industrials</t>
        </is>
      </c>
      <c r="D86" s="31" t="inlineStr">
        <is>
          <t>engineering</t>
        </is>
      </c>
      <c r="E86" s="31" t="inlineStr">
        <is>
          <t>smallcap</t>
        </is>
      </c>
      <c r="F86" s="31" t="n">
        <v>4211.7</v>
      </c>
      <c r="G86" s="31" t="n">
        <v>557.9</v>
      </c>
      <c r="H86" s="31" t="n">
        <v>1.62</v>
      </c>
      <c r="I86" s="31" t="n">
        <v>2297181</v>
      </c>
      <c r="J86" s="31" t="inlineStr">
        <is>
          <t>522034</t>
        </is>
      </c>
    </row>
    <row r="87">
      <c r="A87" s="31" t="inlineStr">
        <is>
          <t>TVSSCS</t>
        </is>
      </c>
      <c r="B87" s="31" t="inlineStr">
        <is>
          <t>TVS Supply Chain Solutions Ltd</t>
        </is>
      </c>
      <c r="C87" s="31" t="inlineStr">
        <is>
          <t>transportation</t>
        </is>
      </c>
      <c r="D87" s="31" t="inlineStr">
        <is>
          <t>miscellaneous</t>
        </is>
      </c>
      <c r="E87" s="31" t="inlineStr">
        <is>
          <t>midcap</t>
        </is>
      </c>
      <c r="F87" s="31" t="n">
        <v>5867.25</v>
      </c>
      <c r="G87" s="31" t="n">
        <v>135.14</v>
      </c>
      <c r="H87" s="31" t="n">
        <v>1.62</v>
      </c>
      <c r="I87" s="31" t="n">
        <v>12092906</v>
      </c>
      <c r="J87" s="31" t="inlineStr">
        <is>
          <t>543965</t>
        </is>
      </c>
    </row>
    <row r="88">
      <c r="A88" s="31" t="inlineStr">
        <is>
          <t>LALPATHLAB</t>
        </is>
      </c>
      <c r="B88" s="31" t="inlineStr">
        <is>
          <t>Dr. Lal Path Labs Ltd.</t>
        </is>
      </c>
      <c r="C88" s="31" t="inlineStr">
        <is>
          <t>healthcare</t>
        </is>
      </c>
      <c r="D88" s="31" t="inlineStr">
        <is>
          <t>healthcare</t>
        </is>
      </c>
      <c r="E88" s="31" t="inlineStr">
        <is>
          <t>largecap</t>
        </is>
      </c>
      <c r="F88" s="31" t="n">
        <v>31579.6</v>
      </c>
      <c r="G88" s="31" t="n">
        <v>1913.7</v>
      </c>
      <c r="H88" s="31" t="n">
        <v>1.59</v>
      </c>
      <c r="I88" s="31" t="n">
        <v>207179</v>
      </c>
      <c r="J88" s="31" t="inlineStr">
        <is>
          <t>539524</t>
        </is>
      </c>
    </row>
    <row r="89">
      <c r="A89" s="31" t="inlineStr">
        <is>
          <t>PNBHOUSING</t>
        </is>
      </c>
      <c r="B89" s="31" t="inlineStr">
        <is>
          <t>Pnb Housing Finance Limited</t>
        </is>
      </c>
      <c r="C89" s="31" t="inlineStr">
        <is>
          <t>financials</t>
        </is>
      </c>
      <c r="D89" s="31" t="inlineStr">
        <is>
          <t>finance - housing</t>
        </is>
      </c>
      <c r="E89" s="31" t="inlineStr">
        <is>
          <t>largecap</t>
        </is>
      </c>
      <c r="F89" s="31" t="n">
        <v>30358.73</v>
      </c>
      <c r="G89" s="31" t="n">
        <v>1182</v>
      </c>
      <c r="H89" s="31" t="n">
        <v>1.46</v>
      </c>
      <c r="I89" s="31" t="n">
        <v>664475</v>
      </c>
      <c r="J89" s="31" t="inlineStr">
        <is>
          <t>540173</t>
        </is>
      </c>
    </row>
    <row r="90">
      <c r="A90" s="31" t="inlineStr">
        <is>
          <t>MFSL</t>
        </is>
      </c>
      <c r="B90" s="31" t="inlineStr">
        <is>
          <t>Max Financial Services Limited</t>
        </is>
      </c>
      <c r="C90" s="31" t="inlineStr">
        <is>
          <t>financials</t>
        </is>
      </c>
      <c r="D90" s="31" t="inlineStr">
        <is>
          <t>finance &amp; investments</t>
        </is>
      </c>
      <c r="E90" s="31" t="inlineStr">
        <is>
          <t>largecap</t>
        </is>
      </c>
      <c r="F90" s="31" t="n">
        <v>54176.12</v>
      </c>
      <c r="G90" s="31" t="n">
        <v>1592.5</v>
      </c>
      <c r="H90" s="31" t="n">
        <v>1.45</v>
      </c>
      <c r="I90" s="31" t="n">
        <v>935547</v>
      </c>
      <c r="J90" s="31" t="inlineStr">
        <is>
          <t>500271</t>
        </is>
      </c>
    </row>
    <row r="91">
      <c r="A91" s="31" t="inlineStr">
        <is>
          <t>GHCLTEXTIL</t>
        </is>
      </c>
      <c r="B91" s="31" t="inlineStr">
        <is>
          <t>GHCL Textiles Ltd</t>
        </is>
      </c>
      <c r="C91" s="31" t="inlineStr">
        <is>
          <t>textiles</t>
        </is>
      </c>
      <c r="D91" s="31" t="inlineStr">
        <is>
          <t>textiles - spinning - synthetic / blended</t>
        </is>
      </c>
      <c r="E91" s="31" t="inlineStr">
        <is>
          <t>smallcap</t>
        </is>
      </c>
      <c r="F91" s="31" t="n">
        <v>1187.27</v>
      </c>
      <c r="G91" s="31" t="n">
        <v>126</v>
      </c>
      <c r="H91" s="31" t="n">
        <v>1.44</v>
      </c>
      <c r="I91" s="31" t="n">
        <v>670942</v>
      </c>
      <c r="J91" s="31" t="inlineStr">
        <is>
          <t>543918</t>
        </is>
      </c>
    </row>
    <row r="92">
      <c r="A92" s="31" t="inlineStr">
        <is>
          <t>SAILIFE</t>
        </is>
      </c>
      <c r="B92" s="31" t="inlineStr">
        <is>
          <t>Sai Life Sciences Ltd</t>
        </is>
      </c>
      <c r="C92" s="31" t="inlineStr">
        <is>
          <t>healthcare</t>
        </is>
      </c>
      <c r="D92" s="31" t="inlineStr">
        <is>
          <t>pharmaceuticals - indian - bulk drugs &amp; formln</t>
        </is>
      </c>
      <c r="E92" s="31" t="inlineStr">
        <is>
          <t>largecap</t>
        </is>
      </c>
      <c r="F92" s="31" t="n">
        <v>30482.15</v>
      </c>
      <c r="G92" s="31" t="n">
        <v>1455.5</v>
      </c>
      <c r="H92" s="31" t="n">
        <v>1.37</v>
      </c>
      <c r="I92" s="31" t="n">
        <v>208320</v>
      </c>
      <c r="J92" s="31" t="inlineStr">
        <is>
          <t>544306</t>
        </is>
      </c>
    </row>
    <row r="93">
      <c r="A93" s="31" t="inlineStr">
        <is>
          <t>JAGSNPHARM</t>
        </is>
      </c>
      <c r="B93" s="31" t="inlineStr">
        <is>
          <t>Jagsonpal Pharmaceuticals Limited</t>
        </is>
      </c>
      <c r="C93" s="31" t="inlineStr">
        <is>
          <t>healthcare</t>
        </is>
      </c>
      <c r="D93" s="31" t="inlineStr">
        <is>
          <t>pharmaceuticals - indian - bulk drugs &amp; formln</t>
        </is>
      </c>
      <c r="E93" s="31" t="inlineStr">
        <is>
          <t>smallcap</t>
        </is>
      </c>
      <c r="F93" s="31" t="n">
        <v>1585.12</v>
      </c>
      <c r="G93" s="31" t="n">
        <v>244</v>
      </c>
      <c r="H93" s="31" t="n">
        <v>1.34</v>
      </c>
      <c r="I93" s="31" t="n">
        <v>114387</v>
      </c>
      <c r="J93" s="31" t="inlineStr">
        <is>
          <t>507789</t>
        </is>
      </c>
    </row>
    <row r="94">
      <c r="A94" s="31" t="inlineStr">
        <is>
          <t>AUBANK</t>
        </is>
      </c>
      <c r="B94" s="31" t="inlineStr">
        <is>
          <t>AU Small Finance Bank Ltd</t>
        </is>
      </c>
      <c r="C94" s="31" t="inlineStr">
        <is>
          <t>bank</t>
        </is>
      </c>
      <c r="D94" s="31" t="inlineStr">
        <is>
          <t>banks - private sector</t>
        </is>
      </c>
      <c r="E94" s="31" t="inlineStr">
        <is>
          <t>largecap</t>
        </is>
      </c>
      <c r="F94" s="31" t="n">
        <v>83435.48</v>
      </c>
      <c r="G94" s="31" t="n">
        <v>1128.6</v>
      </c>
      <c r="H94" s="31" t="n">
        <v>1.31</v>
      </c>
      <c r="I94" s="31" t="n">
        <v>5658151</v>
      </c>
      <c r="J94" s="31" t="inlineStr">
        <is>
          <t>540611</t>
        </is>
      </c>
    </row>
    <row r="95">
      <c r="A95" s="31" t="inlineStr">
        <is>
          <t>TVSMOTOR</t>
        </is>
      </c>
      <c r="B95" s="31" t="inlineStr">
        <is>
          <t>Tvs Motor Company Limited</t>
        </is>
      </c>
      <c r="C95" s="31" t="inlineStr">
        <is>
          <t>auto</t>
        </is>
      </c>
      <c r="D95" s="31" t="inlineStr">
        <is>
          <t>automobiles - motorcycles / mopeds</t>
        </is>
      </c>
      <c r="E95" s="31" t="inlineStr">
        <is>
          <t>largecap</t>
        </is>
      </c>
      <c r="F95" s="31" t="n">
        <v>207304.26</v>
      </c>
      <c r="G95" s="31" t="n">
        <v>4420</v>
      </c>
      <c r="H95" s="31" t="n">
        <v>1.29</v>
      </c>
      <c r="I95" s="31" t="n">
        <v>524545</v>
      </c>
      <c r="J95" s="31" t="inlineStr">
        <is>
          <t>532343</t>
        </is>
      </c>
    </row>
    <row r="96">
      <c r="A96" s="31" t="inlineStr">
        <is>
          <t>LUMAXIND</t>
        </is>
      </c>
      <c r="B96" s="31" t="inlineStr">
        <is>
          <t>Lumax Industries Limited</t>
        </is>
      </c>
      <c r="C96" s="31" t="inlineStr">
        <is>
          <t>auto</t>
        </is>
      </c>
      <c r="D96" s="31" t="inlineStr">
        <is>
          <t>auto ancillaries</t>
        </is>
      </c>
      <c r="E96" s="31" t="inlineStr">
        <is>
          <t>midcap</t>
        </is>
      </c>
      <c r="F96" s="31" t="n">
        <v>5429.63</v>
      </c>
      <c r="G96" s="31" t="n">
        <v>5882.5</v>
      </c>
      <c r="H96" s="31" t="n">
        <v>1.27</v>
      </c>
      <c r="I96" s="31" t="n">
        <v>13451</v>
      </c>
      <c r="J96" s="31" t="inlineStr">
        <is>
          <t>517206</t>
        </is>
      </c>
    </row>
    <row r="97">
      <c r="A97" s="31" t="inlineStr">
        <is>
          <t>TBOTEK</t>
        </is>
      </c>
      <c r="B97" s="31" t="inlineStr">
        <is>
          <t>TBO Tek Ltd</t>
        </is>
      </c>
      <c r="C97" s="31" t="inlineStr">
        <is>
          <t>i.t</t>
        </is>
      </c>
      <c r="D97" s="31" t="inlineStr">
        <is>
          <t>travel agencies</t>
        </is>
      </c>
      <c r="E97" s="31" t="inlineStr">
        <is>
          <t>midcap</t>
        </is>
      </c>
      <c r="F97" s="31" t="n">
        <v>18497.93</v>
      </c>
      <c r="G97" s="31" t="n">
        <v>1725.1</v>
      </c>
      <c r="H97" s="31" t="n">
        <v>1.27</v>
      </c>
      <c r="I97" s="31" t="n">
        <v>256449</v>
      </c>
      <c r="J97" s="31" t="inlineStr">
        <is>
          <t>544174</t>
        </is>
      </c>
    </row>
    <row r="98">
      <c r="A98" s="31" t="inlineStr">
        <is>
          <t>MAXESTATES</t>
        </is>
      </c>
      <c r="B98" s="31" t="inlineStr">
        <is>
          <t>Max Estates Ltd</t>
        </is>
      </c>
      <c r="C98" s="31" t="inlineStr">
        <is>
          <t>realty</t>
        </is>
      </c>
      <c r="D98" s="31" t="inlineStr">
        <is>
          <t>construction</t>
        </is>
      </c>
      <c r="E98" s="31" t="inlineStr">
        <is>
          <t>midcap</t>
        </is>
      </c>
      <c r="F98" s="31" t="n">
        <v>8978.450000000001</v>
      </c>
      <c r="G98" s="31" t="n">
        <v>556.05</v>
      </c>
      <c r="H98" s="31" t="n">
        <v>1.26</v>
      </c>
      <c r="I98" s="31" t="n">
        <v>406668</v>
      </c>
      <c r="J98" s="31" t="inlineStr">
        <is>
          <t>544008</t>
        </is>
      </c>
    </row>
    <row r="99">
      <c r="A99" s="31" t="inlineStr">
        <is>
          <t>VINCOFE</t>
        </is>
      </c>
      <c r="B99" s="31" t="inlineStr">
        <is>
          <t>Vintage Coffee &amp; Beverages Ltd</t>
        </is>
      </c>
      <c r="C99" s="31" t="inlineStr">
        <is>
          <t>consumer discretionary</t>
        </is>
      </c>
      <c r="D99" s="31" t="inlineStr">
        <is>
          <t>trading</t>
        </is>
      </c>
      <c r="E99" s="31" t="inlineStr">
        <is>
          <t>smallcap</t>
        </is>
      </c>
      <c r="F99" s="31" t="n">
        <v>2316.15</v>
      </c>
      <c r="G99" s="31" t="n">
        <v>160.9</v>
      </c>
      <c r="H99" s="31" t="n">
        <v>1.21</v>
      </c>
      <c r="I99" s="31" t="n">
        <v>2458803</v>
      </c>
      <c r="J99" s="31" t="inlineStr">
        <is>
          <t>538920</t>
        </is>
      </c>
    </row>
    <row r="100">
      <c r="A100" s="31" t="inlineStr">
        <is>
          <t>BOSCHLTD</t>
        </is>
      </c>
      <c r="B100" s="31" t="inlineStr">
        <is>
          <t>Bosch Limited</t>
        </is>
      </c>
      <c r="C100" s="31" t="inlineStr">
        <is>
          <t>auto</t>
        </is>
      </c>
      <c r="D100" s="31" t="inlineStr">
        <is>
          <t>auto ancillaries</t>
        </is>
      </c>
      <c r="E100" s="31" t="inlineStr">
        <is>
          <t>largecap</t>
        </is>
      </c>
      <c r="F100" s="31" t="n">
        <v>141876.24</v>
      </c>
      <c r="G100" s="31" t="n">
        <v>48680</v>
      </c>
      <c r="H100" s="31" t="n">
        <v>1.21</v>
      </c>
      <c r="I100" s="31" t="n">
        <v>27255</v>
      </c>
      <c r="J100" s="31" t="inlineStr">
        <is>
          <t>500530</t>
        </is>
      </c>
    </row>
    <row r="101">
      <c r="A101" s="31" t="inlineStr">
        <is>
          <t>ETERNAL</t>
        </is>
      </c>
      <c r="B101" s="31" t="inlineStr">
        <is>
          <t>Eternal Ltd</t>
        </is>
      </c>
      <c r="C101" s="31" t="inlineStr">
        <is>
          <t>i.t</t>
        </is>
      </c>
      <c r="D101" s="31" t="inlineStr">
        <is>
          <t>miscellaneous</t>
        </is>
      </c>
      <c r="E101" s="31" t="inlineStr">
        <is>
          <t>largecap</t>
        </is>
      </c>
      <c r="F101" s="31" t="n">
        <v>315711.22</v>
      </c>
      <c r="G101" s="31" t="n">
        <v>331</v>
      </c>
      <c r="H101" s="31" t="n">
        <v>1.18</v>
      </c>
      <c r="I101" s="31" t="n">
        <v>29635459</v>
      </c>
      <c r="J101" s="31" t="inlineStr">
        <is>
          <t>543320</t>
        </is>
      </c>
    </row>
    <row r="102">
      <c r="A102" s="31" t="inlineStr">
        <is>
          <t>LTF</t>
        </is>
      </c>
      <c r="B102" s="31" t="inlineStr">
        <is>
          <t>L&amp;T Finance Ltd</t>
        </is>
      </c>
      <c r="C102" s="31" t="inlineStr">
        <is>
          <t>financials</t>
        </is>
      </c>
      <c r="D102" s="31" t="inlineStr">
        <is>
          <t>finance &amp; investments</t>
        </is>
      </c>
      <c r="E102" s="31" t="inlineStr">
        <is>
          <t>largecap</t>
        </is>
      </c>
      <c r="F102" s="31" t="n">
        <v>79136.41</v>
      </c>
      <c r="G102" s="31" t="n">
        <v>319.5</v>
      </c>
      <c r="H102" s="31" t="n">
        <v>1.16</v>
      </c>
      <c r="I102" s="31" t="n">
        <v>3718278</v>
      </c>
      <c r="J102" s="31" t="inlineStr">
        <is>
          <t>533519</t>
        </is>
      </c>
    </row>
    <row r="103">
      <c r="A103" s="31" t="inlineStr">
        <is>
          <t>NYKAA</t>
        </is>
      </c>
      <c r="B103" s="31" t="inlineStr">
        <is>
          <t>FSN E-Commerce Ventures Ltd</t>
        </is>
      </c>
      <c r="C103" s="31" t="inlineStr">
        <is>
          <t>i.t</t>
        </is>
      </c>
      <c r="D103" s="31" t="inlineStr">
        <is>
          <t>trading</t>
        </is>
      </c>
      <c r="E103" s="31" t="inlineStr">
        <is>
          <t>largecap</t>
        </is>
      </c>
      <c r="F103" s="31" t="n">
        <v>94592.11</v>
      </c>
      <c r="G103" s="31" t="n">
        <v>334</v>
      </c>
      <c r="H103" s="31" t="n">
        <v>1.12</v>
      </c>
      <c r="I103" s="31" t="n">
        <v>3389962</v>
      </c>
      <c r="J103" s="31" t="inlineStr">
        <is>
          <t>543384</t>
        </is>
      </c>
    </row>
    <row r="104">
      <c r="A104" s="31" t="inlineStr">
        <is>
          <t>PRINCEPIPE</t>
        </is>
      </c>
      <c r="B104" s="31" t="inlineStr">
        <is>
          <t>Prince Pipes &amp; Fittings Ltd</t>
        </is>
      </c>
      <c r="C104" s="31" t="inlineStr">
        <is>
          <t>plastic products</t>
        </is>
      </c>
      <c r="D104" s="31" t="inlineStr">
        <is>
          <t>plastics products</t>
        </is>
      </c>
      <c r="E104" s="31" t="inlineStr">
        <is>
          <t>smallcap</t>
        </is>
      </c>
      <c r="F104" s="31" t="n">
        <v>3139.38</v>
      </c>
      <c r="G104" s="31" t="n">
        <v>287.1</v>
      </c>
      <c r="H104" s="31" t="n">
        <v>1.11</v>
      </c>
      <c r="I104" s="31" t="n">
        <v>196492</v>
      </c>
      <c r="J104" s="31" t="inlineStr">
        <is>
          <t>542907</t>
        </is>
      </c>
    </row>
    <row r="105">
      <c r="A105" s="31" t="inlineStr">
        <is>
          <t>JSWINFRA</t>
        </is>
      </c>
      <c r="B105" s="31" t="inlineStr">
        <is>
          <t>JSW Infrastructure Ltd</t>
        </is>
      </c>
      <c r="C105" s="31" t="inlineStr">
        <is>
          <t>transportation</t>
        </is>
      </c>
      <c r="D105" s="31" t="inlineStr">
        <is>
          <t>miscellaneous</t>
        </is>
      </c>
      <c r="E105" s="31" t="inlineStr">
        <is>
          <t>largecap</t>
        </is>
      </c>
      <c r="F105" s="31" t="n">
        <v>79266.64999999999</v>
      </c>
      <c r="G105" s="31" t="n">
        <v>343.95</v>
      </c>
      <c r="H105" s="31" t="n">
        <v>1.1</v>
      </c>
      <c r="I105" s="31" t="n">
        <v>2904594</v>
      </c>
      <c r="J105" s="31" t="inlineStr">
        <is>
          <t>543994</t>
        </is>
      </c>
    </row>
    <row r="106">
      <c r="A106" s="31" t="inlineStr">
        <is>
          <t>TIRUPATIFL</t>
        </is>
      </c>
      <c r="B106" s="31" t="inlineStr">
        <is>
          <t>Tirupati Forge Ltd</t>
        </is>
      </c>
      <c r="C106" s="31" t="inlineStr">
        <is>
          <t>industrials</t>
        </is>
      </c>
      <c r="D106" s="31" t="inlineStr">
        <is>
          <t>castings &amp; forgings</t>
        </is>
      </c>
      <c r="E106" s="31" t="inlineStr">
        <is>
          <t>smallcap</t>
        </is>
      </c>
      <c r="F106" s="31" t="n">
        <v>919.77</v>
      </c>
      <c r="G106" s="31" t="n">
        <v>71.5</v>
      </c>
      <c r="H106" s="31" t="n">
        <v>1.09</v>
      </c>
      <c r="I106" s="31" t="n">
        <v>231498</v>
      </c>
      <c r="J106" s="31" t="inlineStr">
        <is>
          <t>535021</t>
        </is>
      </c>
    </row>
    <row r="107">
      <c r="A107" s="31" t="inlineStr">
        <is>
          <t>BAJAJ-AUTO</t>
        </is>
      </c>
      <c r="B107" s="31" t="inlineStr">
        <is>
          <t>Bajaj Auto Limited</t>
        </is>
      </c>
      <c r="C107" s="31" t="inlineStr">
        <is>
          <t>auto</t>
        </is>
      </c>
      <c r="D107" s="31" t="inlineStr">
        <is>
          <t>automobiles - scooters and 3 - wheelers</t>
        </is>
      </c>
      <c r="E107" s="31" t="inlineStr">
        <is>
          <t>largecap</t>
        </is>
      </c>
      <c r="F107" s="31" t="n">
        <v>329807.45</v>
      </c>
      <c r="G107" s="31" t="n">
        <v>11927</v>
      </c>
      <c r="H107" s="31" t="n">
        <v>1.08</v>
      </c>
      <c r="I107" s="31" t="n">
        <v>150931</v>
      </c>
      <c r="J107" s="31" t="inlineStr">
        <is>
          <t>532977</t>
        </is>
      </c>
    </row>
    <row r="108">
      <c r="A108" s="31" t="inlineStr">
        <is>
          <t>AEROENTER</t>
        </is>
      </c>
      <c r="B108" s="31" t="inlineStr">
        <is>
          <t>Aeroflex Enterprises Ltd</t>
        </is>
      </c>
      <c r="C108" s="31" t="inlineStr">
        <is>
          <t>metals &amp; mining</t>
        </is>
      </c>
      <c r="D108" s="31" t="inlineStr">
        <is>
          <t>steel - medium / small</t>
        </is>
      </c>
      <c r="E108" s="31" t="inlineStr">
        <is>
          <t>smallcap</t>
        </is>
      </c>
      <c r="F108" s="31" t="n">
        <v>1575.59</v>
      </c>
      <c r="G108" s="31" t="n">
        <v>140.74</v>
      </c>
      <c r="H108" s="31" t="n">
        <v>1.08</v>
      </c>
      <c r="I108" s="31" t="n">
        <v>959067</v>
      </c>
      <c r="J108" s="31" t="inlineStr">
        <is>
          <t>511076</t>
        </is>
      </c>
    </row>
    <row r="109">
      <c r="A109" s="31" t="inlineStr">
        <is>
          <t>OPTIEMUS</t>
        </is>
      </c>
      <c r="B109" s="31" t="inlineStr">
        <is>
          <t>Optiemus Infracom Ltd</t>
        </is>
      </c>
      <c r="C109" s="31" t="inlineStr">
        <is>
          <t>telecom</t>
        </is>
      </c>
      <c r="D109" s="31" t="inlineStr">
        <is>
          <t>trading</t>
        </is>
      </c>
      <c r="E109" s="31" t="inlineStr">
        <is>
          <t>midcap</t>
        </is>
      </c>
      <c r="F109" s="31" t="n">
        <v>5281.05</v>
      </c>
      <c r="G109" s="31" t="n">
        <v>591.9</v>
      </c>
      <c r="H109" s="31" t="n">
        <v>1.06</v>
      </c>
      <c r="I109" s="31" t="n">
        <v>772385</v>
      </c>
      <c r="J109" s="31" t="inlineStr">
        <is>
          <t>530135</t>
        </is>
      </c>
    </row>
    <row r="110">
      <c r="A110" s="31" t="inlineStr">
        <is>
          <t>COFORGE</t>
        </is>
      </c>
      <c r="B110" s="31" t="inlineStr">
        <is>
          <t>Coforge (Niit Tech) Ltd</t>
        </is>
      </c>
      <c r="C110" s="31" t="inlineStr">
        <is>
          <t>i.t</t>
        </is>
      </c>
      <c r="D110" s="31" t="inlineStr">
        <is>
          <t>computers - software - large</t>
        </is>
      </c>
      <c r="E110" s="31" t="inlineStr">
        <is>
          <t>largecap</t>
        </is>
      </c>
      <c r="F110" s="31" t="n">
        <v>82915.99000000001</v>
      </c>
      <c r="G110" s="31" t="n">
        <v>1892.8</v>
      </c>
      <c r="H110" s="31" t="n">
        <v>1.06</v>
      </c>
      <c r="I110" s="31" t="n">
        <v>1278339</v>
      </c>
      <c r="J110" s="31" t="inlineStr">
        <is>
          <t>532541</t>
        </is>
      </c>
    </row>
    <row r="111">
      <c r="A111" s="31" t="inlineStr">
        <is>
          <t>YUKEN</t>
        </is>
      </c>
      <c r="B111" s="31" t="inlineStr">
        <is>
          <t>Yuken India Ltd</t>
        </is>
      </c>
      <c r="C111" s="31" t="inlineStr">
        <is>
          <t>industrials</t>
        </is>
      </c>
      <c r="D111" s="31" t="inlineStr">
        <is>
          <t>engineering</t>
        </is>
      </c>
      <c r="E111" s="31" t="inlineStr">
        <is>
          <t>smallcap</t>
        </is>
      </c>
      <c r="F111" s="31" t="n">
        <v>1267.52</v>
      </c>
      <c r="G111" s="31" t="n">
        <v>943</v>
      </c>
      <c r="H111" s="31" t="n">
        <v>1.06</v>
      </c>
      <c r="I111" s="31" t="n">
        <v>9275</v>
      </c>
      <c r="J111" s="31" t="inlineStr">
        <is>
          <t>522108</t>
        </is>
      </c>
    </row>
    <row r="112">
      <c r="A112" s="31" t="inlineStr">
        <is>
          <t>BRIGADE</t>
        </is>
      </c>
      <c r="B112" s="31" t="inlineStr">
        <is>
          <t>Brigade Enterprises Limited</t>
        </is>
      </c>
      <c r="C112" s="31" t="inlineStr">
        <is>
          <t>realty</t>
        </is>
      </c>
      <c r="D112" s="31" t="inlineStr">
        <is>
          <t>construction</t>
        </is>
      </c>
      <c r="E112" s="31" t="inlineStr">
        <is>
          <t>largecap</t>
        </is>
      </c>
      <c r="F112" s="31" t="n">
        <v>21334.28</v>
      </c>
      <c r="G112" s="31" t="n">
        <v>660.9</v>
      </c>
      <c r="H112" s="31" t="n">
        <v>1.04</v>
      </c>
      <c r="I112" s="31" t="n">
        <v>1244674</v>
      </c>
      <c r="J112" s="31" t="inlineStr">
        <is>
          <t>532929</t>
        </is>
      </c>
    </row>
    <row r="113">
      <c r="A113" s="31" t="inlineStr">
        <is>
          <t>BEL</t>
        </is>
      </c>
      <c r="B113" s="31" t="inlineStr">
        <is>
          <t>Bharat Electronics Limited</t>
        </is>
      </c>
      <c r="C113" s="31" t="inlineStr">
        <is>
          <t>aerospace &amp; defence</t>
        </is>
      </c>
      <c r="D113" s="31" t="inlineStr">
        <is>
          <t>electronics - components</t>
        </is>
      </c>
      <c r="E113" s="31" t="inlineStr">
        <is>
          <t>largecap</t>
        </is>
      </c>
      <c r="F113" s="31" t="n">
        <v>298969.95</v>
      </c>
      <c r="G113" s="31" t="n">
        <v>413.25</v>
      </c>
      <c r="H113" s="31" t="n">
        <v>1.04</v>
      </c>
      <c r="I113" s="31" t="n">
        <v>9972589</v>
      </c>
      <c r="J113" s="31" t="inlineStr">
        <is>
          <t>500049</t>
        </is>
      </c>
    </row>
    <row r="114">
      <c r="A114" s="31" t="inlineStr">
        <is>
          <t>JYOTICNC</t>
        </is>
      </c>
      <c r="B114" s="31" t="inlineStr">
        <is>
          <t>Jyoti CNC Automation Ltd</t>
        </is>
      </c>
      <c r="C114" s="31" t="inlineStr">
        <is>
          <t>industrials</t>
        </is>
      </c>
      <c r="D114" s="31" t="inlineStr">
        <is>
          <t>engineering</t>
        </is>
      </c>
      <c r="E114" s="31" t="inlineStr">
        <is>
          <t>largecap</t>
        </is>
      </c>
      <c r="F114" s="31" t="n">
        <v>22293.15</v>
      </c>
      <c r="G114" s="31" t="n">
        <v>989.95</v>
      </c>
      <c r="H114" s="31" t="n">
        <v>0.99</v>
      </c>
      <c r="I114" s="31" t="n">
        <v>1048718</v>
      </c>
      <c r="J114" s="31" t="inlineStr">
        <is>
          <t>544081</t>
        </is>
      </c>
    </row>
    <row r="115">
      <c r="A115" s="31" t="inlineStr">
        <is>
          <t>MUNJALAU</t>
        </is>
      </c>
      <c r="B115" s="31" t="inlineStr">
        <is>
          <t>Munjal Auto Industries Limited</t>
        </is>
      </c>
      <c r="C115" s="31" t="inlineStr">
        <is>
          <t>auto</t>
        </is>
      </c>
      <c r="D115" s="31" t="inlineStr">
        <is>
          <t>auto ancillaries</t>
        </is>
      </c>
      <c r="E115" s="31" t="inlineStr">
        <is>
          <t>smallcap</t>
        </is>
      </c>
      <c r="F115" s="31" t="n">
        <v>1121.4</v>
      </c>
      <c r="G115" s="31" t="n">
        <v>113.23</v>
      </c>
      <c r="H115" s="31" t="n">
        <v>0.97</v>
      </c>
      <c r="I115" s="31" t="n">
        <v>482789</v>
      </c>
      <c r="J115" s="31" t="inlineStr">
        <is>
          <t>520059</t>
        </is>
      </c>
    </row>
    <row r="116">
      <c r="A116" s="31" t="inlineStr">
        <is>
          <t>THELEELA</t>
        </is>
      </c>
      <c r="B116" s="31" t="inlineStr">
        <is>
          <t>Leela Palaces Hotels &amp; Resorts Ltd</t>
        </is>
      </c>
      <c r="C116" s="31" t="inlineStr">
        <is>
          <t>services</t>
        </is>
      </c>
      <c r="D116" s="31" t="inlineStr">
        <is>
          <t>hotels</t>
        </is>
      </c>
      <c r="E116" s="31" t="inlineStr">
        <is>
          <t>midcap</t>
        </is>
      </c>
      <c r="F116" s="31" t="n">
        <v>18357.66</v>
      </c>
      <c r="G116" s="31" t="n">
        <v>554.9</v>
      </c>
      <c r="H116" s="31" t="n">
        <v>0.95</v>
      </c>
      <c r="I116" s="31" t="n">
        <v>470310</v>
      </c>
      <c r="J116" s="31" t="inlineStr">
        <is>
          <t>544408</t>
        </is>
      </c>
    </row>
    <row r="117">
      <c r="A117" s="31" t="inlineStr">
        <is>
          <t>LINCOLN</t>
        </is>
      </c>
      <c r="B117" s="31" t="inlineStr">
        <is>
          <t>Lincoln Pharmaceuticals Limited</t>
        </is>
      </c>
      <c r="C117" s="31" t="inlineStr">
        <is>
          <t>healthcare</t>
        </is>
      </c>
      <c r="D117" s="31" t="inlineStr">
        <is>
          <t>pharmaceuticals - indian - formulations</t>
        </is>
      </c>
      <c r="E117" s="31" t="inlineStr">
        <is>
          <t>smallcap</t>
        </is>
      </c>
      <c r="F117" s="31" t="n">
        <v>1226.32</v>
      </c>
      <c r="G117" s="31" t="n">
        <v>618</v>
      </c>
      <c r="H117" s="31" t="n">
        <v>0.9399999999999999</v>
      </c>
      <c r="I117" s="31" t="n">
        <v>49969</v>
      </c>
      <c r="J117" s="31" t="inlineStr">
        <is>
          <t>531633</t>
        </is>
      </c>
    </row>
    <row r="118">
      <c r="A118" s="31" t="inlineStr">
        <is>
          <t>CRISIL</t>
        </is>
      </c>
      <c r="B118" s="31" t="inlineStr">
        <is>
          <t>Crisil Limited</t>
        </is>
      </c>
      <c r="C118" s="31" t="inlineStr">
        <is>
          <t>financials</t>
        </is>
      </c>
      <c r="D118" s="31" t="inlineStr">
        <is>
          <t>miscellaneous</t>
        </is>
      </c>
      <c r="E118" s="31" t="inlineStr">
        <is>
          <t>largecap</t>
        </is>
      </c>
      <c r="F118" s="31" t="n">
        <v>32749.08</v>
      </c>
      <c r="G118" s="31" t="n">
        <v>4519.7</v>
      </c>
      <c r="H118" s="31" t="n">
        <v>0.93</v>
      </c>
      <c r="I118" s="31" t="n">
        <v>28786</v>
      </c>
      <c r="J118" s="31" t="inlineStr">
        <is>
          <t>500092</t>
        </is>
      </c>
    </row>
    <row r="119">
      <c r="A119" s="31" t="inlineStr">
        <is>
          <t>IFCI</t>
        </is>
      </c>
      <c r="B119" s="31" t="inlineStr">
        <is>
          <t>Ifci Limited</t>
        </is>
      </c>
      <c r="C119" s="31" t="inlineStr">
        <is>
          <t>financials</t>
        </is>
      </c>
      <c r="D119" s="31" t="inlineStr">
        <is>
          <t>finance - term-lending institutions</t>
        </is>
      </c>
      <c r="E119" s="31" t="inlineStr">
        <is>
          <t>largecap</t>
        </is>
      </c>
      <c r="F119" s="31" t="n">
        <v>22222.7</v>
      </c>
      <c r="G119" s="31" t="n">
        <v>83.25</v>
      </c>
      <c r="H119" s="31" t="n">
        <v>0.93</v>
      </c>
      <c r="I119" s="31" t="n">
        <v>56116737</v>
      </c>
      <c r="J119" s="31" t="inlineStr">
        <is>
          <t>500106</t>
        </is>
      </c>
    </row>
    <row r="120">
      <c r="A120" s="31" t="inlineStr">
        <is>
          <t>TITAN</t>
        </is>
      </c>
      <c r="B120" s="31" t="inlineStr">
        <is>
          <t>Titan Company Limited</t>
        </is>
      </c>
      <c r="C120" s="31" t="inlineStr">
        <is>
          <t>consumer discretionary</t>
        </is>
      </c>
      <c r="D120" s="31" t="inlineStr">
        <is>
          <t>diamond cutting / jewellery</t>
        </is>
      </c>
      <c r="E120" s="31" t="inlineStr">
        <is>
          <t>largecap</t>
        </is>
      </c>
      <c r="F120" s="31" t="n">
        <v>450906.59</v>
      </c>
      <c r="G120" s="31" t="n">
        <v>5124.8</v>
      </c>
      <c r="H120" s="31" t="n">
        <v>0.9</v>
      </c>
      <c r="I120" s="31" t="n">
        <v>329602</v>
      </c>
      <c r="J120" s="31" t="inlineStr">
        <is>
          <t>500114</t>
        </is>
      </c>
    </row>
    <row r="121">
      <c r="A121" s="31" t="inlineStr">
        <is>
          <t>INDIANB</t>
        </is>
      </c>
      <c r="B121" s="31" t="inlineStr">
        <is>
          <t>Indian Bank Ltd</t>
        </is>
      </c>
      <c r="C121" s="31" t="inlineStr">
        <is>
          <t>bank</t>
        </is>
      </c>
      <c r="D121" s="31" t="inlineStr">
        <is>
          <t>banks - public sector</t>
        </is>
      </c>
      <c r="E121" s="31" t="inlineStr">
        <is>
          <t>largecap</t>
        </is>
      </c>
      <c r="F121" s="31" t="n">
        <v>117246.48</v>
      </c>
      <c r="G121" s="31" t="n">
        <v>878</v>
      </c>
      <c r="H121" s="31" t="n">
        <v>0.87</v>
      </c>
      <c r="I121" s="31" t="n">
        <v>1375292</v>
      </c>
      <c r="J121" s="31" t="inlineStr">
        <is>
          <t>532814</t>
        </is>
      </c>
    </row>
    <row r="122">
      <c r="A122" s="31" t="inlineStr">
        <is>
          <t>M&amp;M</t>
        </is>
      </c>
      <c r="B122" s="31" t="inlineStr">
        <is>
          <t>Mahindra &amp; Mahindra Limited</t>
        </is>
      </c>
      <c r="C122" s="31" t="inlineStr">
        <is>
          <t>auto</t>
        </is>
      </c>
      <c r="D122" s="31" t="inlineStr">
        <is>
          <t>automobiles - passenger cars</t>
        </is>
      </c>
      <c r="E122" s="31" t="inlineStr">
        <is>
          <t>largecap</t>
        </is>
      </c>
      <c r="F122" s="31" t="n">
        <v>424553.18</v>
      </c>
      <c r="G122" s="31" t="n">
        <v>3443</v>
      </c>
      <c r="H122" s="31" t="n">
        <v>0.85</v>
      </c>
      <c r="I122" s="31" t="n">
        <v>1028933</v>
      </c>
      <c r="J122" s="31" t="inlineStr">
        <is>
          <t>500520</t>
        </is>
      </c>
    </row>
    <row r="123">
      <c r="A123" s="31" t="inlineStr">
        <is>
          <t>HCG</t>
        </is>
      </c>
      <c r="B123" s="31" t="inlineStr">
        <is>
          <t>Healthcare Global Enterprises Limited</t>
        </is>
      </c>
      <c r="C123" s="31" t="inlineStr">
        <is>
          <t>healthcare</t>
        </is>
      </c>
      <c r="D123" s="31" t="inlineStr">
        <is>
          <t>healthcare</t>
        </is>
      </c>
      <c r="E123" s="31" t="inlineStr">
        <is>
          <t>midcap</t>
        </is>
      </c>
      <c r="F123" s="31" t="n">
        <v>10731.84</v>
      </c>
      <c r="G123" s="31" t="n">
        <v>724.85</v>
      </c>
      <c r="H123" s="31" t="n">
        <v>0.84</v>
      </c>
      <c r="I123" s="31" t="n">
        <v>69687</v>
      </c>
      <c r="J123" s="31" t="inlineStr">
        <is>
          <t>539787</t>
        </is>
      </c>
    </row>
    <row r="124">
      <c r="A124" s="31" t="inlineStr">
        <is>
          <t>GLAND</t>
        </is>
      </c>
      <c r="B124" s="31" t="inlineStr">
        <is>
          <t>Gland Pharma Ltd</t>
        </is>
      </c>
      <c r="C124" s="31" t="inlineStr">
        <is>
          <t>healthcare</t>
        </is>
      </c>
      <c r="D124" s="31" t="inlineStr">
        <is>
          <t>pharmaceuticals - indian - formulations</t>
        </is>
      </c>
      <c r="E124" s="31" t="inlineStr">
        <is>
          <t>largecap</t>
        </is>
      </c>
      <c r="F124" s="31" t="n">
        <v>46215.1</v>
      </c>
      <c r="G124" s="31" t="n">
        <v>2824.6</v>
      </c>
      <c r="H124" s="31" t="n">
        <v>0.82</v>
      </c>
      <c r="I124" s="31" t="n">
        <v>169967</v>
      </c>
      <c r="J124" s="31" t="inlineStr">
        <is>
          <t>543245</t>
        </is>
      </c>
    </row>
    <row r="125">
      <c r="A125" s="31" t="inlineStr">
        <is>
          <t>ASHOKLEY</t>
        </is>
      </c>
      <c r="B125" s="31" t="inlineStr">
        <is>
          <t>Ashok Leyland Limited</t>
        </is>
      </c>
      <c r="C125" s="31" t="inlineStr">
        <is>
          <t>auto</t>
        </is>
      </c>
      <c r="D125" s="31" t="inlineStr">
        <is>
          <t>automobiles - lcvs / hcvs</t>
        </is>
      </c>
      <c r="E125" s="31" t="inlineStr">
        <is>
          <t>largecap</t>
        </is>
      </c>
      <c r="F125" s="31" t="n">
        <v>101788.03</v>
      </c>
      <c r="G125" s="31" t="n">
        <v>174.69</v>
      </c>
      <c r="H125" s="31" t="n">
        <v>0.8100000000000001</v>
      </c>
      <c r="I125" s="31" t="n">
        <v>8653915</v>
      </c>
      <c r="J125" s="31" t="inlineStr">
        <is>
          <t>500477</t>
        </is>
      </c>
    </row>
    <row r="126">
      <c r="A126" s="31" t="inlineStr">
        <is>
          <t>SETL</t>
        </is>
      </c>
      <c r="B126" s="31" t="inlineStr">
        <is>
          <t>Standard Enginnering Technology Ltd</t>
        </is>
      </c>
      <c r="C126" s="31" t="inlineStr">
        <is>
          <t>industrials</t>
        </is>
      </c>
      <c r="D126" s="31" t="inlineStr">
        <is>
          <t>engineering</t>
        </is>
      </c>
      <c r="E126" s="31" t="inlineStr">
        <is>
          <t>midcap</t>
        </is>
      </c>
      <c r="F126" s="31" t="n">
        <v>6231.12</v>
      </c>
      <c r="G126" s="31" t="n">
        <v>314.75</v>
      </c>
      <c r="H126" s="31" t="n">
        <v>0.77</v>
      </c>
      <c r="I126" s="31" t="n">
        <v>1839780</v>
      </c>
      <c r="J126" s="31" t="inlineStr">
        <is>
          <t>544333</t>
        </is>
      </c>
    </row>
    <row r="127">
      <c r="A127" s="31" t="inlineStr">
        <is>
          <t>RAMRAT</t>
        </is>
      </c>
      <c r="B127" s="31" t="inlineStr">
        <is>
          <t>Ram Ratna Wires Ltd</t>
        </is>
      </c>
      <c r="C127" s="31" t="inlineStr">
        <is>
          <t>metals &amp; mining</t>
        </is>
      </c>
      <c r="D127" s="31" t="inlineStr">
        <is>
          <t>mining / minerals / metals</t>
        </is>
      </c>
      <c r="E127" s="31" t="inlineStr">
        <is>
          <t>smallcap</t>
        </is>
      </c>
      <c r="F127" s="31" t="n">
        <v>4535.36</v>
      </c>
      <c r="G127" s="31" t="n">
        <v>489.55</v>
      </c>
      <c r="H127" s="31" t="n">
        <v>0.76</v>
      </c>
      <c r="I127" s="31" t="n">
        <v>373442</v>
      </c>
      <c r="J127" s="31" t="inlineStr">
        <is>
          <t>522281</t>
        </is>
      </c>
    </row>
    <row r="128">
      <c r="A128" s="31" t="inlineStr">
        <is>
          <t>KALYANKJIL</t>
        </is>
      </c>
      <c r="B128" s="31" t="inlineStr">
        <is>
          <t>Kalyan Jewellers India Ltd</t>
        </is>
      </c>
      <c r="C128" s="31" t="inlineStr">
        <is>
          <t>consumer discretionary</t>
        </is>
      </c>
      <c r="D128" s="31" t="inlineStr">
        <is>
          <t>diamond cutting / jewellery</t>
        </is>
      </c>
      <c r="E128" s="31" t="inlineStr">
        <is>
          <t>largecap</t>
        </is>
      </c>
      <c r="F128" s="31" t="n">
        <v>62785.44</v>
      </c>
      <c r="G128" s="31" t="n">
        <v>612.6</v>
      </c>
      <c r="H128" s="31" t="n">
        <v>0.76</v>
      </c>
      <c r="I128" s="31" t="n">
        <v>11762981</v>
      </c>
      <c r="J128" s="31" t="inlineStr">
        <is>
          <t>543278</t>
        </is>
      </c>
    </row>
    <row r="129">
      <c r="A129" s="31" t="inlineStr">
        <is>
          <t>POLICYBZR</t>
        </is>
      </c>
      <c r="B129" s="31" t="inlineStr">
        <is>
          <t>PB Fintech Ltd</t>
        </is>
      </c>
      <c r="C129" s="31" t="inlineStr">
        <is>
          <t>i.t</t>
        </is>
      </c>
      <c r="D129" s="31" t="inlineStr">
        <is>
          <t>miscellaneous</t>
        </is>
      </c>
      <c r="E129" s="31" t="inlineStr">
        <is>
          <t>largecap</t>
        </is>
      </c>
      <c r="F129" s="31" t="n">
        <v>82591.03</v>
      </c>
      <c r="G129" s="31" t="n">
        <v>1798.3</v>
      </c>
      <c r="H129" s="31" t="n">
        <v>0.75</v>
      </c>
      <c r="I129" s="31" t="n">
        <v>1326363</v>
      </c>
      <c r="J129" s="31" t="inlineStr">
        <is>
          <t>543390</t>
        </is>
      </c>
    </row>
    <row r="130">
      <c r="A130" s="31" t="inlineStr">
        <is>
          <t>BHAGERIA</t>
        </is>
      </c>
      <c r="B130" s="31" t="inlineStr">
        <is>
          <t>Bhageria Industries Limited</t>
        </is>
      </c>
      <c r="C130" s="31" t="inlineStr">
        <is>
          <t>chemicals</t>
        </is>
      </c>
      <c r="D130" s="31" t="inlineStr">
        <is>
          <t>dyes and pigments</t>
        </is>
      </c>
      <c r="E130" s="31" t="inlineStr">
        <is>
          <t>smallcap</t>
        </is>
      </c>
      <c r="F130" s="31" t="n">
        <v>974.71</v>
      </c>
      <c r="G130" s="31" t="n">
        <v>225</v>
      </c>
      <c r="H130" s="31" t="n">
        <v>0.75</v>
      </c>
      <c r="I130" s="31" t="n">
        <v>203051</v>
      </c>
      <c r="J130" s="31" t="inlineStr">
        <is>
          <t>530803</t>
        </is>
      </c>
    </row>
    <row r="131">
      <c r="A131" s="31" t="inlineStr">
        <is>
          <t>ANURAS</t>
        </is>
      </c>
      <c r="B131" s="31" t="inlineStr">
        <is>
          <t>Anupam Rasayan India Ltd</t>
        </is>
      </c>
      <c r="C131" s="31" t="inlineStr">
        <is>
          <t>chemicals</t>
        </is>
      </c>
      <c r="D131" s="31" t="inlineStr">
        <is>
          <t>chemicals</t>
        </is>
      </c>
      <c r="E131" s="31" t="inlineStr">
        <is>
          <t>midcap</t>
        </is>
      </c>
      <c r="F131" s="31" t="n">
        <v>14293.66</v>
      </c>
      <c r="G131" s="31" t="n">
        <v>1264.6</v>
      </c>
      <c r="H131" s="31" t="n">
        <v>0.72</v>
      </c>
      <c r="I131" s="31" t="n">
        <v>460143</v>
      </c>
      <c r="J131" s="31" t="inlineStr">
        <is>
          <t>543275</t>
        </is>
      </c>
    </row>
    <row r="132">
      <c r="A132" s="31" t="inlineStr">
        <is>
          <t>LT</t>
        </is>
      </c>
      <c r="B132" s="31" t="inlineStr">
        <is>
          <t>Larsen &amp; Toubro Limited</t>
        </is>
      </c>
      <c r="C132" s="31" t="inlineStr">
        <is>
          <t>realty</t>
        </is>
      </c>
      <c r="D132" s="31" t="inlineStr">
        <is>
          <t>engineering - turnkey services</t>
        </is>
      </c>
      <c r="E132" s="31" t="inlineStr">
        <is>
          <t>largecap</t>
        </is>
      </c>
      <c r="F132" s="31" t="n">
        <v>562673.23</v>
      </c>
      <c r="G132" s="31" t="n">
        <v>4119</v>
      </c>
      <c r="H132" s="31" t="n">
        <v>0.71</v>
      </c>
      <c r="I132" s="31" t="n">
        <v>1314529</v>
      </c>
      <c r="J132" s="31" t="inlineStr">
        <is>
          <t>500510</t>
        </is>
      </c>
    </row>
    <row r="133">
      <c r="A133" s="31" t="inlineStr">
        <is>
          <t>MOLDTECH</t>
        </is>
      </c>
      <c r="B133" s="31" t="inlineStr">
        <is>
          <t>Mold-tek Technologies Limited</t>
        </is>
      </c>
      <c r="C133" s="31" t="inlineStr">
        <is>
          <t>realty</t>
        </is>
      </c>
      <c r="D133" s="31" t="inlineStr">
        <is>
          <t>engineering - turnkey services</t>
        </is>
      </c>
      <c r="E133" s="31" t="inlineStr">
        <is>
          <t>smallcap</t>
        </is>
      </c>
      <c r="F133" s="31" t="n">
        <v>557.72</v>
      </c>
      <c r="G133" s="31" t="n">
        <v>195</v>
      </c>
      <c r="H133" s="31" t="n">
        <v>0.71</v>
      </c>
      <c r="I133" s="31" t="n">
        <v>138976</v>
      </c>
      <c r="J133" s="31" t="inlineStr">
        <is>
          <t>526263</t>
        </is>
      </c>
    </row>
    <row r="134">
      <c r="A134" s="31" t="inlineStr">
        <is>
          <t>CDSL</t>
        </is>
      </c>
      <c r="B134" s="31" t="inlineStr">
        <is>
          <t>Central Depository Services Ltd</t>
        </is>
      </c>
      <c r="C134" s="31" t="inlineStr">
        <is>
          <t>financials</t>
        </is>
      </c>
      <c r="D134" s="31" t="inlineStr">
        <is>
          <t>miscellaneous</t>
        </is>
      </c>
      <c r="E134" s="31" t="inlineStr">
        <is>
          <t>largecap</t>
        </is>
      </c>
      <c r="F134" s="31" t="n">
        <v>28948.59</v>
      </c>
      <c r="G134" s="31" t="n">
        <v>1394.8</v>
      </c>
      <c r="H134" s="31" t="n">
        <v>0.7</v>
      </c>
      <c r="I134" s="31" t="n">
        <v>1003754</v>
      </c>
      <c r="J134" s="31" t="n"/>
    </row>
    <row r="135">
      <c r="A135" s="31" t="inlineStr">
        <is>
          <t>ROLEXRINGS</t>
        </is>
      </c>
      <c r="B135" s="31" t="inlineStr">
        <is>
          <t>Rolex Rings Ltd</t>
        </is>
      </c>
      <c r="C135" s="31" t="inlineStr">
        <is>
          <t>auto</t>
        </is>
      </c>
      <c r="D135" s="31" t="inlineStr">
        <is>
          <t>auto ancillaries</t>
        </is>
      </c>
      <c r="E135" s="31" t="inlineStr">
        <is>
          <t>smallcap</t>
        </is>
      </c>
      <c r="F135" s="31" t="n">
        <v>4934.4</v>
      </c>
      <c r="G135" s="31" t="n">
        <v>182.42</v>
      </c>
      <c r="H135" s="31" t="n">
        <v>0.68</v>
      </c>
      <c r="I135" s="31" t="n">
        <v>1861565</v>
      </c>
      <c r="J135" s="31" t="inlineStr">
        <is>
          <t>543325</t>
        </is>
      </c>
    </row>
    <row r="136">
      <c r="A136" s="31" t="inlineStr">
        <is>
          <t>SHILPAMED</t>
        </is>
      </c>
      <c r="B136" s="31" t="inlineStr">
        <is>
          <t>Shilpa Medicare Limited</t>
        </is>
      </c>
      <c r="C136" s="31" t="inlineStr">
        <is>
          <t>healthcare</t>
        </is>
      </c>
      <c r="D136" s="31" t="inlineStr">
        <is>
          <t>pharmaceuticals - indian - formulations</t>
        </is>
      </c>
      <c r="E136" s="31" t="inlineStr">
        <is>
          <t>midcap</t>
        </is>
      </c>
      <c r="F136" s="31" t="n">
        <v>16737.89</v>
      </c>
      <c r="G136" s="31" t="n">
        <v>861.55</v>
      </c>
      <c r="H136" s="31" t="n">
        <v>0.67</v>
      </c>
      <c r="I136" s="31" t="n">
        <v>1438091</v>
      </c>
      <c r="J136" s="31" t="inlineStr">
        <is>
          <t>530549</t>
        </is>
      </c>
    </row>
    <row r="137">
      <c r="A137" s="31" t="inlineStr">
        <is>
          <t>GPPL</t>
        </is>
      </c>
      <c r="B137" s="31" t="inlineStr">
        <is>
          <t>Gujarat Pipavav Port Limited</t>
        </is>
      </c>
      <c r="C137" s="31" t="inlineStr">
        <is>
          <t>transportation</t>
        </is>
      </c>
      <c r="D137" s="31" t="inlineStr">
        <is>
          <t>miscellaneous</t>
        </is>
      </c>
      <c r="E137" s="31" t="inlineStr">
        <is>
          <t>midcap</t>
        </is>
      </c>
      <c r="F137" s="31" t="n">
        <v>7900.86</v>
      </c>
      <c r="G137" s="31" t="n">
        <v>164.51</v>
      </c>
      <c r="H137" s="31" t="n">
        <v>0.66</v>
      </c>
      <c r="I137" s="31" t="n">
        <v>1271085</v>
      </c>
      <c r="J137" s="31" t="inlineStr">
        <is>
          <t>533248</t>
        </is>
      </c>
    </row>
    <row r="138">
      <c r="A138" s="31" t="inlineStr">
        <is>
          <t>MANAPPURAM</t>
        </is>
      </c>
      <c r="B138" s="31" t="inlineStr">
        <is>
          <t>Manappuram Finance Limited</t>
        </is>
      </c>
      <c r="C138" s="31" t="inlineStr">
        <is>
          <t>financials</t>
        </is>
      </c>
      <c r="D138" s="31" t="inlineStr">
        <is>
          <t>finance &amp; investments</t>
        </is>
      </c>
      <c r="E138" s="31" t="inlineStr">
        <is>
          <t>largecap</t>
        </is>
      </c>
      <c r="F138" s="31" t="n">
        <v>34290.46</v>
      </c>
      <c r="G138" s="31" t="n">
        <v>367.45</v>
      </c>
      <c r="H138" s="31" t="n">
        <v>0.66</v>
      </c>
      <c r="I138" s="31" t="n">
        <v>4816195</v>
      </c>
      <c r="J138" s="31" t="inlineStr">
        <is>
          <t>531213</t>
        </is>
      </c>
    </row>
    <row r="139">
      <c r="A139" s="31" t="inlineStr">
        <is>
          <t>KRISHANA</t>
        </is>
      </c>
      <c r="B139" s="31" t="inlineStr">
        <is>
          <t>Krishana Phoschem Ltd</t>
        </is>
      </c>
      <c r="C139" s="31" t="inlineStr">
        <is>
          <t>chemicals</t>
        </is>
      </c>
      <c r="D139" s="31" t="inlineStr">
        <is>
          <t>fertilizers</t>
        </is>
      </c>
      <c r="E139" s="31" t="inlineStr">
        <is>
          <t>smallcap</t>
        </is>
      </c>
      <c r="F139" s="31" t="n">
        <v>1234.57</v>
      </c>
      <c r="G139" s="31" t="n">
        <v>201</v>
      </c>
      <c r="H139" s="31" t="n">
        <v>0.66</v>
      </c>
      <c r="I139" s="31" t="n">
        <v>1711948</v>
      </c>
      <c r="J139" s="31" t="inlineStr">
        <is>
          <t>538405</t>
        </is>
      </c>
    </row>
    <row r="140">
      <c r="A140" s="31" t="inlineStr">
        <is>
          <t>RITCO</t>
        </is>
      </c>
      <c r="B140" s="31" t="inlineStr">
        <is>
          <t>Ritco Logistics Ltd</t>
        </is>
      </c>
      <c r="C140" s="31" t="inlineStr">
        <is>
          <t>transportation</t>
        </is>
      </c>
      <c r="D140" s="31" t="inlineStr">
        <is>
          <t>miscellaneous</t>
        </is>
      </c>
      <c r="E140" s="31" t="inlineStr">
        <is>
          <t>smallcap</t>
        </is>
      </c>
      <c r="F140" s="31" t="n">
        <v>901.47</v>
      </c>
      <c r="G140" s="31" t="n">
        <v>317</v>
      </c>
      <c r="H140" s="31" t="n">
        <v>0.65</v>
      </c>
      <c r="I140" s="31" t="n">
        <v>103536</v>
      </c>
      <c r="J140" s="31" t="inlineStr">
        <is>
          <t>542383</t>
        </is>
      </c>
    </row>
    <row r="141">
      <c r="A141" s="31" t="inlineStr">
        <is>
          <t>RADICO</t>
        </is>
      </c>
      <c r="B141" s="31" t="inlineStr">
        <is>
          <t>Radico Khaitan Limited</t>
        </is>
      </c>
      <c r="C141" s="31" t="inlineStr">
        <is>
          <t>fmcg</t>
        </is>
      </c>
      <c r="D141" s="31" t="inlineStr">
        <is>
          <t>breweries &amp; distilleries</t>
        </is>
      </c>
      <c r="E141" s="31" t="inlineStr">
        <is>
          <t>largecap</t>
        </is>
      </c>
      <c r="F141" s="31" t="n">
        <v>61608.42</v>
      </c>
      <c r="G141" s="31" t="n">
        <v>4630</v>
      </c>
      <c r="H141" s="31" t="n">
        <v>0.65</v>
      </c>
      <c r="I141" s="31" t="n">
        <v>234617</v>
      </c>
      <c r="J141" s="31" t="inlineStr">
        <is>
          <t>532497</t>
        </is>
      </c>
    </row>
    <row r="142">
      <c r="A142" s="31" t="inlineStr">
        <is>
          <t>VMART</t>
        </is>
      </c>
      <c r="B142" s="31" t="inlineStr">
        <is>
          <t>V-mart Retail Limited</t>
        </is>
      </c>
      <c r="C142" s="31" t="inlineStr">
        <is>
          <t>consumer discretionary</t>
        </is>
      </c>
      <c r="D142" s="31" t="inlineStr">
        <is>
          <t>trading</t>
        </is>
      </c>
      <c r="E142" s="31" t="inlineStr">
        <is>
          <t>midcap</t>
        </is>
      </c>
      <c r="F142" s="31" t="n">
        <v>6813.68</v>
      </c>
      <c r="G142" s="31" t="n">
        <v>862.15</v>
      </c>
      <c r="H142" s="31" t="n">
        <v>0.65</v>
      </c>
      <c r="I142" s="31" t="n">
        <v>118281</v>
      </c>
      <c r="J142" s="31" t="inlineStr">
        <is>
          <t>534976</t>
        </is>
      </c>
    </row>
    <row r="143">
      <c r="A143" s="31" t="inlineStr">
        <is>
          <t>ZIMLAB</t>
        </is>
      </c>
      <c r="B143" s="31" t="inlineStr">
        <is>
          <t>Zim Laboratories Ltd</t>
        </is>
      </c>
      <c r="C143" s="31" t="inlineStr">
        <is>
          <t>healthcare</t>
        </is>
      </c>
      <c r="D143" s="31" t="inlineStr">
        <is>
          <t>pharmaceuticals - indian - bulk drugs &amp; formln</t>
        </is>
      </c>
      <c r="E143" s="31" t="inlineStr">
        <is>
          <t>smallcap</t>
        </is>
      </c>
      <c r="F143" s="31" t="n">
        <v>663.74</v>
      </c>
      <c r="G143" s="31" t="n">
        <v>124.73</v>
      </c>
      <c r="H143" s="31" t="n">
        <v>0.63</v>
      </c>
      <c r="I143" s="31" t="n">
        <v>52134</v>
      </c>
      <c r="J143" s="31" t="inlineStr">
        <is>
          <t>541400</t>
        </is>
      </c>
    </row>
    <row r="144">
      <c r="A144" s="31" t="inlineStr">
        <is>
          <t>VENKEYS</t>
        </is>
      </c>
      <c r="B144" s="31" t="inlineStr">
        <is>
          <t>Venky's (india) Limited</t>
        </is>
      </c>
      <c r="C144" s="31" t="inlineStr">
        <is>
          <t>fmcg</t>
        </is>
      </c>
      <c r="D144" s="31" t="inlineStr">
        <is>
          <t>miscellaneous</t>
        </is>
      </c>
      <c r="E144" s="31" t="inlineStr">
        <is>
          <t>smallcap</t>
        </is>
      </c>
      <c r="F144" s="31" t="n">
        <v>2209.6</v>
      </c>
      <c r="G144" s="31" t="n">
        <v>1577.4</v>
      </c>
      <c r="H144" s="31" t="n">
        <v>0.57</v>
      </c>
      <c r="I144" s="31" t="n">
        <v>100713</v>
      </c>
      <c r="J144" s="31" t="inlineStr">
        <is>
          <t>523261</t>
        </is>
      </c>
    </row>
    <row r="145">
      <c r="A145" s="31" t="inlineStr">
        <is>
          <t>CONCORDBIO</t>
        </is>
      </c>
      <c r="B145" s="31" t="inlineStr">
        <is>
          <t>Concord Biotech Ltd</t>
        </is>
      </c>
      <c r="C145" s="31" t="inlineStr">
        <is>
          <t>healthcare</t>
        </is>
      </c>
      <c r="D145" s="31" t="inlineStr">
        <is>
          <t>pharmaceuticals - indian - bulk drugs &amp; formln</t>
        </is>
      </c>
      <c r="E145" s="31" t="inlineStr">
        <is>
          <t>midcap</t>
        </is>
      </c>
      <c r="F145" s="31" t="n">
        <v>16104.62</v>
      </c>
      <c r="G145" s="31" t="n">
        <v>1548</v>
      </c>
      <c r="H145" s="31" t="n">
        <v>0.5600000000000001</v>
      </c>
      <c r="I145" s="31" t="n">
        <v>100739</v>
      </c>
      <c r="J145" s="31" t="inlineStr">
        <is>
          <t>543960</t>
        </is>
      </c>
    </row>
    <row r="146">
      <c r="A146" s="31" t="inlineStr">
        <is>
          <t>RATNAMANI</t>
        </is>
      </c>
      <c r="B146" s="31" t="inlineStr">
        <is>
          <t>Ratnamani Metals &amp; Tubes Limited</t>
        </is>
      </c>
      <c r="C146" s="31" t="inlineStr">
        <is>
          <t>industrials</t>
        </is>
      </c>
      <c r="D146" s="31" t="inlineStr">
        <is>
          <t>steel - medium / small</t>
        </is>
      </c>
      <c r="E146" s="31" t="inlineStr">
        <is>
          <t>midcap</t>
        </is>
      </c>
      <c r="F146" s="31" t="n">
        <v>18903.81</v>
      </c>
      <c r="G146" s="31" t="n">
        <v>2711.5</v>
      </c>
      <c r="H146" s="31" t="n">
        <v>0.54</v>
      </c>
      <c r="I146" s="31" t="n">
        <v>1151439</v>
      </c>
      <c r="J146" s="31" t="inlineStr">
        <is>
          <t>520111</t>
        </is>
      </c>
    </row>
    <row r="147">
      <c r="A147" s="31" t="inlineStr">
        <is>
          <t>OBEROIRLTY</t>
        </is>
      </c>
      <c r="B147" s="31" t="inlineStr">
        <is>
          <t>Oberoi Realty Limited</t>
        </is>
      </c>
      <c r="C147" s="31" t="inlineStr">
        <is>
          <t>realty</t>
        </is>
      </c>
      <c r="D147" s="31" t="inlineStr">
        <is>
          <t>construction</t>
        </is>
      </c>
      <c r="E147" s="31" t="inlineStr">
        <is>
          <t>largecap</t>
        </is>
      </c>
      <c r="F147" s="31" t="n">
        <v>67993.62</v>
      </c>
      <c r="G147" s="31" t="n">
        <v>1880</v>
      </c>
      <c r="H147" s="31" t="n">
        <v>0.53</v>
      </c>
      <c r="I147" s="31" t="n">
        <v>150427</v>
      </c>
      <c r="J147" s="31" t="inlineStr">
        <is>
          <t>533273</t>
        </is>
      </c>
    </row>
    <row r="148">
      <c r="A148" s="31" t="inlineStr">
        <is>
          <t>VRLLOG</t>
        </is>
      </c>
      <c r="B148" s="31" t="inlineStr">
        <is>
          <t>Vrl Logistics Limited</t>
        </is>
      </c>
      <c r="C148" s="31" t="inlineStr">
        <is>
          <t>transportation</t>
        </is>
      </c>
      <c r="D148" s="31" t="inlineStr">
        <is>
          <t>miscellaneous</t>
        </is>
      </c>
      <c r="E148" s="31" t="inlineStr">
        <is>
          <t>midcap</t>
        </is>
      </c>
      <c r="F148" s="31" t="n">
        <v>5046.06</v>
      </c>
      <c r="G148" s="31" t="n">
        <v>289.95</v>
      </c>
      <c r="H148" s="31" t="n">
        <v>0.52</v>
      </c>
      <c r="I148" s="31" t="n">
        <v>347522</v>
      </c>
      <c r="J148" s="31" t="inlineStr">
        <is>
          <t>539118</t>
        </is>
      </c>
    </row>
    <row r="149">
      <c r="A149" s="31" t="inlineStr">
        <is>
          <t>IMAGICAA</t>
        </is>
      </c>
      <c r="B149" s="31" t="inlineStr">
        <is>
          <t>Imagicaaworld Entertainment Ltd</t>
        </is>
      </c>
      <c r="C149" s="31" t="inlineStr">
        <is>
          <t>media</t>
        </is>
      </c>
      <c r="D149" s="31" t="inlineStr">
        <is>
          <t>recreation / amusement parks</t>
        </is>
      </c>
      <c r="E149" s="31" t="inlineStr">
        <is>
          <t>smallcap</t>
        </is>
      </c>
      <c r="F149" s="31" t="n">
        <v>2802.71</v>
      </c>
      <c r="G149" s="31" t="n">
        <v>49.79</v>
      </c>
      <c r="H149" s="31" t="n">
        <v>0.52</v>
      </c>
      <c r="I149" s="31" t="n">
        <v>687324</v>
      </c>
      <c r="J149" s="31" t="inlineStr">
        <is>
          <t>539056</t>
        </is>
      </c>
    </row>
    <row r="150">
      <c r="A150" s="31" t="inlineStr">
        <is>
          <t>AVTNPL</t>
        </is>
      </c>
      <c r="B150" s="31" t="inlineStr">
        <is>
          <t>Avt Natural Products Limited</t>
        </is>
      </c>
      <c r="C150" s="31" t="inlineStr">
        <is>
          <t>fmcg</t>
        </is>
      </c>
      <c r="D150" s="31" t="inlineStr">
        <is>
          <t>solvent extraction</t>
        </is>
      </c>
      <c r="E150" s="31" t="inlineStr">
        <is>
          <t>smallcap</t>
        </is>
      </c>
      <c r="F150" s="31" t="n">
        <v>1327.16</v>
      </c>
      <c r="G150" s="31" t="n">
        <v>87.59999999999999</v>
      </c>
      <c r="H150" s="31" t="n">
        <v>0.52</v>
      </c>
      <c r="I150" s="31" t="n">
        <v>196959</v>
      </c>
      <c r="J150" s="31" t="inlineStr">
        <is>
          <t>519105</t>
        </is>
      </c>
    </row>
    <row r="151">
      <c r="A151" s="31" t="inlineStr">
        <is>
          <t>GUJALKALI</t>
        </is>
      </c>
      <c r="B151" s="31" t="inlineStr">
        <is>
          <t>Gujarat Alkalies And Chemicals Limited</t>
        </is>
      </c>
      <c r="C151" s="31" t="inlineStr">
        <is>
          <t>chemicals</t>
        </is>
      </c>
      <c r="D151" s="31" t="inlineStr">
        <is>
          <t>chemicals</t>
        </is>
      </c>
      <c r="E151" s="31" t="inlineStr">
        <is>
          <t>midcap</t>
        </is>
      </c>
      <c r="F151" s="31" t="n">
        <v>5309.49</v>
      </c>
      <c r="G151" s="31" t="n">
        <v>726.7</v>
      </c>
      <c r="H151" s="31" t="n">
        <v>0.51</v>
      </c>
      <c r="I151" s="31" t="n">
        <v>312092</v>
      </c>
      <c r="J151" s="31" t="inlineStr">
        <is>
          <t>530001</t>
        </is>
      </c>
    </row>
    <row r="152">
      <c r="A152" s="31" t="inlineStr">
        <is>
          <t>LICI</t>
        </is>
      </c>
      <c r="B152" s="31" t="inlineStr">
        <is>
          <t>Life Insurance Corporation of India Ltd</t>
        </is>
      </c>
      <c r="C152" s="31" t="inlineStr">
        <is>
          <t>financials</t>
        </is>
      </c>
      <c r="D152" s="31" t="inlineStr">
        <is>
          <t>finance &amp; investments</t>
        </is>
      </c>
      <c r="E152" s="31" t="inlineStr">
        <is>
          <t>largecap</t>
        </is>
      </c>
      <c r="F152" s="31" t="n">
        <v>533640.0600000001</v>
      </c>
      <c r="G152" s="31" t="n">
        <v>424</v>
      </c>
      <c r="H152" s="31" t="n">
        <v>0.51</v>
      </c>
      <c r="I152" s="31" t="n">
        <v>13003212</v>
      </c>
      <c r="J152" s="31" t="inlineStr">
        <is>
          <t>543526</t>
        </is>
      </c>
    </row>
    <row r="153">
      <c r="A153" s="31" t="inlineStr">
        <is>
          <t>DICIND</t>
        </is>
      </c>
      <c r="B153" s="31" t="inlineStr">
        <is>
          <t>Dic India Limited</t>
        </is>
      </c>
      <c r="C153" s="31" t="inlineStr">
        <is>
          <t>chemicals</t>
        </is>
      </c>
      <c r="D153" s="31" t="inlineStr">
        <is>
          <t>chemicals</t>
        </is>
      </c>
      <c r="E153" s="31" t="inlineStr">
        <is>
          <t>smallcap</t>
        </is>
      </c>
      <c r="F153" s="31" t="n">
        <v>543.4400000000001</v>
      </c>
      <c r="G153" s="31" t="n">
        <v>595</v>
      </c>
      <c r="H153" s="31" t="n">
        <v>0.5</v>
      </c>
      <c r="I153" s="31" t="n">
        <v>3987</v>
      </c>
      <c r="J153" s="31" t="inlineStr">
        <is>
          <t>500089</t>
        </is>
      </c>
    </row>
    <row r="154">
      <c r="A154" s="31" t="inlineStr">
        <is>
          <t>VISHNU</t>
        </is>
      </c>
      <c r="B154" s="31" t="inlineStr">
        <is>
          <t>Vishnu Chemicals Limited</t>
        </is>
      </c>
      <c r="C154" s="31" t="inlineStr">
        <is>
          <t>chemicals</t>
        </is>
      </c>
      <c r="D154" s="31" t="inlineStr">
        <is>
          <t>chemicals</t>
        </is>
      </c>
      <c r="E154" s="31" t="inlineStr">
        <is>
          <t>smallcap</t>
        </is>
      </c>
      <c r="F154" s="31" t="n">
        <v>4292.7</v>
      </c>
      <c r="G154" s="31" t="n">
        <v>640.8</v>
      </c>
      <c r="H154" s="31" t="n">
        <v>0.49</v>
      </c>
      <c r="I154" s="31" t="n">
        <v>110866</v>
      </c>
      <c r="J154" s="31" t="inlineStr">
        <is>
          <t>516072</t>
        </is>
      </c>
    </row>
    <row r="155">
      <c r="A155" s="31" t="inlineStr">
        <is>
          <t>ASTRAL</t>
        </is>
      </c>
      <c r="B155" s="31" t="inlineStr">
        <is>
          <t>Astral Ltd</t>
        </is>
      </c>
      <c r="C155" s="31" t="inlineStr">
        <is>
          <t>plastic products</t>
        </is>
      </c>
      <c r="D155" s="31" t="inlineStr">
        <is>
          <t>plastics products</t>
        </is>
      </c>
      <c r="E155" s="31" t="inlineStr">
        <is>
          <t>largecap</t>
        </is>
      </c>
      <c r="F155" s="31" t="n">
        <v>41178.7</v>
      </c>
      <c r="G155" s="31" t="n">
        <v>1540</v>
      </c>
      <c r="H155" s="31" t="n">
        <v>0.47</v>
      </c>
      <c r="I155" s="31" t="n">
        <v>571822</v>
      </c>
      <c r="J155" s="31" t="inlineStr">
        <is>
          <t>532830</t>
        </is>
      </c>
    </row>
    <row r="156">
      <c r="A156" s="31" t="inlineStr">
        <is>
          <t>KANPRPLA</t>
        </is>
      </c>
      <c r="B156" s="31" t="inlineStr">
        <is>
          <t>Kanpur Plastipack Ltd</t>
        </is>
      </c>
      <c r="C156" s="31" t="inlineStr">
        <is>
          <t>industrials</t>
        </is>
      </c>
      <c r="D156" s="31" t="inlineStr">
        <is>
          <t>packaging</t>
        </is>
      </c>
      <c r="E156" s="31" t="inlineStr">
        <is>
          <t>smallcap</t>
        </is>
      </c>
      <c r="F156" s="31" t="n">
        <v>675.52</v>
      </c>
      <c r="G156" s="31" t="n">
        <v>277.19</v>
      </c>
      <c r="H156" s="31" t="n">
        <v>0.45</v>
      </c>
      <c r="I156" s="31" t="n">
        <v>92324</v>
      </c>
      <c r="J156" s="31" t="inlineStr">
        <is>
          <t>507779</t>
        </is>
      </c>
    </row>
    <row r="157">
      <c r="A157" s="31" t="inlineStr">
        <is>
          <t>JINDALSTEL</t>
        </is>
      </c>
      <c r="B157" s="31" t="inlineStr">
        <is>
          <t>Jindal Steel Ltd</t>
        </is>
      </c>
      <c r="C157" s="31" t="inlineStr">
        <is>
          <t>metals &amp; mining</t>
        </is>
      </c>
      <c r="D157" s="31" t="inlineStr">
        <is>
          <t>steel - large</t>
        </is>
      </c>
      <c r="E157" s="31" t="inlineStr">
        <is>
          <t>largecap</t>
        </is>
      </c>
      <c r="F157" s="31" t="n">
        <v>117208.12</v>
      </c>
      <c r="G157" s="31" t="n">
        <v>1154.1</v>
      </c>
      <c r="H157" s="31" t="n">
        <v>0.44</v>
      </c>
      <c r="I157" s="31" t="n">
        <v>657917</v>
      </c>
      <c r="J157" s="31" t="inlineStr">
        <is>
          <t>532286</t>
        </is>
      </c>
    </row>
    <row r="158">
      <c r="A158" s="31" t="inlineStr">
        <is>
          <t>PREMIERPOL</t>
        </is>
      </c>
      <c r="B158" s="31" t="inlineStr">
        <is>
          <t>Premier Polyfilm Limited</t>
        </is>
      </c>
      <c r="C158" s="31" t="inlineStr">
        <is>
          <t>plastic products</t>
        </is>
      </c>
      <c r="D158" s="31" t="inlineStr">
        <is>
          <t>plastics products</t>
        </is>
      </c>
      <c r="E158" s="31" t="inlineStr">
        <is>
          <t>smallcap</t>
        </is>
      </c>
      <c r="F158" s="31" t="n">
        <v>933.46</v>
      </c>
      <c r="G158" s="31" t="n">
        <v>89.51000000000001</v>
      </c>
      <c r="H158" s="31" t="n">
        <v>0.44</v>
      </c>
      <c r="I158" s="31" t="n">
        <v>313394</v>
      </c>
      <c r="J158" s="31" t="inlineStr">
        <is>
          <t>514354</t>
        </is>
      </c>
    </row>
    <row r="159">
      <c r="A159" s="31" t="inlineStr">
        <is>
          <t>IPCALAB</t>
        </is>
      </c>
      <c r="B159" s="31" t="inlineStr">
        <is>
          <t>Ipca Laboratories Limited</t>
        </is>
      </c>
      <c r="C159" s="31" t="inlineStr">
        <is>
          <t>healthcare</t>
        </is>
      </c>
      <c r="D159" s="31" t="inlineStr">
        <is>
          <t>pharmaceuticals - indian - bulk drugs &amp; formln</t>
        </is>
      </c>
      <c r="E159" s="31" t="inlineStr">
        <is>
          <t>largecap</t>
        </is>
      </c>
      <c r="F159" s="31" t="n">
        <v>48721.36</v>
      </c>
      <c r="G159" s="31" t="n">
        <v>1928.5</v>
      </c>
      <c r="H159" s="31" t="n">
        <v>0.42</v>
      </c>
      <c r="I159" s="31" t="n">
        <v>531499</v>
      </c>
      <c r="J159" s="31" t="inlineStr">
        <is>
          <t>524494</t>
        </is>
      </c>
    </row>
    <row r="160">
      <c r="A160" s="31" t="inlineStr">
        <is>
          <t>BEML</t>
        </is>
      </c>
      <c r="B160" s="31" t="inlineStr">
        <is>
          <t>Beml Limited</t>
        </is>
      </c>
      <c r="C160" s="31" t="inlineStr">
        <is>
          <t>aerospace &amp; defence</t>
        </is>
      </c>
      <c r="D160" s="31" t="inlineStr">
        <is>
          <t>engineering</t>
        </is>
      </c>
      <c r="E160" s="31" t="inlineStr">
        <is>
          <t>midcap</t>
        </is>
      </c>
      <c r="F160" s="31" t="n">
        <v>15949.84</v>
      </c>
      <c r="G160" s="31" t="n">
        <v>1923</v>
      </c>
      <c r="H160" s="31" t="n">
        <v>0.42</v>
      </c>
      <c r="I160" s="31" t="n">
        <v>407114</v>
      </c>
      <c r="J160" s="31" t="inlineStr">
        <is>
          <t>500048</t>
        </is>
      </c>
    </row>
    <row r="161">
      <c r="A161" s="31" t="inlineStr">
        <is>
          <t>UDS</t>
        </is>
      </c>
      <c r="B161" s="31" t="inlineStr">
        <is>
          <t>Updater Services Ltd</t>
        </is>
      </c>
      <c r="C161" s="31" t="inlineStr">
        <is>
          <t>miscellaneous</t>
        </is>
      </c>
      <c r="D161" s="31" t="inlineStr">
        <is>
          <t>miscellaneous</t>
        </is>
      </c>
      <c r="E161" s="31" t="inlineStr">
        <is>
          <t>smallcap</t>
        </is>
      </c>
      <c r="F161" s="31" t="n">
        <v>1480.34</v>
      </c>
      <c r="G161" s="31" t="n">
        <v>222.02</v>
      </c>
      <c r="H161" s="31" t="n">
        <v>0.42</v>
      </c>
      <c r="I161" s="31" t="n">
        <v>471344</v>
      </c>
      <c r="J161" s="31" t="inlineStr">
        <is>
          <t>543996</t>
        </is>
      </c>
    </row>
    <row r="162">
      <c r="A162" s="31" t="inlineStr">
        <is>
          <t>RGL</t>
        </is>
      </c>
      <c r="B162" s="31" t="inlineStr">
        <is>
          <t>Renaissance Global Ltd</t>
        </is>
      </c>
      <c r="C162" s="31" t="inlineStr">
        <is>
          <t>consumer discretionary</t>
        </is>
      </c>
      <c r="D162" s="31" t="inlineStr">
        <is>
          <t>diamond cutting / jewellery</t>
        </is>
      </c>
      <c r="E162" s="31" t="inlineStr">
        <is>
          <t>smallcap</t>
        </is>
      </c>
      <c r="F162" s="31" t="n">
        <v>1420.7</v>
      </c>
      <c r="G162" s="31" t="n">
        <v>132.87</v>
      </c>
      <c r="H162" s="31" t="n">
        <v>0.42</v>
      </c>
      <c r="I162" s="31" t="n">
        <v>282626</v>
      </c>
      <c r="J162" s="31" t="inlineStr">
        <is>
          <t>532923</t>
        </is>
      </c>
    </row>
    <row r="163">
      <c r="A163" s="31" t="inlineStr">
        <is>
          <t>GRWRHITECH</t>
        </is>
      </c>
      <c r="B163" s="31" t="inlineStr">
        <is>
          <t>Garware Hi Tech Films Ltd</t>
        </is>
      </c>
      <c r="C163" s="31" t="inlineStr">
        <is>
          <t>industrials</t>
        </is>
      </c>
      <c r="D163" s="31" t="inlineStr">
        <is>
          <t>packaging</t>
        </is>
      </c>
      <c r="E163" s="31" t="inlineStr">
        <is>
          <t>midcap</t>
        </is>
      </c>
      <c r="F163" s="31" t="n">
        <v>16807.48</v>
      </c>
      <c r="G163" s="31" t="n">
        <v>7264</v>
      </c>
      <c r="H163" s="31" t="n">
        <v>0.41</v>
      </c>
      <c r="I163" s="31" t="n">
        <v>45162</v>
      </c>
      <c r="J163" s="31" t="inlineStr">
        <is>
          <t>500655</t>
        </is>
      </c>
    </row>
    <row r="164">
      <c r="A164" s="31" t="inlineStr">
        <is>
          <t>KTKBANK</t>
        </is>
      </c>
      <c r="B164" s="31" t="inlineStr">
        <is>
          <t>The Karnataka Bank Limited</t>
        </is>
      </c>
      <c r="C164" s="31" t="inlineStr">
        <is>
          <t>bank</t>
        </is>
      </c>
      <c r="D164" s="31" t="inlineStr">
        <is>
          <t>banks - private sector</t>
        </is>
      </c>
      <c r="E164" s="31" t="inlineStr">
        <is>
          <t>midcap</t>
        </is>
      </c>
      <c r="F164" s="31" t="n">
        <v>12603.63</v>
      </c>
      <c r="G164" s="31" t="n">
        <v>334.6</v>
      </c>
      <c r="H164" s="31" t="n">
        <v>0.41</v>
      </c>
      <c r="I164" s="31" t="n">
        <v>3162141</v>
      </c>
      <c r="J164" s="31" t="inlineStr">
        <is>
          <t>532652</t>
        </is>
      </c>
    </row>
    <row r="165">
      <c r="A165" s="31" t="inlineStr">
        <is>
          <t>TIIL</t>
        </is>
      </c>
      <c r="B165" s="31" t="inlineStr">
        <is>
          <t>Technocraft Industries (india) Limited</t>
        </is>
      </c>
      <c r="C165" s="31" t="inlineStr">
        <is>
          <t>metals &amp; mining</t>
        </is>
      </c>
      <c r="D165" s="31" t="inlineStr">
        <is>
          <t>steel - medium / small</t>
        </is>
      </c>
      <c r="E165" s="31" t="inlineStr">
        <is>
          <t>midcap</t>
        </is>
      </c>
      <c r="F165" s="31" t="n">
        <v>7802.39</v>
      </c>
      <c r="G165" s="31" t="n">
        <v>3454.9</v>
      </c>
      <c r="H165" s="31" t="n">
        <v>0.4</v>
      </c>
      <c r="I165" s="31" t="n">
        <v>102814</v>
      </c>
      <c r="J165" s="31" t="inlineStr">
        <is>
          <t>532804</t>
        </is>
      </c>
    </row>
    <row r="166">
      <c r="A166" s="31" t="inlineStr">
        <is>
          <t>VIDHIING</t>
        </is>
      </c>
      <c r="B166" s="31" t="inlineStr">
        <is>
          <t>Vidhi Specialty Food Ingredients</t>
        </is>
      </c>
      <c r="C166" s="31" t="inlineStr">
        <is>
          <t>chemicals</t>
        </is>
      </c>
      <c r="D166" s="31" t="inlineStr">
        <is>
          <t>dyes and pigments</t>
        </is>
      </c>
      <c r="E166" s="31" t="inlineStr">
        <is>
          <t>smallcap</t>
        </is>
      </c>
      <c r="F166" s="31" t="n">
        <v>1725.6</v>
      </c>
      <c r="G166" s="31" t="n">
        <v>346.85</v>
      </c>
      <c r="H166" s="31" t="n">
        <v>0.39</v>
      </c>
      <c r="I166" s="31" t="n">
        <v>83574</v>
      </c>
      <c r="J166" s="31" t="inlineStr">
        <is>
          <t>531717</t>
        </is>
      </c>
    </row>
    <row r="167">
      <c r="A167" s="31" t="inlineStr">
        <is>
          <t>GLENMARK</t>
        </is>
      </c>
      <c r="B167" s="31" t="inlineStr">
        <is>
          <t>Glenmark Pharmaceuticals Limited</t>
        </is>
      </c>
      <c r="C167" s="31" t="inlineStr">
        <is>
          <t>healthcare</t>
        </is>
      </c>
      <c r="D167" s="31" t="inlineStr">
        <is>
          <t>pharmaceuticals - indian - bulk drugs &amp; formln</t>
        </is>
      </c>
      <c r="E167" s="31" t="inlineStr">
        <is>
          <t>largecap</t>
        </is>
      </c>
      <c r="F167" s="31" t="n">
        <v>67465.75</v>
      </c>
      <c r="G167" s="31" t="n">
        <v>2400</v>
      </c>
      <c r="H167" s="31" t="n">
        <v>0.39</v>
      </c>
      <c r="I167" s="31" t="n">
        <v>682485</v>
      </c>
      <c r="J167" s="31" t="inlineStr">
        <is>
          <t>532296</t>
        </is>
      </c>
    </row>
    <row r="168">
      <c r="A168" s="31" t="inlineStr">
        <is>
          <t>DBOL</t>
        </is>
      </c>
      <c r="B168" s="31" t="inlineStr">
        <is>
          <t>Dhampur Bio Organics Ltd</t>
        </is>
      </c>
      <c r="C168" s="31" t="inlineStr">
        <is>
          <t>fmcg</t>
        </is>
      </c>
      <c r="D168" s="31" t="inlineStr">
        <is>
          <t>sugar</t>
        </is>
      </c>
      <c r="E168" s="31" t="inlineStr">
        <is>
          <t>smallcap</t>
        </is>
      </c>
      <c r="F168" s="31" t="n">
        <v>852.75</v>
      </c>
      <c r="G168" s="31" t="n">
        <v>128.94</v>
      </c>
      <c r="H168" s="31" t="n">
        <v>0.38</v>
      </c>
      <c r="I168" s="31" t="n">
        <v>603722</v>
      </c>
      <c r="J168" s="31" t="inlineStr">
        <is>
          <t>543593</t>
        </is>
      </c>
    </row>
    <row r="169">
      <c r="A169" s="31" t="inlineStr">
        <is>
          <t>MCX</t>
        </is>
      </c>
      <c r="B169" s="31" t="inlineStr">
        <is>
          <t>Multi Commodity Exchange Of India Limited</t>
        </is>
      </c>
      <c r="C169" s="31" t="inlineStr">
        <is>
          <t>financials</t>
        </is>
      </c>
      <c r="D169" s="31" t="inlineStr">
        <is>
          <t>miscellaneous</t>
        </is>
      </c>
      <c r="E169" s="31" t="inlineStr">
        <is>
          <t>largecap</t>
        </is>
      </c>
      <c r="F169" s="31" t="n">
        <v>83331.33</v>
      </c>
      <c r="G169" s="31" t="n">
        <v>3280</v>
      </c>
      <c r="H169" s="31" t="n">
        <v>0.37</v>
      </c>
      <c r="I169" s="31" t="n">
        <v>2020964</v>
      </c>
      <c r="J169" s="31" t="inlineStr">
        <is>
          <t>534091</t>
        </is>
      </c>
    </row>
    <row r="170">
      <c r="A170" s="31" t="inlineStr">
        <is>
          <t>NEULANDLAB</t>
        </is>
      </c>
      <c r="B170" s="31" t="inlineStr">
        <is>
          <t>Neuland Laboratories Limited</t>
        </is>
      </c>
      <c r="C170" s="31" t="inlineStr">
        <is>
          <t>healthcare</t>
        </is>
      </c>
      <c r="D170" s="31" t="inlineStr">
        <is>
          <t>pharmaceuticals - indian - bulk drugs</t>
        </is>
      </c>
      <c r="E170" s="31" t="inlineStr">
        <is>
          <t>largecap</t>
        </is>
      </c>
      <c r="F170" s="31" t="n">
        <v>29386.86</v>
      </c>
      <c r="G170" s="31" t="n">
        <v>22989</v>
      </c>
      <c r="H170" s="31" t="n">
        <v>0.37</v>
      </c>
      <c r="I170" s="31" t="n">
        <v>42950</v>
      </c>
      <c r="J170" s="31" t="inlineStr">
        <is>
          <t>524558</t>
        </is>
      </c>
    </row>
    <row r="171">
      <c r="A171" s="31" t="inlineStr">
        <is>
          <t>VGUARD</t>
        </is>
      </c>
      <c r="B171" s="31" t="inlineStr">
        <is>
          <t>V-guard Industries Limited</t>
        </is>
      </c>
      <c r="C171" s="31" t="inlineStr">
        <is>
          <t>industrials</t>
        </is>
      </c>
      <c r="D171" s="31" t="inlineStr">
        <is>
          <t>electric equipment</t>
        </is>
      </c>
      <c r="E171" s="31" t="inlineStr">
        <is>
          <t>midcap</t>
        </is>
      </c>
      <c r="F171" s="31" t="n">
        <v>14485.12</v>
      </c>
      <c r="G171" s="31" t="n">
        <v>332.7</v>
      </c>
      <c r="H171" s="31" t="n">
        <v>0.35</v>
      </c>
      <c r="I171" s="31" t="n">
        <v>623797</v>
      </c>
      <c r="J171" s="31" t="inlineStr">
        <is>
          <t>532953</t>
        </is>
      </c>
    </row>
    <row r="172">
      <c r="A172" s="31" t="inlineStr">
        <is>
          <t>EMAMIPAP</t>
        </is>
      </c>
      <c r="B172" s="31" t="inlineStr">
        <is>
          <t>Emami Paper Mills Ltd</t>
        </is>
      </c>
      <c r="C172" s="31" t="inlineStr">
        <is>
          <t>building materials</t>
        </is>
      </c>
      <c r="D172" s="31" t="inlineStr">
        <is>
          <t>paper</t>
        </is>
      </c>
      <c r="E172" s="31" t="inlineStr">
        <is>
          <t>smallcap</t>
        </is>
      </c>
      <c r="F172" s="31" t="n">
        <v>704.27</v>
      </c>
      <c r="G172" s="31" t="n">
        <v>116.81</v>
      </c>
      <c r="H172" s="31" t="n">
        <v>0.34</v>
      </c>
      <c r="I172" s="31" t="n">
        <v>49370</v>
      </c>
      <c r="J172" s="31" t="inlineStr">
        <is>
          <t>533208</t>
        </is>
      </c>
    </row>
    <row r="173">
      <c r="A173" s="31" t="inlineStr">
        <is>
          <t>VADILALIND</t>
        </is>
      </c>
      <c r="B173" s="31" t="inlineStr">
        <is>
          <t>Vadilal Industries Limited</t>
        </is>
      </c>
      <c r="C173" s="31" t="inlineStr">
        <is>
          <t>fmcg</t>
        </is>
      </c>
      <c r="D173" s="31" t="inlineStr">
        <is>
          <t>food - processing - indian</t>
        </is>
      </c>
      <c r="E173" s="31" t="inlineStr">
        <is>
          <t>midcap</t>
        </is>
      </c>
      <c r="F173" s="31" t="n">
        <v>5337.32</v>
      </c>
      <c r="G173" s="31" t="n">
        <v>7449</v>
      </c>
      <c r="H173" s="31" t="n">
        <v>0.32</v>
      </c>
      <c r="I173" s="31" t="n">
        <v>11946</v>
      </c>
      <c r="J173" s="31" t="inlineStr">
        <is>
          <t>519156</t>
        </is>
      </c>
    </row>
    <row r="174">
      <c r="A174" s="31" t="inlineStr">
        <is>
          <t>AZAD</t>
        </is>
      </c>
      <c r="B174" s="31" t="inlineStr">
        <is>
          <t>Azad Engineering Ltd</t>
        </is>
      </c>
      <c r="C174" s="31" t="inlineStr">
        <is>
          <t>aerospace &amp; defence</t>
        </is>
      </c>
      <c r="D174" s="31" t="inlineStr">
        <is>
          <t>engineering</t>
        </is>
      </c>
      <c r="E174" s="31" t="inlineStr">
        <is>
          <t>midcap</t>
        </is>
      </c>
      <c r="F174" s="31" t="n">
        <v>18058.35</v>
      </c>
      <c r="G174" s="31" t="n">
        <v>2804.5</v>
      </c>
      <c r="H174" s="31" t="n">
        <v>0.3</v>
      </c>
      <c r="I174" s="31" t="n">
        <v>833706</v>
      </c>
      <c r="J174" s="31" t="inlineStr">
        <is>
          <t>544061</t>
        </is>
      </c>
    </row>
    <row r="175">
      <c r="A175" s="31" t="inlineStr">
        <is>
          <t>NAVINFLUOR</t>
        </is>
      </c>
      <c r="B175" s="31" t="inlineStr">
        <is>
          <t>Navin Fluorine International Limited</t>
        </is>
      </c>
      <c r="C175" s="31" t="inlineStr">
        <is>
          <t>chemicals</t>
        </is>
      </c>
      <c r="D175" s="31" t="inlineStr">
        <is>
          <t>chemicals</t>
        </is>
      </c>
      <c r="E175" s="31" t="inlineStr">
        <is>
          <t>largecap</t>
        </is>
      </c>
      <c r="F175" s="31" t="n">
        <v>41992.07</v>
      </c>
      <c r="G175" s="31" t="n">
        <v>8210</v>
      </c>
      <c r="H175" s="31" t="n">
        <v>0.28</v>
      </c>
      <c r="I175" s="31" t="n">
        <v>97033</v>
      </c>
      <c r="J175" s="31" t="inlineStr">
        <is>
          <t>532504</t>
        </is>
      </c>
    </row>
    <row r="176">
      <c r="A176" s="31" t="inlineStr">
        <is>
          <t>MAHSEAMLES</t>
        </is>
      </c>
      <c r="B176" s="31" t="inlineStr">
        <is>
          <t>Maharashtra Seamless Limited</t>
        </is>
      </c>
      <c r="C176" s="31" t="inlineStr">
        <is>
          <t>industrials</t>
        </is>
      </c>
      <c r="D176" s="31" t="inlineStr">
        <is>
          <t>steel - large</t>
        </is>
      </c>
      <c r="E176" s="31" t="inlineStr">
        <is>
          <t>midcap</t>
        </is>
      </c>
      <c r="F176" s="31" t="n">
        <v>8505.6</v>
      </c>
      <c r="G176" s="31" t="n">
        <v>636.55</v>
      </c>
      <c r="H176" s="31" t="n">
        <v>0.28</v>
      </c>
      <c r="I176" s="31" t="n">
        <v>385643</v>
      </c>
      <c r="J176" s="31" t="inlineStr">
        <is>
          <t>500265</t>
        </is>
      </c>
    </row>
    <row r="177">
      <c r="A177" s="31" t="inlineStr">
        <is>
          <t>ORCHPHARMA</t>
        </is>
      </c>
      <c r="B177" s="31" t="inlineStr">
        <is>
          <t>Orchid Pharma Ltd</t>
        </is>
      </c>
      <c r="C177" s="31" t="inlineStr">
        <is>
          <t>healthcare</t>
        </is>
      </c>
      <c r="D177" s="31" t="inlineStr">
        <is>
          <t>pharmaceuticals - indian - bulk drugs &amp; formln</t>
        </is>
      </c>
      <c r="E177" s="31" t="inlineStr">
        <is>
          <t>midcap</t>
        </is>
      </c>
      <c r="F177" s="31" t="n">
        <v>5265.15</v>
      </c>
      <c r="G177" s="31" t="n">
        <v>1041</v>
      </c>
      <c r="H177" s="31" t="n">
        <v>0.28</v>
      </c>
      <c r="I177" s="31" t="n">
        <v>82111</v>
      </c>
      <c r="J177" s="31" t="inlineStr">
        <is>
          <t>524372</t>
        </is>
      </c>
    </row>
    <row r="178">
      <c r="A178" s="31" t="inlineStr">
        <is>
          <t>MANORAMA</t>
        </is>
      </c>
      <c r="B178" s="31" t="inlineStr">
        <is>
          <t>Manorama Industries Ltd</t>
        </is>
      </c>
      <c r="C178" s="31" t="inlineStr">
        <is>
          <t>fmcg</t>
        </is>
      </c>
      <c r="D178" s="31" t="inlineStr">
        <is>
          <t>food - processing - indian</t>
        </is>
      </c>
      <c r="E178" s="31" t="inlineStr">
        <is>
          <t>midcap</t>
        </is>
      </c>
      <c r="F178" s="31" t="n">
        <v>11400.75</v>
      </c>
      <c r="G178" s="31" t="n">
        <v>1914.6</v>
      </c>
      <c r="H178" s="31" t="n">
        <v>0.27</v>
      </c>
      <c r="I178" s="31" t="n">
        <v>172622</v>
      </c>
      <c r="J178" s="31" t="inlineStr">
        <is>
          <t>541974</t>
        </is>
      </c>
    </row>
    <row r="179">
      <c r="A179" s="31" t="inlineStr">
        <is>
          <t>CARTRADE</t>
        </is>
      </c>
      <c r="B179" s="31" t="inlineStr">
        <is>
          <t>Cartrade Tech Ltd</t>
        </is>
      </c>
      <c r="C179" s="31" t="inlineStr">
        <is>
          <t>consumer discretionary</t>
        </is>
      </c>
      <c r="D179" s="31" t="inlineStr">
        <is>
          <t>miscellaneous</t>
        </is>
      </c>
      <c r="E179" s="31" t="inlineStr">
        <is>
          <t>midcap</t>
        </is>
      </c>
      <c r="F179" s="31" t="n">
        <v>15072.51</v>
      </c>
      <c r="G179" s="31" t="n">
        <v>3144.8</v>
      </c>
      <c r="H179" s="31" t="n">
        <v>0.2</v>
      </c>
      <c r="I179" s="31" t="n">
        <v>488323</v>
      </c>
      <c r="J179" s="31" t="inlineStr">
        <is>
          <t>543333</t>
        </is>
      </c>
    </row>
    <row r="180">
      <c r="A180" s="31" t="inlineStr">
        <is>
          <t>MUKKA</t>
        </is>
      </c>
      <c r="B180" s="31" t="inlineStr">
        <is>
          <t>Mukka Proteins Ltd</t>
        </is>
      </c>
      <c r="C180" s="31" t="inlineStr">
        <is>
          <t>fmcg</t>
        </is>
      </c>
      <c r="D180" s="31" t="inlineStr">
        <is>
          <t>food - processing - indian</t>
        </is>
      </c>
      <c r="E180" s="31" t="inlineStr">
        <is>
          <t>smallcap</t>
        </is>
      </c>
      <c r="F180" s="31" t="n">
        <v>774</v>
      </c>
      <c r="G180" s="31" t="n">
        <v>25.85</v>
      </c>
      <c r="H180" s="31" t="n">
        <v>0.19</v>
      </c>
      <c r="I180" s="31" t="n">
        <v>415422</v>
      </c>
      <c r="J180" s="31" t="inlineStr">
        <is>
          <t>544135</t>
        </is>
      </c>
    </row>
    <row r="181">
      <c r="A181" s="31" t="inlineStr">
        <is>
          <t>UNOMINDA</t>
        </is>
      </c>
      <c r="B181" s="31" t="inlineStr">
        <is>
          <t>Uno Minda Ltd</t>
        </is>
      </c>
      <c r="C181" s="31" t="inlineStr">
        <is>
          <t>auto</t>
        </is>
      </c>
      <c r="D181" s="31" t="inlineStr">
        <is>
          <t>auto ancillaries</t>
        </is>
      </c>
      <c r="E181" s="31" t="inlineStr">
        <is>
          <t>largecap</t>
        </is>
      </c>
      <c r="F181" s="31" t="n">
        <v>72258.47</v>
      </c>
      <c r="G181" s="31" t="n">
        <v>1253.4</v>
      </c>
      <c r="H181" s="31" t="n">
        <v>0.17</v>
      </c>
      <c r="I181" s="31" t="n">
        <v>456700</v>
      </c>
      <c r="J181" s="31" t="inlineStr">
        <is>
          <t>532539</t>
        </is>
      </c>
    </row>
    <row r="182">
      <c r="A182" s="31" t="inlineStr">
        <is>
          <t>ARIS</t>
        </is>
      </c>
      <c r="B182" s="31" t="inlineStr">
        <is>
          <t>Arisinfra Solutions Ltd</t>
        </is>
      </c>
      <c r="C182" s="31" t="inlineStr">
        <is>
          <t>services</t>
        </is>
      </c>
      <c r="D182" s="31" t="inlineStr">
        <is>
          <t>trading</t>
        </is>
      </c>
      <c r="E182" s="31" t="inlineStr">
        <is>
          <t>smallcap</t>
        </is>
      </c>
      <c r="F182" s="31" t="n">
        <v>1178.57</v>
      </c>
      <c r="G182" s="31" t="n">
        <v>144.26</v>
      </c>
      <c r="H182" s="31" t="n">
        <v>0.12</v>
      </c>
      <c r="I182" s="31" t="n">
        <v>1313056</v>
      </c>
      <c r="J182" s="31" t="inlineStr">
        <is>
          <t>544419</t>
        </is>
      </c>
    </row>
    <row r="183">
      <c r="A183" s="31" t="inlineStr">
        <is>
          <t>EICHERMOT</t>
        </is>
      </c>
      <c r="B183" s="31" t="inlineStr">
        <is>
          <t>Eicher Motors Limited</t>
        </is>
      </c>
      <c r="C183" s="31" t="inlineStr">
        <is>
          <t>auto</t>
        </is>
      </c>
      <c r="D183" s="31" t="inlineStr">
        <is>
          <t>automobiles - motorcycles / mopeds</t>
        </is>
      </c>
      <c r="E183" s="31" t="inlineStr">
        <is>
          <t>largecap</t>
        </is>
      </c>
      <c r="F183" s="31" t="n">
        <v>220888.16</v>
      </c>
      <c r="G183" s="31" t="n">
        <v>8055</v>
      </c>
      <c r="H183" s="31" t="n">
        <v>0.1</v>
      </c>
      <c r="I183" s="31" t="n">
        <v>222822</v>
      </c>
      <c r="J183" s="31" t="inlineStr">
        <is>
          <t>505200</t>
        </is>
      </c>
    </row>
    <row r="184">
      <c r="A184" s="31" t="inlineStr">
        <is>
          <t>ETHOSLTD</t>
        </is>
      </c>
      <c r="B184" s="31" t="inlineStr">
        <is>
          <t>Ethos Ltd</t>
        </is>
      </c>
      <c r="C184" s="31" t="inlineStr">
        <is>
          <t>consumer discretionary</t>
        </is>
      </c>
      <c r="D184" s="31" t="inlineStr">
        <is>
          <t>trading</t>
        </is>
      </c>
      <c r="E184" s="31" t="inlineStr">
        <is>
          <t>midcap</t>
        </is>
      </c>
      <c r="F184" s="31" t="n">
        <v>7738.32</v>
      </c>
      <c r="G184" s="31" t="n">
        <v>2894</v>
      </c>
      <c r="H184" s="31" t="n">
        <v>0.07000000000000001</v>
      </c>
      <c r="I184" s="31" t="n">
        <v>53333</v>
      </c>
      <c r="J184" s="31" t="inlineStr">
        <is>
          <t>543532</t>
        </is>
      </c>
    </row>
    <row r="185">
      <c r="A185" s="31" t="inlineStr">
        <is>
          <t>NAUKRI</t>
        </is>
      </c>
      <c r="B185" s="31" t="inlineStr">
        <is>
          <t>Info Edge (india) Limited</t>
        </is>
      </c>
      <c r="C185" s="31" t="inlineStr">
        <is>
          <t>i.t</t>
        </is>
      </c>
      <c r="D185" s="31" t="inlineStr">
        <is>
          <t>miscellaneous</t>
        </is>
      </c>
      <c r="E185" s="31" t="inlineStr">
        <is>
          <t>largecap</t>
        </is>
      </c>
      <c r="F185" s="31" t="n">
        <v>87471.94</v>
      </c>
      <c r="G185" s="31" t="n">
        <v>1350</v>
      </c>
      <c r="H185" s="31" t="n">
        <v>0.07000000000000001</v>
      </c>
      <c r="I185" s="31" t="n">
        <v>961681</v>
      </c>
      <c r="J185" s="31" t="inlineStr">
        <is>
          <t>532777</t>
        </is>
      </c>
    </row>
    <row r="186">
      <c r="A186" s="31" t="inlineStr">
        <is>
          <t>PNB</t>
        </is>
      </c>
      <c r="B186" s="31" t="inlineStr">
        <is>
          <t>Punjab National Bank Ltd</t>
        </is>
      </c>
      <c r="C186" s="31" t="inlineStr">
        <is>
          <t>bank</t>
        </is>
      </c>
      <c r="D186" s="31" t="inlineStr">
        <is>
          <t>banks - public sector</t>
        </is>
      </c>
      <c r="E186" s="31" t="inlineStr">
        <is>
          <t>largecap</t>
        </is>
      </c>
      <c r="F186" s="31" t="n">
        <v>133157.24</v>
      </c>
      <c r="G186" s="31" t="n">
        <v>115.93</v>
      </c>
      <c r="H186" s="31" t="n">
        <v>0.06</v>
      </c>
      <c r="I186" s="31" t="n">
        <v>13025614</v>
      </c>
      <c r="J186" s="31" t="inlineStr">
        <is>
          <t>532461</t>
        </is>
      </c>
    </row>
    <row r="187">
      <c r="A187" s="31" t="inlineStr">
        <is>
          <t>GRASIM</t>
        </is>
      </c>
      <c r="B187" s="31" t="inlineStr">
        <is>
          <t>Grasim Industries Limited</t>
        </is>
      </c>
      <c r="C187" s="31" t="inlineStr">
        <is>
          <t>textiles</t>
        </is>
      </c>
      <c r="D187" s="31" t="inlineStr">
        <is>
          <t>textiles - manmade</t>
        </is>
      </c>
      <c r="E187" s="31" t="inlineStr">
        <is>
          <t>largecap</t>
        </is>
      </c>
      <c r="F187" s="31" t="n">
        <v>223774.89</v>
      </c>
      <c r="G187" s="31" t="n">
        <v>3289.6</v>
      </c>
      <c r="H187" s="31" t="n">
        <v>0.05</v>
      </c>
      <c r="I187" s="31" t="n">
        <v>1725715</v>
      </c>
      <c r="J187" s="31" t="inlineStr">
        <is>
          <t>500300</t>
        </is>
      </c>
    </row>
    <row r="188">
      <c r="A188" s="31" t="inlineStr">
        <is>
          <t>KOTAKBANK</t>
        </is>
      </c>
      <c r="B188" s="31" t="inlineStr">
        <is>
          <t>Kotak Mahindra Bank Limited</t>
        </is>
      </c>
      <c r="C188" s="31" t="inlineStr">
        <is>
          <t>bank</t>
        </is>
      </c>
      <c r="D188" s="31" t="inlineStr">
        <is>
          <t>banks - private sector</t>
        </is>
      </c>
      <c r="E188" s="31" t="inlineStr">
        <is>
          <t>largecap</t>
        </is>
      </c>
      <c r="F188" s="31" t="n">
        <v>399310.64</v>
      </c>
      <c r="G188" s="31" t="n">
        <v>401.6</v>
      </c>
      <c r="H188" s="31" t="n">
        <v>0.04</v>
      </c>
      <c r="I188" s="31" t="n">
        <v>9728860</v>
      </c>
      <c r="J188" s="31" t="inlineStr">
        <is>
          <t>500247</t>
        </is>
      </c>
    </row>
    <row r="189">
      <c r="A189" s="31" t="inlineStr">
        <is>
          <t>ENDURANCE</t>
        </is>
      </c>
      <c r="B189" s="31" t="inlineStr">
        <is>
          <t>Endurance Technologies Limited</t>
        </is>
      </c>
      <c r="C189" s="31" t="inlineStr">
        <is>
          <t>auto</t>
        </is>
      </c>
      <c r="D189" s="31" t="inlineStr">
        <is>
          <t>auto ancillaries</t>
        </is>
      </c>
      <c r="E189" s="31" t="inlineStr">
        <is>
          <t>largecap</t>
        </is>
      </c>
      <c r="F189" s="31" t="n">
        <v>42032.87</v>
      </c>
      <c r="G189" s="31" t="n">
        <v>2988.6</v>
      </c>
      <c r="H189" s="31" t="n">
        <v>0.01</v>
      </c>
      <c r="I189" s="31" t="n">
        <v>124862</v>
      </c>
      <c r="J189" s="31" t="inlineStr">
        <is>
          <t>540153</t>
        </is>
      </c>
    </row>
    <row r="190">
      <c r="A190" s="31" t="inlineStr">
        <is>
          <t>VIJAYA</t>
        </is>
      </c>
      <c r="B190" s="31" t="inlineStr">
        <is>
          <t>Vijaya Diagnostic Centre Ltd</t>
        </is>
      </c>
      <c r="C190" s="31" t="inlineStr">
        <is>
          <t>healthcare</t>
        </is>
      </c>
      <c r="D190" s="31" t="inlineStr">
        <is>
          <t>healthcare</t>
        </is>
      </c>
      <c r="E190" s="31" t="inlineStr">
        <is>
          <t>midcap</t>
        </is>
      </c>
      <c r="F190" s="31" t="n">
        <v>15253.41</v>
      </c>
      <c r="G190" s="31" t="n">
        <v>1482.3</v>
      </c>
      <c r="H190" s="31" t="n">
        <v>-0.01</v>
      </c>
      <c r="I190" s="31" t="n">
        <v>202219</v>
      </c>
      <c r="J190" s="31" t="inlineStr">
        <is>
          <t>543350</t>
        </is>
      </c>
    </row>
    <row r="191">
      <c r="A191" s="31" t="inlineStr">
        <is>
          <t>FEDFINA</t>
        </is>
      </c>
      <c r="B191" s="31" t="inlineStr">
        <is>
          <t>Fedbank Financial Services Ltd</t>
        </is>
      </c>
      <c r="C191" s="31" t="inlineStr">
        <is>
          <t>financials</t>
        </is>
      </c>
      <c r="D191" s="31" t="inlineStr">
        <is>
          <t>finance &amp; investments</t>
        </is>
      </c>
      <c r="E191" s="31" t="inlineStr">
        <is>
          <t>midcap</t>
        </is>
      </c>
      <c r="F191" s="31" t="n">
        <v>5962.88</v>
      </c>
      <c r="G191" s="31" t="n">
        <v>159.02</v>
      </c>
      <c r="H191" s="31" t="n">
        <v>-0.02</v>
      </c>
      <c r="I191" s="31" t="n">
        <v>706724</v>
      </c>
      <c r="J191" s="31" t="inlineStr">
        <is>
          <t>544027</t>
        </is>
      </c>
    </row>
    <row r="192">
      <c r="A192" s="31" t="inlineStr">
        <is>
          <t>PRICOLLTD</t>
        </is>
      </c>
      <c r="B192" s="31" t="inlineStr">
        <is>
          <t>Pricol Ltd.</t>
        </is>
      </c>
      <c r="C192" s="31" t="inlineStr">
        <is>
          <t>auto</t>
        </is>
      </c>
      <c r="D192" s="31" t="inlineStr">
        <is>
          <t>auto ancillaries</t>
        </is>
      </c>
      <c r="E192" s="31" t="inlineStr">
        <is>
          <t>midcap</t>
        </is>
      </c>
      <c r="F192" s="31" t="n">
        <v>9639.610000000001</v>
      </c>
      <c r="G192" s="31" t="n">
        <v>790.5</v>
      </c>
      <c r="H192" s="31" t="n">
        <v>-0.05</v>
      </c>
      <c r="I192" s="31" t="n">
        <v>166572</v>
      </c>
      <c r="J192" s="31" t="inlineStr">
        <is>
          <t>540293</t>
        </is>
      </c>
    </row>
    <row r="193">
      <c r="A193" s="31" t="inlineStr">
        <is>
          <t>MANALIPETC</t>
        </is>
      </c>
      <c r="B193" s="31" t="inlineStr">
        <is>
          <t>Manali Petrochemicals Limited</t>
        </is>
      </c>
      <c r="C193" s="31" t="inlineStr">
        <is>
          <t>energy</t>
        </is>
      </c>
      <c r="D193" s="31" t="inlineStr">
        <is>
          <t>petrochemicals</t>
        </is>
      </c>
      <c r="E193" s="31" t="inlineStr">
        <is>
          <t>smallcap</t>
        </is>
      </c>
      <c r="F193" s="31" t="n">
        <v>1288.45</v>
      </c>
      <c r="G193" s="31" t="n">
        <v>74.87</v>
      </c>
      <c r="H193" s="31" t="n">
        <v>-0.05</v>
      </c>
      <c r="I193" s="31" t="n">
        <v>1155751</v>
      </c>
      <c r="J193" s="31" t="inlineStr">
        <is>
          <t>500268</t>
        </is>
      </c>
    </row>
    <row r="194">
      <c r="A194" s="31" t="inlineStr">
        <is>
          <t>PVRINOX</t>
        </is>
      </c>
      <c r="B194" s="31" t="inlineStr">
        <is>
          <t>PVR Inox Ltd</t>
        </is>
      </c>
      <c r="C194" s="31" t="inlineStr">
        <is>
          <t>media</t>
        </is>
      </c>
      <c r="D194" s="31" t="inlineStr">
        <is>
          <t>entertainment / electronic media software</t>
        </is>
      </c>
      <c r="E194" s="31" t="inlineStr">
        <is>
          <t>midcap</t>
        </is>
      </c>
      <c r="F194" s="31" t="n">
        <v>12096.27</v>
      </c>
      <c r="G194" s="31" t="n">
        <v>1231</v>
      </c>
      <c r="H194" s="31" t="n">
        <v>-0.06</v>
      </c>
      <c r="I194" s="31" t="n">
        <v>2225810</v>
      </c>
      <c r="J194" s="31" t="inlineStr">
        <is>
          <t>532689</t>
        </is>
      </c>
    </row>
    <row r="195">
      <c r="A195" s="31" t="inlineStr">
        <is>
          <t>VINDHYATEL</t>
        </is>
      </c>
      <c r="B195" s="31" t="inlineStr">
        <is>
          <t>Vindhya Telelinks Limited</t>
        </is>
      </c>
      <c r="C195" s="31" t="inlineStr">
        <is>
          <t>realty</t>
        </is>
      </c>
      <c r="D195" s="31" t="inlineStr">
        <is>
          <t>construction</t>
        </is>
      </c>
      <c r="E195" s="31" t="inlineStr">
        <is>
          <t>smallcap</t>
        </is>
      </c>
      <c r="F195" s="31" t="n">
        <v>2830.46</v>
      </c>
      <c r="G195" s="31" t="n">
        <v>2386.9</v>
      </c>
      <c r="H195" s="31" t="n">
        <v>-0.06</v>
      </c>
      <c r="I195" s="31" t="n">
        <v>75479</v>
      </c>
      <c r="J195" s="31" t="inlineStr">
        <is>
          <t>517015</t>
        </is>
      </c>
    </row>
    <row r="196">
      <c r="A196" s="31" t="inlineStr">
        <is>
          <t>WELSPUNLIV</t>
        </is>
      </c>
      <c r="B196" s="31" t="inlineStr">
        <is>
          <t>Welspun Living Ltd</t>
        </is>
      </c>
      <c r="C196" s="31" t="inlineStr">
        <is>
          <t>textiles</t>
        </is>
      </c>
      <c r="D196" s="31" t="inlineStr">
        <is>
          <t>textiles - products</t>
        </is>
      </c>
      <c r="E196" s="31" t="inlineStr">
        <is>
          <t>midcap</t>
        </is>
      </c>
      <c r="F196" s="31" t="n">
        <v>17990.92</v>
      </c>
      <c r="G196" s="31" t="n">
        <v>190.3</v>
      </c>
      <c r="H196" s="31" t="n">
        <v>-0.07000000000000001</v>
      </c>
      <c r="I196" s="31" t="n">
        <v>3021653</v>
      </c>
      <c r="J196" s="31" t="inlineStr">
        <is>
          <t>514162</t>
        </is>
      </c>
    </row>
    <row r="197">
      <c r="A197" s="31" t="inlineStr">
        <is>
          <t>ESAFSFB</t>
        </is>
      </c>
      <c r="B197" s="31" t="inlineStr">
        <is>
          <t>ESAF Small Finance Bank Ltd</t>
        </is>
      </c>
      <c r="C197" s="31" t="inlineStr">
        <is>
          <t>bank</t>
        </is>
      </c>
      <c r="D197" s="31" t="inlineStr">
        <is>
          <t>banks - private sector</t>
        </is>
      </c>
      <c r="E197" s="31" t="inlineStr">
        <is>
          <t>smallcap</t>
        </is>
      </c>
      <c r="F197" s="31" t="n">
        <v>2245.42</v>
      </c>
      <c r="G197" s="31" t="n">
        <v>43.49</v>
      </c>
      <c r="H197" s="31" t="n">
        <v>-0.07000000000000001</v>
      </c>
      <c r="I197" s="31" t="n">
        <v>796765</v>
      </c>
      <c r="J197" s="31" t="inlineStr">
        <is>
          <t>544020</t>
        </is>
      </c>
    </row>
    <row r="198">
      <c r="A198" s="31" t="inlineStr">
        <is>
          <t>SOLARA</t>
        </is>
      </c>
      <c r="B198" s="31" t="inlineStr">
        <is>
          <t>Solara Active Pharma Sciences Ltd</t>
        </is>
      </c>
      <c r="C198" s="31" t="inlineStr">
        <is>
          <t>healthcare</t>
        </is>
      </c>
      <c r="D198" s="31" t="inlineStr">
        <is>
          <t>pharmaceuticals - indian - bulk drugs &amp; formln</t>
        </is>
      </c>
      <c r="E198" s="31" t="inlineStr">
        <is>
          <t>smallcap</t>
        </is>
      </c>
      <c r="F198" s="31" t="n">
        <v>3035.16</v>
      </c>
      <c r="G198" s="31" t="n">
        <v>628.55</v>
      </c>
      <c r="H198" s="31" t="n">
        <v>-0.09</v>
      </c>
      <c r="I198" s="31" t="n">
        <v>469905</v>
      </c>
      <c r="J198" s="31" t="inlineStr">
        <is>
          <t>541540</t>
        </is>
      </c>
    </row>
    <row r="199">
      <c r="A199" s="31" t="inlineStr">
        <is>
          <t>SYRMA</t>
        </is>
      </c>
      <c r="B199" s="31" t="inlineStr">
        <is>
          <t>Syrma SGS Technology Ltd</t>
        </is>
      </c>
      <c r="C199" s="31" t="inlineStr">
        <is>
          <t>consumer discretionary</t>
        </is>
      </c>
      <c r="D199" s="31" t="inlineStr">
        <is>
          <t>electronics - components</t>
        </is>
      </c>
      <c r="E199" s="31" t="inlineStr">
        <is>
          <t>largecap</t>
        </is>
      </c>
      <c r="F199" s="31" t="n">
        <v>28151.32</v>
      </c>
      <c r="G199" s="31" t="n">
        <v>1458.1</v>
      </c>
      <c r="H199" s="31" t="n">
        <v>-0.12</v>
      </c>
      <c r="I199" s="31" t="n">
        <v>620028</v>
      </c>
      <c r="J199" s="31" t="inlineStr">
        <is>
          <t>543573</t>
        </is>
      </c>
    </row>
    <row r="200">
      <c r="A200" s="31" t="inlineStr">
        <is>
          <t>HAL</t>
        </is>
      </c>
      <c r="B200" s="31" t="inlineStr">
        <is>
          <t>Hindustan Aeronautics Ltd</t>
        </is>
      </c>
      <c r="C200" s="31" t="inlineStr">
        <is>
          <t>aerospace &amp; defence</t>
        </is>
      </c>
      <c r="D200" s="31" t="inlineStr">
        <is>
          <t>engineering</t>
        </is>
      </c>
      <c r="E200" s="31" t="inlineStr">
        <is>
          <t>largecap</t>
        </is>
      </c>
      <c r="F200" s="31" t="n">
        <v>328101.02</v>
      </c>
      <c r="G200" s="31" t="n">
        <v>4900</v>
      </c>
      <c r="H200" s="31" t="n">
        <v>-0.12</v>
      </c>
      <c r="I200" s="31" t="n">
        <v>555366</v>
      </c>
      <c r="J200" s="31" t="inlineStr">
        <is>
          <t>541154</t>
        </is>
      </c>
    </row>
    <row r="201">
      <c r="A201" s="31" t="inlineStr">
        <is>
          <t>20MICRONS</t>
        </is>
      </c>
      <c r="B201" s="31" t="inlineStr">
        <is>
          <t>20 Microns Limited</t>
        </is>
      </c>
      <c r="C201" s="31" t="inlineStr">
        <is>
          <t>metals &amp; mining</t>
        </is>
      </c>
      <c r="D201" s="31" t="inlineStr">
        <is>
          <t>mining / minerals / metals</t>
        </is>
      </c>
      <c r="E201" s="31" t="inlineStr">
        <is>
          <t>smallcap</t>
        </is>
      </c>
      <c r="F201" s="31" t="n">
        <v>752.52</v>
      </c>
      <c r="G201" s="31" t="n">
        <v>213</v>
      </c>
      <c r="H201" s="31" t="n">
        <v>-0.12</v>
      </c>
      <c r="I201" s="31" t="n">
        <v>334332</v>
      </c>
      <c r="J201" s="31" t="inlineStr">
        <is>
          <t>533022</t>
        </is>
      </c>
    </row>
    <row r="202">
      <c r="A202" s="31" t="inlineStr">
        <is>
          <t>RBA</t>
        </is>
      </c>
      <c r="B202" s="31" t="inlineStr">
        <is>
          <t>Restaurant Brands Asia Ltd</t>
        </is>
      </c>
      <c r="C202" s="31" t="inlineStr">
        <is>
          <t>consumer discretionary</t>
        </is>
      </c>
      <c r="D202" s="31" t="inlineStr">
        <is>
          <t>hotels</t>
        </is>
      </c>
      <c r="E202" s="31" t="inlineStr">
        <is>
          <t>midcap</t>
        </is>
      </c>
      <c r="F202" s="31" t="n">
        <v>7576.25</v>
      </c>
      <c r="G202" s="31" t="n">
        <v>106.31</v>
      </c>
      <c r="H202" s="31" t="n">
        <v>-0.13</v>
      </c>
      <c r="I202" s="31" t="n">
        <v>4929469</v>
      </c>
      <c r="J202" s="31" t="inlineStr">
        <is>
          <t>543248</t>
        </is>
      </c>
    </row>
    <row r="203">
      <c r="A203" s="31" t="inlineStr">
        <is>
          <t>ORIENTHOT</t>
        </is>
      </c>
      <c r="B203" s="31" t="inlineStr">
        <is>
          <t>Oriental Hotels Limited</t>
        </is>
      </c>
      <c r="C203" s="31" t="inlineStr">
        <is>
          <t>services</t>
        </is>
      </c>
      <c r="D203" s="31" t="inlineStr">
        <is>
          <t>hotels</t>
        </is>
      </c>
      <c r="E203" s="31" t="inlineStr">
        <is>
          <t>smallcap</t>
        </is>
      </c>
      <c r="F203" s="31" t="n">
        <v>2532.18</v>
      </c>
      <c r="G203" s="31" t="n">
        <v>141.59</v>
      </c>
      <c r="H203" s="31" t="n">
        <v>-0.13</v>
      </c>
      <c r="I203" s="31" t="n">
        <v>5266158</v>
      </c>
      <c r="J203" s="31" t="inlineStr">
        <is>
          <t>500314</t>
        </is>
      </c>
    </row>
    <row r="204">
      <c r="A204" s="31" t="inlineStr">
        <is>
          <t>GEECEE</t>
        </is>
      </c>
      <c r="B204" s="31" t="inlineStr">
        <is>
          <t>Geecee Ventures Limited</t>
        </is>
      </c>
      <c r="C204" s="31" t="inlineStr">
        <is>
          <t>financials</t>
        </is>
      </c>
      <c r="D204" s="31" t="inlineStr">
        <is>
          <t>finance &amp; investments</t>
        </is>
      </c>
      <c r="E204" s="31" t="inlineStr">
        <is>
          <t>smallcap</t>
        </is>
      </c>
      <c r="F204" s="31" t="n">
        <v>771.02</v>
      </c>
      <c r="G204" s="31" t="n">
        <v>368.15</v>
      </c>
      <c r="H204" s="31" t="n">
        <v>-0.15</v>
      </c>
      <c r="I204" s="31" t="n">
        <v>5220</v>
      </c>
      <c r="J204" s="31" t="inlineStr">
        <is>
          <t>532764</t>
        </is>
      </c>
    </row>
    <row r="205">
      <c r="A205" s="31" t="inlineStr">
        <is>
          <t>KCP</t>
        </is>
      </c>
      <c r="B205" s="31" t="inlineStr">
        <is>
          <t>Kcp Limited</t>
        </is>
      </c>
      <c r="C205" s="31" t="inlineStr">
        <is>
          <t>building materials</t>
        </is>
      </c>
      <c r="D205" s="31" t="inlineStr">
        <is>
          <t>cement - south india</t>
        </is>
      </c>
      <c r="E205" s="31" t="inlineStr">
        <is>
          <t>smallcap</t>
        </is>
      </c>
      <c r="F205" s="31" t="n">
        <v>2277.01</v>
      </c>
      <c r="G205" s="31" t="n">
        <v>176.35</v>
      </c>
      <c r="H205" s="31" t="n">
        <v>-0.15</v>
      </c>
      <c r="I205" s="31" t="n">
        <v>378217</v>
      </c>
      <c r="J205" s="31" t="inlineStr">
        <is>
          <t>590066</t>
        </is>
      </c>
    </row>
    <row r="206">
      <c r="A206" s="31" t="inlineStr">
        <is>
          <t>ANANDRATHI</t>
        </is>
      </c>
      <c r="B206" s="31" t="inlineStr">
        <is>
          <t>Anand Rathi Wealth Ltd</t>
        </is>
      </c>
      <c r="C206" s="31" t="inlineStr">
        <is>
          <t>financials</t>
        </is>
      </c>
      <c r="D206" s="31" t="inlineStr">
        <is>
          <t>finance &amp; investments</t>
        </is>
      </c>
      <c r="E206" s="31" t="inlineStr">
        <is>
          <t>largecap</t>
        </is>
      </c>
      <c r="F206" s="31" t="n">
        <v>35996.09</v>
      </c>
      <c r="G206" s="31" t="n">
        <v>2164.4</v>
      </c>
      <c r="H206" s="31" t="n">
        <v>-0.16</v>
      </c>
      <c r="I206" s="31" t="n">
        <v>153819</v>
      </c>
      <c r="J206" s="31" t="inlineStr">
        <is>
          <t>543415</t>
        </is>
      </c>
    </row>
    <row r="207">
      <c r="A207" s="31" t="inlineStr">
        <is>
          <t>RACLGEAR</t>
        </is>
      </c>
      <c r="B207" s="31" t="inlineStr">
        <is>
          <t>RACL Geartech Ltd</t>
        </is>
      </c>
      <c r="C207" s="31" t="inlineStr">
        <is>
          <t>auto</t>
        </is>
      </c>
      <c r="D207" s="31" t="inlineStr">
        <is>
          <t>auto ancillaries</t>
        </is>
      </c>
      <c r="E207" s="31" t="inlineStr">
        <is>
          <t>smallcap</t>
        </is>
      </c>
      <c r="F207" s="31" t="n">
        <v>1784.13</v>
      </c>
      <c r="G207" s="31" t="n">
        <v>1511.1</v>
      </c>
      <c r="H207" s="31" t="n">
        <v>-0.16</v>
      </c>
      <c r="I207" s="31" t="n">
        <v>79447</v>
      </c>
      <c r="J207" s="31" t="inlineStr">
        <is>
          <t>520073</t>
        </is>
      </c>
    </row>
    <row r="208">
      <c r="A208" s="31" t="inlineStr">
        <is>
          <t>HFCL</t>
        </is>
      </c>
      <c r="B208" s="31" t="inlineStr">
        <is>
          <t>HFCL Ltd</t>
        </is>
      </c>
      <c r="C208" s="31" t="inlineStr">
        <is>
          <t>telecom</t>
        </is>
      </c>
      <c r="D208" s="31" t="inlineStr">
        <is>
          <t>cables - telephone</t>
        </is>
      </c>
      <c r="E208" s="31" t="inlineStr">
        <is>
          <t>largecap</t>
        </is>
      </c>
      <c r="F208" s="31" t="n">
        <v>36492.62</v>
      </c>
      <c r="G208" s="31" t="n">
        <v>238.01</v>
      </c>
      <c r="H208" s="31" t="n">
        <v>-0.17</v>
      </c>
      <c r="I208" s="31" t="n">
        <v>19820671</v>
      </c>
      <c r="J208" s="31" t="inlineStr">
        <is>
          <t>500183</t>
        </is>
      </c>
    </row>
    <row r="209">
      <c r="A209" s="31" t="inlineStr">
        <is>
          <t>HEG</t>
        </is>
      </c>
      <c r="B209" s="31" t="inlineStr">
        <is>
          <t>Heg Limited</t>
        </is>
      </c>
      <c r="C209" s="31" t="inlineStr">
        <is>
          <t>industrials</t>
        </is>
      </c>
      <c r="D209" s="31" t="inlineStr">
        <is>
          <t>electrodes - graphites</t>
        </is>
      </c>
      <c r="E209" s="31" t="inlineStr">
        <is>
          <t>midcap</t>
        </is>
      </c>
      <c r="F209" s="31" t="n">
        <v>13947.45</v>
      </c>
      <c r="G209" s="31" t="n">
        <v>721.55</v>
      </c>
      <c r="H209" s="31" t="n">
        <v>-0.17</v>
      </c>
      <c r="I209" s="31" t="n">
        <v>1284004</v>
      </c>
      <c r="J209" s="31" t="inlineStr">
        <is>
          <t>509631</t>
        </is>
      </c>
    </row>
    <row r="210">
      <c r="A210" s="31" t="inlineStr">
        <is>
          <t>GAYAPROJ</t>
        </is>
      </c>
      <c r="B210" s="31" t="inlineStr">
        <is>
          <t>Gayatri Projects Limited</t>
        </is>
      </c>
      <c r="C210" s="31" t="inlineStr">
        <is>
          <t>realty</t>
        </is>
      </c>
      <c r="D210" s="31" t="inlineStr">
        <is>
          <t>construction</t>
        </is>
      </c>
      <c r="E210" s="31" t="inlineStr">
        <is>
          <t>smallcap</t>
        </is>
      </c>
      <c r="F210" s="31" t="n">
        <v>1037.24</v>
      </c>
      <c r="G210" s="31" t="n">
        <v>22.3</v>
      </c>
      <c r="H210" s="31" t="n">
        <v>-0.18</v>
      </c>
      <c r="I210" s="31" t="n">
        <v>523739</v>
      </c>
      <c r="J210" s="31" t="inlineStr">
        <is>
          <t>532767</t>
        </is>
      </c>
    </row>
    <row r="211">
      <c r="A211" s="31" t="inlineStr">
        <is>
          <t>WINDLAS</t>
        </is>
      </c>
      <c r="B211" s="31" t="inlineStr">
        <is>
          <t>Windlas Biotech Ltd</t>
        </is>
      </c>
      <c r="C211" s="31" t="inlineStr">
        <is>
          <t>healthcare</t>
        </is>
      </c>
      <c r="D211" s="31" t="inlineStr">
        <is>
          <t>pharmaceuticals - indian - formulations</t>
        </is>
      </c>
      <c r="E211" s="31" t="inlineStr">
        <is>
          <t>smallcap</t>
        </is>
      </c>
      <c r="F211" s="31" t="n">
        <v>2046.6</v>
      </c>
      <c r="G211" s="31" t="n">
        <v>990</v>
      </c>
      <c r="H211" s="31" t="n">
        <v>-0.18</v>
      </c>
      <c r="I211" s="31" t="n">
        <v>93402</v>
      </c>
      <c r="J211" s="31" t="inlineStr">
        <is>
          <t>543329</t>
        </is>
      </c>
    </row>
    <row r="212">
      <c r="A212" s="31" t="inlineStr">
        <is>
          <t>TMB</t>
        </is>
      </c>
      <c r="B212" s="31" t="inlineStr">
        <is>
          <t>Tamilnad Mercantile Bank Ltd</t>
        </is>
      </c>
      <c r="C212" s="31" t="inlineStr">
        <is>
          <t>bank</t>
        </is>
      </c>
      <c r="D212" s="31" t="inlineStr">
        <is>
          <t>banks - private sector</t>
        </is>
      </c>
      <c r="E212" s="31" t="inlineStr">
        <is>
          <t>midcap</t>
        </is>
      </c>
      <c r="F212" s="31" t="n">
        <v>13857.34</v>
      </c>
      <c r="G212" s="31" t="n">
        <v>873.5</v>
      </c>
      <c r="H212" s="31" t="n">
        <v>-0.18</v>
      </c>
      <c r="I212" s="31" t="n">
        <v>78644</v>
      </c>
      <c r="J212" s="31" t="inlineStr">
        <is>
          <t>543596</t>
        </is>
      </c>
    </row>
    <row r="213">
      <c r="A213" s="31" t="inlineStr">
        <is>
          <t>MBAPL</t>
        </is>
      </c>
      <c r="B213" s="31" t="inlineStr">
        <is>
          <t>Madhya Bharat Agro Products Ltd</t>
        </is>
      </c>
      <c r="C213" s="31" t="inlineStr">
        <is>
          <t>chemicals</t>
        </is>
      </c>
      <c r="D213" s="31" t="inlineStr">
        <is>
          <t>fertilizers</t>
        </is>
      </c>
      <c r="E213" s="31" t="inlineStr">
        <is>
          <t>smallcap</t>
        </is>
      </c>
      <c r="F213" s="31" t="n">
        <v>1480.11</v>
      </c>
      <c r="G213" s="31" t="n">
        <v>168.55</v>
      </c>
      <c r="H213" s="31" t="n">
        <v>-0.21</v>
      </c>
      <c r="I213" s="31" t="n">
        <v>804521</v>
      </c>
      <c r="J213" s="31" t="inlineStr">
        <is>
          <t>538370</t>
        </is>
      </c>
    </row>
    <row r="214">
      <c r="A214" s="31" t="inlineStr">
        <is>
          <t>SMLMAH</t>
        </is>
      </c>
      <c r="B214" s="31" t="inlineStr">
        <is>
          <t>SML Mahindra Ltd</t>
        </is>
      </c>
      <c r="C214" s="31" t="inlineStr">
        <is>
          <t>auto</t>
        </is>
      </c>
      <c r="D214" s="31" t="inlineStr">
        <is>
          <t>automobiles - lcvs / hcvs</t>
        </is>
      </c>
      <c r="E214" s="31" t="inlineStr">
        <is>
          <t>midcap</t>
        </is>
      </c>
      <c r="F214" s="31" t="n">
        <v>7531.04</v>
      </c>
      <c r="G214" s="31" t="n">
        <v>5192</v>
      </c>
      <c r="H214" s="31" t="n">
        <v>-0.23</v>
      </c>
      <c r="I214" s="31" t="n">
        <v>36075</v>
      </c>
      <c r="J214" s="31" t="inlineStr">
        <is>
          <t>505192</t>
        </is>
      </c>
    </row>
    <row r="215">
      <c r="A215" s="31" t="inlineStr">
        <is>
          <t>BLACKBUCK</t>
        </is>
      </c>
      <c r="B215" s="31" t="inlineStr">
        <is>
          <t>BlackBuck Ltd</t>
        </is>
      </c>
      <c r="C215" s="31" t="inlineStr">
        <is>
          <t>transportation</t>
        </is>
      </c>
      <c r="D215" s="31" t="inlineStr">
        <is>
          <t>miscellaneous</t>
        </is>
      </c>
      <c r="E215" s="31" t="inlineStr">
        <is>
          <t>midcap</t>
        </is>
      </c>
      <c r="F215" s="31" t="n">
        <v>11008.46</v>
      </c>
      <c r="G215" s="31" t="n">
        <v>603</v>
      </c>
      <c r="H215" s="31" t="n">
        <v>-0.23</v>
      </c>
      <c r="I215" s="31" t="n">
        <v>446026</v>
      </c>
      <c r="J215" s="31" t="inlineStr">
        <is>
          <t>544288</t>
        </is>
      </c>
    </row>
    <row r="216">
      <c r="A216" s="31" t="inlineStr">
        <is>
          <t>KROSS</t>
        </is>
      </c>
      <c r="B216" s="31" t="inlineStr">
        <is>
          <t>Kross Ltd</t>
        </is>
      </c>
      <c r="C216" s="31" t="inlineStr">
        <is>
          <t>auto</t>
        </is>
      </c>
      <c r="D216" s="31" t="inlineStr">
        <is>
          <t>auto ancillaries</t>
        </is>
      </c>
      <c r="E216" s="31" t="inlineStr">
        <is>
          <t>smallcap</t>
        </is>
      </c>
      <c r="F216" s="31" t="n">
        <v>1352.12</v>
      </c>
      <c r="G216" s="31" t="n">
        <v>209.11</v>
      </c>
      <c r="H216" s="31" t="n">
        <v>-0.23</v>
      </c>
      <c r="I216" s="31" t="n">
        <v>418545</v>
      </c>
      <c r="J216" s="31" t="inlineStr">
        <is>
          <t>544253</t>
        </is>
      </c>
    </row>
    <row r="217">
      <c r="A217" s="31" t="inlineStr">
        <is>
          <t>STCINDIA</t>
        </is>
      </c>
      <c r="B217" s="31" t="inlineStr">
        <is>
          <t>The State Trading Corporation Of India Limited</t>
        </is>
      </c>
      <c r="C217" s="31" t="inlineStr">
        <is>
          <t>services</t>
        </is>
      </c>
      <c r="D217" s="31" t="inlineStr">
        <is>
          <t>trading</t>
        </is>
      </c>
      <c r="E217" s="31" t="inlineStr">
        <is>
          <t>smallcap</t>
        </is>
      </c>
      <c r="F217" s="31" t="n">
        <v>731.34</v>
      </c>
      <c r="G217" s="31" t="n">
        <v>121.6</v>
      </c>
      <c r="H217" s="31" t="n">
        <v>-0.24</v>
      </c>
      <c r="I217" s="31" t="n">
        <v>39525</v>
      </c>
      <c r="J217" s="31" t="inlineStr">
        <is>
          <t>512531</t>
        </is>
      </c>
    </row>
    <row r="218">
      <c r="A218" s="31" t="inlineStr">
        <is>
          <t>SANDHAR</t>
        </is>
      </c>
      <c r="B218" s="31" t="inlineStr">
        <is>
          <t>Sandhar Technologies Limited</t>
        </is>
      </c>
      <c r="C218" s="31" t="inlineStr">
        <is>
          <t>auto</t>
        </is>
      </c>
      <c r="D218" s="31" t="inlineStr">
        <is>
          <t>auto ancillaries</t>
        </is>
      </c>
      <c r="E218" s="31" t="inlineStr">
        <is>
          <t>smallcap</t>
        </is>
      </c>
      <c r="F218" s="31" t="n">
        <v>4096.58</v>
      </c>
      <c r="G218" s="31" t="n">
        <v>679</v>
      </c>
      <c r="H218" s="31" t="n">
        <v>-0.24</v>
      </c>
      <c r="I218" s="31" t="n">
        <v>192626</v>
      </c>
      <c r="J218" s="31" t="inlineStr">
        <is>
          <t>541163</t>
        </is>
      </c>
    </row>
    <row r="219">
      <c r="A219" s="31" t="inlineStr">
        <is>
          <t>APLAPOLLO</t>
        </is>
      </c>
      <c r="B219" s="31" t="inlineStr">
        <is>
          <t>Apl Apollo Tubes Limited</t>
        </is>
      </c>
      <c r="C219" s="31" t="inlineStr">
        <is>
          <t>industrials</t>
        </is>
      </c>
      <c r="D219" s="31" t="inlineStr">
        <is>
          <t>steel - large</t>
        </is>
      </c>
      <c r="E219" s="31" t="inlineStr">
        <is>
          <t>largecap</t>
        </is>
      </c>
      <c r="F219" s="31" t="n">
        <v>59557.73</v>
      </c>
      <c r="G219" s="31" t="n">
        <v>2139.3</v>
      </c>
      <c r="H219" s="31" t="n">
        <v>-0.27</v>
      </c>
      <c r="I219" s="31" t="n">
        <v>606832</v>
      </c>
      <c r="J219" s="31" t="inlineStr">
        <is>
          <t>533758</t>
        </is>
      </c>
    </row>
    <row r="220">
      <c r="A220" s="31" t="inlineStr">
        <is>
          <t>VARROC</t>
        </is>
      </c>
      <c r="B220" s="31" t="inlineStr">
        <is>
          <t>Varroc Engineering Ltd</t>
        </is>
      </c>
      <c r="C220" s="31" t="inlineStr">
        <is>
          <t>auto</t>
        </is>
      </c>
      <c r="D220" s="31" t="inlineStr">
        <is>
          <t>auto ancillaries</t>
        </is>
      </c>
      <c r="E220" s="31" t="inlineStr">
        <is>
          <t>midcap</t>
        </is>
      </c>
      <c r="F220" s="31" t="n">
        <v>12412.37</v>
      </c>
      <c r="G220" s="31" t="n">
        <v>810</v>
      </c>
      <c r="H220" s="31" t="n">
        <v>-0.3</v>
      </c>
      <c r="I220" s="31" t="n">
        <v>134139</v>
      </c>
      <c r="J220" s="31" t="inlineStr">
        <is>
          <t>541578</t>
        </is>
      </c>
    </row>
    <row r="221">
      <c r="A221" s="31" t="inlineStr">
        <is>
          <t>QPOWER</t>
        </is>
      </c>
      <c r="B221" s="31" t="inlineStr">
        <is>
          <t>Quality Power Electrical Equipments Ltd</t>
        </is>
      </c>
      <c r="C221" s="31" t="inlineStr">
        <is>
          <t>industrials</t>
        </is>
      </c>
      <c r="D221" s="31" t="inlineStr">
        <is>
          <t>electric equipment</t>
        </is>
      </c>
      <c r="E221" s="31" t="inlineStr">
        <is>
          <t>midcap</t>
        </is>
      </c>
      <c r="F221" s="31" t="n">
        <v>10169.96</v>
      </c>
      <c r="G221" s="31" t="n">
        <v>1309.1</v>
      </c>
      <c r="H221" s="31" t="n">
        <v>-0.31</v>
      </c>
      <c r="I221" s="31" t="n">
        <v>224773</v>
      </c>
      <c r="J221" s="31" t="inlineStr">
        <is>
          <t>544367</t>
        </is>
      </c>
    </row>
    <row r="222">
      <c r="A222" s="31" t="inlineStr">
        <is>
          <t>KABRAEXTRU</t>
        </is>
      </c>
      <c r="B222" s="31" t="inlineStr">
        <is>
          <t>Kabra Extrusion Technik Limited</t>
        </is>
      </c>
      <c r="C222" s="31" t="inlineStr">
        <is>
          <t>industrials</t>
        </is>
      </c>
      <c r="D222" s="31" t="inlineStr">
        <is>
          <t>engineering</t>
        </is>
      </c>
      <c r="E222" s="31" t="inlineStr">
        <is>
          <t>smallcap</t>
        </is>
      </c>
      <c r="F222" s="31" t="n">
        <v>2137.19</v>
      </c>
      <c r="G222" s="31" t="n">
        <v>609.15</v>
      </c>
      <c r="H222" s="31" t="n">
        <v>-0.32</v>
      </c>
      <c r="I222" s="31" t="n">
        <v>388617</v>
      </c>
      <c r="J222" s="31" t="inlineStr">
        <is>
          <t>524109</t>
        </is>
      </c>
    </row>
    <row r="223">
      <c r="A223" s="31" t="inlineStr">
        <is>
          <t>UNITDSPR</t>
        </is>
      </c>
      <c r="B223" s="31" t="inlineStr">
        <is>
          <t>United Spirits Ltd</t>
        </is>
      </c>
      <c r="C223" s="31" t="inlineStr">
        <is>
          <t>fmcg</t>
        </is>
      </c>
      <c r="D223" s="31" t="inlineStr">
        <is>
          <t>breweries &amp; distilleries</t>
        </is>
      </c>
      <c r="E223" s="31" t="inlineStr">
        <is>
          <t>largecap</t>
        </is>
      </c>
      <c r="F223" s="31" t="n">
        <v>113103.06</v>
      </c>
      <c r="G223" s="31" t="n">
        <v>1550</v>
      </c>
      <c r="H223" s="31" t="n">
        <v>-0.32</v>
      </c>
      <c r="I223" s="31" t="n">
        <v>215156</v>
      </c>
      <c r="J223" s="31" t="inlineStr">
        <is>
          <t>532432</t>
        </is>
      </c>
    </row>
    <row r="224">
      <c r="A224" s="31" t="inlineStr">
        <is>
          <t>KPIL</t>
        </is>
      </c>
      <c r="B224" s="31" t="inlineStr">
        <is>
          <t>Kalpataru Projects International Ltd</t>
        </is>
      </c>
      <c r="C224" s="31" t="inlineStr">
        <is>
          <t>realty</t>
        </is>
      </c>
      <c r="D224" s="31" t="inlineStr">
        <is>
          <t>transmisson line towers / equipment</t>
        </is>
      </c>
      <c r="E224" s="31" t="inlineStr">
        <is>
          <t>largecap</t>
        </is>
      </c>
      <c r="F224" s="31" t="n">
        <v>23718.6</v>
      </c>
      <c r="G224" s="31" t="n">
        <v>1384.4</v>
      </c>
      <c r="H224" s="31" t="n">
        <v>-0.32</v>
      </c>
      <c r="I224" s="31" t="n">
        <v>134764</v>
      </c>
      <c r="J224" s="31" t="inlineStr">
        <is>
          <t>522287</t>
        </is>
      </c>
    </row>
    <row r="225">
      <c r="A225" s="31" t="inlineStr">
        <is>
          <t>BLISSGVS</t>
        </is>
      </c>
      <c r="B225" s="31" t="inlineStr">
        <is>
          <t>Bliss Gvs Pharma Limited</t>
        </is>
      </c>
      <c r="C225" s="31" t="inlineStr">
        <is>
          <t>healthcare</t>
        </is>
      </c>
      <c r="D225" s="31" t="inlineStr">
        <is>
          <t>pharmaceuticals - indian - formulations</t>
        </is>
      </c>
      <c r="E225" s="31" t="inlineStr">
        <is>
          <t>midcap</t>
        </is>
      </c>
      <c r="F225" s="31" t="n">
        <v>5991.12</v>
      </c>
      <c r="G225" s="31" t="n">
        <v>563</v>
      </c>
      <c r="H225" s="31" t="n">
        <v>-0.34</v>
      </c>
      <c r="I225" s="31" t="n">
        <v>265982</v>
      </c>
      <c r="J225" s="31" t="inlineStr">
        <is>
          <t>506197</t>
        </is>
      </c>
    </row>
    <row r="226">
      <c r="A226" s="31" t="inlineStr">
        <is>
          <t>COMSYN</t>
        </is>
      </c>
      <c r="B226" s="31" t="inlineStr">
        <is>
          <t>Commercial Syn Bags Ltd</t>
        </is>
      </c>
      <c r="C226" s="31" t="inlineStr">
        <is>
          <t>industrials</t>
        </is>
      </c>
      <c r="D226" s="31" t="inlineStr">
        <is>
          <t>packaging</t>
        </is>
      </c>
      <c r="E226" s="31" t="inlineStr">
        <is>
          <t>smallcap</t>
        </is>
      </c>
      <c r="F226" s="31" t="n">
        <v>1166.49</v>
      </c>
      <c r="G226" s="31" t="n">
        <v>288.2</v>
      </c>
      <c r="H226" s="31" t="n">
        <v>-0.34</v>
      </c>
      <c r="I226" s="31" t="n">
        <v>62737</v>
      </c>
      <c r="J226" s="31" t="inlineStr">
        <is>
          <t>539986</t>
        </is>
      </c>
    </row>
    <row r="227">
      <c r="A227" s="31" t="inlineStr">
        <is>
          <t>FLUOROCHEM</t>
        </is>
      </c>
      <c r="B227" s="31" t="inlineStr">
        <is>
          <t>Gujarat Fluorochemicals Ltd</t>
        </is>
      </c>
      <c r="C227" s="31" t="inlineStr">
        <is>
          <t>chemicals</t>
        </is>
      </c>
      <c r="D227" s="31" t="inlineStr">
        <is>
          <t>chemicals</t>
        </is>
      </c>
      <c r="E227" s="31" t="inlineStr">
        <is>
          <t>largecap</t>
        </is>
      </c>
      <c r="F227" s="31" t="n">
        <v>50779.26</v>
      </c>
      <c r="G227" s="31" t="n">
        <v>4606.2</v>
      </c>
      <c r="H227" s="31" t="n">
        <v>-0.35</v>
      </c>
      <c r="I227" s="31" t="n">
        <v>156441</v>
      </c>
      <c r="J227" s="31" t="inlineStr">
        <is>
          <t>542812</t>
        </is>
      </c>
    </row>
    <row r="228">
      <c r="A228" s="31" t="inlineStr">
        <is>
          <t>MSTCLTD</t>
        </is>
      </c>
      <c r="B228" s="31" t="inlineStr">
        <is>
          <t>MSTC Ltd</t>
        </is>
      </c>
      <c r="C228" s="31" t="inlineStr">
        <is>
          <t>i.t</t>
        </is>
      </c>
      <c r="D228" s="31" t="inlineStr">
        <is>
          <t>trading</t>
        </is>
      </c>
      <c r="E228" s="31" t="inlineStr">
        <is>
          <t>midcap</t>
        </is>
      </c>
      <c r="F228" s="31" t="n">
        <v>5143.42</v>
      </c>
      <c r="G228" s="31" t="n">
        <v>727.95</v>
      </c>
      <c r="H228" s="31" t="n">
        <v>-0.36</v>
      </c>
      <c r="I228" s="31" t="n">
        <v>289396</v>
      </c>
      <c r="J228" s="31" t="inlineStr">
        <is>
          <t>542597</t>
        </is>
      </c>
    </row>
    <row r="229">
      <c r="A229" s="31" t="inlineStr">
        <is>
          <t>AVALON</t>
        </is>
      </c>
      <c r="B229" s="31" t="inlineStr">
        <is>
          <t>Avalon Technologies Ltd</t>
        </is>
      </c>
      <c r="C229" s="31" t="inlineStr">
        <is>
          <t>consumer discretionary</t>
        </is>
      </c>
      <c r="D229" s="31" t="inlineStr">
        <is>
          <t>electronics - components</t>
        </is>
      </c>
      <c r="E229" s="31" t="inlineStr">
        <is>
          <t>midcap</t>
        </is>
      </c>
      <c r="F229" s="31" t="n">
        <v>14160.08</v>
      </c>
      <c r="G229" s="31" t="n">
        <v>2111.5</v>
      </c>
      <c r="H229" s="31" t="n">
        <v>-0.37</v>
      </c>
      <c r="I229" s="31" t="n">
        <v>247317</v>
      </c>
      <c r="J229" s="31" t="inlineStr">
        <is>
          <t>543896</t>
        </is>
      </c>
    </row>
    <row r="230">
      <c r="A230" s="31" t="inlineStr">
        <is>
          <t>ESABINDIA</t>
        </is>
      </c>
      <c r="B230" s="31" t="inlineStr">
        <is>
          <t>Esab India Limited</t>
        </is>
      </c>
      <c r="C230" s="31" t="inlineStr">
        <is>
          <t>industrials</t>
        </is>
      </c>
      <c r="D230" s="31" t="inlineStr">
        <is>
          <t>electrodes - welding equipment</t>
        </is>
      </c>
      <c r="E230" s="31" t="inlineStr">
        <is>
          <t>midcap</t>
        </is>
      </c>
      <c r="F230" s="31" t="n">
        <v>9581.389999999999</v>
      </c>
      <c r="G230" s="31" t="n">
        <v>6200</v>
      </c>
      <c r="H230" s="31" t="n">
        <v>-0.39</v>
      </c>
      <c r="I230" s="31" t="n">
        <v>4697</v>
      </c>
      <c r="J230" s="31" t="inlineStr">
        <is>
          <t>500133</t>
        </is>
      </c>
    </row>
    <row r="231">
      <c r="A231" s="31" t="inlineStr">
        <is>
          <t>SEAMECLTD</t>
        </is>
      </c>
      <c r="B231" s="31" t="inlineStr">
        <is>
          <t>Seamec Limited</t>
        </is>
      </c>
      <c r="C231" s="31" t="inlineStr">
        <is>
          <t>miscellaneous</t>
        </is>
      </c>
      <c r="D231" s="31" t="inlineStr">
        <is>
          <t>miscellaneous</t>
        </is>
      </c>
      <c r="E231" s="31" t="inlineStr">
        <is>
          <t>smallcap</t>
        </is>
      </c>
      <c r="F231" s="31" t="n">
        <v>4207.84</v>
      </c>
      <c r="G231" s="31" t="n">
        <v>1648</v>
      </c>
      <c r="H231" s="31" t="n">
        <v>-0.42</v>
      </c>
      <c r="I231" s="31" t="n">
        <v>35412</v>
      </c>
      <c r="J231" s="31" t="inlineStr">
        <is>
          <t>526807</t>
        </is>
      </c>
    </row>
    <row r="232">
      <c r="A232" s="31" t="inlineStr">
        <is>
          <t>GRAVITA</t>
        </is>
      </c>
      <c r="B232" s="31" t="inlineStr">
        <is>
          <t>Gravita India Limited</t>
        </is>
      </c>
      <c r="C232" s="31" t="inlineStr">
        <is>
          <t>metals &amp; mining</t>
        </is>
      </c>
      <c r="D232" s="31" t="inlineStr">
        <is>
          <t>mining / minerals / metals</t>
        </is>
      </c>
      <c r="E232" s="31" t="inlineStr">
        <is>
          <t>midcap</t>
        </is>
      </c>
      <c r="F232" s="31" t="n">
        <v>13343.09</v>
      </c>
      <c r="G232" s="31" t="n">
        <v>1800</v>
      </c>
      <c r="H232" s="31" t="n">
        <v>-0.43</v>
      </c>
      <c r="I232" s="31" t="n">
        <v>126611</v>
      </c>
      <c r="J232" s="31" t="inlineStr">
        <is>
          <t>533282</t>
        </is>
      </c>
    </row>
    <row r="233">
      <c r="A233" s="31" t="inlineStr">
        <is>
          <t>MUFIN</t>
        </is>
      </c>
      <c r="B233" s="31" t="inlineStr">
        <is>
          <t>Mufin Green Finance Ltd</t>
        </is>
      </c>
      <c r="C233" s="31" t="inlineStr">
        <is>
          <t>financials</t>
        </is>
      </c>
      <c r="D233" s="31" t="inlineStr">
        <is>
          <t>finance &amp; investments</t>
        </is>
      </c>
      <c r="E233" s="31" t="inlineStr">
        <is>
          <t>smallcap</t>
        </is>
      </c>
      <c r="F233" s="31" t="n">
        <v>2746.73</v>
      </c>
      <c r="G233" s="31" t="n">
        <v>138.02</v>
      </c>
      <c r="H233" s="31" t="n">
        <v>-0.43</v>
      </c>
      <c r="I233" s="31" t="n">
        <v>2076294</v>
      </c>
      <c r="J233" s="31" t="inlineStr">
        <is>
          <t>542774</t>
        </is>
      </c>
    </row>
    <row r="234">
      <c r="A234" s="31" t="inlineStr">
        <is>
          <t>PRUDENT</t>
        </is>
      </c>
      <c r="B234" s="31" t="inlineStr">
        <is>
          <t>Prudent Corporate Advisory Services Ltd</t>
        </is>
      </c>
      <c r="C234" s="31" t="inlineStr">
        <is>
          <t>financials</t>
        </is>
      </c>
      <c r="D234" s="31" t="inlineStr">
        <is>
          <t>finance &amp; investments</t>
        </is>
      </c>
      <c r="E234" s="31" t="inlineStr">
        <is>
          <t>midcap</t>
        </is>
      </c>
      <c r="F234" s="31" t="n">
        <v>13816.58</v>
      </c>
      <c r="G234" s="31" t="n">
        <v>3321.5</v>
      </c>
      <c r="H234" s="31" t="n">
        <v>-0.46</v>
      </c>
      <c r="I234" s="31" t="n">
        <v>14066</v>
      </c>
      <c r="J234" s="31" t="inlineStr">
        <is>
          <t>543527</t>
        </is>
      </c>
    </row>
    <row r="235">
      <c r="A235" s="31" t="inlineStr">
        <is>
          <t>GANDHAR</t>
        </is>
      </c>
      <c r="B235" s="31" t="inlineStr">
        <is>
          <t>Gandhar Oil Refinery (India) Ltd</t>
        </is>
      </c>
      <c r="C235" s="31" t="inlineStr">
        <is>
          <t>energy</t>
        </is>
      </c>
      <c r="D235" s="31" t="inlineStr">
        <is>
          <t>refineries</t>
        </is>
      </c>
      <c r="E235" s="31" t="inlineStr">
        <is>
          <t>smallcap</t>
        </is>
      </c>
      <c r="F235" s="31" t="n">
        <v>2511.78</v>
      </c>
      <c r="G235" s="31" t="n">
        <v>255.42</v>
      </c>
      <c r="H235" s="31" t="n">
        <v>-0.47</v>
      </c>
      <c r="I235" s="31" t="n">
        <v>801390</v>
      </c>
      <c r="J235" s="31" t="inlineStr">
        <is>
          <t>544029</t>
        </is>
      </c>
    </row>
    <row r="236">
      <c r="A236" s="31" t="inlineStr">
        <is>
          <t>JSWSTEEL</t>
        </is>
      </c>
      <c r="B236" s="31" t="inlineStr">
        <is>
          <t>Jsw Steel Limited</t>
        </is>
      </c>
      <c r="C236" s="31" t="inlineStr">
        <is>
          <t>metals &amp; mining</t>
        </is>
      </c>
      <c r="D236" s="31" t="inlineStr">
        <is>
          <t>steel - large</t>
        </is>
      </c>
      <c r="E236" s="31" t="inlineStr">
        <is>
          <t>largecap</t>
        </is>
      </c>
      <c r="F236" s="31" t="n">
        <v>324511.74</v>
      </c>
      <c r="G236" s="31" t="n">
        <v>1320.3</v>
      </c>
      <c r="H236" s="31" t="n">
        <v>-0.5</v>
      </c>
      <c r="I236" s="31" t="n">
        <v>1444919</v>
      </c>
      <c r="J236" s="31" t="inlineStr">
        <is>
          <t>500228</t>
        </is>
      </c>
    </row>
    <row r="237">
      <c r="A237" s="31" t="inlineStr">
        <is>
          <t>BCLIND</t>
        </is>
      </c>
      <c r="B237" s="31" t="inlineStr">
        <is>
          <t>BCL Industries Ltd</t>
        </is>
      </c>
      <c r="C237" s="31" t="inlineStr">
        <is>
          <t>fmcg</t>
        </is>
      </c>
      <c r="D237" s="31" t="inlineStr">
        <is>
          <t>breweries &amp; distilleries</t>
        </is>
      </c>
      <c r="E237" s="31" t="inlineStr">
        <is>
          <t>smallcap</t>
        </is>
      </c>
      <c r="F237" s="31" t="n">
        <v>1121.33</v>
      </c>
      <c r="G237" s="31" t="n">
        <v>37.8</v>
      </c>
      <c r="H237" s="31" t="n">
        <v>-0.5</v>
      </c>
      <c r="I237" s="31" t="n">
        <v>1042731</v>
      </c>
      <c r="J237" s="31" t="inlineStr">
        <is>
          <t>524332</t>
        </is>
      </c>
    </row>
    <row r="238">
      <c r="A238" s="31" t="inlineStr">
        <is>
          <t>MATRIMONY</t>
        </is>
      </c>
      <c r="B238" s="31" t="inlineStr">
        <is>
          <t>Matrimony.com Ltd</t>
        </is>
      </c>
      <c r="C238" s="31" t="inlineStr">
        <is>
          <t>miscellaneous</t>
        </is>
      </c>
      <c r="D238" s="31" t="inlineStr">
        <is>
          <t>miscellaneous</t>
        </is>
      </c>
      <c r="E238" s="31" t="inlineStr">
        <is>
          <t>smallcap</t>
        </is>
      </c>
      <c r="F238" s="31" t="n">
        <v>1078.01</v>
      </c>
      <c r="G238" s="31" t="n">
        <v>518.8</v>
      </c>
      <c r="H238" s="31" t="n">
        <v>-0.51</v>
      </c>
      <c r="I238" s="31" t="n">
        <v>19475</v>
      </c>
      <c r="J238" s="31" t="inlineStr">
        <is>
          <t>540704</t>
        </is>
      </c>
    </row>
    <row r="239">
      <c r="A239" s="31" t="inlineStr">
        <is>
          <t>NILKAMAL</t>
        </is>
      </c>
      <c r="B239" s="31" t="inlineStr">
        <is>
          <t>Nilkamal Limited</t>
        </is>
      </c>
      <c r="C239" s="31" t="inlineStr">
        <is>
          <t>plastic products</t>
        </is>
      </c>
      <c r="D239" s="31" t="inlineStr">
        <is>
          <t>plastics products</t>
        </is>
      </c>
      <c r="E239" s="31" t="inlineStr">
        <is>
          <t>smallcap</t>
        </is>
      </c>
      <c r="F239" s="31" t="n">
        <v>3023.9</v>
      </c>
      <c r="G239" s="31" t="n">
        <v>2015.9</v>
      </c>
      <c r="H239" s="31" t="n">
        <v>-0.52</v>
      </c>
      <c r="I239" s="31" t="n">
        <v>30854</v>
      </c>
      <c r="J239" s="31" t="inlineStr">
        <is>
          <t>523385</t>
        </is>
      </c>
    </row>
    <row r="240">
      <c r="A240" s="31" t="inlineStr">
        <is>
          <t>TARSONS</t>
        </is>
      </c>
      <c r="B240" s="31" t="inlineStr">
        <is>
          <t>Tarsons Products Ltd</t>
        </is>
      </c>
      <c r="C240" s="31" t="inlineStr">
        <is>
          <t>healthcare</t>
        </is>
      </c>
      <c r="D240" s="31" t="inlineStr">
        <is>
          <t>miscellaneous</t>
        </is>
      </c>
      <c r="E240" s="31" t="inlineStr">
        <is>
          <t>smallcap</t>
        </is>
      </c>
      <c r="F240" s="31" t="n">
        <v>1845.46</v>
      </c>
      <c r="G240" s="31" t="n">
        <v>345</v>
      </c>
      <c r="H240" s="31" t="n">
        <v>-0.53</v>
      </c>
      <c r="I240" s="31" t="n">
        <v>121327</v>
      </c>
      <c r="J240" s="31" t="inlineStr">
        <is>
          <t>543399</t>
        </is>
      </c>
    </row>
    <row r="241">
      <c r="A241" s="31" t="inlineStr">
        <is>
          <t>INDGN</t>
        </is>
      </c>
      <c r="B241" s="31" t="inlineStr">
        <is>
          <t>Indegene Ltd</t>
        </is>
      </c>
      <c r="C241" s="31" t="inlineStr">
        <is>
          <t>healthcare</t>
        </is>
      </c>
      <c r="D241" s="31" t="inlineStr">
        <is>
          <t>miscellaneous</t>
        </is>
      </c>
      <c r="E241" s="31" t="inlineStr">
        <is>
          <t>midcap</t>
        </is>
      </c>
      <c r="F241" s="31" t="n">
        <v>13653.68</v>
      </c>
      <c r="G241" s="31" t="n">
        <v>563.55</v>
      </c>
      <c r="H241" s="31" t="n">
        <v>-0.55</v>
      </c>
      <c r="I241" s="31" t="n">
        <v>217930</v>
      </c>
      <c r="J241" s="31" t="inlineStr">
        <is>
          <t>544172</t>
        </is>
      </c>
    </row>
    <row r="242">
      <c r="A242" s="31" t="inlineStr">
        <is>
          <t>SIEMENS</t>
        </is>
      </c>
      <c r="B242" s="31" t="inlineStr">
        <is>
          <t>Siemens Limited</t>
        </is>
      </c>
      <c r="C242" s="31" t="inlineStr">
        <is>
          <t>industrials</t>
        </is>
      </c>
      <c r="D242" s="31" t="inlineStr">
        <is>
          <t>electric equipment</t>
        </is>
      </c>
      <c r="E242" s="31" t="inlineStr">
        <is>
          <t>largecap</t>
        </is>
      </c>
      <c r="F242" s="31" t="n">
        <v>146507.98</v>
      </c>
      <c r="G242" s="31" t="n">
        <v>4090.5</v>
      </c>
      <c r="H242" s="31" t="n">
        <v>-0.57</v>
      </c>
      <c r="I242" s="31" t="n">
        <v>625702</v>
      </c>
      <c r="J242" s="31" t="inlineStr">
        <is>
          <t>500550</t>
        </is>
      </c>
    </row>
    <row r="243">
      <c r="A243" s="31" t="inlineStr">
        <is>
          <t>STYLEBAAZA</t>
        </is>
      </c>
      <c r="B243" s="31" t="inlineStr">
        <is>
          <t>Baazar Style Retail Ltd</t>
        </is>
      </c>
      <c r="C243" s="31" t="inlineStr">
        <is>
          <t>consumer discretionary</t>
        </is>
      </c>
      <c r="D243" s="31" t="inlineStr">
        <is>
          <t>trading</t>
        </is>
      </c>
      <c r="E243" s="31" t="inlineStr">
        <is>
          <t>smallcap</t>
        </is>
      </c>
      <c r="F243" s="31" t="n">
        <v>3020.34</v>
      </c>
      <c r="G243" s="31" t="n">
        <v>394.5</v>
      </c>
      <c r="H243" s="31" t="n">
        <v>-0.58</v>
      </c>
      <c r="I243" s="31" t="n">
        <v>4017803</v>
      </c>
      <c r="J243" s="31" t="inlineStr">
        <is>
          <t>544243</t>
        </is>
      </c>
    </row>
    <row r="244">
      <c r="A244" s="31" t="inlineStr">
        <is>
          <t>SONACOMS</t>
        </is>
      </c>
      <c r="B244" s="31" t="inlineStr">
        <is>
          <t>Sona BLW Precision Forgings Ltd</t>
        </is>
      </c>
      <c r="C244" s="31" t="inlineStr">
        <is>
          <t>auto</t>
        </is>
      </c>
      <c r="D244" s="31" t="inlineStr">
        <is>
          <t>auto ancillaries</t>
        </is>
      </c>
      <c r="E244" s="31" t="inlineStr">
        <is>
          <t>largecap</t>
        </is>
      </c>
      <c r="F244" s="31" t="n">
        <v>50602.53</v>
      </c>
      <c r="G244" s="31" t="n">
        <v>808.8</v>
      </c>
      <c r="H244" s="31" t="n">
        <v>-0.58</v>
      </c>
      <c r="I244" s="31" t="n">
        <v>1445847</v>
      </c>
      <c r="J244" s="31" t="inlineStr">
        <is>
          <t>543300</t>
        </is>
      </c>
    </row>
    <row r="245">
      <c r="A245" s="31" t="inlineStr">
        <is>
          <t>INDIGOPNTS</t>
        </is>
      </c>
      <c r="B245" s="31" t="inlineStr">
        <is>
          <t>Indigo Paints Ltd</t>
        </is>
      </c>
      <c r="C245" s="31" t="inlineStr">
        <is>
          <t>building materials</t>
        </is>
      </c>
      <c r="D245" s="31" t="inlineStr">
        <is>
          <t>paints / varnishes</t>
        </is>
      </c>
      <c r="E245" s="31" t="inlineStr">
        <is>
          <t>midcap</t>
        </is>
      </c>
      <c r="F245" s="31" t="n">
        <v>5446.94</v>
      </c>
      <c r="G245" s="31" t="n">
        <v>1135.9</v>
      </c>
      <c r="H245" s="31" t="n">
        <v>-0.58</v>
      </c>
      <c r="I245" s="31" t="n">
        <v>47394</v>
      </c>
      <c r="J245" s="31" t="inlineStr">
        <is>
          <t>543258</t>
        </is>
      </c>
    </row>
    <row r="246">
      <c r="A246" s="31" t="inlineStr">
        <is>
          <t>DHAMPURSUG</t>
        </is>
      </c>
      <c r="B246" s="31" t="inlineStr">
        <is>
          <t>Dhampur Sugar Mills Limited</t>
        </is>
      </c>
      <c r="C246" s="31" t="inlineStr">
        <is>
          <t>fmcg</t>
        </is>
      </c>
      <c r="D246" s="31" t="inlineStr">
        <is>
          <t>sugar</t>
        </is>
      </c>
      <c r="E246" s="31" t="inlineStr">
        <is>
          <t>smallcap</t>
        </is>
      </c>
      <c r="F246" s="31" t="n">
        <v>1162.6</v>
      </c>
      <c r="G246" s="31" t="n">
        <v>179.72</v>
      </c>
      <c r="H246" s="31" t="n">
        <v>-0.59</v>
      </c>
      <c r="I246" s="31" t="n">
        <v>1928080</v>
      </c>
      <c r="J246" s="31" t="inlineStr">
        <is>
          <t>500119</t>
        </is>
      </c>
    </row>
    <row r="247">
      <c r="A247" s="31" t="inlineStr">
        <is>
          <t>BDL</t>
        </is>
      </c>
      <c r="B247" s="31" t="inlineStr">
        <is>
          <t>Bharat Dynamics Ltd</t>
        </is>
      </c>
      <c r="C247" s="31" t="inlineStr">
        <is>
          <t>aerospace &amp; defence</t>
        </is>
      </c>
      <c r="D247" s="31" t="inlineStr">
        <is>
          <t>engineering</t>
        </is>
      </c>
      <c r="E247" s="31" t="inlineStr">
        <is>
          <t>largecap</t>
        </is>
      </c>
      <c r="F247" s="31" t="n">
        <v>50145.75</v>
      </c>
      <c r="G247" s="31" t="n">
        <v>1359.9</v>
      </c>
      <c r="H247" s="31" t="n">
        <v>-0.59</v>
      </c>
      <c r="I247" s="31" t="n">
        <v>2163624</v>
      </c>
      <c r="J247" s="31" t="inlineStr">
        <is>
          <t>541143</t>
        </is>
      </c>
    </row>
    <row r="248">
      <c r="A248" s="31" t="inlineStr">
        <is>
          <t>JAYAGROGN</t>
        </is>
      </c>
      <c r="B248" s="31" t="inlineStr">
        <is>
          <t>Jayant Agro Organics Limited</t>
        </is>
      </c>
      <c r="C248" s="31" t="inlineStr">
        <is>
          <t>chemicals</t>
        </is>
      </c>
      <c r="D248" s="31" t="inlineStr">
        <is>
          <t>chemicals</t>
        </is>
      </c>
      <c r="E248" s="31" t="inlineStr">
        <is>
          <t>smallcap</t>
        </is>
      </c>
      <c r="F248" s="31" t="n">
        <v>685.89</v>
      </c>
      <c r="G248" s="31" t="n">
        <v>227.26</v>
      </c>
      <c r="H248" s="31" t="n">
        <v>-0.6</v>
      </c>
      <c r="I248" s="31" t="n">
        <v>32557</v>
      </c>
      <c r="J248" s="31" t="inlineStr">
        <is>
          <t>524330</t>
        </is>
      </c>
    </row>
    <row r="249">
      <c r="A249" s="31" t="inlineStr">
        <is>
          <t>SOLARINDS</t>
        </is>
      </c>
      <c r="B249" s="31" t="inlineStr">
        <is>
          <t>Solar Industries India Limited</t>
        </is>
      </c>
      <c r="C249" s="31" t="inlineStr">
        <is>
          <t>aerospace &amp; defence</t>
        </is>
      </c>
      <c r="D249" s="31" t="inlineStr">
        <is>
          <t>chemicals</t>
        </is>
      </c>
      <c r="E249" s="31" t="inlineStr">
        <is>
          <t>largecap</t>
        </is>
      </c>
      <c r="F249" s="31" t="n">
        <v>180301.43</v>
      </c>
      <c r="G249" s="31" t="n">
        <v>19800</v>
      </c>
      <c r="H249" s="31" t="n">
        <v>-0.63</v>
      </c>
      <c r="I249" s="31" t="n">
        <v>58372</v>
      </c>
      <c r="J249" s="31" t="inlineStr">
        <is>
          <t>532725</t>
        </is>
      </c>
    </row>
    <row r="250">
      <c r="A250" s="31" t="inlineStr">
        <is>
          <t>KMEW</t>
        </is>
      </c>
      <c r="B250" s="31" t="inlineStr">
        <is>
          <t>Knowledge Marine &amp; Engineering Works Ltd</t>
        </is>
      </c>
      <c r="C250" s="31" t="inlineStr">
        <is>
          <t>transportation</t>
        </is>
      </c>
      <c r="D250" s="31" t="inlineStr">
        <is>
          <t>miscellaneous</t>
        </is>
      </c>
      <c r="E250" s="31" t="inlineStr">
        <is>
          <t>midcap</t>
        </is>
      </c>
      <c r="F250" s="31" t="n">
        <v>6630.95</v>
      </c>
      <c r="G250" s="31" t="n">
        <v>2695.5</v>
      </c>
      <c r="H250" s="31" t="n">
        <v>-0.63</v>
      </c>
      <c r="I250" s="31" t="n">
        <v>53130</v>
      </c>
      <c r="J250" s="31" t="inlineStr">
        <is>
          <t>543273</t>
        </is>
      </c>
    </row>
    <row r="251">
      <c r="A251" s="31" t="inlineStr">
        <is>
          <t>JTLIND</t>
        </is>
      </c>
      <c r="B251" s="31" t="inlineStr">
        <is>
          <t>JTL Industries Ltd</t>
        </is>
      </c>
      <c r="C251" s="31" t="inlineStr">
        <is>
          <t>metals &amp; mining</t>
        </is>
      </c>
      <c r="D251" s="31" t="inlineStr">
        <is>
          <t>steel - medium / small</t>
        </is>
      </c>
      <c r="E251" s="31" t="inlineStr">
        <is>
          <t>smallcap</t>
        </is>
      </c>
      <c r="F251" s="31" t="n">
        <v>3125.79</v>
      </c>
      <c r="G251" s="31" t="n">
        <v>79</v>
      </c>
      <c r="H251" s="31" t="n">
        <v>-0.65</v>
      </c>
      <c r="I251" s="31" t="n">
        <v>1003406</v>
      </c>
      <c r="J251" s="31" t="inlineStr">
        <is>
          <t>534600</t>
        </is>
      </c>
    </row>
    <row r="252">
      <c r="A252" s="31" t="inlineStr">
        <is>
          <t>TCPLPACK</t>
        </is>
      </c>
      <c r="B252" s="31" t="inlineStr">
        <is>
          <t>TCPL Packaging Ltd</t>
        </is>
      </c>
      <c r="C252" s="31" t="inlineStr">
        <is>
          <t>industrials</t>
        </is>
      </c>
      <c r="D252" s="31" t="inlineStr">
        <is>
          <t>packaging</t>
        </is>
      </c>
      <c r="E252" s="31" t="inlineStr">
        <is>
          <t>smallcap</t>
        </is>
      </c>
      <c r="F252" s="31" t="n">
        <v>3614.52</v>
      </c>
      <c r="G252" s="31" t="n">
        <v>3946.2</v>
      </c>
      <c r="H252" s="31" t="n">
        <v>-0.65</v>
      </c>
      <c r="I252" s="31" t="n">
        <v>8097</v>
      </c>
      <c r="J252" s="31" t="inlineStr">
        <is>
          <t>523301</t>
        </is>
      </c>
    </row>
    <row r="253">
      <c r="A253" s="31" t="inlineStr">
        <is>
          <t>ASAHIINDIA</t>
        </is>
      </c>
      <c r="B253" s="31" t="inlineStr">
        <is>
          <t>Asahi India Glass Limited</t>
        </is>
      </c>
      <c r="C253" s="31" t="inlineStr">
        <is>
          <t>building materials</t>
        </is>
      </c>
      <c r="D253" s="31" t="inlineStr">
        <is>
          <t>glass &amp; glass products</t>
        </is>
      </c>
      <c r="E253" s="31" t="inlineStr">
        <is>
          <t>largecap</t>
        </is>
      </c>
      <c r="F253" s="31" t="n">
        <v>24527.82</v>
      </c>
      <c r="G253" s="31" t="n">
        <v>955.9</v>
      </c>
      <c r="H253" s="31" t="n">
        <v>-0.65</v>
      </c>
      <c r="I253" s="31" t="n">
        <v>130807</v>
      </c>
      <c r="J253" s="31" t="inlineStr">
        <is>
          <t>515030</t>
        </is>
      </c>
    </row>
    <row r="254">
      <c r="A254" s="31" t="inlineStr">
        <is>
          <t>TI</t>
        </is>
      </c>
      <c r="B254" s="31" t="inlineStr">
        <is>
          <t>Tilaknagar Industries Limited</t>
        </is>
      </c>
      <c r="C254" s="31" t="inlineStr">
        <is>
          <t>fmcg</t>
        </is>
      </c>
      <c r="D254" s="31" t="inlineStr">
        <is>
          <t>breweries &amp; distilleries</t>
        </is>
      </c>
      <c r="E254" s="31" t="inlineStr">
        <is>
          <t>midcap</t>
        </is>
      </c>
      <c r="F254" s="31" t="n">
        <v>14318.84</v>
      </c>
      <c r="G254" s="31" t="n">
        <v>574.7</v>
      </c>
      <c r="H254" s="31" t="n">
        <v>-0.67</v>
      </c>
      <c r="I254" s="31" t="n">
        <v>1337194</v>
      </c>
      <c r="J254" s="31" t="inlineStr">
        <is>
          <t>507205</t>
        </is>
      </c>
    </row>
    <row r="255">
      <c r="A255" s="31" t="inlineStr">
        <is>
          <t>PERSISTENT</t>
        </is>
      </c>
      <c r="B255" s="31" t="inlineStr">
        <is>
          <t>Persistent Systems Limited</t>
        </is>
      </c>
      <c r="C255" s="31" t="inlineStr">
        <is>
          <t>i.t</t>
        </is>
      </c>
      <c r="D255" s="31" t="inlineStr">
        <is>
          <t>computers - software - large</t>
        </is>
      </c>
      <c r="E255" s="31" t="inlineStr">
        <is>
          <t>largecap</t>
        </is>
      </c>
      <c r="F255" s="31" t="n">
        <v>89822.85000000001</v>
      </c>
      <c r="G255" s="31" t="n">
        <v>5655</v>
      </c>
      <c r="H255" s="31" t="n">
        <v>-0.68</v>
      </c>
      <c r="I255" s="31" t="n">
        <v>355250</v>
      </c>
      <c r="J255" s="31" t="inlineStr">
        <is>
          <t>533179</t>
        </is>
      </c>
    </row>
    <row r="256">
      <c r="A256" s="31" t="inlineStr">
        <is>
          <t>WINDMACHIN</t>
        </is>
      </c>
      <c r="B256" s="31" t="inlineStr">
        <is>
          <t>Windsor Machines Limited</t>
        </is>
      </c>
      <c r="C256" s="31" t="inlineStr">
        <is>
          <t>industrials</t>
        </is>
      </c>
      <c r="D256" s="31" t="inlineStr">
        <is>
          <t>engineering</t>
        </is>
      </c>
      <c r="E256" s="31" t="inlineStr">
        <is>
          <t>smallcap</t>
        </is>
      </c>
      <c r="F256" s="31" t="n">
        <v>3226.27</v>
      </c>
      <c r="G256" s="31" t="n">
        <v>315</v>
      </c>
      <c r="H256" s="31" t="n">
        <v>-0.68</v>
      </c>
      <c r="I256" s="31" t="n">
        <v>110497</v>
      </c>
      <c r="J256" s="31" t="inlineStr">
        <is>
          <t>522029</t>
        </is>
      </c>
    </row>
    <row r="257">
      <c r="A257" s="31" t="inlineStr">
        <is>
          <t>HINDALCO</t>
        </is>
      </c>
      <c r="B257" s="31" t="inlineStr">
        <is>
          <t>Hindalco Industries Limited</t>
        </is>
      </c>
      <c r="C257" s="31" t="inlineStr">
        <is>
          <t>metals &amp; mining</t>
        </is>
      </c>
      <c r="D257" s="31" t="inlineStr">
        <is>
          <t>aluminium and aluminium products</t>
        </is>
      </c>
      <c r="E257" s="31" t="inlineStr">
        <is>
          <t>largecap</t>
        </is>
      </c>
      <c r="F257" s="31" t="n">
        <v>237868.93</v>
      </c>
      <c r="G257" s="31" t="n">
        <v>1051.05</v>
      </c>
      <c r="H257" s="31" t="n">
        <v>-0.7</v>
      </c>
      <c r="I257" s="31" t="n">
        <v>3388306</v>
      </c>
      <c r="J257" s="31" t="inlineStr">
        <is>
          <t>500440</t>
        </is>
      </c>
    </row>
    <row r="258">
      <c r="A258" s="31" t="inlineStr">
        <is>
          <t>GLOBAL</t>
        </is>
      </c>
      <c r="B258" s="31" t="inlineStr">
        <is>
          <t>Global Education Ltd</t>
        </is>
      </c>
      <c r="C258" s="31" t="inlineStr">
        <is>
          <t>services</t>
        </is>
      </c>
      <c r="D258" s="31" t="inlineStr">
        <is>
          <t>miscellaneous</t>
        </is>
      </c>
      <c r="E258" s="31" t="inlineStr">
        <is>
          <t>smallcap</t>
        </is>
      </c>
      <c r="F258" s="31" t="n">
        <v>547.1900000000001</v>
      </c>
      <c r="G258" s="31" t="n">
        <v>106.71</v>
      </c>
      <c r="H258" s="31" t="n">
        <v>-0.73</v>
      </c>
      <c r="I258" s="31" t="n">
        <v>386832</v>
      </c>
      <c r="J258" s="31" t="inlineStr">
        <is>
          <t>538406</t>
        </is>
      </c>
    </row>
    <row r="259">
      <c r="A259" s="31" t="inlineStr">
        <is>
          <t>STEL</t>
        </is>
      </c>
      <c r="B259" s="31" t="inlineStr">
        <is>
          <t>Stel Holdings Limited</t>
        </is>
      </c>
      <c r="C259" s="31" t="inlineStr">
        <is>
          <t>financials</t>
        </is>
      </c>
      <c r="D259" s="31" t="inlineStr">
        <is>
          <t>finance &amp; investments</t>
        </is>
      </c>
      <c r="E259" s="31" t="inlineStr">
        <is>
          <t>smallcap</t>
        </is>
      </c>
      <c r="F259" s="31" t="n">
        <v>1139.81</v>
      </c>
      <c r="G259" s="31" t="n">
        <v>613</v>
      </c>
      <c r="H259" s="31" t="n">
        <v>-0.74</v>
      </c>
      <c r="I259" s="31" t="n">
        <v>1648</v>
      </c>
      <c r="J259" s="31" t="n"/>
    </row>
    <row r="260">
      <c r="A260" s="31" t="inlineStr">
        <is>
          <t>BIRLACABLE</t>
        </is>
      </c>
      <c r="B260" s="31" t="inlineStr">
        <is>
          <t>Birla Cable Limited</t>
        </is>
      </c>
      <c r="C260" s="31" t="inlineStr">
        <is>
          <t>industrials</t>
        </is>
      </c>
      <c r="D260" s="31" t="inlineStr">
        <is>
          <t>cables - telephone</t>
        </is>
      </c>
      <c r="E260" s="31" t="inlineStr">
        <is>
          <t>smallcap</t>
        </is>
      </c>
      <c r="F260" s="31" t="n">
        <v>813</v>
      </c>
      <c r="G260" s="31" t="n">
        <v>268.9</v>
      </c>
      <c r="H260" s="31" t="n">
        <v>-0.77</v>
      </c>
      <c r="I260" s="31" t="n">
        <v>68681</v>
      </c>
      <c r="J260" s="31" t="inlineStr">
        <is>
          <t>500060</t>
        </is>
      </c>
    </row>
    <row r="261">
      <c r="A261" s="31" t="inlineStr">
        <is>
          <t>CHENNPETRO</t>
        </is>
      </c>
      <c r="B261" s="31" t="inlineStr">
        <is>
          <t>Chennai Petroleum Corporation Limited</t>
        </is>
      </c>
      <c r="C261" s="31" t="inlineStr">
        <is>
          <t>energy</t>
        </is>
      </c>
      <c r="D261" s="31" t="inlineStr">
        <is>
          <t>refineries</t>
        </is>
      </c>
      <c r="E261" s="31" t="inlineStr">
        <is>
          <t>largecap</t>
        </is>
      </c>
      <c r="F261" s="31" t="n">
        <v>21027.78</v>
      </c>
      <c r="G261" s="31" t="n">
        <v>1401.2</v>
      </c>
      <c r="H261" s="31" t="n">
        <v>-0.77</v>
      </c>
      <c r="I261" s="31" t="n">
        <v>856951</v>
      </c>
      <c r="J261" s="31" t="inlineStr">
        <is>
          <t>500110</t>
        </is>
      </c>
    </row>
    <row r="262">
      <c r="A262" s="31" t="inlineStr">
        <is>
          <t>AARTIIND</t>
        </is>
      </c>
      <c r="B262" s="31" t="inlineStr">
        <is>
          <t>Aarti Industries Limited</t>
        </is>
      </c>
      <c r="C262" s="31" t="inlineStr">
        <is>
          <t>chemicals</t>
        </is>
      </c>
      <c r="D262" s="31" t="inlineStr">
        <is>
          <t>chemicals</t>
        </is>
      </c>
      <c r="E262" s="31" t="inlineStr">
        <is>
          <t>midcap</t>
        </is>
      </c>
      <c r="F262" s="31" t="n">
        <v>19701.5</v>
      </c>
      <c r="G262" s="31" t="n">
        <v>538.9</v>
      </c>
      <c r="H262" s="31" t="n">
        <v>-0.78</v>
      </c>
      <c r="I262" s="31" t="n">
        <v>1525331</v>
      </c>
      <c r="J262" s="31" t="inlineStr">
        <is>
          <t>524208</t>
        </is>
      </c>
    </row>
    <row r="263">
      <c r="A263" s="31" t="inlineStr">
        <is>
          <t>GULFOILLUB</t>
        </is>
      </c>
      <c r="B263" s="31" t="inlineStr">
        <is>
          <t>Gulf Oil Lubricants India Limited</t>
        </is>
      </c>
      <c r="C263" s="31" t="inlineStr">
        <is>
          <t>chemicals</t>
        </is>
      </c>
      <c r="D263" s="31" t="inlineStr">
        <is>
          <t>chemicals</t>
        </is>
      </c>
      <c r="E263" s="31" t="inlineStr">
        <is>
          <t>midcap</t>
        </is>
      </c>
      <c r="F263" s="31" t="n">
        <v>5764.25</v>
      </c>
      <c r="G263" s="31" t="n">
        <v>1155</v>
      </c>
      <c r="H263" s="31" t="n">
        <v>-0.78</v>
      </c>
      <c r="I263" s="31" t="n">
        <v>95795</v>
      </c>
      <c r="J263" s="31" t="inlineStr">
        <is>
          <t>538567</t>
        </is>
      </c>
    </row>
    <row r="264">
      <c r="A264" s="31" t="inlineStr">
        <is>
          <t>GANESHBE</t>
        </is>
      </c>
      <c r="B264" s="31" t="inlineStr">
        <is>
          <t>Ganesh Benzoplast Ltd</t>
        </is>
      </c>
      <c r="C264" s="31" t="inlineStr">
        <is>
          <t>miscellaneous</t>
        </is>
      </c>
      <c r="D264" s="31" t="inlineStr">
        <is>
          <t>miscellaneous</t>
        </is>
      </c>
      <c r="E264" s="31" t="inlineStr">
        <is>
          <t>smallcap</t>
        </is>
      </c>
      <c r="F264" s="31" t="n">
        <v>878.13</v>
      </c>
      <c r="G264" s="31" t="n">
        <v>121</v>
      </c>
      <c r="H264" s="31" t="n">
        <v>-0.8</v>
      </c>
      <c r="I264" s="31" t="n">
        <v>109580</v>
      </c>
      <c r="J264" s="31" t="inlineStr">
        <is>
          <t>500153</t>
        </is>
      </c>
    </row>
    <row r="265">
      <c r="A265" s="31" t="inlineStr">
        <is>
          <t>GNFC</t>
        </is>
      </c>
      <c r="B265" s="31" t="inlineStr">
        <is>
          <t>Gujarat Narmada Valley Fertilizers And Chemicals Limited</t>
        </is>
      </c>
      <c r="C265" s="31" t="inlineStr">
        <is>
          <t>chemicals</t>
        </is>
      </c>
      <c r="D265" s="31" t="inlineStr">
        <is>
          <t>chemicals</t>
        </is>
      </c>
      <c r="E265" s="31" t="inlineStr">
        <is>
          <t>midcap</t>
        </is>
      </c>
      <c r="F265" s="31" t="n">
        <v>8713.58</v>
      </c>
      <c r="G265" s="31" t="n">
        <v>588</v>
      </c>
      <c r="H265" s="31" t="n">
        <v>-0.84</v>
      </c>
      <c r="I265" s="31" t="n">
        <v>770629</v>
      </c>
      <c r="J265" s="31" t="inlineStr">
        <is>
          <t>500670</t>
        </is>
      </c>
    </row>
    <row r="266">
      <c r="A266" s="31" t="inlineStr">
        <is>
          <t>ALIVUS</t>
        </is>
      </c>
      <c r="B266" s="31" t="inlineStr">
        <is>
          <t>Alivus Life Sciences Ltd</t>
        </is>
      </c>
      <c r="C266" s="31" t="inlineStr">
        <is>
          <t>healthcare</t>
        </is>
      </c>
      <c r="D266" s="31" t="inlineStr">
        <is>
          <t>pharmaceuticals - indian - bulk drugs &amp; formln</t>
        </is>
      </c>
      <c r="E266" s="31" t="inlineStr">
        <is>
          <t>midcap</t>
        </is>
      </c>
      <c r="F266" s="31" t="n">
        <v>16767.01</v>
      </c>
      <c r="G266" s="31" t="n">
        <v>1354.3</v>
      </c>
      <c r="H266" s="31" t="n">
        <v>-0.86</v>
      </c>
      <c r="I266" s="31" t="n">
        <v>37075</v>
      </c>
      <c r="J266" s="31" t="inlineStr">
        <is>
          <t>543322</t>
        </is>
      </c>
    </row>
    <row r="267">
      <c r="A267" s="31" t="inlineStr">
        <is>
          <t>DLF</t>
        </is>
      </c>
      <c r="B267" s="31" t="inlineStr">
        <is>
          <t>Dlf Limited</t>
        </is>
      </c>
      <c r="C267" s="31" t="inlineStr">
        <is>
          <t>realty</t>
        </is>
      </c>
      <c r="D267" s="31" t="inlineStr">
        <is>
          <t>construction</t>
        </is>
      </c>
      <c r="E267" s="31" t="inlineStr">
        <is>
          <t>largecap</t>
        </is>
      </c>
      <c r="F267" s="31" t="n">
        <v>170548.98</v>
      </c>
      <c r="G267" s="31" t="n">
        <v>682.95</v>
      </c>
      <c r="H267" s="31" t="n">
        <v>-0.88</v>
      </c>
      <c r="I267" s="31" t="n">
        <v>2232717</v>
      </c>
      <c r="J267" s="31" t="inlineStr">
        <is>
          <t>532868</t>
        </is>
      </c>
    </row>
    <row r="268">
      <c r="A268" s="31" t="inlineStr">
        <is>
          <t>WSTCSTPAPR</t>
        </is>
      </c>
      <c r="B268" s="31" t="inlineStr">
        <is>
          <t>West Coast Paper Mills Limited</t>
        </is>
      </c>
      <c r="C268" s="31" t="inlineStr">
        <is>
          <t>building materials</t>
        </is>
      </c>
      <c r="D268" s="31" t="inlineStr">
        <is>
          <t>paper</t>
        </is>
      </c>
      <c r="E268" s="31" t="inlineStr">
        <is>
          <t>smallcap</t>
        </is>
      </c>
      <c r="F268" s="31" t="n">
        <v>4051.77</v>
      </c>
      <c r="G268" s="31" t="n">
        <v>608</v>
      </c>
      <c r="H268" s="31" t="n">
        <v>-0.89</v>
      </c>
      <c r="I268" s="31" t="n">
        <v>140358</v>
      </c>
      <c r="J268" s="31" t="inlineStr">
        <is>
          <t>500444</t>
        </is>
      </c>
    </row>
    <row r="269">
      <c r="A269" s="31" t="inlineStr">
        <is>
          <t>ORIENTBELL</t>
        </is>
      </c>
      <c r="B269" s="31" t="inlineStr">
        <is>
          <t>Orient Bell Limited</t>
        </is>
      </c>
      <c r="C269" s="31" t="inlineStr">
        <is>
          <t>building materials</t>
        </is>
      </c>
      <c r="D269" s="31" t="inlineStr">
        <is>
          <t>ceramics - tiles / sanitaryware</t>
        </is>
      </c>
      <c r="E269" s="31" t="inlineStr">
        <is>
          <t>smallcap</t>
        </is>
      </c>
      <c r="F269" s="31" t="n">
        <v>558.5599999999999</v>
      </c>
      <c r="G269" s="31" t="n">
        <v>376.25</v>
      </c>
      <c r="H269" s="31" t="n">
        <v>-0.91</v>
      </c>
      <c r="I269" s="31" t="n">
        <v>23116</v>
      </c>
      <c r="J269" s="31" t="inlineStr">
        <is>
          <t>530365</t>
        </is>
      </c>
    </row>
    <row r="270">
      <c r="A270" s="31" t="inlineStr">
        <is>
          <t>TASTYBITE</t>
        </is>
      </c>
      <c r="B270" s="31" t="inlineStr">
        <is>
          <t>Tasty Bite Eatables Ltd</t>
        </is>
      </c>
      <c r="C270" s="31" t="inlineStr">
        <is>
          <t>fmcg</t>
        </is>
      </c>
      <c r="D270" s="31" t="inlineStr">
        <is>
          <t>food - processing - indian</t>
        </is>
      </c>
      <c r="E270" s="31" t="inlineStr">
        <is>
          <t>smallcap</t>
        </is>
      </c>
      <c r="F270" s="31" t="n">
        <v>2593.97</v>
      </c>
      <c r="G270" s="31" t="n">
        <v>10017.5</v>
      </c>
      <c r="H270" s="31" t="n">
        <v>-0.91</v>
      </c>
      <c r="I270" s="31" t="n">
        <v>3906</v>
      </c>
      <c r="J270" s="31" t="inlineStr">
        <is>
          <t>519091</t>
        </is>
      </c>
    </row>
    <row r="271">
      <c r="A271" s="31" t="inlineStr">
        <is>
          <t>DOLPHIN</t>
        </is>
      </c>
      <c r="B271" s="31" t="inlineStr">
        <is>
          <t>Dolphin Offshore Enterprises (India) Ltd</t>
        </is>
      </c>
      <c r="C271" s="31" t="inlineStr">
        <is>
          <t>energy</t>
        </is>
      </c>
      <c r="D271" s="31" t="inlineStr">
        <is>
          <t>oil drilling / allied services</t>
        </is>
      </c>
      <c r="E271" s="31" t="inlineStr">
        <is>
          <t>smallcap</t>
        </is>
      </c>
      <c r="F271" s="31" t="n">
        <v>2466.08</v>
      </c>
      <c r="G271" s="31" t="n">
        <v>610.8</v>
      </c>
      <c r="H271" s="31" t="n">
        <v>-0.92</v>
      </c>
      <c r="I271" s="31" t="n">
        <v>31289</v>
      </c>
      <c r="J271" s="31" t="inlineStr">
        <is>
          <t>522261</t>
        </is>
      </c>
    </row>
    <row r="272">
      <c r="A272" s="31" t="inlineStr">
        <is>
          <t>SUNDRMFAST</t>
        </is>
      </c>
      <c r="B272" s="31" t="inlineStr">
        <is>
          <t>Sundram Fasteners Limited</t>
        </is>
      </c>
      <c r="C272" s="31" t="inlineStr">
        <is>
          <t>auto</t>
        </is>
      </c>
      <c r="D272" s="31" t="inlineStr">
        <is>
          <t>auto ancillaries</t>
        </is>
      </c>
      <c r="E272" s="31" t="inlineStr">
        <is>
          <t>largecap</t>
        </is>
      </c>
      <c r="F272" s="31" t="n">
        <v>25619.9</v>
      </c>
      <c r="G272" s="31" t="n">
        <v>1208</v>
      </c>
      <c r="H272" s="31" t="n">
        <v>-0.92</v>
      </c>
      <c r="I272" s="31" t="n">
        <v>207904</v>
      </c>
      <c r="J272" s="31" t="inlineStr">
        <is>
          <t>500403</t>
        </is>
      </c>
    </row>
    <row r="273">
      <c r="A273" s="31" t="inlineStr">
        <is>
          <t>MANINDS</t>
        </is>
      </c>
      <c r="B273" s="31" t="inlineStr">
        <is>
          <t>Man Industries (india) Limited</t>
        </is>
      </c>
      <c r="C273" s="31" t="inlineStr">
        <is>
          <t>metals &amp; mining</t>
        </is>
      </c>
      <c r="D273" s="31" t="inlineStr">
        <is>
          <t>steel - medium / small</t>
        </is>
      </c>
      <c r="E273" s="31" t="inlineStr">
        <is>
          <t>midcap</t>
        </is>
      </c>
      <c r="F273" s="31" t="n">
        <v>5386.44</v>
      </c>
      <c r="G273" s="31" t="n">
        <v>711.5</v>
      </c>
      <c r="H273" s="31" t="n">
        <v>-0.92</v>
      </c>
      <c r="I273" s="31" t="n">
        <v>558303</v>
      </c>
      <c r="J273" s="31" t="inlineStr">
        <is>
          <t>513269</t>
        </is>
      </c>
    </row>
    <row r="274">
      <c r="A274" s="31" t="inlineStr">
        <is>
          <t>BLSE</t>
        </is>
      </c>
      <c r="B274" s="31" t="inlineStr">
        <is>
          <t>BLS E-Services Ltd</t>
        </is>
      </c>
      <c r="C274" s="31" t="inlineStr">
        <is>
          <t>i.t</t>
        </is>
      </c>
      <c r="D274" s="31" t="inlineStr">
        <is>
          <t>computers - software - medium / small</t>
        </is>
      </c>
      <c r="E274" s="31" t="inlineStr">
        <is>
          <t>smallcap</t>
        </is>
      </c>
      <c r="F274" s="31" t="n">
        <v>2861.98</v>
      </c>
      <c r="G274" s="31" t="n">
        <v>312.1</v>
      </c>
      <c r="H274" s="31" t="n">
        <v>-0.92</v>
      </c>
      <c r="I274" s="31" t="n">
        <v>277539</v>
      </c>
      <c r="J274" s="31" t="inlineStr">
        <is>
          <t>544107</t>
        </is>
      </c>
    </row>
    <row r="275">
      <c r="A275" s="31" t="inlineStr">
        <is>
          <t>MMFL</t>
        </is>
      </c>
      <c r="B275" s="31" t="inlineStr">
        <is>
          <t>Mm Forgings Limited</t>
        </is>
      </c>
      <c r="C275" s="31" t="inlineStr">
        <is>
          <t>industrials</t>
        </is>
      </c>
      <c r="D275" s="31" t="inlineStr">
        <is>
          <t>castings &amp; forgings</t>
        </is>
      </c>
      <c r="E275" s="31" t="inlineStr">
        <is>
          <t>smallcap</t>
        </is>
      </c>
      <c r="F275" s="31" t="n">
        <v>3069.74</v>
      </c>
      <c r="G275" s="31" t="n">
        <v>629.95</v>
      </c>
      <c r="H275" s="31" t="n">
        <v>-0.92</v>
      </c>
      <c r="I275" s="31" t="n">
        <v>77164</v>
      </c>
      <c r="J275" s="31" t="inlineStr">
        <is>
          <t>522241</t>
        </is>
      </c>
    </row>
    <row r="276">
      <c r="A276" s="31" t="inlineStr">
        <is>
          <t>GNA</t>
        </is>
      </c>
      <c r="B276" s="31" t="inlineStr">
        <is>
          <t>Gna Axles Limited</t>
        </is>
      </c>
      <c r="C276" s="31" t="inlineStr">
        <is>
          <t>auto</t>
        </is>
      </c>
      <c r="D276" s="31" t="inlineStr">
        <is>
          <t>auto ancillaries</t>
        </is>
      </c>
      <c r="E276" s="31" t="inlineStr">
        <is>
          <t>smallcap</t>
        </is>
      </c>
      <c r="F276" s="31" t="n">
        <v>2384.38</v>
      </c>
      <c r="G276" s="31" t="n">
        <v>550.25</v>
      </c>
      <c r="H276" s="31" t="n">
        <v>-0.93</v>
      </c>
      <c r="I276" s="31" t="n">
        <v>231083</v>
      </c>
      <c r="J276" s="31" t="inlineStr">
        <is>
          <t>540124</t>
        </is>
      </c>
    </row>
    <row r="277">
      <c r="A277" s="31" t="inlineStr">
        <is>
          <t>EIMCOELECO</t>
        </is>
      </c>
      <c r="B277" s="31" t="inlineStr">
        <is>
          <t>Eimco Elecon (india) Limited</t>
        </is>
      </c>
      <c r="C277" s="31" t="inlineStr">
        <is>
          <t>industrials</t>
        </is>
      </c>
      <c r="D277" s="31" t="inlineStr">
        <is>
          <t>engineering</t>
        </is>
      </c>
      <c r="E277" s="31" t="inlineStr">
        <is>
          <t>smallcap</t>
        </is>
      </c>
      <c r="F277" s="31" t="n">
        <v>1295.46</v>
      </c>
      <c r="G277" s="31" t="n">
        <v>2225</v>
      </c>
      <c r="H277" s="31" t="n">
        <v>-0.93</v>
      </c>
      <c r="I277" s="31" t="n">
        <v>103248</v>
      </c>
      <c r="J277" s="31" t="inlineStr">
        <is>
          <t>523708</t>
        </is>
      </c>
    </row>
    <row r="278">
      <c r="A278" s="31" t="inlineStr">
        <is>
          <t>ATHERENERG</t>
        </is>
      </c>
      <c r="B278" s="31" t="inlineStr">
        <is>
          <t>Ather Energy Ltd</t>
        </is>
      </c>
      <c r="C278" s="31" t="inlineStr">
        <is>
          <t>auto</t>
        </is>
      </c>
      <c r="D278" s="31" t="inlineStr">
        <is>
          <t>automobiles - scooters and 3 - wheelers</t>
        </is>
      </c>
      <c r="E278" s="31" t="inlineStr">
        <is>
          <t>largecap</t>
        </is>
      </c>
      <c r="F278" s="31" t="n">
        <v>57270.35</v>
      </c>
      <c r="G278" s="31" t="n">
        <v>1439.4</v>
      </c>
      <c r="H278" s="31" t="n">
        <v>-0.9399999999999999</v>
      </c>
      <c r="I278" s="31" t="n">
        <v>1305300</v>
      </c>
      <c r="J278" s="31" t="inlineStr">
        <is>
          <t>544397</t>
        </is>
      </c>
    </row>
    <row r="279">
      <c r="A279" s="31" t="inlineStr">
        <is>
          <t>AARTIPHARM</t>
        </is>
      </c>
      <c r="B279" s="31" t="inlineStr">
        <is>
          <t>Aarti Pharmalabs Ltd</t>
        </is>
      </c>
      <c r="C279" s="31" t="inlineStr">
        <is>
          <t>healthcare</t>
        </is>
      </c>
      <c r="D279" s="31" t="inlineStr">
        <is>
          <t>pharmaceuticals - indian - bulk drugs &amp; formln</t>
        </is>
      </c>
      <c r="E279" s="31" t="inlineStr">
        <is>
          <t>midcap</t>
        </is>
      </c>
      <c r="F279" s="31" t="n">
        <v>7645.67</v>
      </c>
      <c r="G279" s="31" t="n">
        <v>834.95</v>
      </c>
      <c r="H279" s="31" t="n">
        <v>-0.97</v>
      </c>
      <c r="I279" s="31" t="n">
        <v>534948</v>
      </c>
      <c r="J279" s="31" t="inlineStr">
        <is>
          <t>543748</t>
        </is>
      </c>
    </row>
    <row r="280">
      <c r="A280" s="31" t="inlineStr">
        <is>
          <t>ANTHEM</t>
        </is>
      </c>
      <c r="B280" s="31" t="inlineStr">
        <is>
          <t>Anthem Biosciences Ltd</t>
        </is>
      </c>
      <c r="C280" s="31" t="inlineStr">
        <is>
          <t>healthcare</t>
        </is>
      </c>
      <c r="D280" s="31" t="inlineStr">
        <is>
          <t>pharmaceuticals - indian - bulk drugs &amp; formln</t>
        </is>
      </c>
      <c r="E280" s="31" t="inlineStr">
        <is>
          <t>largecap</t>
        </is>
      </c>
      <c r="F280" s="31" t="n">
        <v>49766.59</v>
      </c>
      <c r="G280" s="31" t="n">
        <v>874.7</v>
      </c>
      <c r="H280" s="31" t="n">
        <v>-0.98</v>
      </c>
      <c r="I280" s="31" t="n">
        <v>364937</v>
      </c>
      <c r="J280" s="31" t="inlineStr">
        <is>
          <t>544449</t>
        </is>
      </c>
    </row>
    <row r="281">
      <c r="A281" s="31" t="inlineStr">
        <is>
          <t>BOSCH-HCIL</t>
        </is>
      </c>
      <c r="B281" s="31" t="inlineStr">
        <is>
          <t>Bosch Home Comfort India Ltd</t>
        </is>
      </c>
      <c r="C281" s="31" t="inlineStr">
        <is>
          <t>consumer discretionary</t>
        </is>
      </c>
      <c r="D281" s="31" t="inlineStr">
        <is>
          <t>air-conditioners</t>
        </is>
      </c>
      <c r="E281" s="31" t="inlineStr">
        <is>
          <t>smallcap</t>
        </is>
      </c>
      <c r="F281" s="31" t="n">
        <v>4572.96</v>
      </c>
      <c r="G281" s="31" t="n">
        <v>1665</v>
      </c>
      <c r="H281" s="31" t="n">
        <v>-1</v>
      </c>
      <c r="I281" s="31" t="n">
        <v>41182</v>
      </c>
      <c r="J281" s="31" t="inlineStr">
        <is>
          <t>523398</t>
        </is>
      </c>
    </row>
    <row r="282">
      <c r="A282" s="31" t="inlineStr">
        <is>
          <t>SJS</t>
        </is>
      </c>
      <c r="B282" s="31" t="inlineStr">
        <is>
          <t>S J S Enterprises Ltd</t>
        </is>
      </c>
      <c r="C282" s="31" t="inlineStr">
        <is>
          <t>auto</t>
        </is>
      </c>
      <c r="D282" s="31" t="inlineStr">
        <is>
          <t>plastics products</t>
        </is>
      </c>
      <c r="E282" s="31" t="inlineStr">
        <is>
          <t>midcap</t>
        </is>
      </c>
      <c r="F282" s="31" t="n">
        <v>8198.76</v>
      </c>
      <c r="G282" s="31" t="n">
        <v>2535</v>
      </c>
      <c r="H282" s="31" t="n">
        <v>-1.04</v>
      </c>
      <c r="I282" s="31" t="n">
        <v>162303</v>
      </c>
      <c r="J282" s="31" t="inlineStr">
        <is>
          <t>543387</t>
        </is>
      </c>
    </row>
    <row r="283">
      <c r="A283" s="31" t="inlineStr">
        <is>
          <t>HEROMOTOCO</t>
        </is>
      </c>
      <c r="B283" s="31" t="inlineStr">
        <is>
          <t>Hero Motocorp Limited</t>
        </is>
      </c>
      <c r="C283" s="31" t="inlineStr">
        <is>
          <t>auto</t>
        </is>
      </c>
      <c r="D283" s="31" t="inlineStr">
        <is>
          <t>automobiles - motorcycles / mopeds</t>
        </is>
      </c>
      <c r="E283" s="31" t="inlineStr">
        <is>
          <t>largecap</t>
        </is>
      </c>
      <c r="F283" s="31" t="n">
        <v>113752.84</v>
      </c>
      <c r="G283" s="31" t="n">
        <v>5624.5</v>
      </c>
      <c r="H283" s="31" t="n">
        <v>-1.06</v>
      </c>
      <c r="I283" s="31" t="n">
        <v>411263</v>
      </c>
      <c r="J283" s="31" t="inlineStr">
        <is>
          <t>500182</t>
        </is>
      </c>
    </row>
    <row r="284">
      <c r="A284" s="31" t="inlineStr">
        <is>
          <t>ACE</t>
        </is>
      </c>
      <c r="B284" s="31" t="inlineStr">
        <is>
          <t>Action Construction Equipment Limited</t>
        </is>
      </c>
      <c r="C284" s="31" t="inlineStr">
        <is>
          <t>industrials</t>
        </is>
      </c>
      <c r="D284" s="31" t="inlineStr">
        <is>
          <t>engineering</t>
        </is>
      </c>
      <c r="E284" s="31" t="inlineStr">
        <is>
          <t>midcap</t>
        </is>
      </c>
      <c r="F284" s="31" t="n">
        <v>13899.39</v>
      </c>
      <c r="G284" s="31" t="n">
        <v>1154.8</v>
      </c>
      <c r="H284" s="31" t="n">
        <v>-1.06</v>
      </c>
      <c r="I284" s="31" t="n">
        <v>240076</v>
      </c>
      <c r="J284" s="31" t="inlineStr">
        <is>
          <t>532762</t>
        </is>
      </c>
    </row>
    <row r="285">
      <c r="A285" s="31" t="inlineStr">
        <is>
          <t>ALKYLAMINE</t>
        </is>
      </c>
      <c r="B285" s="31" t="inlineStr">
        <is>
          <t>Alkyl Amines Chemicals Limited</t>
        </is>
      </c>
      <c r="C285" s="31" t="inlineStr">
        <is>
          <t>chemicals</t>
        </is>
      </c>
      <c r="D285" s="31" t="inlineStr">
        <is>
          <t>chemicals</t>
        </is>
      </c>
      <c r="E285" s="31" t="inlineStr">
        <is>
          <t>midcap</t>
        </is>
      </c>
      <c r="F285" s="31" t="n">
        <v>10657.84</v>
      </c>
      <c r="G285" s="31" t="n">
        <v>2061.5</v>
      </c>
      <c r="H285" s="31" t="n">
        <v>-1.07</v>
      </c>
      <c r="I285" s="31" t="n">
        <v>133758</v>
      </c>
      <c r="J285" s="31" t="inlineStr">
        <is>
          <t>506767</t>
        </is>
      </c>
    </row>
    <row r="286">
      <c r="A286" s="31" t="inlineStr">
        <is>
          <t>HONASA</t>
        </is>
      </c>
      <c r="B286" s="31" t="inlineStr">
        <is>
          <t>Honasa Consumer Ltd</t>
        </is>
      </c>
      <c r="C286" s="31" t="inlineStr">
        <is>
          <t>services</t>
        </is>
      </c>
      <c r="D286" s="31" t="inlineStr">
        <is>
          <t>trading</t>
        </is>
      </c>
      <c r="E286" s="31" t="inlineStr">
        <is>
          <t>midcap</t>
        </is>
      </c>
      <c r="F286" s="31" t="n">
        <v>16001.27</v>
      </c>
      <c r="G286" s="31" t="n">
        <v>485.5</v>
      </c>
      <c r="H286" s="31" t="n">
        <v>-1.08</v>
      </c>
      <c r="I286" s="31" t="n">
        <v>493454</v>
      </c>
      <c r="J286" s="31" t="inlineStr">
        <is>
          <t>544014</t>
        </is>
      </c>
    </row>
    <row r="287">
      <c r="A287" s="31" t="inlineStr">
        <is>
          <t>STLTECH</t>
        </is>
      </c>
      <c r="B287" s="31" t="inlineStr">
        <is>
          <t>Sterlite Technologies Limited</t>
        </is>
      </c>
      <c r="C287" s="31" t="inlineStr">
        <is>
          <t>industrials</t>
        </is>
      </c>
      <c r="D287" s="31" t="inlineStr">
        <is>
          <t>cables - telephone</t>
        </is>
      </c>
      <c r="E287" s="31" t="inlineStr">
        <is>
          <t>largecap</t>
        </is>
      </c>
      <c r="F287" s="31" t="n">
        <v>33840.06</v>
      </c>
      <c r="G287" s="31" t="n">
        <v>651.35</v>
      </c>
      <c r="H287" s="31" t="n">
        <v>-1.09</v>
      </c>
      <c r="I287" s="31" t="n">
        <v>994599</v>
      </c>
      <c r="J287" s="31" t="inlineStr">
        <is>
          <t>532374</t>
        </is>
      </c>
    </row>
    <row r="288">
      <c r="A288" s="31" t="inlineStr">
        <is>
          <t>LMW</t>
        </is>
      </c>
      <c r="B288" s="31" t="inlineStr">
        <is>
          <t>LMW Ltd</t>
        </is>
      </c>
      <c r="C288" s="31" t="inlineStr">
        <is>
          <t>industrials</t>
        </is>
      </c>
      <c r="D288" s="31" t="inlineStr">
        <is>
          <t>textile machinery</t>
        </is>
      </c>
      <c r="E288" s="31" t="inlineStr">
        <is>
          <t>largecap</t>
        </is>
      </c>
      <c r="F288" s="31" t="n">
        <v>20893.81</v>
      </c>
      <c r="G288" s="31" t="n">
        <v>19340</v>
      </c>
      <c r="H288" s="31" t="n">
        <v>-1.11</v>
      </c>
      <c r="I288" s="31" t="n">
        <v>2968</v>
      </c>
      <c r="J288" s="31" t="inlineStr">
        <is>
          <t>500252</t>
        </is>
      </c>
    </row>
    <row r="289">
      <c r="A289" s="31" t="inlineStr">
        <is>
          <t>INDSWFTLAB</t>
        </is>
      </c>
      <c r="B289" s="31" t="inlineStr">
        <is>
          <t>Ind-swift Laboratories Limited</t>
        </is>
      </c>
      <c r="C289" s="31" t="inlineStr">
        <is>
          <t>healthcare</t>
        </is>
      </c>
      <c r="D289" s="31" t="inlineStr">
        <is>
          <t>pharmaceuticals - indian - bulk drugs &amp; formln</t>
        </is>
      </c>
      <c r="E289" s="31" t="inlineStr">
        <is>
          <t>smallcap</t>
        </is>
      </c>
      <c r="F289" s="31" t="n">
        <v>2845.99</v>
      </c>
      <c r="G289" s="31" t="n">
        <v>323.5</v>
      </c>
      <c r="H289" s="31" t="n">
        <v>-1.15</v>
      </c>
      <c r="I289" s="31" t="n">
        <v>348267</v>
      </c>
      <c r="J289" s="31" t="inlineStr">
        <is>
          <t>532305</t>
        </is>
      </c>
    </row>
    <row r="290">
      <c r="A290" s="31" t="inlineStr">
        <is>
          <t>RKFORGE</t>
        </is>
      </c>
      <c r="B290" s="31" t="inlineStr">
        <is>
          <t>Ramkrishna Forgings Limited</t>
        </is>
      </c>
      <c r="C290" s="31" t="inlineStr">
        <is>
          <t>industrials</t>
        </is>
      </c>
      <c r="D290" s="31" t="inlineStr">
        <is>
          <t>castings &amp; forgings</t>
        </is>
      </c>
      <c r="E290" s="31" t="inlineStr">
        <is>
          <t>midcap</t>
        </is>
      </c>
      <c r="F290" s="31" t="n">
        <v>13271.09</v>
      </c>
      <c r="G290" s="31" t="n">
        <v>720.05</v>
      </c>
      <c r="H290" s="31" t="n">
        <v>-1.16</v>
      </c>
      <c r="I290" s="31" t="n">
        <v>866749</v>
      </c>
      <c r="J290" s="31" t="inlineStr">
        <is>
          <t>532527</t>
        </is>
      </c>
    </row>
    <row r="291">
      <c r="A291" s="31" t="inlineStr">
        <is>
          <t>PETRONET</t>
        </is>
      </c>
      <c r="B291" s="31" t="inlineStr">
        <is>
          <t>Petronet Lng Limited</t>
        </is>
      </c>
      <c r="C291" s="31" t="inlineStr">
        <is>
          <t>energy</t>
        </is>
      </c>
      <c r="D291" s="31" t="inlineStr">
        <is>
          <t>miscellaneous</t>
        </is>
      </c>
      <c r="E291" s="31" t="inlineStr">
        <is>
          <t>largecap</t>
        </is>
      </c>
      <c r="F291" s="31" t="n">
        <v>44392.5</v>
      </c>
      <c r="G291" s="31" t="n">
        <v>292.5</v>
      </c>
      <c r="H291" s="31" t="n">
        <v>-1.17</v>
      </c>
      <c r="I291" s="31" t="n">
        <v>1715565</v>
      </c>
      <c r="J291" s="31" t="inlineStr">
        <is>
          <t>532522</t>
        </is>
      </c>
    </row>
    <row r="292">
      <c r="A292" s="31" t="inlineStr">
        <is>
          <t>MANAKSTEEL</t>
        </is>
      </c>
      <c r="B292" s="31" t="inlineStr">
        <is>
          <t>Manaksia Steels Limited</t>
        </is>
      </c>
      <c r="C292" s="31" t="inlineStr">
        <is>
          <t>metals &amp; mining</t>
        </is>
      </c>
      <c r="D292" s="31" t="inlineStr">
        <is>
          <t>steel - medium / small</t>
        </is>
      </c>
      <c r="E292" s="31" t="inlineStr">
        <is>
          <t>smallcap</t>
        </is>
      </c>
      <c r="F292" s="31" t="n">
        <v>572.64</v>
      </c>
      <c r="G292" s="31" t="n">
        <v>86.33</v>
      </c>
      <c r="H292" s="31" t="n">
        <v>-1.2</v>
      </c>
      <c r="I292" s="31" t="n">
        <v>41227</v>
      </c>
      <c r="J292" s="31" t="inlineStr">
        <is>
          <t>539044</t>
        </is>
      </c>
    </row>
    <row r="293">
      <c r="A293" s="31" t="inlineStr">
        <is>
          <t>DYNAMATECH</t>
        </is>
      </c>
      <c r="B293" s="31" t="inlineStr">
        <is>
          <t>Dynamatic Technologies Limited</t>
        </is>
      </c>
      <c r="C293" s="31" t="inlineStr">
        <is>
          <t>aerospace &amp; defence</t>
        </is>
      </c>
      <c r="D293" s="31" t="inlineStr">
        <is>
          <t>engineering</t>
        </is>
      </c>
      <c r="E293" s="31" t="inlineStr">
        <is>
          <t>midcap</t>
        </is>
      </c>
      <c r="F293" s="31" t="n">
        <v>7909.31</v>
      </c>
      <c r="G293" s="31" t="n">
        <v>11500</v>
      </c>
      <c r="H293" s="31" t="n">
        <v>-1.25</v>
      </c>
      <c r="I293" s="31" t="n">
        <v>15990</v>
      </c>
      <c r="J293" s="31" t="inlineStr">
        <is>
          <t>505242</t>
        </is>
      </c>
    </row>
    <row r="294">
      <c r="A294" s="31" t="inlineStr">
        <is>
          <t>ARTEMISMED</t>
        </is>
      </c>
      <c r="B294" s="31" t="inlineStr">
        <is>
          <t>Artemis Medicare Services Ltd</t>
        </is>
      </c>
      <c r="C294" s="31" t="inlineStr">
        <is>
          <t>healthcare</t>
        </is>
      </c>
      <c r="D294" s="31" t="inlineStr">
        <is>
          <t>healthcare</t>
        </is>
      </c>
      <c r="E294" s="31" t="inlineStr">
        <is>
          <t>midcap</t>
        </is>
      </c>
      <c r="F294" s="31" t="n">
        <v>5206.69</v>
      </c>
      <c r="G294" s="31" t="n">
        <v>324.7</v>
      </c>
      <c r="H294" s="31" t="n">
        <v>-1.28</v>
      </c>
      <c r="I294" s="31" t="n">
        <v>235407</v>
      </c>
      <c r="J294" s="31" t="inlineStr">
        <is>
          <t>542919</t>
        </is>
      </c>
    </row>
    <row r="295">
      <c r="A295" s="31" t="inlineStr">
        <is>
          <t>MANGLMCEM</t>
        </is>
      </c>
      <c r="B295" s="31" t="inlineStr">
        <is>
          <t>Mangalam Cement Limited</t>
        </is>
      </c>
      <c r="C295" s="31" t="inlineStr">
        <is>
          <t>building materials</t>
        </is>
      </c>
      <c r="D295" s="31" t="inlineStr">
        <is>
          <t>cement - north india</t>
        </is>
      </c>
      <c r="E295" s="31" t="inlineStr">
        <is>
          <t>smallcap</t>
        </is>
      </c>
      <c r="F295" s="31" t="n">
        <v>2874.57</v>
      </c>
      <c r="G295" s="31" t="n">
        <v>1032</v>
      </c>
      <c r="H295" s="31" t="n">
        <v>-1.28</v>
      </c>
      <c r="I295" s="31" t="n">
        <v>127953</v>
      </c>
      <c r="J295" s="31" t="inlineStr">
        <is>
          <t>502157</t>
        </is>
      </c>
    </row>
    <row r="296">
      <c r="A296" s="31" t="inlineStr">
        <is>
          <t>MMP</t>
        </is>
      </c>
      <c r="B296" s="31" t="inlineStr">
        <is>
          <t>MMP Industries Ltd</t>
        </is>
      </c>
      <c r="C296" s="31" t="inlineStr">
        <is>
          <t>metals &amp; mining</t>
        </is>
      </c>
      <c r="D296" s="31" t="inlineStr">
        <is>
          <t>aluminium and aluminium products</t>
        </is>
      </c>
      <c r="E296" s="31" t="inlineStr">
        <is>
          <t>smallcap</t>
        </is>
      </c>
      <c r="F296" s="31" t="n">
        <v>745.67</v>
      </c>
      <c r="G296" s="31" t="n">
        <v>389</v>
      </c>
      <c r="H296" s="31" t="n">
        <v>-1.29</v>
      </c>
      <c r="I296" s="31" t="n">
        <v>92700</v>
      </c>
      <c r="J296" s="31" t="inlineStr">
        <is>
          <t>535071</t>
        </is>
      </c>
    </row>
    <row r="297">
      <c r="A297" s="31" t="inlineStr">
        <is>
          <t>THEMISMED</t>
        </is>
      </c>
      <c r="B297" s="31" t="inlineStr">
        <is>
          <t>Themis Medicare Limited</t>
        </is>
      </c>
      <c r="C297" s="31" t="inlineStr">
        <is>
          <t>healthcare</t>
        </is>
      </c>
      <c r="D297" s="31" t="inlineStr">
        <is>
          <t>pharmaceuticals - indian - bulk drugs &amp; formln</t>
        </is>
      </c>
      <c r="E297" s="31" t="inlineStr">
        <is>
          <t>smallcap</t>
        </is>
      </c>
      <c r="F297" s="31" t="n">
        <v>1112.66</v>
      </c>
      <c r="G297" s="31" t="n">
        <v>119.24</v>
      </c>
      <c r="H297" s="31" t="n">
        <v>-1.3</v>
      </c>
      <c r="I297" s="31" t="n">
        <v>664332</v>
      </c>
      <c r="J297" s="31" t="inlineStr">
        <is>
          <t>530199</t>
        </is>
      </c>
    </row>
    <row r="298">
      <c r="A298" s="31" t="inlineStr">
        <is>
          <t>MOLDTKPAC</t>
        </is>
      </c>
      <c r="B298" s="31" t="inlineStr">
        <is>
          <t>Mold-tek Packaging Limited</t>
        </is>
      </c>
      <c r="C298" s="31" t="inlineStr">
        <is>
          <t>industrials</t>
        </is>
      </c>
      <c r="D298" s="31" t="inlineStr">
        <is>
          <t>packaging</t>
        </is>
      </c>
      <c r="E298" s="31" t="inlineStr">
        <is>
          <t>smallcap</t>
        </is>
      </c>
      <c r="F298" s="31" t="n">
        <v>2380.02</v>
      </c>
      <c r="G298" s="31" t="n">
        <v>706.8</v>
      </c>
      <c r="H298" s="31" t="n">
        <v>-1.32</v>
      </c>
      <c r="I298" s="31" t="n">
        <v>99361</v>
      </c>
      <c r="J298" s="31" t="inlineStr">
        <is>
          <t>533080</t>
        </is>
      </c>
    </row>
    <row r="299">
      <c r="A299" s="31" t="inlineStr">
        <is>
          <t>HATSUN</t>
        </is>
      </c>
      <c r="B299" s="31" t="inlineStr">
        <is>
          <t>Hatsun Agro Product Limited</t>
        </is>
      </c>
      <c r="C299" s="31" t="inlineStr">
        <is>
          <t>fmcg</t>
        </is>
      </c>
      <c r="D299" s="31" t="inlineStr">
        <is>
          <t>food - processing - indian</t>
        </is>
      </c>
      <c r="E299" s="31" t="inlineStr">
        <is>
          <t>largecap</t>
        </is>
      </c>
      <c r="F299" s="31" t="n">
        <v>23266.06</v>
      </c>
      <c r="G299" s="31" t="n">
        <v>1030.5</v>
      </c>
      <c r="H299" s="31" t="n">
        <v>-1.34</v>
      </c>
      <c r="I299" s="31" t="n">
        <v>46980</v>
      </c>
      <c r="J299" s="31" t="inlineStr">
        <is>
          <t>531531</t>
        </is>
      </c>
    </row>
    <row r="300">
      <c r="A300" s="31" t="inlineStr">
        <is>
          <t>GENUSPOWER</t>
        </is>
      </c>
      <c r="B300" s="31" t="inlineStr">
        <is>
          <t>Genus Power Infrastructures Limited</t>
        </is>
      </c>
      <c r="C300" s="31" t="inlineStr">
        <is>
          <t>consumer discretionary</t>
        </is>
      </c>
      <c r="D300" s="31" t="inlineStr">
        <is>
          <t>electronics - components</t>
        </is>
      </c>
      <c r="E300" s="31" t="inlineStr">
        <is>
          <t>midcap</t>
        </is>
      </c>
      <c r="F300" s="31" t="n">
        <v>10332.08</v>
      </c>
      <c r="G300" s="31" t="n">
        <v>335.05</v>
      </c>
      <c r="H300" s="31" t="n">
        <v>-1.34</v>
      </c>
      <c r="I300" s="31" t="n">
        <v>4364981</v>
      </c>
      <c r="J300" s="31" t="inlineStr">
        <is>
          <t>530343</t>
        </is>
      </c>
    </row>
    <row r="301">
      <c r="A301" s="31" t="inlineStr">
        <is>
          <t>ZENTEC</t>
        </is>
      </c>
      <c r="B301" s="31" t="inlineStr">
        <is>
          <t>Zen Technologies Limited</t>
        </is>
      </c>
      <c r="C301" s="31" t="inlineStr">
        <is>
          <t>aerospace &amp; defence</t>
        </is>
      </c>
      <c r="D301" s="31" t="inlineStr">
        <is>
          <t>miscellaneous</t>
        </is>
      </c>
      <c r="E301" s="31" t="inlineStr">
        <is>
          <t>midcap</t>
        </is>
      </c>
      <c r="F301" s="31" t="n">
        <v>17184.96</v>
      </c>
      <c r="G301" s="31" t="n">
        <v>1877.7</v>
      </c>
      <c r="H301" s="31" t="n">
        <v>-1.35</v>
      </c>
      <c r="I301" s="31" t="n">
        <v>467851</v>
      </c>
      <c r="J301" s="31" t="inlineStr">
        <is>
          <t>533339</t>
        </is>
      </c>
    </row>
    <row r="302">
      <c r="A302" s="31" t="inlineStr">
        <is>
          <t>NATIONALUM</t>
        </is>
      </c>
      <c r="B302" s="31" t="inlineStr">
        <is>
          <t>National Aluminium Company Limited</t>
        </is>
      </c>
      <c r="C302" s="31" t="inlineStr">
        <is>
          <t>metals &amp; mining</t>
        </is>
      </c>
      <c r="D302" s="31" t="inlineStr">
        <is>
          <t>aluminium and aluminium products</t>
        </is>
      </c>
      <c r="E302" s="31" t="inlineStr">
        <is>
          <t>largecap</t>
        </is>
      </c>
      <c r="F302" s="31" t="n">
        <v>74071.36</v>
      </c>
      <c r="G302" s="31" t="n">
        <v>397.8</v>
      </c>
      <c r="H302" s="31" t="n">
        <v>-1.36</v>
      </c>
      <c r="I302" s="31" t="n">
        <v>3826243</v>
      </c>
      <c r="J302" s="31" t="inlineStr">
        <is>
          <t>532234</t>
        </is>
      </c>
    </row>
    <row r="303">
      <c r="A303" s="31" t="inlineStr">
        <is>
          <t>MOREPENLAB</t>
        </is>
      </c>
      <c r="B303" s="31" t="inlineStr">
        <is>
          <t>Morepen Laboratories Limited</t>
        </is>
      </c>
      <c r="C303" s="31" t="inlineStr">
        <is>
          <t>healthcare</t>
        </is>
      </c>
      <c r="D303" s="31" t="inlineStr">
        <is>
          <t>pharmaceuticals - indian - bulk drugs &amp; formln</t>
        </is>
      </c>
      <c r="E303" s="31" t="inlineStr">
        <is>
          <t>midcap</t>
        </is>
      </c>
      <c r="F303" s="31" t="n">
        <v>5217.62</v>
      </c>
      <c r="G303" s="31" t="n">
        <v>93.90000000000001</v>
      </c>
      <c r="H303" s="31" t="n">
        <v>-1.39</v>
      </c>
      <c r="I303" s="31" t="n">
        <v>11530007</v>
      </c>
      <c r="J303" s="31" t="inlineStr">
        <is>
          <t>500288</t>
        </is>
      </c>
    </row>
    <row r="304">
      <c r="A304" s="31" t="inlineStr">
        <is>
          <t>GALAXYSURF</t>
        </is>
      </c>
      <c r="B304" s="31" t="inlineStr">
        <is>
          <t>Galaxy Surfactants Ltd</t>
        </is>
      </c>
      <c r="C304" s="31" t="inlineStr">
        <is>
          <t>chemicals</t>
        </is>
      </c>
      <c r="D304" s="31" t="inlineStr">
        <is>
          <t>chemicals</t>
        </is>
      </c>
      <c r="E304" s="31" t="inlineStr">
        <is>
          <t>midcap</t>
        </is>
      </c>
      <c r="F304" s="31" t="n">
        <v>8212.74</v>
      </c>
      <c r="G304" s="31" t="n">
        <v>2284.2</v>
      </c>
      <c r="H304" s="31" t="n">
        <v>-1.39</v>
      </c>
      <c r="I304" s="31" t="n">
        <v>25497</v>
      </c>
      <c r="J304" s="31" t="inlineStr">
        <is>
          <t>540935</t>
        </is>
      </c>
    </row>
    <row r="305">
      <c r="A305" s="31" t="inlineStr">
        <is>
          <t>SANSERA</t>
        </is>
      </c>
      <c r="B305" s="31" t="inlineStr">
        <is>
          <t>Sansera Engineering Ltd</t>
        </is>
      </c>
      <c r="C305" s="31" t="inlineStr">
        <is>
          <t>auto</t>
        </is>
      </c>
      <c r="D305" s="31" t="inlineStr">
        <is>
          <t>auto ancillaries</t>
        </is>
      </c>
      <c r="E305" s="31" t="inlineStr">
        <is>
          <t>largecap</t>
        </is>
      </c>
      <c r="F305" s="31" t="n">
        <v>23989.8</v>
      </c>
      <c r="G305" s="31" t="n">
        <v>3790.5</v>
      </c>
      <c r="H305" s="31" t="n">
        <v>-1.4</v>
      </c>
      <c r="I305" s="31" t="n">
        <v>104163</v>
      </c>
      <c r="J305" s="31" t="inlineStr">
        <is>
          <t>543358</t>
        </is>
      </c>
    </row>
    <row r="306">
      <c r="A306" s="31" t="inlineStr">
        <is>
          <t>TTKHLTCARE</t>
        </is>
      </c>
      <c r="B306" s="31" t="inlineStr">
        <is>
          <t>Ttk Healthcare Limited</t>
        </is>
      </c>
      <c r="C306" s="31" t="inlineStr">
        <is>
          <t>miscellaneous</t>
        </is>
      </c>
      <c r="D306" s="31" t="inlineStr">
        <is>
          <t>diversified - medium / small</t>
        </is>
      </c>
      <c r="E306" s="31" t="inlineStr">
        <is>
          <t>smallcap</t>
        </is>
      </c>
      <c r="F306" s="31" t="n">
        <v>1572.14</v>
      </c>
      <c r="G306" s="31" t="n">
        <v>1096.8</v>
      </c>
      <c r="H306" s="31" t="n">
        <v>-1.42</v>
      </c>
      <c r="I306" s="31" t="n">
        <v>12753</v>
      </c>
      <c r="J306" s="31" t="inlineStr">
        <is>
          <t>507747</t>
        </is>
      </c>
    </row>
    <row r="307">
      <c r="A307" s="31" t="inlineStr">
        <is>
          <t>MOTHERSON</t>
        </is>
      </c>
      <c r="B307" s="31" t="inlineStr">
        <is>
          <t>Samvardhana Motherson International Ltd</t>
        </is>
      </c>
      <c r="C307" s="31" t="inlineStr">
        <is>
          <t>auto</t>
        </is>
      </c>
      <c r="D307" s="31" t="inlineStr">
        <is>
          <t>auto ancillaries</t>
        </is>
      </c>
      <c r="E307" s="31" t="inlineStr">
        <is>
          <t>largecap</t>
        </is>
      </c>
      <c r="F307" s="31" t="n">
        <v>178370.08</v>
      </c>
      <c r="G307" s="31" t="n">
        <v>166.45</v>
      </c>
      <c r="H307" s="31" t="n">
        <v>-1.51</v>
      </c>
      <c r="I307" s="31" t="n">
        <v>8643535</v>
      </c>
      <c r="J307" s="31" t="inlineStr">
        <is>
          <t>517334</t>
        </is>
      </c>
    </row>
    <row r="308">
      <c r="A308" s="31" t="inlineStr">
        <is>
          <t>ANDHRSUGAR</t>
        </is>
      </c>
      <c r="B308" s="31" t="inlineStr">
        <is>
          <t>The Andhra Sugars Limited</t>
        </is>
      </c>
      <c r="C308" s="31" t="inlineStr">
        <is>
          <t>chemicals</t>
        </is>
      </c>
      <c r="D308" s="31" t="inlineStr">
        <is>
          <t>chlor alkali / soda ash</t>
        </is>
      </c>
      <c r="E308" s="31" t="inlineStr">
        <is>
          <t>smallcap</t>
        </is>
      </c>
      <c r="F308" s="31" t="n">
        <v>1345.6</v>
      </c>
      <c r="G308" s="31" t="n">
        <v>97.73999999999999</v>
      </c>
      <c r="H308" s="31" t="n">
        <v>-1.55</v>
      </c>
      <c r="I308" s="31" t="n">
        <v>592979</v>
      </c>
      <c r="J308" s="31" t="inlineStr">
        <is>
          <t>590062</t>
        </is>
      </c>
    </row>
    <row r="309">
      <c r="A309" s="31" t="inlineStr">
        <is>
          <t>RISHABH</t>
        </is>
      </c>
      <c r="B309" s="31" t="inlineStr">
        <is>
          <t>Rishabh Instruments Ltd</t>
        </is>
      </c>
      <c r="C309" s="31" t="inlineStr">
        <is>
          <t>industrials</t>
        </is>
      </c>
      <c r="D309" s="31" t="inlineStr">
        <is>
          <t>electric equipment</t>
        </is>
      </c>
      <c r="E309" s="31" t="inlineStr">
        <is>
          <t>smallcap</t>
        </is>
      </c>
      <c r="F309" s="31" t="n">
        <v>2696.49</v>
      </c>
      <c r="G309" s="31" t="n">
        <v>688.55</v>
      </c>
      <c r="H309" s="31" t="n">
        <v>-1.57</v>
      </c>
      <c r="I309" s="31" t="n">
        <v>174603</v>
      </c>
      <c r="J309" s="31" t="inlineStr">
        <is>
          <t>543977</t>
        </is>
      </c>
    </row>
    <row r="310">
      <c r="A310" s="31" t="inlineStr">
        <is>
          <t>SURAKSHA</t>
        </is>
      </c>
      <c r="B310" s="31" t="inlineStr">
        <is>
          <t>Suraksha Diagnostic Ltd</t>
        </is>
      </c>
      <c r="C310" s="31" t="inlineStr">
        <is>
          <t>healthcare</t>
        </is>
      </c>
      <c r="D310" s="31" t="inlineStr">
        <is>
          <t>healthcare</t>
        </is>
      </c>
      <c r="E310" s="31" t="inlineStr">
        <is>
          <t>smallcap</t>
        </is>
      </c>
      <c r="F310" s="31" t="n">
        <v>1682.73</v>
      </c>
      <c r="G310" s="31" t="n">
        <v>318</v>
      </c>
      <c r="H310" s="31" t="n">
        <v>-1.58</v>
      </c>
      <c r="I310" s="31" t="n">
        <v>86882</v>
      </c>
      <c r="J310" s="31" t="inlineStr">
        <is>
          <t>544293</t>
        </is>
      </c>
    </row>
    <row r="311">
      <c r="A311" s="31" t="inlineStr">
        <is>
          <t>ARVSMART</t>
        </is>
      </c>
      <c r="B311" s="31" t="inlineStr">
        <is>
          <t>Arvind Smartspaces Limited</t>
        </is>
      </c>
      <c r="C311" s="31" t="inlineStr">
        <is>
          <t>realty</t>
        </is>
      </c>
      <c r="D311" s="31" t="inlineStr">
        <is>
          <t>construction</t>
        </is>
      </c>
      <c r="E311" s="31" t="inlineStr">
        <is>
          <t>smallcap</t>
        </is>
      </c>
      <c r="F311" s="31" t="n">
        <v>3187.07</v>
      </c>
      <c r="G311" s="31" t="n">
        <v>683.75</v>
      </c>
      <c r="H311" s="31" t="n">
        <v>-1.6</v>
      </c>
      <c r="I311" s="31" t="n">
        <v>71548</v>
      </c>
      <c r="J311" s="31" t="inlineStr">
        <is>
          <t>539301</t>
        </is>
      </c>
    </row>
    <row r="312">
      <c r="A312" s="31" t="inlineStr">
        <is>
          <t>EMIL</t>
        </is>
      </c>
      <c r="B312" s="31" t="inlineStr">
        <is>
          <t>Electronics Mart India Ltd</t>
        </is>
      </c>
      <c r="C312" s="31" t="inlineStr">
        <is>
          <t>consumer discretionary</t>
        </is>
      </c>
      <c r="D312" s="31" t="inlineStr">
        <is>
          <t>trading</t>
        </is>
      </c>
      <c r="E312" s="31" t="inlineStr">
        <is>
          <t>midcap</t>
        </is>
      </c>
      <c r="F312" s="31" t="n">
        <v>7059.37</v>
      </c>
      <c r="G312" s="31" t="n">
        <v>180.5</v>
      </c>
      <c r="H312" s="31" t="n">
        <v>-1.62</v>
      </c>
      <c r="I312" s="31" t="n">
        <v>1519005</v>
      </c>
      <c r="J312" s="31" t="inlineStr">
        <is>
          <t>543626</t>
        </is>
      </c>
    </row>
    <row r="313">
      <c r="A313" s="31" t="inlineStr">
        <is>
          <t>CUPID</t>
        </is>
      </c>
      <c r="B313" s="31" t="inlineStr">
        <is>
          <t>Cupid Limited</t>
        </is>
      </c>
      <c r="C313" s="31" t="inlineStr">
        <is>
          <t>fmcg</t>
        </is>
      </c>
      <c r="D313" s="31" t="inlineStr">
        <is>
          <t>personal care - indian</t>
        </is>
      </c>
      <c r="E313" s="31" t="inlineStr">
        <is>
          <t>largecap</t>
        </is>
      </c>
      <c r="F313" s="31" t="n">
        <v>38512.43</v>
      </c>
      <c r="G313" s="31" t="n">
        <v>281.76</v>
      </c>
      <c r="H313" s="31" t="n">
        <v>-1.62</v>
      </c>
      <c r="I313" s="31" t="n">
        <v>14093652</v>
      </c>
      <c r="J313" s="31" t="inlineStr">
        <is>
          <t>530843</t>
        </is>
      </c>
    </row>
    <row r="314">
      <c r="A314" s="31" t="inlineStr">
        <is>
          <t>PPLPHARMA</t>
        </is>
      </c>
      <c r="B314" s="31" t="inlineStr">
        <is>
          <t>Piramal Pharma Ltd</t>
        </is>
      </c>
      <c r="C314" s="31" t="inlineStr">
        <is>
          <t>healthcare</t>
        </is>
      </c>
      <c r="D314" s="31" t="inlineStr">
        <is>
          <t>pharmaceuticals - indian - bulk drugs &amp; formln</t>
        </is>
      </c>
      <c r="E314" s="31" t="inlineStr">
        <is>
          <t>largecap</t>
        </is>
      </c>
      <c r="F314" s="31" t="n">
        <v>28111.42</v>
      </c>
      <c r="G314" s="31" t="n">
        <v>207.71</v>
      </c>
      <c r="H314" s="31" t="n">
        <v>-1.63</v>
      </c>
      <c r="I314" s="31" t="n">
        <v>1877305</v>
      </c>
      <c r="J314" s="31" t="inlineStr">
        <is>
          <t>543635</t>
        </is>
      </c>
    </row>
    <row r="315">
      <c r="A315" s="31" t="inlineStr">
        <is>
          <t>PFOCUS</t>
        </is>
      </c>
      <c r="B315" s="31" t="inlineStr">
        <is>
          <t>Prime Focus Limited</t>
        </is>
      </c>
      <c r="C315" s="31" t="inlineStr">
        <is>
          <t>realty</t>
        </is>
      </c>
      <c r="D315" s="31" t="inlineStr">
        <is>
          <t>miscellaneous</t>
        </is>
      </c>
      <c r="E315" s="31" t="inlineStr">
        <is>
          <t>largecap</t>
        </is>
      </c>
      <c r="F315" s="31" t="n">
        <v>23900.38</v>
      </c>
      <c r="G315" s="31" t="n">
        <v>302.75</v>
      </c>
      <c r="H315" s="31" t="n">
        <v>-1.64</v>
      </c>
      <c r="I315" s="31" t="n">
        <v>847170</v>
      </c>
      <c r="J315" s="31" t="inlineStr">
        <is>
          <t>532748</t>
        </is>
      </c>
    </row>
    <row r="316">
      <c r="A316" s="31" t="inlineStr">
        <is>
          <t>LUMAXTECH</t>
        </is>
      </c>
      <c r="B316" s="31" t="inlineStr">
        <is>
          <t>Lumax Auto Technologies Limited</t>
        </is>
      </c>
      <c r="C316" s="31" t="inlineStr">
        <is>
          <t>auto</t>
        </is>
      </c>
      <c r="D316" s="31" t="inlineStr">
        <is>
          <t>auto ancillaries</t>
        </is>
      </c>
      <c r="E316" s="31" t="inlineStr">
        <is>
          <t>midcap</t>
        </is>
      </c>
      <c r="F316" s="31" t="n">
        <v>13388.22</v>
      </c>
      <c r="G316" s="31" t="n">
        <v>1932.1</v>
      </c>
      <c r="H316" s="31" t="n">
        <v>-1.64</v>
      </c>
      <c r="I316" s="31" t="n">
        <v>215682</v>
      </c>
      <c r="J316" s="31" t="inlineStr">
        <is>
          <t>532796</t>
        </is>
      </c>
    </row>
    <row r="317">
      <c r="A317" s="31" t="inlineStr">
        <is>
          <t>SAMBHV</t>
        </is>
      </c>
      <c r="B317" s="31" t="inlineStr">
        <is>
          <t>Sambhv Steel Tubes Ltd</t>
        </is>
      </c>
      <c r="C317" s="31" t="inlineStr">
        <is>
          <t>metals &amp; mining</t>
        </is>
      </c>
      <c r="D317" s="31" t="inlineStr">
        <is>
          <t>steel - medium / small</t>
        </is>
      </c>
      <c r="E317" s="31" t="inlineStr">
        <is>
          <t>smallcap</t>
        </is>
      </c>
      <c r="F317" s="31" t="n">
        <v>3865.5</v>
      </c>
      <c r="G317" s="31" t="n">
        <v>129</v>
      </c>
      <c r="H317" s="31" t="n">
        <v>-1.66</v>
      </c>
      <c r="I317" s="31" t="n">
        <v>941288</v>
      </c>
      <c r="J317" s="31" t="inlineStr">
        <is>
          <t>544430</t>
        </is>
      </c>
    </row>
    <row r="318">
      <c r="A318" s="31" t="inlineStr">
        <is>
          <t>MARKSANS</t>
        </is>
      </c>
      <c r="B318" s="31" t="inlineStr">
        <is>
          <t>Marksans Pharma Limited</t>
        </is>
      </c>
      <c r="C318" s="31" t="inlineStr">
        <is>
          <t>healthcare</t>
        </is>
      </c>
      <c r="D318" s="31" t="inlineStr">
        <is>
          <t>pharmaceuticals - indian - formulations</t>
        </is>
      </c>
      <c r="E318" s="31" t="inlineStr">
        <is>
          <t>midcap</t>
        </is>
      </c>
      <c r="F318" s="31" t="n">
        <v>14677.97</v>
      </c>
      <c r="G318" s="31" t="n">
        <v>318.5</v>
      </c>
      <c r="H318" s="31" t="n">
        <v>-1.67</v>
      </c>
      <c r="I318" s="31" t="n">
        <v>2084774</v>
      </c>
      <c r="J318" s="31" t="inlineStr">
        <is>
          <t>524404</t>
        </is>
      </c>
    </row>
    <row r="319">
      <c r="A319" s="31" t="inlineStr">
        <is>
          <t>HNDFDS</t>
        </is>
      </c>
      <c r="B319" s="31" t="inlineStr">
        <is>
          <t>Hindustan Foods Ltd</t>
        </is>
      </c>
      <c r="C319" s="31" t="inlineStr">
        <is>
          <t>fmcg</t>
        </is>
      </c>
      <c r="D319" s="31" t="inlineStr">
        <is>
          <t>diversified - large</t>
        </is>
      </c>
      <c r="E319" s="31" t="inlineStr">
        <is>
          <t>midcap</t>
        </is>
      </c>
      <c r="F319" s="31" t="n">
        <v>7747.14</v>
      </c>
      <c r="G319" s="31" t="n">
        <v>628.75</v>
      </c>
      <c r="H319" s="31" t="n">
        <v>-1.67</v>
      </c>
      <c r="I319" s="31" t="n">
        <v>56532</v>
      </c>
      <c r="J319" s="31" t="inlineStr">
        <is>
          <t>519126</t>
        </is>
      </c>
    </row>
    <row r="320">
      <c r="A320" s="31" t="inlineStr">
        <is>
          <t>GARFIBRES</t>
        </is>
      </c>
      <c r="B320" s="31" t="inlineStr">
        <is>
          <t>Garware Technical Fibres Ltd</t>
        </is>
      </c>
      <c r="C320" s="31" t="inlineStr">
        <is>
          <t>textiles</t>
        </is>
      </c>
      <c r="D320" s="31" t="inlineStr">
        <is>
          <t>textiles - products</t>
        </is>
      </c>
      <c r="E320" s="31" t="inlineStr">
        <is>
          <t>midcap</t>
        </is>
      </c>
      <c r="F320" s="31" t="n">
        <v>7903.66</v>
      </c>
      <c r="G320" s="31" t="n">
        <v>795.85</v>
      </c>
      <c r="H320" s="31" t="n">
        <v>-1.67</v>
      </c>
      <c r="I320" s="31" t="n">
        <v>72825</v>
      </c>
      <c r="J320" s="31" t="inlineStr">
        <is>
          <t>509557</t>
        </is>
      </c>
    </row>
    <row r="321">
      <c r="A321" s="31" t="inlineStr">
        <is>
          <t>UNIVASTU</t>
        </is>
      </c>
      <c r="B321" s="31" t="inlineStr">
        <is>
          <t>Univastu India Ltd</t>
        </is>
      </c>
      <c r="C321" s="31" t="inlineStr">
        <is>
          <t>realty</t>
        </is>
      </c>
      <c r="D321" s="31" t="inlineStr">
        <is>
          <t>construction</t>
        </is>
      </c>
      <c r="E321" s="31" t="inlineStr">
        <is>
          <t>smallcap</t>
        </is>
      </c>
      <c r="F321" s="31" t="n">
        <v>621.53</v>
      </c>
      <c r="G321" s="31" t="n">
        <v>161.7</v>
      </c>
      <c r="H321" s="31" t="n">
        <v>-1.68</v>
      </c>
      <c r="I321" s="31" t="n">
        <v>234842</v>
      </c>
      <c r="J321" s="31" t="inlineStr">
        <is>
          <t>538442</t>
        </is>
      </c>
    </row>
    <row r="322">
      <c r="A322" s="31" t="inlineStr">
        <is>
          <t>INDIANHUME</t>
        </is>
      </c>
      <c r="B322" s="31" t="inlineStr">
        <is>
          <t>Indian Hume Pipe Company Limited</t>
        </is>
      </c>
      <c r="C322" s="31" t="inlineStr">
        <is>
          <t>realty</t>
        </is>
      </c>
      <c r="D322" s="31" t="inlineStr">
        <is>
          <t>construction</t>
        </is>
      </c>
      <c r="E322" s="31" t="inlineStr">
        <is>
          <t>smallcap</t>
        </is>
      </c>
      <c r="F322" s="31" t="n">
        <v>2087.78</v>
      </c>
      <c r="G322" s="31" t="n">
        <v>389.6</v>
      </c>
      <c r="H322" s="31" t="n">
        <v>-1.69</v>
      </c>
      <c r="I322" s="31" t="n">
        <v>68291</v>
      </c>
      <c r="J322" s="31" t="inlineStr">
        <is>
          <t>504741</t>
        </is>
      </c>
    </row>
    <row r="323">
      <c r="A323" s="31" t="inlineStr">
        <is>
          <t>AEROFLEX</t>
        </is>
      </c>
      <c r="B323" s="31" t="inlineStr">
        <is>
          <t>Aeroflex Industries Ltd</t>
        </is>
      </c>
      <c r="C323" s="31" t="inlineStr">
        <is>
          <t>metals &amp; mining</t>
        </is>
      </c>
      <c r="D323" s="31" t="inlineStr">
        <is>
          <t>steel - medium / small</t>
        </is>
      </c>
      <c r="E323" s="31" t="inlineStr">
        <is>
          <t>midcap</t>
        </is>
      </c>
      <c r="F323" s="31" t="n">
        <v>6672.78</v>
      </c>
      <c r="G323" s="31" t="n">
        <v>495.75</v>
      </c>
      <c r="H323" s="31" t="n">
        <v>-1.69</v>
      </c>
      <c r="I323" s="31" t="n">
        <v>1234960</v>
      </c>
      <c r="J323" s="31" t="inlineStr">
        <is>
          <t>543972</t>
        </is>
      </c>
    </row>
    <row r="324">
      <c r="A324" s="31" t="inlineStr">
        <is>
          <t>FCL</t>
        </is>
      </c>
      <c r="B324" s="31" t="inlineStr">
        <is>
          <t>Fineotex Chemical Limited</t>
        </is>
      </c>
      <c r="C324" s="31" t="inlineStr">
        <is>
          <t>chemicals</t>
        </is>
      </c>
      <c r="D324" s="31" t="inlineStr">
        <is>
          <t>chemicals</t>
        </is>
      </c>
      <c r="E324" s="31" t="inlineStr">
        <is>
          <t>midcap</t>
        </is>
      </c>
      <c r="F324" s="31" t="n">
        <v>5778.25</v>
      </c>
      <c r="G324" s="31" t="n">
        <v>48.78</v>
      </c>
      <c r="H324" s="31" t="n">
        <v>-1.69</v>
      </c>
      <c r="I324" s="31" t="n">
        <v>18132728</v>
      </c>
      <c r="J324" s="31" t="inlineStr">
        <is>
          <t>533333</t>
        </is>
      </c>
    </row>
    <row r="325">
      <c r="A325" s="31" t="inlineStr">
        <is>
          <t>GUJTHEM</t>
        </is>
      </c>
      <c r="B325" s="31" t="inlineStr">
        <is>
          <t>Gujarat Themis Biosyn Ltd</t>
        </is>
      </c>
      <c r="C325" s="31" t="inlineStr">
        <is>
          <t>healthcare</t>
        </is>
      </c>
      <c r="D325" s="31" t="inlineStr">
        <is>
          <t>pharmaceuticals - indian - bulk drugs</t>
        </is>
      </c>
      <c r="E325" s="31" t="inlineStr">
        <is>
          <t>smallcap</t>
        </is>
      </c>
      <c r="F325" s="31" t="n">
        <v>4486.1</v>
      </c>
      <c r="G325" s="31" t="n">
        <v>404.7</v>
      </c>
      <c r="H325" s="31" t="n">
        <v>-1.7</v>
      </c>
      <c r="I325" s="31" t="n">
        <v>1046900</v>
      </c>
      <c r="J325" s="31" t="inlineStr">
        <is>
          <t>506879</t>
        </is>
      </c>
    </row>
    <row r="326">
      <c r="A326" s="31" t="inlineStr">
        <is>
          <t>GAEL</t>
        </is>
      </c>
      <c r="B326" s="31" t="inlineStr">
        <is>
          <t>Gujarat Ambuja Exports Limited</t>
        </is>
      </c>
      <c r="C326" s="31" t="inlineStr">
        <is>
          <t>fmcg</t>
        </is>
      </c>
      <c r="D326" s="31" t="inlineStr">
        <is>
          <t>miscellaneous</t>
        </is>
      </c>
      <c r="E326" s="31" t="inlineStr">
        <is>
          <t>midcap</t>
        </is>
      </c>
      <c r="F326" s="31" t="n">
        <v>8283.59</v>
      </c>
      <c r="G326" s="31" t="n">
        <v>177.53</v>
      </c>
      <c r="H326" s="31" t="n">
        <v>-1.7</v>
      </c>
      <c r="I326" s="31" t="n">
        <v>1124764</v>
      </c>
      <c r="J326" s="31" t="inlineStr">
        <is>
          <t>524226</t>
        </is>
      </c>
    </row>
    <row r="327">
      <c r="A327" s="31" t="inlineStr">
        <is>
          <t>UNIMECH</t>
        </is>
      </c>
      <c r="B327" s="31" t="inlineStr">
        <is>
          <t>Unimech Aerospace and Manufacturing Ltd</t>
        </is>
      </c>
      <c r="C327" s="31" t="inlineStr">
        <is>
          <t>aerospace &amp; defence</t>
        </is>
      </c>
      <c r="D327" s="31" t="inlineStr">
        <is>
          <t>engineering</t>
        </is>
      </c>
      <c r="E327" s="31" t="inlineStr">
        <is>
          <t>midcap</t>
        </is>
      </c>
      <c r="F327" s="31" t="n">
        <v>7625.48</v>
      </c>
      <c r="G327" s="31" t="n">
        <v>1473.5</v>
      </c>
      <c r="H327" s="31" t="n">
        <v>-1.73</v>
      </c>
      <c r="I327" s="31" t="n">
        <v>284907</v>
      </c>
      <c r="J327" s="31" t="inlineStr">
        <is>
          <t>544322</t>
        </is>
      </c>
    </row>
    <row r="328">
      <c r="A328" s="31" t="inlineStr">
        <is>
          <t>PANACHE</t>
        </is>
      </c>
      <c r="B328" s="31" t="inlineStr">
        <is>
          <t>Panache Digilife Ltd</t>
        </is>
      </c>
      <c r="C328" s="31" t="inlineStr">
        <is>
          <t>i.t</t>
        </is>
      </c>
      <c r="D328" s="31" t="inlineStr">
        <is>
          <t>computers - hardware</t>
        </is>
      </c>
      <c r="E328" s="31" t="inlineStr">
        <is>
          <t>smallcap</t>
        </is>
      </c>
      <c r="F328" s="31" t="n">
        <v>878.45</v>
      </c>
      <c r="G328" s="31" t="n">
        <v>539</v>
      </c>
      <c r="H328" s="31" t="n">
        <v>-1.74</v>
      </c>
      <c r="I328" s="31" t="n">
        <v>6696</v>
      </c>
      <c r="J328" s="31" t="inlineStr">
        <is>
          <t>538424</t>
        </is>
      </c>
    </row>
    <row r="329">
      <c r="A329" s="31" t="inlineStr">
        <is>
          <t>INDIAGLYCO</t>
        </is>
      </c>
      <c r="B329" s="31" t="inlineStr">
        <is>
          <t>India Glycols Limited</t>
        </is>
      </c>
      <c r="C329" s="31" t="inlineStr">
        <is>
          <t>fmcg</t>
        </is>
      </c>
      <c r="D329" s="31" t="inlineStr">
        <is>
          <t>breweries &amp; distilleries</t>
        </is>
      </c>
      <c r="E329" s="31" t="inlineStr">
        <is>
          <t>midcap</t>
        </is>
      </c>
      <c r="F329" s="31" t="n">
        <v>7984.9</v>
      </c>
      <c r="G329" s="31" t="n">
        <v>1170.5</v>
      </c>
      <c r="H329" s="31" t="n">
        <v>-1.75</v>
      </c>
      <c r="I329" s="31" t="n">
        <v>629975</v>
      </c>
      <c r="J329" s="31" t="inlineStr">
        <is>
          <t>500201</t>
        </is>
      </c>
    </row>
    <row r="330">
      <c r="A330" s="31" t="inlineStr">
        <is>
          <t>ENGINERSIN</t>
        </is>
      </c>
      <c r="B330" s="31" t="inlineStr">
        <is>
          <t>Engineers India Limited</t>
        </is>
      </c>
      <c r="C330" s="31" t="inlineStr">
        <is>
          <t>realty</t>
        </is>
      </c>
      <c r="D330" s="31" t="inlineStr">
        <is>
          <t>engineering - turnkey services</t>
        </is>
      </c>
      <c r="E330" s="31" t="inlineStr">
        <is>
          <t>midcap</t>
        </is>
      </c>
      <c r="F330" s="31" t="n">
        <v>14322.53</v>
      </c>
      <c r="G330" s="31" t="n">
        <v>250.38</v>
      </c>
      <c r="H330" s="31" t="n">
        <v>-1.75</v>
      </c>
      <c r="I330" s="31" t="n">
        <v>3213647</v>
      </c>
      <c r="J330" s="31" t="inlineStr">
        <is>
          <t>532178</t>
        </is>
      </c>
    </row>
    <row r="331">
      <c r="A331" s="31" t="inlineStr">
        <is>
          <t>ALBERTDAVD</t>
        </is>
      </c>
      <c r="B331" s="31" t="inlineStr">
        <is>
          <t>Albert David Limited</t>
        </is>
      </c>
      <c r="C331" s="31" t="inlineStr">
        <is>
          <t>healthcare</t>
        </is>
      </c>
      <c r="D331" s="31" t="inlineStr">
        <is>
          <t>pharmaceuticals - indian - bulk drugs &amp; formln</t>
        </is>
      </c>
      <c r="E331" s="31" t="inlineStr">
        <is>
          <t>smallcap</t>
        </is>
      </c>
      <c r="F331" s="31" t="n">
        <v>507.2</v>
      </c>
      <c r="G331" s="31" t="n">
        <v>873.05</v>
      </c>
      <c r="H331" s="31" t="n">
        <v>-1.76</v>
      </c>
      <c r="I331" s="31" t="n">
        <v>11754</v>
      </c>
      <c r="J331" s="31" t="inlineStr">
        <is>
          <t>524075</t>
        </is>
      </c>
    </row>
    <row r="332">
      <c r="A332" s="31" t="inlineStr">
        <is>
          <t>FINEORG</t>
        </is>
      </c>
      <c r="B332" s="31" t="inlineStr">
        <is>
          <t>Fine Organic Industries Ltd</t>
        </is>
      </c>
      <c r="C332" s="31" t="inlineStr">
        <is>
          <t>chemicals</t>
        </is>
      </c>
      <c r="D332" s="31" t="inlineStr">
        <is>
          <t>chemicals</t>
        </is>
      </c>
      <c r="E332" s="31" t="inlineStr">
        <is>
          <t>midcap</t>
        </is>
      </c>
      <c r="F332" s="31" t="n">
        <v>16180.5</v>
      </c>
      <c r="G332" s="31" t="n">
        <v>5184</v>
      </c>
      <c r="H332" s="31" t="n">
        <v>-1.77</v>
      </c>
      <c r="I332" s="31" t="n">
        <v>20144</v>
      </c>
      <c r="J332" s="31" t="inlineStr">
        <is>
          <t>541557</t>
        </is>
      </c>
    </row>
    <row r="333">
      <c r="A333" s="31" t="inlineStr">
        <is>
          <t>DWARKESH</t>
        </is>
      </c>
      <c r="B333" s="31" t="inlineStr">
        <is>
          <t>Dwarikesh Sugar Industries Limited</t>
        </is>
      </c>
      <c r="C333" s="31" t="inlineStr">
        <is>
          <t>fmcg</t>
        </is>
      </c>
      <c r="D333" s="31" t="inlineStr">
        <is>
          <t>sugar</t>
        </is>
      </c>
      <c r="E333" s="31" t="inlineStr">
        <is>
          <t>smallcap</t>
        </is>
      </c>
      <c r="F333" s="31" t="n">
        <v>1018.05</v>
      </c>
      <c r="G333" s="31" t="n">
        <v>53.94</v>
      </c>
      <c r="H333" s="31" t="n">
        <v>-1.82</v>
      </c>
      <c r="I333" s="31" t="n">
        <v>6854822</v>
      </c>
      <c r="J333" s="31" t="inlineStr">
        <is>
          <t>532610</t>
        </is>
      </c>
    </row>
    <row r="334">
      <c r="A334" s="31" t="inlineStr">
        <is>
          <t>TNPETRO</t>
        </is>
      </c>
      <c r="B334" s="31" t="inlineStr">
        <is>
          <t>Tamilnadu Petroproducts Limited</t>
        </is>
      </c>
      <c r="C334" s="31" t="inlineStr">
        <is>
          <t>energy</t>
        </is>
      </c>
      <c r="D334" s="31" t="inlineStr">
        <is>
          <t>petrochemicals</t>
        </is>
      </c>
      <c r="E334" s="31" t="inlineStr">
        <is>
          <t>smallcap</t>
        </is>
      </c>
      <c r="F334" s="31" t="n">
        <v>1046.73</v>
      </c>
      <c r="G334" s="31" t="n">
        <v>114.21</v>
      </c>
      <c r="H334" s="31" t="n">
        <v>-1.83</v>
      </c>
      <c r="I334" s="31" t="n">
        <v>388366</v>
      </c>
      <c r="J334" s="31" t="inlineStr">
        <is>
          <t>500777</t>
        </is>
      </c>
    </row>
    <row r="335">
      <c r="A335" s="31" t="inlineStr">
        <is>
          <t>SOMANYCERA</t>
        </is>
      </c>
      <c r="B335" s="31" t="inlineStr">
        <is>
          <t>Somany Ceramics Limited</t>
        </is>
      </c>
      <c r="C335" s="31" t="inlineStr">
        <is>
          <t>building materials</t>
        </is>
      </c>
      <c r="D335" s="31" t="inlineStr">
        <is>
          <t>ceramics - tiles / sanitaryware</t>
        </is>
      </c>
      <c r="E335" s="31" t="inlineStr">
        <is>
          <t>smallcap</t>
        </is>
      </c>
      <c r="F335" s="31" t="n">
        <v>2264.32</v>
      </c>
      <c r="G335" s="31" t="n">
        <v>542</v>
      </c>
      <c r="H335" s="31" t="n">
        <v>-1.83</v>
      </c>
      <c r="I335" s="31" t="n">
        <v>253622</v>
      </c>
      <c r="J335" s="31" t="inlineStr">
        <is>
          <t>531548</t>
        </is>
      </c>
    </row>
    <row r="336">
      <c r="A336" s="31" t="inlineStr">
        <is>
          <t>SMARTWORKS</t>
        </is>
      </c>
      <c r="B336" s="31" t="inlineStr">
        <is>
          <t>Smartworks Coworking Spaces Ltd</t>
        </is>
      </c>
      <c r="C336" s="31" t="inlineStr">
        <is>
          <t>co-working</t>
        </is>
      </c>
      <c r="D336" s="31" t="inlineStr">
        <is>
          <t>miscellaneous</t>
        </is>
      </c>
      <c r="E336" s="31" t="inlineStr">
        <is>
          <t>midcap</t>
        </is>
      </c>
      <c r="F336" s="31" t="n">
        <v>6290.13</v>
      </c>
      <c r="G336" s="31" t="n">
        <v>540.25</v>
      </c>
      <c r="H336" s="31" t="n">
        <v>-1.86</v>
      </c>
      <c r="I336" s="31" t="n">
        <v>607287</v>
      </c>
      <c r="J336" s="31" t="inlineStr">
        <is>
          <t>544447</t>
        </is>
      </c>
    </row>
    <row r="337">
      <c r="A337" s="31" t="inlineStr">
        <is>
          <t>JSFB</t>
        </is>
      </c>
      <c r="B337" s="31" t="inlineStr">
        <is>
          <t>Jana Small Finance Bank Ltd</t>
        </is>
      </c>
      <c r="C337" s="31" t="inlineStr">
        <is>
          <t>bank</t>
        </is>
      </c>
      <c r="D337" s="31" t="inlineStr">
        <is>
          <t>banks - private sector</t>
        </is>
      </c>
      <c r="E337" s="31" t="inlineStr">
        <is>
          <t>midcap</t>
        </is>
      </c>
      <c r="F337" s="31" t="n">
        <v>6126.11</v>
      </c>
      <c r="G337" s="31" t="n">
        <v>570.65</v>
      </c>
      <c r="H337" s="31" t="n">
        <v>-1.87</v>
      </c>
      <c r="I337" s="31" t="n">
        <v>2110189</v>
      </c>
      <c r="J337" s="31" t="n"/>
    </row>
    <row r="338">
      <c r="A338" s="31" t="inlineStr">
        <is>
          <t>NAM-INDIA</t>
        </is>
      </c>
      <c r="B338" s="31" t="inlineStr">
        <is>
          <t>Nippon Life India Asset Management Ltd</t>
        </is>
      </c>
      <c r="C338" s="31" t="inlineStr">
        <is>
          <t>financials</t>
        </is>
      </c>
      <c r="D338" s="31" t="inlineStr">
        <is>
          <t>finance &amp; investments</t>
        </is>
      </c>
      <c r="E338" s="31" t="inlineStr">
        <is>
          <t>largecap</t>
        </is>
      </c>
      <c r="F338" s="31" t="n">
        <v>79771.34</v>
      </c>
      <c r="G338" s="31" t="n">
        <v>1224.4</v>
      </c>
      <c r="H338" s="31" t="n">
        <v>-1.88</v>
      </c>
      <c r="I338" s="31" t="n">
        <v>1170352</v>
      </c>
      <c r="J338" s="31" t="inlineStr">
        <is>
          <t>540767</t>
        </is>
      </c>
    </row>
    <row r="339">
      <c r="A339" s="31" t="inlineStr">
        <is>
          <t>HINDZINC</t>
        </is>
      </c>
      <c r="B339" s="31" t="inlineStr">
        <is>
          <t>Hindustan Zinc Limited</t>
        </is>
      </c>
      <c r="C339" s="31" t="inlineStr">
        <is>
          <t>metals &amp; mining</t>
        </is>
      </c>
      <c r="D339" s="31" t="inlineStr">
        <is>
          <t>mining / minerals / metals</t>
        </is>
      </c>
      <c r="E339" s="31" t="inlineStr">
        <is>
          <t>largecap</t>
        </is>
      </c>
      <c r="F339" s="31" t="n">
        <v>255209.27</v>
      </c>
      <c r="G339" s="31" t="n">
        <v>592.6</v>
      </c>
      <c r="H339" s="31" t="n">
        <v>-1.89</v>
      </c>
      <c r="I339" s="31" t="n">
        <v>9617571</v>
      </c>
      <c r="J339" s="31" t="inlineStr">
        <is>
          <t>500188</t>
        </is>
      </c>
    </row>
    <row r="340">
      <c r="A340" s="31" t="inlineStr">
        <is>
          <t>JINDALSAW</t>
        </is>
      </c>
      <c r="B340" s="31" t="inlineStr">
        <is>
          <t>Jindal Saw Limited</t>
        </is>
      </c>
      <c r="C340" s="31" t="inlineStr">
        <is>
          <t>industrials</t>
        </is>
      </c>
      <c r="D340" s="31" t="inlineStr">
        <is>
          <t>steel - large</t>
        </is>
      </c>
      <c r="E340" s="31" t="inlineStr">
        <is>
          <t>midcap</t>
        </is>
      </c>
      <c r="F340" s="31" t="n">
        <v>18369.87</v>
      </c>
      <c r="G340" s="31" t="n">
        <v>281.75</v>
      </c>
      <c r="H340" s="31" t="n">
        <v>-1.91</v>
      </c>
      <c r="I340" s="31" t="n">
        <v>1236143</v>
      </c>
      <c r="J340" s="31" t="inlineStr">
        <is>
          <t>500378</t>
        </is>
      </c>
    </row>
    <row r="341">
      <c r="A341" s="31" t="inlineStr">
        <is>
          <t>PGIL</t>
        </is>
      </c>
      <c r="B341" s="31" t="inlineStr">
        <is>
          <t>Pearl Global Industries Limited</t>
        </is>
      </c>
      <c r="C341" s="31" t="inlineStr">
        <is>
          <t>consumer discretionary</t>
        </is>
      </c>
      <c r="D341" s="31" t="inlineStr">
        <is>
          <t>textiles - products</t>
        </is>
      </c>
      <c r="E341" s="31" t="inlineStr">
        <is>
          <t>midcap</t>
        </is>
      </c>
      <c r="F341" s="31" t="n">
        <v>10955.8</v>
      </c>
      <c r="G341" s="31" t="n">
        <v>2326.7</v>
      </c>
      <c r="H341" s="31" t="n">
        <v>-1.92</v>
      </c>
      <c r="I341" s="31" t="n">
        <v>71839</v>
      </c>
      <c r="J341" s="31" t="inlineStr">
        <is>
          <t>532808</t>
        </is>
      </c>
    </row>
    <row r="342">
      <c r="A342" s="31" t="inlineStr">
        <is>
          <t>TVSSRICHAK</t>
        </is>
      </c>
      <c r="B342" s="31" t="inlineStr">
        <is>
          <t>Tvs Srichakra Limited</t>
        </is>
      </c>
      <c r="C342" s="31" t="inlineStr">
        <is>
          <t>auto</t>
        </is>
      </c>
      <c r="D342" s="31" t="inlineStr">
        <is>
          <t>tyres</t>
        </is>
      </c>
      <c r="E342" s="31" t="inlineStr">
        <is>
          <t>smallcap</t>
        </is>
      </c>
      <c r="F342" s="31" t="n">
        <v>3758</v>
      </c>
      <c r="G342" s="31" t="n">
        <v>4812</v>
      </c>
      <c r="H342" s="31" t="n">
        <v>-1.95</v>
      </c>
      <c r="I342" s="31" t="n">
        <v>22034</v>
      </c>
      <c r="J342" s="31" t="inlineStr">
        <is>
          <t>509243</t>
        </is>
      </c>
    </row>
    <row r="343">
      <c r="A343" s="31" t="inlineStr">
        <is>
          <t>EPL</t>
        </is>
      </c>
      <c r="B343" s="31" t="inlineStr">
        <is>
          <t>EPL Ltd</t>
        </is>
      </c>
      <c r="C343" s="31" t="inlineStr">
        <is>
          <t>industrials</t>
        </is>
      </c>
      <c r="D343" s="31" t="inlineStr">
        <is>
          <t>packaging</t>
        </is>
      </c>
      <c r="E343" s="31" t="inlineStr">
        <is>
          <t>midcap</t>
        </is>
      </c>
      <c r="F343" s="31" t="n">
        <v>8438.73</v>
      </c>
      <c r="G343" s="31" t="n">
        <v>258.32</v>
      </c>
      <c r="H343" s="31" t="n">
        <v>-1.96</v>
      </c>
      <c r="I343" s="31" t="n">
        <v>2213379</v>
      </c>
      <c r="J343" s="31" t="inlineStr">
        <is>
          <t>500135</t>
        </is>
      </c>
    </row>
    <row r="344">
      <c r="A344" s="31" t="inlineStr">
        <is>
          <t>UFLEX</t>
        </is>
      </c>
      <c r="B344" s="31" t="inlineStr">
        <is>
          <t>Uflex Limited</t>
        </is>
      </c>
      <c r="C344" s="31" t="inlineStr">
        <is>
          <t>industrials</t>
        </is>
      </c>
      <c r="D344" s="31" t="inlineStr">
        <is>
          <t>packaging</t>
        </is>
      </c>
      <c r="E344" s="31" t="inlineStr">
        <is>
          <t>smallcap</t>
        </is>
      </c>
      <c r="F344" s="31" t="n">
        <v>4471.34</v>
      </c>
      <c r="G344" s="31" t="n">
        <v>606.75</v>
      </c>
      <c r="H344" s="31" t="n">
        <v>-2.01</v>
      </c>
      <c r="I344" s="31" t="n">
        <v>130086</v>
      </c>
      <c r="J344" s="31" t="inlineStr">
        <is>
          <t>500148</t>
        </is>
      </c>
    </row>
    <row r="345">
      <c r="A345" s="31" t="inlineStr">
        <is>
          <t>AETHER</t>
        </is>
      </c>
      <c r="B345" s="31" t="inlineStr">
        <is>
          <t>Aether Industries Ltd</t>
        </is>
      </c>
      <c r="C345" s="31" t="inlineStr">
        <is>
          <t>chemicals</t>
        </is>
      </c>
      <c r="D345" s="31" t="inlineStr">
        <is>
          <t>chemicals</t>
        </is>
      </c>
      <c r="E345" s="31" t="inlineStr">
        <is>
          <t>largecap</t>
        </is>
      </c>
      <c r="F345" s="31" t="n">
        <v>22133.8</v>
      </c>
      <c r="G345" s="31" t="n">
        <v>1633.9</v>
      </c>
      <c r="H345" s="31" t="n">
        <v>-2.03</v>
      </c>
      <c r="I345" s="31" t="n">
        <v>318154</v>
      </c>
      <c r="J345" s="31" t="inlineStr">
        <is>
          <t>543534</t>
        </is>
      </c>
    </row>
    <row r="346">
      <c r="A346" s="31" t="inlineStr">
        <is>
          <t>TBZ</t>
        </is>
      </c>
      <c r="B346" s="31" t="inlineStr">
        <is>
          <t>Tribhovandas Bhimji Zaveri Limited</t>
        </is>
      </c>
      <c r="C346" s="31" t="inlineStr">
        <is>
          <t>consumer discretionary</t>
        </is>
      </c>
      <c r="D346" s="31" t="inlineStr">
        <is>
          <t>diamond cutting / jewellery</t>
        </is>
      </c>
      <c r="E346" s="31" t="inlineStr">
        <is>
          <t>smallcap</t>
        </is>
      </c>
      <c r="F346" s="31" t="n">
        <v>1909.83</v>
      </c>
      <c r="G346" s="31" t="n">
        <v>280.35</v>
      </c>
      <c r="H346" s="31" t="n">
        <v>-2.04</v>
      </c>
      <c r="I346" s="31" t="n">
        <v>1279027</v>
      </c>
      <c r="J346" s="31" t="inlineStr">
        <is>
          <t>534369</t>
        </is>
      </c>
    </row>
    <row r="347">
      <c r="A347" s="31" t="inlineStr">
        <is>
          <t>IRISDOREME</t>
        </is>
      </c>
      <c r="B347" s="31" t="inlineStr">
        <is>
          <t>Iris Clothings Ltd</t>
        </is>
      </c>
      <c r="C347" s="31" t="inlineStr">
        <is>
          <t>consumer discretionary</t>
        </is>
      </c>
      <c r="D347" s="31" t="inlineStr">
        <is>
          <t>textiles - products</t>
        </is>
      </c>
      <c r="E347" s="31" t="inlineStr">
        <is>
          <t>smallcap</t>
        </is>
      </c>
      <c r="F347" s="31" t="n">
        <v>1096.31</v>
      </c>
      <c r="G347" s="31" t="n">
        <v>56.42</v>
      </c>
      <c r="H347" s="31" t="n">
        <v>-2.05</v>
      </c>
      <c r="I347" s="31" t="n">
        <v>1022207</v>
      </c>
      <c r="J347" s="31" t="inlineStr">
        <is>
          <t>535123</t>
        </is>
      </c>
    </row>
    <row r="348">
      <c r="A348" s="31" t="inlineStr">
        <is>
          <t>HAPPYFORGE</t>
        </is>
      </c>
      <c r="B348" s="31" t="inlineStr">
        <is>
          <t>Happy Forgings Ltd</t>
        </is>
      </c>
      <c r="C348" s="31" t="inlineStr">
        <is>
          <t>industrials</t>
        </is>
      </c>
      <c r="D348" s="31" t="inlineStr">
        <is>
          <t>castings &amp; forgings</t>
        </is>
      </c>
      <c r="E348" s="31" t="inlineStr">
        <is>
          <t>largecap</t>
        </is>
      </c>
      <c r="F348" s="31" t="n">
        <v>20678.38</v>
      </c>
      <c r="G348" s="31" t="n">
        <v>2145</v>
      </c>
      <c r="H348" s="31" t="n">
        <v>-2.1</v>
      </c>
      <c r="I348" s="31" t="n">
        <v>70413</v>
      </c>
      <c r="J348" s="31" t="inlineStr">
        <is>
          <t>544057</t>
        </is>
      </c>
    </row>
    <row r="349">
      <c r="A349" s="31" t="inlineStr">
        <is>
          <t>OMAXE</t>
        </is>
      </c>
      <c r="B349" s="31" t="inlineStr">
        <is>
          <t>Omaxe Limited</t>
        </is>
      </c>
      <c r="C349" s="31" t="inlineStr">
        <is>
          <t>realty</t>
        </is>
      </c>
      <c r="D349" s="31" t="inlineStr">
        <is>
          <t>construction</t>
        </is>
      </c>
      <c r="E349" s="31" t="inlineStr">
        <is>
          <t>smallcap</t>
        </is>
      </c>
      <c r="F349" s="31" t="n">
        <v>1861.38</v>
      </c>
      <c r="G349" s="31" t="n">
        <v>99.63</v>
      </c>
      <c r="H349" s="31" t="n">
        <v>-2.1</v>
      </c>
      <c r="I349" s="31" t="n">
        <v>1097787</v>
      </c>
      <c r="J349" s="31" t="inlineStr">
        <is>
          <t>532880</t>
        </is>
      </c>
    </row>
    <row r="350">
      <c r="A350" s="31" t="inlineStr">
        <is>
          <t>INNOVACAP</t>
        </is>
      </c>
      <c r="B350" s="31" t="inlineStr">
        <is>
          <t>Innova Captab Ltd</t>
        </is>
      </c>
      <c r="C350" s="31" t="inlineStr">
        <is>
          <t>healthcare</t>
        </is>
      </c>
      <c r="D350" s="31" t="inlineStr">
        <is>
          <t>pharmaceuticals - indian - bulk drugs &amp; formln</t>
        </is>
      </c>
      <c r="E350" s="31" t="inlineStr">
        <is>
          <t>midcap</t>
        </is>
      </c>
      <c r="F350" s="31" t="n">
        <v>6083.3</v>
      </c>
      <c r="G350" s="31" t="n">
        <v>1040.4</v>
      </c>
      <c r="H350" s="31" t="n">
        <v>-2.13</v>
      </c>
      <c r="I350" s="31" t="n">
        <v>35553</v>
      </c>
      <c r="J350" s="31" t="inlineStr">
        <is>
          <t>544067</t>
        </is>
      </c>
    </row>
    <row r="351">
      <c r="A351" s="31" t="inlineStr">
        <is>
          <t>VSSL</t>
        </is>
      </c>
      <c r="B351" s="31" t="inlineStr">
        <is>
          <t>Vardhman Special Steels Limited</t>
        </is>
      </c>
      <c r="C351" s="31" t="inlineStr">
        <is>
          <t>metals &amp; mining</t>
        </is>
      </c>
      <c r="D351" s="31" t="inlineStr">
        <is>
          <t>steel - medium / small</t>
        </is>
      </c>
      <c r="E351" s="31" t="inlineStr">
        <is>
          <t>smallcap</t>
        </is>
      </c>
      <c r="F351" s="31" t="n">
        <v>3398.02</v>
      </c>
      <c r="G351" s="31" t="n">
        <v>343.8</v>
      </c>
      <c r="H351" s="31" t="n">
        <v>-2.18</v>
      </c>
      <c r="I351" s="31" t="n">
        <v>174162</v>
      </c>
      <c r="J351" s="31" t="inlineStr">
        <is>
          <t>534392</t>
        </is>
      </c>
    </row>
    <row r="352">
      <c r="A352" s="31" t="inlineStr">
        <is>
          <t>DALMIASUG</t>
        </is>
      </c>
      <c r="B352" s="31" t="inlineStr">
        <is>
          <t>Dalmia Bharat Sugar And Industries Limited</t>
        </is>
      </c>
      <c r="C352" s="31" t="inlineStr">
        <is>
          <t>fmcg</t>
        </is>
      </c>
      <c r="D352" s="31" t="inlineStr">
        <is>
          <t>sugar</t>
        </is>
      </c>
      <c r="E352" s="31" t="inlineStr">
        <is>
          <t>smallcap</t>
        </is>
      </c>
      <c r="F352" s="31" t="n">
        <v>3891.16</v>
      </c>
      <c r="G352" s="31" t="n">
        <v>470.25</v>
      </c>
      <c r="H352" s="31" t="n">
        <v>-2.18</v>
      </c>
      <c r="I352" s="31" t="n">
        <v>647103</v>
      </c>
      <c r="J352" s="31" t="inlineStr">
        <is>
          <t>500097</t>
        </is>
      </c>
    </row>
    <row r="353">
      <c r="A353" s="31" t="inlineStr">
        <is>
          <t>FILATEX</t>
        </is>
      </c>
      <c r="B353" s="31" t="inlineStr">
        <is>
          <t>Filatex India Limited</t>
        </is>
      </c>
      <c r="C353" s="31" t="inlineStr">
        <is>
          <t>textiles</t>
        </is>
      </c>
      <c r="D353" s="31" t="inlineStr">
        <is>
          <t>textiles - manmade</t>
        </is>
      </c>
      <c r="E353" s="31" t="inlineStr">
        <is>
          <t>smallcap</t>
        </is>
      </c>
      <c r="F353" s="31" t="n">
        <v>3732.31</v>
      </c>
      <c r="G353" s="31" t="n">
        <v>82.11</v>
      </c>
      <c r="H353" s="31" t="n">
        <v>-2.31</v>
      </c>
      <c r="I353" s="31" t="n">
        <v>2059653</v>
      </c>
      <c r="J353" s="31" t="inlineStr">
        <is>
          <t>526227</t>
        </is>
      </c>
    </row>
    <row r="354">
      <c r="A354" s="31" t="inlineStr">
        <is>
          <t>SENORES</t>
        </is>
      </c>
      <c r="B354" s="31" t="inlineStr">
        <is>
          <t>Senores Pharmaceuticals Ltd</t>
        </is>
      </c>
      <c r="C354" s="31" t="inlineStr">
        <is>
          <t>healthcare</t>
        </is>
      </c>
      <c r="D354" s="31" t="inlineStr">
        <is>
          <t>pharmaceuticals - indian - formulations</t>
        </is>
      </c>
      <c r="E354" s="31" t="inlineStr">
        <is>
          <t>midcap</t>
        </is>
      </c>
      <c r="F354" s="31" t="n">
        <v>6980.34</v>
      </c>
      <c r="G354" s="31" t="n">
        <v>1480.4</v>
      </c>
      <c r="H354" s="31" t="n">
        <v>-2.33</v>
      </c>
      <c r="I354" s="31" t="n">
        <v>260380</v>
      </c>
      <c r="J354" s="31" t="inlineStr">
        <is>
          <t>544319</t>
        </is>
      </c>
    </row>
    <row r="355">
      <c r="A355" s="31" t="inlineStr">
        <is>
          <t>SUBEXLTD</t>
        </is>
      </c>
      <c r="B355" s="31" t="inlineStr">
        <is>
          <t>Subex Ltd</t>
        </is>
      </c>
      <c r="C355" s="31" t="inlineStr">
        <is>
          <t>i.t</t>
        </is>
      </c>
      <c r="D355" s="31" t="inlineStr">
        <is>
          <t>computers - software - medium / small</t>
        </is>
      </c>
      <c r="E355" s="31" t="inlineStr">
        <is>
          <t>smallcap</t>
        </is>
      </c>
      <c r="F355" s="31" t="n">
        <v>1025.66</v>
      </c>
      <c r="G355" s="31" t="n">
        <v>17.82</v>
      </c>
      <c r="H355" s="31" t="n">
        <v>-2.36</v>
      </c>
      <c r="I355" s="31" t="n">
        <v>5158751</v>
      </c>
      <c r="J355" s="31" t="inlineStr">
        <is>
          <t>532348</t>
        </is>
      </c>
    </row>
    <row r="356">
      <c r="A356" s="31" t="inlineStr">
        <is>
          <t>KENNAMET</t>
        </is>
      </c>
      <c r="B356" s="31" t="inlineStr">
        <is>
          <t>Kennametal India Ltd</t>
        </is>
      </c>
      <c r="C356" s="31" t="inlineStr">
        <is>
          <t>industrials</t>
        </is>
      </c>
      <c r="D356" s="31" t="inlineStr">
        <is>
          <t>castings &amp; forgings</t>
        </is>
      </c>
      <c r="E356" s="31" t="inlineStr">
        <is>
          <t>midcap</t>
        </is>
      </c>
      <c r="F356" s="31" t="n">
        <v>9301.190000000001</v>
      </c>
      <c r="G356" s="31" t="n">
        <v>4132.1</v>
      </c>
      <c r="H356" s="31" t="n">
        <v>-2.36</v>
      </c>
      <c r="I356" s="31" t="n">
        <v>40920</v>
      </c>
      <c r="J356" s="31" t="inlineStr">
        <is>
          <t>505890</t>
        </is>
      </c>
    </row>
    <row r="357">
      <c r="A357" s="31" t="inlineStr">
        <is>
          <t>NRBBEARING</t>
        </is>
      </c>
      <c r="B357" s="31" t="inlineStr">
        <is>
          <t>Nrb Bearing Limited</t>
        </is>
      </c>
      <c r="C357" s="31" t="inlineStr">
        <is>
          <t>industrials</t>
        </is>
      </c>
      <c r="D357" s="31" t="inlineStr">
        <is>
          <t>bearings</t>
        </is>
      </c>
      <c r="E357" s="31" t="inlineStr">
        <is>
          <t>smallcap</t>
        </is>
      </c>
      <c r="F357" s="31" t="n">
        <v>4661.49</v>
      </c>
      <c r="G357" s="31" t="n">
        <v>469.5</v>
      </c>
      <c r="H357" s="31" t="n">
        <v>-2.38</v>
      </c>
      <c r="I357" s="31" t="n">
        <v>241115</v>
      </c>
      <c r="J357" s="31" t="inlineStr">
        <is>
          <t>530367</t>
        </is>
      </c>
    </row>
    <row r="358">
      <c r="A358" s="31" t="inlineStr">
        <is>
          <t>RRKABEL</t>
        </is>
      </c>
      <c r="B358" s="31" t="inlineStr">
        <is>
          <t>R R Kabel Ltd</t>
        </is>
      </c>
      <c r="C358" s="31" t="inlineStr">
        <is>
          <t>industrials</t>
        </is>
      </c>
      <c r="D358" s="31" t="inlineStr">
        <is>
          <t>cables - power</t>
        </is>
      </c>
      <c r="E358" s="31" t="inlineStr">
        <is>
          <t>largecap</t>
        </is>
      </c>
      <c r="F358" s="31" t="n">
        <v>32460.15</v>
      </c>
      <c r="G358" s="31" t="n">
        <v>2801.2</v>
      </c>
      <c r="H358" s="31" t="n">
        <v>-2.39</v>
      </c>
      <c r="I358" s="31" t="n">
        <v>352475</v>
      </c>
      <c r="J358" s="31" t="inlineStr">
        <is>
          <t>543981</t>
        </is>
      </c>
    </row>
    <row r="359">
      <c r="A359" s="31" t="inlineStr">
        <is>
          <t>ACMESOLAR</t>
        </is>
      </c>
      <c r="B359" s="31" t="inlineStr">
        <is>
          <t>ACME Solar Holdings Ltd</t>
        </is>
      </c>
      <c r="C359" s="31" t="inlineStr">
        <is>
          <t>realty</t>
        </is>
      </c>
      <c r="D359" s="31" t="inlineStr">
        <is>
          <t>engineering - turnkey services</t>
        </is>
      </c>
      <c r="E359" s="31" t="inlineStr">
        <is>
          <t>largecap</t>
        </is>
      </c>
      <c r="F359" s="31" t="n">
        <v>28921.76</v>
      </c>
      <c r="G359" s="31" t="n">
        <v>399.3</v>
      </c>
      <c r="H359" s="31" t="n">
        <v>-2.41</v>
      </c>
      <c r="I359" s="31" t="n">
        <v>2652812</v>
      </c>
      <c r="J359" s="31" t="inlineStr">
        <is>
          <t>544283</t>
        </is>
      </c>
    </row>
    <row r="360">
      <c r="A360" s="31" t="inlineStr">
        <is>
          <t>SHANTIGOLD</t>
        </is>
      </c>
      <c r="B360" s="31" t="inlineStr">
        <is>
          <t>Shanti Gold International Ltd</t>
        </is>
      </c>
      <c r="C360" s="31" t="inlineStr">
        <is>
          <t>consumer discretionary</t>
        </is>
      </c>
      <c r="D360" s="31" t="inlineStr">
        <is>
          <t>diamond cutting / jewellery</t>
        </is>
      </c>
      <c r="E360" s="31" t="inlineStr">
        <is>
          <t>smallcap</t>
        </is>
      </c>
      <c r="F360" s="31" t="n">
        <v>1950.34</v>
      </c>
      <c r="G360" s="31" t="n">
        <v>263.96</v>
      </c>
      <c r="H360" s="31" t="n">
        <v>-2.43</v>
      </c>
      <c r="I360" s="31" t="n">
        <v>3865188</v>
      </c>
      <c r="J360" s="31" t="inlineStr">
        <is>
          <t>544459</t>
        </is>
      </c>
    </row>
    <row r="361">
      <c r="A361" s="31" t="inlineStr">
        <is>
          <t>MARINE</t>
        </is>
      </c>
      <c r="B361" s="31" t="inlineStr">
        <is>
          <t>Marine Electricals (India) Ltd</t>
        </is>
      </c>
      <c r="C361" s="31" t="inlineStr">
        <is>
          <t>industrials</t>
        </is>
      </c>
      <c r="D361" s="31" t="inlineStr">
        <is>
          <t>electric equipment</t>
        </is>
      </c>
      <c r="E361" s="31" t="inlineStr">
        <is>
          <t>midcap</t>
        </is>
      </c>
      <c r="F361" s="31" t="n">
        <v>5358.47</v>
      </c>
      <c r="G361" s="31" t="n">
        <v>373.5</v>
      </c>
      <c r="H361" s="31" t="n">
        <v>-2.45</v>
      </c>
      <c r="I361" s="31" t="n">
        <v>573987</v>
      </c>
      <c r="J361" s="31" t="inlineStr">
        <is>
          <t>535119</t>
        </is>
      </c>
    </row>
    <row r="362">
      <c r="A362" s="31" t="inlineStr">
        <is>
          <t>BANARISUG</t>
        </is>
      </c>
      <c r="B362" s="31" t="inlineStr">
        <is>
          <t>Bannari Amman Sugars Limited</t>
        </is>
      </c>
      <c r="C362" s="31" t="inlineStr">
        <is>
          <t>fmcg</t>
        </is>
      </c>
      <c r="D362" s="31" t="inlineStr">
        <is>
          <t>sugar</t>
        </is>
      </c>
      <c r="E362" s="31" t="inlineStr">
        <is>
          <t>midcap</t>
        </is>
      </c>
      <c r="F362" s="31" t="n">
        <v>5013.25</v>
      </c>
      <c r="G362" s="31" t="n">
        <v>3899.9</v>
      </c>
      <c r="H362" s="31" t="n">
        <v>-2.45</v>
      </c>
      <c r="I362" s="31" t="n">
        <v>4133</v>
      </c>
      <c r="J362" s="31" t="inlineStr">
        <is>
          <t>500041</t>
        </is>
      </c>
    </row>
    <row r="363">
      <c r="A363" s="31" t="inlineStr">
        <is>
          <t>FINCABLES</t>
        </is>
      </c>
      <c r="B363" s="31" t="inlineStr">
        <is>
          <t>Finolex Cables Limited</t>
        </is>
      </c>
      <c r="C363" s="31" t="inlineStr">
        <is>
          <t>industrials</t>
        </is>
      </c>
      <c r="D363" s="31" t="inlineStr">
        <is>
          <t>cables - power</t>
        </is>
      </c>
      <c r="E363" s="31" t="inlineStr">
        <is>
          <t>midcap</t>
        </is>
      </c>
      <c r="F363" s="31" t="n">
        <v>19753.65</v>
      </c>
      <c r="G363" s="31" t="n">
        <v>1259.85</v>
      </c>
      <c r="H363" s="31" t="n">
        <v>-2.46</v>
      </c>
      <c r="I363" s="31" t="n">
        <v>467146</v>
      </c>
      <c r="J363" s="31" t="inlineStr">
        <is>
          <t>500144</t>
        </is>
      </c>
    </row>
    <row r="364">
      <c r="A364" s="31" t="inlineStr">
        <is>
          <t>SHRIPISTON</t>
        </is>
      </c>
      <c r="B364" s="31" t="inlineStr">
        <is>
          <t>Shriram Pistons &amp; Rings Limited</t>
        </is>
      </c>
      <c r="C364" s="31" t="inlineStr">
        <is>
          <t>auto</t>
        </is>
      </c>
      <c r="D364" s="31" t="inlineStr">
        <is>
          <t>auto ancillaries</t>
        </is>
      </c>
      <c r="E364" s="31" t="inlineStr">
        <is>
          <t>largecap</t>
        </is>
      </c>
      <c r="F364" s="31" t="n">
        <v>20909.57</v>
      </c>
      <c r="G364" s="31" t="n">
        <v>4629.9</v>
      </c>
      <c r="H364" s="31" t="n">
        <v>-2.46</v>
      </c>
      <c r="I364" s="31" t="n">
        <v>129618</v>
      </c>
      <c r="J364" s="31" t="n"/>
    </row>
    <row r="365">
      <c r="A365" s="31" t="inlineStr">
        <is>
          <t>BECTORFOOD</t>
        </is>
      </c>
      <c r="B365" s="31" t="inlineStr">
        <is>
          <t>Mrs Bectors Food Specialities Ltd</t>
        </is>
      </c>
      <c r="C365" s="31" t="inlineStr">
        <is>
          <t>fmcg</t>
        </is>
      </c>
      <c r="D365" s="31" t="inlineStr">
        <is>
          <t>food - processing - indian</t>
        </is>
      </c>
      <c r="E365" s="31" t="inlineStr">
        <is>
          <t>midcap</t>
        </is>
      </c>
      <c r="F365" s="31" t="n">
        <v>7898.56</v>
      </c>
      <c r="G365" s="31" t="n">
        <v>250.89</v>
      </c>
      <c r="H365" s="31" t="n">
        <v>-2.49</v>
      </c>
      <c r="I365" s="31" t="n">
        <v>850715</v>
      </c>
      <c r="J365" s="31" t="inlineStr">
        <is>
          <t>543253</t>
        </is>
      </c>
    </row>
    <row r="366">
      <c r="A366" s="31" t="inlineStr">
        <is>
          <t>DIVGIITTS</t>
        </is>
      </c>
      <c r="B366" s="31" t="inlineStr">
        <is>
          <t>Divgi Torqtransfer Systems Ltd</t>
        </is>
      </c>
      <c r="C366" s="31" t="inlineStr">
        <is>
          <t>auto</t>
        </is>
      </c>
      <c r="D366" s="31" t="inlineStr">
        <is>
          <t>auto ancillaries</t>
        </is>
      </c>
      <c r="E366" s="31" t="inlineStr">
        <is>
          <t>smallcap</t>
        </is>
      </c>
      <c r="F366" s="31" t="n">
        <v>3734.33</v>
      </c>
      <c r="G366" s="31" t="n">
        <v>1190.35</v>
      </c>
      <c r="H366" s="31" t="n">
        <v>-2.51</v>
      </c>
      <c r="I366" s="31" t="n">
        <v>79394</v>
      </c>
      <c r="J366" s="31" t="inlineStr">
        <is>
          <t>543812</t>
        </is>
      </c>
    </row>
    <row r="367">
      <c r="A367" s="31" t="inlineStr">
        <is>
          <t>YASHO</t>
        </is>
      </c>
      <c r="B367" s="31" t="inlineStr">
        <is>
          <t>Yasho Industries Ltd</t>
        </is>
      </c>
      <c r="C367" s="31" t="inlineStr">
        <is>
          <t>chemicals</t>
        </is>
      </c>
      <c r="D367" s="31" t="inlineStr">
        <is>
          <t>chemicals</t>
        </is>
      </c>
      <c r="E367" s="31" t="inlineStr">
        <is>
          <t>midcap</t>
        </is>
      </c>
      <c r="F367" s="31" t="n">
        <v>5194.8</v>
      </c>
      <c r="G367" s="31" t="n">
        <v>4200</v>
      </c>
      <c r="H367" s="31" t="n">
        <v>-2.52</v>
      </c>
      <c r="I367" s="31" t="n">
        <v>47800</v>
      </c>
      <c r="J367" s="31" t="inlineStr">
        <is>
          <t>541167</t>
        </is>
      </c>
    </row>
    <row r="368">
      <c r="A368" s="31" t="inlineStr">
        <is>
          <t>PTCIL</t>
        </is>
      </c>
      <c r="B368" s="31" t="inlineStr">
        <is>
          <t>PTC Industries Ltd</t>
        </is>
      </c>
      <c r="C368" s="31" t="inlineStr">
        <is>
          <t>industrials</t>
        </is>
      </c>
      <c r="D368" s="31" t="inlineStr">
        <is>
          <t>castings &amp; forgings</t>
        </is>
      </c>
      <c r="E368" s="31" t="inlineStr">
        <is>
          <t>largecap</t>
        </is>
      </c>
      <c r="F368" s="31" t="n">
        <v>32491.85</v>
      </c>
      <c r="G368" s="31" t="n">
        <v>21121</v>
      </c>
      <c r="H368" s="31" t="n">
        <v>-2.54</v>
      </c>
      <c r="I368" s="31" t="n">
        <v>32165</v>
      </c>
      <c r="J368" s="31" t="inlineStr">
        <is>
          <t>539006</t>
        </is>
      </c>
    </row>
    <row r="369">
      <c r="A369" s="31" t="inlineStr">
        <is>
          <t>UNIVCABLES</t>
        </is>
      </c>
      <c r="B369" s="31" t="inlineStr">
        <is>
          <t>Universal Cables Limited</t>
        </is>
      </c>
      <c r="C369" s="31" t="inlineStr">
        <is>
          <t>industrials</t>
        </is>
      </c>
      <c r="D369" s="31" t="inlineStr">
        <is>
          <t>cables - power</t>
        </is>
      </c>
      <c r="E369" s="31" t="inlineStr">
        <is>
          <t>midcap</t>
        </is>
      </c>
      <c r="F369" s="31" t="n">
        <v>5661.25</v>
      </c>
      <c r="G369" s="31" t="n">
        <v>1589.9</v>
      </c>
      <c r="H369" s="31" t="n">
        <v>-2.56</v>
      </c>
      <c r="I369" s="31" t="n">
        <v>178998</v>
      </c>
      <c r="J369" s="31" t="inlineStr">
        <is>
          <t>504212</t>
        </is>
      </c>
    </row>
    <row r="370">
      <c r="A370" s="31" t="inlineStr">
        <is>
          <t>IGPL</t>
        </is>
      </c>
      <c r="B370" s="31" t="inlineStr">
        <is>
          <t>Ig Petrochemicals Limited</t>
        </is>
      </c>
      <c r="C370" s="31" t="inlineStr">
        <is>
          <t>chemicals</t>
        </is>
      </c>
      <c r="D370" s="31" t="inlineStr">
        <is>
          <t>chemicals</t>
        </is>
      </c>
      <c r="E370" s="31" t="inlineStr">
        <is>
          <t>smallcap</t>
        </is>
      </c>
      <c r="F370" s="31" t="n">
        <v>1542.98</v>
      </c>
      <c r="G370" s="31" t="n">
        <v>488.05</v>
      </c>
      <c r="H370" s="31" t="n">
        <v>-2.59</v>
      </c>
      <c r="I370" s="31" t="n">
        <v>77970</v>
      </c>
      <c r="J370" s="31" t="inlineStr">
        <is>
          <t>500199</t>
        </is>
      </c>
    </row>
    <row r="371">
      <c r="A371" s="31" t="inlineStr">
        <is>
          <t>SUVEN</t>
        </is>
      </c>
      <c r="B371" s="31" t="inlineStr">
        <is>
          <t>Suven Life Sciences Limited</t>
        </is>
      </c>
      <c r="C371" s="31" t="inlineStr">
        <is>
          <t>healthcare</t>
        </is>
      </c>
      <c r="D371" s="31" t="inlineStr">
        <is>
          <t>miscellaneous</t>
        </is>
      </c>
      <c r="E371" s="31" t="inlineStr">
        <is>
          <t>smallcap</t>
        </is>
      </c>
      <c r="F371" s="31" t="n">
        <v>714.3099999999999</v>
      </c>
      <c r="G371" s="31" t="n">
        <v>360.05</v>
      </c>
      <c r="H371" s="31" t="n">
        <v>-2.62</v>
      </c>
      <c r="I371" s="31" t="n">
        <v>648281</v>
      </c>
      <c r="J371" s="31" t="inlineStr">
        <is>
          <t>530239</t>
        </is>
      </c>
    </row>
    <row r="372">
      <c r="A372" s="31" t="inlineStr">
        <is>
          <t>WELCORP</t>
        </is>
      </c>
      <c r="B372" s="31" t="inlineStr">
        <is>
          <t>Welspun Corp Limited</t>
        </is>
      </c>
      <c r="C372" s="31" t="inlineStr">
        <is>
          <t>industrials</t>
        </is>
      </c>
      <c r="D372" s="31" t="inlineStr">
        <is>
          <t>steel - large</t>
        </is>
      </c>
      <c r="E372" s="31" t="inlineStr">
        <is>
          <t>largecap</t>
        </is>
      </c>
      <c r="F372" s="31" t="n">
        <v>63552.44</v>
      </c>
      <c r="G372" s="31" t="n">
        <v>2345.5</v>
      </c>
      <c r="H372" s="31" t="n">
        <v>-2.64</v>
      </c>
      <c r="I372" s="31" t="n">
        <v>2854192</v>
      </c>
      <c r="J372" s="31" t="inlineStr">
        <is>
          <t>532144</t>
        </is>
      </c>
    </row>
    <row r="373">
      <c r="A373" s="31" t="inlineStr">
        <is>
          <t>ARIES</t>
        </is>
      </c>
      <c r="B373" s="31" t="inlineStr">
        <is>
          <t>Aries Agro Limited</t>
        </is>
      </c>
      <c r="C373" s="31" t="inlineStr">
        <is>
          <t>chemicals</t>
        </is>
      </c>
      <c r="D373" s="31" t="inlineStr">
        <is>
          <t>fertilizers</t>
        </is>
      </c>
      <c r="E373" s="31" t="inlineStr">
        <is>
          <t>smallcap</t>
        </is>
      </c>
      <c r="F373" s="31" t="n">
        <v>596.96</v>
      </c>
      <c r="G373" s="31" t="n">
        <v>446.75</v>
      </c>
      <c r="H373" s="31" t="n">
        <v>-2.68</v>
      </c>
      <c r="I373" s="31" t="n">
        <v>35988</v>
      </c>
      <c r="J373" s="31" t="inlineStr">
        <is>
          <t>532935</t>
        </is>
      </c>
    </row>
    <row r="374">
      <c r="A374" s="31" t="inlineStr">
        <is>
          <t>E2E</t>
        </is>
      </c>
      <c r="B374" s="31" t="inlineStr">
        <is>
          <t>E2E Networks Ltd</t>
        </is>
      </c>
      <c r="C374" s="31" t="inlineStr">
        <is>
          <t>i.t</t>
        </is>
      </c>
      <c r="D374" s="31" t="inlineStr">
        <is>
          <t>computers - software - medium / small</t>
        </is>
      </c>
      <c r="E374" s="31" t="inlineStr">
        <is>
          <t>midcap</t>
        </is>
      </c>
      <c r="F374" s="31" t="n">
        <v>12599.07</v>
      </c>
      <c r="G374" s="31" t="n">
        <v>596.35</v>
      </c>
      <c r="H374" s="31" t="n">
        <v>-2.7</v>
      </c>
      <c r="I374" s="31" t="n">
        <v>657170</v>
      </c>
      <c r="J374" s="31" t="inlineStr">
        <is>
          <t>535080</t>
        </is>
      </c>
    </row>
    <row r="375">
      <c r="A375" s="31" t="inlineStr">
        <is>
          <t>VOLTAMP</t>
        </is>
      </c>
      <c r="B375" s="31" t="inlineStr">
        <is>
          <t>Voltamp Transformers Limited</t>
        </is>
      </c>
      <c r="C375" s="31" t="inlineStr">
        <is>
          <t>industrials</t>
        </is>
      </c>
      <c r="D375" s="31" t="inlineStr">
        <is>
          <t>electric equipment</t>
        </is>
      </c>
      <c r="E375" s="31" t="inlineStr">
        <is>
          <t>midcap</t>
        </is>
      </c>
      <c r="F375" s="31" t="n">
        <v>11424.25</v>
      </c>
      <c r="G375" s="31" t="n">
        <v>10987</v>
      </c>
      <c r="H375" s="31" t="n">
        <v>-2.7</v>
      </c>
      <c r="I375" s="31" t="n">
        <v>95586</v>
      </c>
      <c r="J375" s="31" t="inlineStr">
        <is>
          <t>532757</t>
        </is>
      </c>
    </row>
    <row r="376">
      <c r="A376" s="31" t="inlineStr">
        <is>
          <t>CHEMBONDCH</t>
        </is>
      </c>
      <c r="B376" s="31" t="inlineStr">
        <is>
          <t>Chembond Chemicals Ltd</t>
        </is>
      </c>
      <c r="C376" s="31" t="inlineStr">
        <is>
          <t>chemicals</t>
        </is>
      </c>
      <c r="D376" s="31" t="inlineStr">
        <is>
          <t>chemicals</t>
        </is>
      </c>
      <c r="E376" s="31" t="inlineStr">
        <is>
          <t>smallcap</t>
        </is>
      </c>
      <c r="F376" s="31" t="n">
        <v>736.72</v>
      </c>
      <c r="G376" s="31" t="n">
        <v>266.5</v>
      </c>
      <c r="H376" s="31" t="n">
        <v>-2.71</v>
      </c>
      <c r="I376" s="31" t="n">
        <v>25808</v>
      </c>
      <c r="J376" s="31" t="inlineStr">
        <is>
          <t>544450</t>
        </is>
      </c>
    </row>
    <row r="377">
      <c r="A377" s="31" t="inlineStr">
        <is>
          <t>ADOR</t>
        </is>
      </c>
      <c r="B377" s="31" t="inlineStr">
        <is>
          <t>Ador Welding Ltd</t>
        </is>
      </c>
      <c r="C377" s="31" t="inlineStr">
        <is>
          <t>industrials</t>
        </is>
      </c>
      <c r="D377" s="31" t="inlineStr">
        <is>
          <t>electrodes - welding equipment</t>
        </is>
      </c>
      <c r="E377" s="31" t="inlineStr">
        <is>
          <t>smallcap</t>
        </is>
      </c>
      <c r="F377" s="31" t="n">
        <v>2828.65</v>
      </c>
      <c r="G377" s="31" t="n">
        <v>1580.4</v>
      </c>
      <c r="H377" s="31" t="n">
        <v>-2.77</v>
      </c>
      <c r="I377" s="31" t="n">
        <v>39063</v>
      </c>
      <c r="J377" s="31" t="inlineStr">
        <is>
          <t>517041</t>
        </is>
      </c>
    </row>
    <row r="378">
      <c r="A378" s="31" t="inlineStr">
        <is>
          <t>INDOTECH</t>
        </is>
      </c>
      <c r="B378" s="31" t="inlineStr">
        <is>
          <t>Indo Tech Transformers Limited</t>
        </is>
      </c>
      <c r="C378" s="31" t="inlineStr">
        <is>
          <t>industrials</t>
        </is>
      </c>
      <c r="D378" s="31" t="inlineStr">
        <is>
          <t>electric equipment</t>
        </is>
      </c>
      <c r="E378" s="31" t="inlineStr">
        <is>
          <t>smallcap</t>
        </is>
      </c>
      <c r="F378" s="31" t="n">
        <v>4089.34</v>
      </c>
      <c r="G378" s="31" t="n">
        <v>3742.2</v>
      </c>
      <c r="H378" s="31" t="n">
        <v>-2.82</v>
      </c>
      <c r="I378" s="31" t="n">
        <v>10199</v>
      </c>
      <c r="J378" s="31" t="inlineStr">
        <is>
          <t>532717</t>
        </is>
      </c>
    </row>
    <row r="379">
      <c r="A379" s="31" t="inlineStr">
        <is>
          <t>LTFOODS</t>
        </is>
      </c>
      <c r="B379" s="31" t="inlineStr">
        <is>
          <t>L T Foods Ltd</t>
        </is>
      </c>
      <c r="C379" s="31" t="inlineStr">
        <is>
          <t>fmcg</t>
        </is>
      </c>
      <c r="D379" s="31" t="inlineStr">
        <is>
          <t>food - processing - indian</t>
        </is>
      </c>
      <c r="E379" s="31" t="inlineStr">
        <is>
          <t>midcap</t>
        </is>
      </c>
      <c r="F379" s="31" t="n">
        <v>15938.91</v>
      </c>
      <c r="G379" s="31" t="n">
        <v>445.8</v>
      </c>
      <c r="H379" s="31" t="n">
        <v>-2.88</v>
      </c>
      <c r="I379" s="31" t="n">
        <v>3215208</v>
      </c>
      <c r="J379" s="31" t="inlineStr">
        <is>
          <t>532783</t>
        </is>
      </c>
    </row>
    <row r="380">
      <c r="A380" s="31" t="inlineStr">
        <is>
          <t>RATNAVEER</t>
        </is>
      </c>
      <c r="B380" s="31" t="inlineStr">
        <is>
          <t>Ratnaveer Precision Engineering Ltd</t>
        </is>
      </c>
      <c r="C380" s="31" t="inlineStr">
        <is>
          <t>metals &amp; mining</t>
        </is>
      </c>
      <c r="D380" s="31" t="inlineStr">
        <is>
          <t>steel - medium / small</t>
        </is>
      </c>
      <c r="E380" s="31" t="inlineStr">
        <is>
          <t>smallcap</t>
        </is>
      </c>
      <c r="F380" s="31" t="n">
        <v>1937.95</v>
      </c>
      <c r="G380" s="31" t="n">
        <v>263.43</v>
      </c>
      <c r="H380" s="31" t="n">
        <v>-2.91</v>
      </c>
      <c r="I380" s="31" t="n">
        <v>8308322</v>
      </c>
      <c r="J380" s="31" t="inlineStr">
        <is>
          <t>543978</t>
        </is>
      </c>
    </row>
    <row r="381">
      <c r="A381" s="31" t="inlineStr">
        <is>
          <t>SALSTEEL</t>
        </is>
      </c>
      <c r="B381" s="31" t="inlineStr">
        <is>
          <t>SAL Steel</t>
        </is>
      </c>
      <c r="C381" s="31" t="inlineStr">
        <is>
          <t>metals &amp; mining</t>
        </is>
      </c>
      <c r="D381" s="31" t="inlineStr">
        <is>
          <t>steel - sponge iron</t>
        </is>
      </c>
      <c r="E381" s="31" t="inlineStr">
        <is>
          <t>smallcap</t>
        </is>
      </c>
      <c r="F381" s="31" t="n">
        <v>1115.57</v>
      </c>
      <c r="G381" s="31" t="n">
        <v>74.79000000000001</v>
      </c>
      <c r="H381" s="31" t="n">
        <v>-2.95</v>
      </c>
      <c r="I381" s="31" t="n">
        <v>1572942</v>
      </c>
      <c r="J381" s="31" t="inlineStr">
        <is>
          <t>532604</t>
        </is>
      </c>
    </row>
    <row r="382">
      <c r="A382" s="31" t="inlineStr">
        <is>
          <t>INDOBORAX</t>
        </is>
      </c>
      <c r="B382" s="31" t="inlineStr">
        <is>
          <t>Indo Borax &amp; Chemicals Ltd</t>
        </is>
      </c>
      <c r="C382" s="31" t="inlineStr">
        <is>
          <t>chemicals</t>
        </is>
      </c>
      <c r="D382" s="31" t="inlineStr">
        <is>
          <t>chemicals</t>
        </is>
      </c>
      <c r="E382" s="31" t="inlineStr">
        <is>
          <t>smallcap</t>
        </is>
      </c>
      <c r="F382" s="31" t="n">
        <v>1612.04</v>
      </c>
      <c r="G382" s="31" t="n">
        <v>487.4</v>
      </c>
      <c r="H382" s="31" t="n">
        <v>-2.98</v>
      </c>
      <c r="I382" s="31" t="n">
        <v>263931</v>
      </c>
      <c r="J382" s="31" t="inlineStr">
        <is>
          <t>524342</t>
        </is>
      </c>
    </row>
    <row r="383">
      <c r="A383" s="31" t="inlineStr">
        <is>
          <t>MACPOWER</t>
        </is>
      </c>
      <c r="B383" s="31" t="inlineStr">
        <is>
          <t>Macpower CNC Machines Ltd</t>
        </is>
      </c>
      <c r="C383" s="31" t="inlineStr">
        <is>
          <t>industrials</t>
        </is>
      </c>
      <c r="D383" s="31" t="inlineStr">
        <is>
          <t>engineering</t>
        </is>
      </c>
      <c r="E383" s="31" t="inlineStr">
        <is>
          <t>smallcap</t>
        </is>
      </c>
      <c r="F383" s="31" t="n">
        <v>1964.22</v>
      </c>
      <c r="G383" s="31" t="n">
        <v>1903</v>
      </c>
      <c r="H383" s="31" t="n">
        <v>-3.08</v>
      </c>
      <c r="I383" s="31" t="n">
        <v>142502</v>
      </c>
      <c r="J383" s="31" t="inlineStr">
        <is>
          <t>535057</t>
        </is>
      </c>
    </row>
    <row r="384">
      <c r="A384" s="31" t="inlineStr">
        <is>
          <t>RPEL</t>
        </is>
      </c>
      <c r="B384" s="31" t="inlineStr">
        <is>
          <t>Raghav Productivity Enhancers Ltd</t>
        </is>
      </c>
      <c r="C384" s="31" t="inlineStr">
        <is>
          <t>building materials</t>
        </is>
      </c>
      <c r="D384" s="31" t="inlineStr">
        <is>
          <t>refractories / intermediates</t>
        </is>
      </c>
      <c r="E384" s="31" t="inlineStr">
        <is>
          <t>midcap</t>
        </is>
      </c>
      <c r="F384" s="31" t="n">
        <v>7634.07</v>
      </c>
      <c r="G384" s="31" t="n">
        <v>1611</v>
      </c>
      <c r="H384" s="31" t="n">
        <v>-3.09</v>
      </c>
      <c r="I384" s="31" t="n">
        <v>88356</v>
      </c>
      <c r="J384" s="31" t="inlineStr">
        <is>
          <t>539837</t>
        </is>
      </c>
    </row>
    <row r="385">
      <c r="A385" s="31" t="inlineStr">
        <is>
          <t>MAGADSUGAR</t>
        </is>
      </c>
      <c r="B385" s="31" t="inlineStr">
        <is>
          <t>Magadh Sugar &amp; Energy Ltd</t>
        </is>
      </c>
      <c r="C385" s="31" t="inlineStr">
        <is>
          <t>fmcg</t>
        </is>
      </c>
      <c r="D385" s="31" t="inlineStr">
        <is>
          <t>sugar</t>
        </is>
      </c>
      <c r="E385" s="31" t="inlineStr">
        <is>
          <t>smallcap</t>
        </is>
      </c>
      <c r="F385" s="31" t="n">
        <v>846.98</v>
      </c>
      <c r="G385" s="31" t="n">
        <v>582.35</v>
      </c>
      <c r="H385" s="31" t="n">
        <v>-3.11</v>
      </c>
      <c r="I385" s="31" t="n">
        <v>103368</v>
      </c>
      <c r="J385" s="31" t="inlineStr">
        <is>
          <t>540650</t>
        </is>
      </c>
    </row>
    <row r="386">
      <c r="A386" s="31" t="inlineStr">
        <is>
          <t>AVADHSUGAR</t>
        </is>
      </c>
      <c r="B386" s="31" t="inlineStr">
        <is>
          <t>Avadh Sugar &amp; Energy</t>
        </is>
      </c>
      <c r="C386" s="31" t="inlineStr">
        <is>
          <t>fmcg</t>
        </is>
      </c>
      <c r="D386" s="31" t="inlineStr">
        <is>
          <t>sugar</t>
        </is>
      </c>
      <c r="E386" s="31" t="inlineStr">
        <is>
          <t>smallcap</t>
        </is>
      </c>
      <c r="F386" s="31" t="n">
        <v>1665.93</v>
      </c>
      <c r="G386" s="31" t="n">
        <v>806.15</v>
      </c>
      <c r="H386" s="31" t="n">
        <v>-3.13</v>
      </c>
      <c r="I386" s="31" t="n">
        <v>456621</v>
      </c>
      <c r="J386" s="31" t="inlineStr">
        <is>
          <t>540649</t>
        </is>
      </c>
    </row>
    <row r="387">
      <c r="A387" s="31" t="inlineStr">
        <is>
          <t>JAYNECOIND</t>
        </is>
      </c>
      <c r="B387" s="31" t="inlineStr">
        <is>
          <t>Jayaswal Neco Industries Limited</t>
        </is>
      </c>
      <c r="C387" s="31" t="inlineStr">
        <is>
          <t>metals &amp; mining</t>
        </is>
      </c>
      <c r="D387" s="31" t="inlineStr">
        <is>
          <t>steel - large</t>
        </is>
      </c>
      <c r="E387" s="31" t="inlineStr">
        <is>
          <t>midcap</t>
        </is>
      </c>
      <c r="F387" s="31" t="n">
        <v>10119.74</v>
      </c>
      <c r="G387" s="31" t="n">
        <v>100.88</v>
      </c>
      <c r="H387" s="31" t="n">
        <v>-3.2</v>
      </c>
      <c r="I387" s="31" t="n">
        <v>5993254</v>
      </c>
      <c r="J387" s="31" t="inlineStr">
        <is>
          <t>522285</t>
        </is>
      </c>
    </row>
    <row r="388">
      <c r="A388" s="31" t="inlineStr">
        <is>
          <t>UTTAMSUGAR</t>
        </is>
      </c>
      <c r="B388" s="31" t="inlineStr">
        <is>
          <t>Uttam Sugar Mills Limited</t>
        </is>
      </c>
      <c r="C388" s="31" t="inlineStr">
        <is>
          <t>fmcg</t>
        </is>
      </c>
      <c r="D388" s="31" t="inlineStr">
        <is>
          <t>sugar</t>
        </is>
      </c>
      <c r="E388" s="31" t="inlineStr">
        <is>
          <t>smallcap</t>
        </is>
      </c>
      <c r="F388" s="31" t="n">
        <v>1274</v>
      </c>
      <c r="G388" s="31" t="n">
        <v>323.13</v>
      </c>
      <c r="H388" s="31" t="n">
        <v>-3.27</v>
      </c>
      <c r="I388" s="31" t="n">
        <v>527795</v>
      </c>
      <c r="J388" s="31" t="inlineStr">
        <is>
          <t>532729</t>
        </is>
      </c>
    </row>
    <row r="389">
      <c r="A389" s="31" t="inlineStr">
        <is>
          <t>ASIANENE</t>
        </is>
      </c>
      <c r="B389" s="31" t="inlineStr">
        <is>
          <t>Asian Energy Services Ltd</t>
        </is>
      </c>
      <c r="C389" s="31" t="inlineStr">
        <is>
          <t>energy</t>
        </is>
      </c>
      <c r="D389" s="31" t="inlineStr">
        <is>
          <t>oil drilling / allied services</t>
        </is>
      </c>
      <c r="E389" s="31" t="inlineStr">
        <is>
          <t>smallcap</t>
        </is>
      </c>
      <c r="F389" s="31" t="n">
        <v>2270.52</v>
      </c>
      <c r="G389" s="31" t="n">
        <v>451.5</v>
      </c>
      <c r="H389" s="31" t="n">
        <v>-3.3</v>
      </c>
      <c r="I389" s="31" t="n">
        <v>348412</v>
      </c>
      <c r="J389" s="31" t="inlineStr">
        <is>
          <t>530355</t>
        </is>
      </c>
    </row>
    <row r="390">
      <c r="A390" s="31" t="inlineStr">
        <is>
          <t>AKUMS</t>
        </is>
      </c>
      <c r="B390" s="31" t="inlineStr">
        <is>
          <t>Akums Drugs &amp; Pharmaceuticals Ltd</t>
        </is>
      </c>
      <c r="C390" s="31" t="inlineStr">
        <is>
          <t>healthcare</t>
        </is>
      </c>
      <c r="D390" s="31" t="inlineStr">
        <is>
          <t>pharmaceuticals - indian - bulk drugs &amp; formln</t>
        </is>
      </c>
      <c r="E390" s="31" t="inlineStr">
        <is>
          <t>midcap</t>
        </is>
      </c>
      <c r="F390" s="31" t="n">
        <v>12124.85</v>
      </c>
      <c r="G390" s="31" t="n">
        <v>744.85</v>
      </c>
      <c r="H390" s="31" t="n">
        <v>-3.31</v>
      </c>
      <c r="I390" s="31" t="n">
        <v>318598</v>
      </c>
      <c r="J390" s="31" t="inlineStr">
        <is>
          <t>544222</t>
        </is>
      </c>
    </row>
    <row r="391">
      <c r="A391" s="31" t="inlineStr">
        <is>
          <t>INDORAMA</t>
        </is>
      </c>
      <c r="B391" s="31" t="inlineStr">
        <is>
          <t>Indo Rama Synthetics (india) Limited</t>
        </is>
      </c>
      <c r="C391" s="31" t="inlineStr">
        <is>
          <t>textiles</t>
        </is>
      </c>
      <c r="D391" s="31" t="inlineStr">
        <is>
          <t>textiles - manmade</t>
        </is>
      </c>
      <c r="E391" s="31" t="inlineStr">
        <is>
          <t>smallcap</t>
        </is>
      </c>
      <c r="F391" s="31" t="n">
        <v>1634.83</v>
      </c>
      <c r="G391" s="31" t="n">
        <v>60.53</v>
      </c>
      <c r="H391" s="31" t="n">
        <v>-3.32</v>
      </c>
      <c r="I391" s="31" t="n">
        <v>220545</v>
      </c>
      <c r="J391" s="31" t="inlineStr">
        <is>
          <t>500207</t>
        </is>
      </c>
    </row>
    <row r="392">
      <c r="A392" s="31" t="inlineStr">
        <is>
          <t>NETWEB</t>
        </is>
      </c>
      <c r="B392" s="31" t="inlineStr">
        <is>
          <t>Netweb Technologies India Ltd</t>
        </is>
      </c>
      <c r="C392" s="31" t="inlineStr">
        <is>
          <t>i.t</t>
        </is>
      </c>
      <c r="D392" s="31" t="inlineStr">
        <is>
          <t>computers - hardware</t>
        </is>
      </c>
      <c r="E392" s="31" t="inlineStr">
        <is>
          <t>largecap</t>
        </is>
      </c>
      <c r="F392" s="31" t="n">
        <v>31058.3</v>
      </c>
      <c r="G392" s="31" t="n">
        <v>5273.5</v>
      </c>
      <c r="H392" s="31" t="n">
        <v>-3.32</v>
      </c>
      <c r="I392" s="31" t="n">
        <v>2444793</v>
      </c>
      <c r="J392" s="31" t="inlineStr">
        <is>
          <t>543945</t>
        </is>
      </c>
    </row>
    <row r="393">
      <c r="A393" s="31" t="inlineStr">
        <is>
          <t>KRBL</t>
        </is>
      </c>
      <c r="B393" s="31" t="inlineStr">
        <is>
          <t>Krbl Limited</t>
        </is>
      </c>
      <c r="C393" s="31" t="inlineStr">
        <is>
          <t>fmcg</t>
        </is>
      </c>
      <c r="D393" s="31" t="inlineStr">
        <is>
          <t>food - processing - indian</t>
        </is>
      </c>
      <c r="E393" s="31" t="inlineStr">
        <is>
          <t>midcap</t>
        </is>
      </c>
      <c r="F393" s="31" t="n">
        <v>10020.8</v>
      </c>
      <c r="G393" s="31" t="n">
        <v>423</v>
      </c>
      <c r="H393" s="31" t="n">
        <v>-3.38</v>
      </c>
      <c r="I393" s="31" t="n">
        <v>1798854</v>
      </c>
      <c r="J393" s="31" t="inlineStr">
        <is>
          <t>530813</t>
        </is>
      </c>
    </row>
    <row r="394">
      <c r="A394" s="31" t="inlineStr">
        <is>
          <t>SHALPAINTS</t>
        </is>
      </c>
      <c r="B394" s="31" t="inlineStr">
        <is>
          <t>Shalimar Paints Limited</t>
        </is>
      </c>
      <c r="C394" s="31" t="inlineStr">
        <is>
          <t>building materials</t>
        </is>
      </c>
      <c r="D394" s="31" t="inlineStr">
        <is>
          <t>paints / varnishes</t>
        </is>
      </c>
      <c r="E394" s="31" t="inlineStr">
        <is>
          <t>smallcap</t>
        </is>
      </c>
      <c r="F394" s="31" t="n">
        <v>709.45</v>
      </c>
      <c r="G394" s="31" t="n">
        <v>81.87</v>
      </c>
      <c r="H394" s="31" t="n">
        <v>-3.4</v>
      </c>
      <c r="I394" s="31" t="n">
        <v>87461</v>
      </c>
      <c r="J394" s="31" t="inlineStr">
        <is>
          <t>509874</t>
        </is>
      </c>
    </row>
    <row r="395">
      <c r="A395" s="31" t="inlineStr">
        <is>
          <t>REDINGTON</t>
        </is>
      </c>
      <c r="B395" s="31" t="inlineStr">
        <is>
          <t>Redington (india) Limited</t>
        </is>
      </c>
      <c r="C395" s="31" t="inlineStr">
        <is>
          <t>services</t>
        </is>
      </c>
      <c r="D395" s="31" t="inlineStr">
        <is>
          <t>trading</t>
        </is>
      </c>
      <c r="E395" s="31" t="inlineStr">
        <is>
          <t>largecap</t>
        </is>
      </c>
      <c r="F395" s="31" t="n">
        <v>28542.58</v>
      </c>
      <c r="G395" s="31" t="n">
        <v>352.65</v>
      </c>
      <c r="H395" s="31" t="n">
        <v>-3.41</v>
      </c>
      <c r="I395" s="31" t="n">
        <v>5828400</v>
      </c>
      <c r="J395" s="31" t="inlineStr">
        <is>
          <t>532805</t>
        </is>
      </c>
    </row>
    <row r="396">
      <c r="A396" s="31" t="inlineStr">
        <is>
          <t>BALUFORGE</t>
        </is>
      </c>
      <c r="B396" s="31" t="inlineStr">
        <is>
          <t>Balu Forge Industries Ltd</t>
        </is>
      </c>
      <c r="C396" s="31" t="inlineStr">
        <is>
          <t>industrials</t>
        </is>
      </c>
      <c r="D396" s="31" t="inlineStr">
        <is>
          <t>castings &amp; forgings</t>
        </is>
      </c>
      <c r="E396" s="31" t="inlineStr">
        <is>
          <t>midcap</t>
        </is>
      </c>
      <c r="F396" s="31" t="n">
        <v>7566.29</v>
      </c>
      <c r="G396" s="31" t="n">
        <v>609.6</v>
      </c>
      <c r="H396" s="31" t="n">
        <v>-3.57</v>
      </c>
      <c r="I396" s="31" t="n">
        <v>3220669</v>
      </c>
      <c r="J396" s="31" t="inlineStr">
        <is>
          <t>531112</t>
        </is>
      </c>
    </row>
    <row r="397">
      <c r="A397" s="31" t="inlineStr">
        <is>
          <t>DIACABS</t>
        </is>
      </c>
      <c r="B397" s="31" t="inlineStr">
        <is>
          <t>Diamond Power Infrastructure Ltd</t>
        </is>
      </c>
      <c r="C397" s="31" t="inlineStr">
        <is>
          <t>industrials</t>
        </is>
      </c>
      <c r="D397" s="31" t="inlineStr">
        <is>
          <t>cables - power</t>
        </is>
      </c>
      <c r="E397" s="31" t="inlineStr">
        <is>
          <t>midcap</t>
        </is>
      </c>
      <c r="F397" s="31" t="n">
        <v>18612.62</v>
      </c>
      <c r="G397" s="31" t="n">
        <v>339.3</v>
      </c>
      <c r="H397" s="31" t="n">
        <v>-3.94</v>
      </c>
      <c r="I397" s="31" t="n">
        <v>2543790</v>
      </c>
      <c r="J397" s="31" t="inlineStr">
        <is>
          <t>522163</t>
        </is>
      </c>
    </row>
    <row r="398">
      <c r="A398" s="31" t="inlineStr">
        <is>
          <t>WHEELS</t>
        </is>
      </c>
      <c r="B398" s="31" t="inlineStr">
        <is>
          <t>Wheels India Limited</t>
        </is>
      </c>
      <c r="C398" s="31" t="inlineStr">
        <is>
          <t>auto</t>
        </is>
      </c>
      <c r="D398" s="31" t="inlineStr">
        <is>
          <t>auto ancillaries</t>
        </is>
      </c>
      <c r="E398" s="31" t="inlineStr">
        <is>
          <t>smallcap</t>
        </is>
      </c>
      <c r="F398" s="31" t="n">
        <v>3814.97</v>
      </c>
      <c r="G398" s="31" t="n">
        <v>1499.3</v>
      </c>
      <c r="H398" s="31" t="n">
        <v>-3.98</v>
      </c>
      <c r="I398" s="31" t="n">
        <v>166683</v>
      </c>
      <c r="J398" s="31" t="inlineStr">
        <is>
          <t>590073</t>
        </is>
      </c>
    </row>
    <row r="399">
      <c r="A399" s="31" t="inlineStr">
        <is>
          <t>UGARSUGAR</t>
        </is>
      </c>
      <c r="B399" s="31" t="inlineStr">
        <is>
          <t>The Ugar Sugar Works Limited</t>
        </is>
      </c>
      <c r="C399" s="31" t="inlineStr">
        <is>
          <t>fmcg</t>
        </is>
      </c>
      <c r="D399" s="31" t="inlineStr">
        <is>
          <t>sugar</t>
        </is>
      </c>
      <c r="E399" s="31" t="inlineStr">
        <is>
          <t>smallcap</t>
        </is>
      </c>
      <c r="F399" s="31" t="n">
        <v>652.61</v>
      </c>
      <c r="G399" s="31" t="n">
        <v>55.66</v>
      </c>
      <c r="H399" s="31" t="n">
        <v>-4.05</v>
      </c>
      <c r="I399" s="31" t="n">
        <v>1307176</v>
      </c>
      <c r="J399" s="31" t="inlineStr">
        <is>
          <t>530363</t>
        </is>
      </c>
    </row>
    <row r="400">
      <c r="A400" s="31" t="inlineStr">
        <is>
          <t>DEEPINDS</t>
        </is>
      </c>
      <c r="B400" s="31" t="inlineStr">
        <is>
          <t>Deep Industries Ltd</t>
        </is>
      </c>
      <c r="C400" s="31" t="inlineStr">
        <is>
          <t>energy</t>
        </is>
      </c>
      <c r="D400" s="31" t="inlineStr">
        <is>
          <t>oil drilling / allied services</t>
        </is>
      </c>
      <c r="E400" s="31" t="inlineStr">
        <is>
          <t>smallcap</t>
        </is>
      </c>
      <c r="F400" s="31" t="n">
        <v>4339.52</v>
      </c>
      <c r="G400" s="31" t="n">
        <v>649.65</v>
      </c>
      <c r="H400" s="31" t="n">
        <v>-4.19</v>
      </c>
      <c r="I400" s="31" t="n">
        <v>322743</v>
      </c>
      <c r="J400" s="31" t="inlineStr">
        <is>
          <t>543288</t>
        </is>
      </c>
    </row>
    <row r="401">
      <c r="A401" s="31" t="inlineStr">
        <is>
          <t>IIFL</t>
        </is>
      </c>
      <c r="B401" s="31" t="inlineStr">
        <is>
          <t>IIFL Finance Ltd</t>
        </is>
      </c>
      <c r="C401" s="31" t="inlineStr">
        <is>
          <t>financials</t>
        </is>
      </c>
      <c r="D401" s="31" t="inlineStr">
        <is>
          <t>finance &amp; investments</t>
        </is>
      </c>
      <c r="E401" s="31" t="inlineStr">
        <is>
          <t>largecap</t>
        </is>
      </c>
      <c r="F401" s="31" t="n">
        <v>29619.63</v>
      </c>
      <c r="G401" s="31" t="n">
        <v>666.25</v>
      </c>
      <c r="H401" s="31" t="n">
        <v>-4.33</v>
      </c>
      <c r="I401" s="31" t="n">
        <v>10081732</v>
      </c>
      <c r="J401" s="31" t="inlineStr">
        <is>
          <t>532636</t>
        </is>
      </c>
    </row>
    <row r="402">
      <c r="A402" s="31" t="inlineStr">
        <is>
          <t>BLUSPRING</t>
        </is>
      </c>
      <c r="B402" s="31" t="inlineStr">
        <is>
          <t>Bluspring Enterprises Ltd</t>
        </is>
      </c>
      <c r="C402" s="31" t="inlineStr">
        <is>
          <t>miscellaneous</t>
        </is>
      </c>
      <c r="D402" s="31" t="inlineStr">
        <is>
          <t>diversified - large</t>
        </is>
      </c>
      <c r="E402" s="31" t="inlineStr">
        <is>
          <t>smallcap</t>
        </is>
      </c>
      <c r="F402" s="31" t="n">
        <v>1987.71</v>
      </c>
      <c r="G402" s="31" t="n">
        <v>126.83</v>
      </c>
      <c r="H402" s="31" t="n">
        <v>-4.65</v>
      </c>
      <c r="I402" s="31" t="n">
        <v>1187957</v>
      </c>
      <c r="J402" s="31" t="inlineStr">
        <is>
          <t>544414</t>
        </is>
      </c>
    </row>
    <row r="403">
      <c r="A403" s="31" t="inlineStr">
        <is>
          <t>MAWANASUG</t>
        </is>
      </c>
      <c r="B403" s="31" t="inlineStr">
        <is>
          <t>Mawana Sugars Limited</t>
        </is>
      </c>
      <c r="C403" s="31" t="inlineStr">
        <is>
          <t>fmcg</t>
        </is>
      </c>
      <c r="D403" s="31" t="inlineStr">
        <is>
          <t>sugar</t>
        </is>
      </c>
      <c r="E403" s="31" t="inlineStr">
        <is>
          <t>smallcap</t>
        </is>
      </c>
      <c r="F403" s="31" t="n">
        <v>589.92</v>
      </c>
      <c r="G403" s="31" t="n">
        <v>143.68</v>
      </c>
      <c r="H403" s="31" t="n">
        <v>-4.73</v>
      </c>
      <c r="I403" s="31" t="n">
        <v>1061848</v>
      </c>
      <c r="J403" s="31" t="inlineStr">
        <is>
          <t>523371</t>
        </is>
      </c>
    </row>
    <row r="404">
      <c r="A404" s="31" t="inlineStr">
        <is>
          <t>DPABHUSHAN</t>
        </is>
      </c>
      <c r="B404" s="31" t="inlineStr">
        <is>
          <t>D.P. Abhushan Ltd</t>
        </is>
      </c>
      <c r="C404" s="31" t="inlineStr">
        <is>
          <t>consumer discretionary</t>
        </is>
      </c>
      <c r="D404" s="31" t="inlineStr">
        <is>
          <t>diamond cutting / jewellery</t>
        </is>
      </c>
      <c r="E404" s="31" t="inlineStr">
        <is>
          <t>smallcap</t>
        </is>
      </c>
      <c r="F404" s="31" t="n">
        <v>3500.21</v>
      </c>
      <c r="G404" s="31" t="n">
        <v>1459.5</v>
      </c>
      <c r="H404" s="31" t="n">
        <v>-4.81</v>
      </c>
      <c r="I404" s="31" t="n">
        <v>64267</v>
      </c>
      <c r="J404" s="31" t="inlineStr">
        <is>
          <t>535026</t>
        </is>
      </c>
    </row>
    <row r="405">
      <c r="A405" s="31" t="inlineStr">
        <is>
          <t>PARAS</t>
        </is>
      </c>
      <c r="B405" s="31" t="inlineStr">
        <is>
          <t>Paras Defence and Space Technologies Ltd</t>
        </is>
      </c>
      <c r="C405" s="31" t="inlineStr">
        <is>
          <t>aerospace &amp; defence</t>
        </is>
      </c>
      <c r="D405" s="31" t="inlineStr">
        <is>
          <t>engineering</t>
        </is>
      </c>
      <c r="E405" s="31" t="inlineStr">
        <is>
          <t>midcap</t>
        </is>
      </c>
      <c r="F405" s="31" t="n">
        <v>12249.27</v>
      </c>
      <c r="G405" s="31" t="n">
        <v>1445.2</v>
      </c>
      <c r="H405" s="31" t="n">
        <v>-4.92</v>
      </c>
      <c r="I405" s="31" t="n">
        <v>3213306</v>
      </c>
      <c r="J405" s="31" t="inlineStr">
        <is>
          <t>543367</t>
        </is>
      </c>
    </row>
    <row r="406">
      <c r="A406" s="31" t="inlineStr">
        <is>
          <t>UFBL</t>
        </is>
      </c>
      <c r="B406" s="31" t="inlineStr">
        <is>
          <t>United Foodbrands Ltd</t>
        </is>
      </c>
      <c r="C406" s="31" t="inlineStr">
        <is>
          <t>consumer discretionary</t>
        </is>
      </c>
      <c r="D406" s="31" t="inlineStr">
        <is>
          <t>hotels</t>
        </is>
      </c>
      <c r="E406" s="31" t="inlineStr">
        <is>
          <t>smallcap</t>
        </is>
      </c>
      <c r="F406" s="31" t="n">
        <v>3275.24</v>
      </c>
      <c r="G406" s="31" t="n">
        <v>796.1</v>
      </c>
      <c r="H406" s="31" t="n">
        <v>-4.99</v>
      </c>
      <c r="I406" s="31" t="n">
        <v>44080</v>
      </c>
      <c r="J406" s="31" t="inlineStr">
        <is>
          <t>543283</t>
        </is>
      </c>
    </row>
    <row r="407">
      <c r="A407" s="31" t="inlineStr">
        <is>
          <t>BAJAJHIND</t>
        </is>
      </c>
      <c r="B407" s="31" t="inlineStr">
        <is>
          <t>Bajaj Hindusthan Sugar Limited</t>
        </is>
      </c>
      <c r="C407" s="31" t="inlineStr">
        <is>
          <t>fmcg</t>
        </is>
      </c>
      <c r="D407" s="31" t="inlineStr">
        <is>
          <t>sugar</t>
        </is>
      </c>
      <c r="E407" s="31" t="inlineStr">
        <is>
          <t>midcap</t>
        </is>
      </c>
      <c r="F407" s="31" t="n">
        <v>5792.58</v>
      </c>
      <c r="G407" s="31" t="n">
        <v>22.81</v>
      </c>
      <c r="H407" s="31" t="n">
        <v>-5.86</v>
      </c>
      <c r="I407" s="31" t="n">
        <v>132793945</v>
      </c>
      <c r="J407" s="31" t="inlineStr">
        <is>
          <t>500032</t>
        </is>
      </c>
    </row>
    <row r="408">
      <c r="A408" s="31" t="inlineStr">
        <is>
          <t>NAHARINDUS</t>
        </is>
      </c>
      <c r="B408" s="31" t="inlineStr">
        <is>
          <t>Nahar Industrial Enterprises Limited</t>
        </is>
      </c>
      <c r="C408" s="31" t="inlineStr">
        <is>
          <t>textiles</t>
        </is>
      </c>
      <c r="D408" s="31" t="inlineStr">
        <is>
          <t>textiles - cotton/blended</t>
        </is>
      </c>
      <c r="E408" s="31" t="inlineStr">
        <is>
          <t>smallcap</t>
        </is>
      </c>
      <c r="F408" s="31" t="n">
        <v>637.71</v>
      </c>
      <c r="G408" s="31" t="n">
        <v>138.51</v>
      </c>
      <c r="H408" s="31" t="n">
        <v>-6.16</v>
      </c>
      <c r="I408" s="31" t="n">
        <v>448049</v>
      </c>
      <c r="J408" s="31" t="inlineStr">
        <is>
          <t>519136</t>
        </is>
      </c>
    </row>
    <row r="409">
      <c r="A409" s="31" t="inlineStr">
        <is>
          <t>QUADFUTURE</t>
        </is>
      </c>
      <c r="B409" s="31" t="inlineStr">
        <is>
          <t>Quadrant Future Tek Ltd</t>
        </is>
      </c>
      <c r="C409" s="31" t="inlineStr">
        <is>
          <t>industrials</t>
        </is>
      </c>
      <c r="D409" s="31" t="inlineStr">
        <is>
          <t>cables - power</t>
        </is>
      </c>
      <c r="E409" s="31" t="inlineStr">
        <is>
          <t>smallcap</t>
        </is>
      </c>
      <c r="F409" s="31" t="n">
        <v>1789.2</v>
      </c>
      <c r="G409" s="31" t="n">
        <v>418.5</v>
      </c>
      <c r="H409" s="31" t="n">
        <v>-6.44</v>
      </c>
      <c r="I409" s="31" t="n">
        <v>5756968</v>
      </c>
      <c r="J409" s="31" t="inlineStr">
        <is>
          <t>544336</t>
        </is>
      </c>
    </row>
    <row r="410">
      <c r="A410" s="31" t="inlineStr">
        <is>
          <t>KRONOX</t>
        </is>
      </c>
      <c r="B410" s="31" t="inlineStr">
        <is>
          <t>Kronox Lab Sciences Ltd</t>
        </is>
      </c>
      <c r="C410" s="31" t="inlineStr">
        <is>
          <t>chemicals</t>
        </is>
      </c>
      <c r="D410" s="31" t="inlineStr">
        <is>
          <t>chemicals</t>
        </is>
      </c>
      <c r="E410" s="31" t="inlineStr">
        <is>
          <t>smallcap</t>
        </is>
      </c>
      <c r="F410" s="31" t="n">
        <v>761.97</v>
      </c>
      <c r="G410" s="31" t="n">
        <v>186.14</v>
      </c>
      <c r="H410" s="31" t="n">
        <v>-9.359999999999999</v>
      </c>
      <c r="I410" s="31" t="n">
        <v>1304528</v>
      </c>
      <c r="J410" s="31" t="inlineStr">
        <is>
          <t>544187</t>
        </is>
      </c>
    </row>
  </sheetData>
  <autoFilter ref="A1:J4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TFCILTD</t>
        </is>
      </c>
      <c r="E2" s="31" t="inlineStr">
        <is>
          <t>Tourism Finance Corporation Of India Limited</t>
        </is>
      </c>
      <c r="F2" s="31" t="inlineStr">
        <is>
          <t>Finance - PSU Lending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26</v>
      </c>
      <c r="K2" s="31" t="n">
        <v>28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IPCALAB</t>
        </is>
      </c>
      <c r="E3" s="31" t="inlineStr">
        <is>
          <t>Ipca Laboratories Limited</t>
        </is>
      </c>
      <c r="F3" s="31" t="inlineStr">
        <is>
          <t>Pharma - Formulators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20</v>
      </c>
      <c r="K3" s="31" t="n">
        <v>16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SJS</t>
        </is>
      </c>
      <c r="E4" s="31" t="inlineStr">
        <is>
          <t>S J S Enterprises Ltd</t>
        </is>
      </c>
      <c r="F4" s="31" t="inlineStr">
        <is>
          <t>Auto Ancillaries - Diversified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22</v>
      </c>
      <c r="K4" s="31" t="n">
        <v>29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SHILPAMED</t>
        </is>
      </c>
      <c r="E5" s="31" t="inlineStr">
        <is>
          <t>Shilpa Medicare Limited</t>
        </is>
      </c>
      <c r="F5" s="31" t="inlineStr">
        <is>
          <t>Pharma - API &amp; CRAMS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21</v>
      </c>
      <c r="K5" s="31" t="n">
        <v>25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SKYGOLD</t>
        </is>
      </c>
      <c r="E6" s="31" t="inlineStr">
        <is>
          <t>Sky Gold Ltd</t>
        </is>
      </c>
      <c r="F6" s="31" t="inlineStr">
        <is>
          <t>Diamond, Gems &amp; Jewellery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30</v>
      </c>
      <c r="K6" s="31" t="n">
        <v>28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ENTERO</t>
        </is>
      </c>
      <c r="E7" s="31" t="inlineStr">
        <is>
          <t>Entero Healthcare Solutions Ltd</t>
        </is>
      </c>
      <c r="F7" s="31" t="inlineStr">
        <is>
          <t>Pharmacy Distribution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28</v>
      </c>
      <c r="K7" s="31" t="n">
        <v>22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KRISHANA</t>
        </is>
      </c>
      <c r="E8" s="31" t="inlineStr">
        <is>
          <t>Krishana Phoschem Ltd</t>
        </is>
      </c>
      <c r="F8" s="31" t="inlineStr">
        <is>
          <t>Fertilisers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22</v>
      </c>
      <c r="K8" s="31" t="n">
        <v>27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BODALCHEM</t>
        </is>
      </c>
      <c r="E9" s="31" t="inlineStr">
        <is>
          <t>Bodal Chemicals Limited</t>
        </is>
      </c>
      <c r="F9" s="31" t="inlineStr">
        <is>
          <t>Dyes &amp; Pigments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22</v>
      </c>
      <c r="K9" s="31" t="n">
        <v>16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PAYTM</t>
        </is>
      </c>
      <c r="E10" s="31" t="inlineStr">
        <is>
          <t>One 97 Communications Ltd</t>
        </is>
      </c>
      <c r="F10" s="31" t="inlineStr">
        <is>
          <t>E-Commerce - Platform - Utility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20</v>
      </c>
      <c r="K10" s="31" t="n">
        <v>28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INDOBORAX</t>
        </is>
      </c>
      <c r="E11" s="31" t="inlineStr">
        <is>
          <t>Indo Borax &amp; Chemicals Ltd</t>
        </is>
      </c>
      <c r="F11" s="31" t="inlineStr">
        <is>
          <t>Chemicals - Inorganic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23</v>
      </c>
      <c r="K11" s="31" t="n">
        <v>13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VADILALIND</t>
        </is>
      </c>
      <c r="E12" s="31" t="inlineStr">
        <is>
          <t>Vadilal Industries Limited</t>
        </is>
      </c>
      <c r="F12" s="31" t="inlineStr">
        <is>
          <t>FMCG - Dairy Products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21</v>
      </c>
      <c r="K12" s="31" t="n">
        <v>30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IOLCP</t>
        </is>
      </c>
      <c r="E13" s="31" t="inlineStr">
        <is>
          <t>Iol Chemicals And Pharmaceuticals Limited</t>
        </is>
      </c>
      <c r="F13" s="31" t="inlineStr">
        <is>
          <t>Pharma - API &amp; CRAMS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21</v>
      </c>
      <c r="K13" s="31" t="n">
        <v>16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WELINV</t>
        </is>
      </c>
      <c r="E14" s="31" t="inlineStr">
        <is>
          <t>Welspun Investments And Commercials Limited</t>
        </is>
      </c>
      <c r="F14" s="31" t="inlineStr">
        <is>
          <t>Finance - Investment/Others</t>
        </is>
      </c>
      <c r="G14" s="31" t="n">
        <v>2</v>
      </c>
      <c r="H14" s="31" t="inlineStr">
        <is>
          <t>52W Breakout</t>
        </is>
      </c>
      <c r="I14" s="31" t="inlineStr">
        <is>
          <t>Yes</t>
        </is>
      </c>
      <c r="J14" s="31" t="n">
        <v>1</v>
      </c>
      <c r="K14" s="31" t="n">
        <v>12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IIFL</t>
        </is>
      </c>
      <c r="E15" s="31" t="inlineStr">
        <is>
          <t>IIFL Finance Ltd</t>
        </is>
      </c>
      <c r="F15" s="31" t="inlineStr">
        <is>
          <t>Finance &amp; Investments - Gold Loan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22</v>
      </c>
      <c r="K15" s="31" t="n">
        <v>26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AURUM</t>
        </is>
      </c>
      <c r="E16" s="31" t="inlineStr">
        <is>
          <t>Aurum Proptech Ltd</t>
        </is>
      </c>
      <c r="F16" s="31" t="inlineStr">
        <is>
          <t>IT Enabled Services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20</v>
      </c>
      <c r="K16" s="31" t="n">
        <v>14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INDOTECH</t>
        </is>
      </c>
      <c r="E17" s="31" t="inlineStr">
        <is>
          <t>Indo Tech Transformers Limited</t>
        </is>
      </c>
      <c r="F17" s="31" t="inlineStr">
        <is>
          <t>Capital Goods - Transformers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21</v>
      </c>
      <c r="K17" s="31" t="n">
        <v>29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PARAS</t>
        </is>
      </c>
      <c r="E18" s="31" t="inlineStr">
        <is>
          <t>Paras Defence and Space Technologies Ltd</t>
        </is>
      </c>
      <c r="F18" s="31" t="inlineStr">
        <is>
          <t>Aerospace &amp; Defence - Equipments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22</v>
      </c>
      <c r="K18" s="31" t="n">
        <v>21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DCBBANK</t>
        </is>
      </c>
      <c r="E19" s="31" t="inlineStr">
        <is>
          <t>Dcb Bank Limited</t>
        </is>
      </c>
      <c r="F19" s="31" t="inlineStr">
        <is>
          <t>Banks - Private</t>
        </is>
      </c>
      <c r="G19" s="31" t="n">
        <v>2</v>
      </c>
      <c r="H19" s="31" t="inlineStr">
        <is>
          <t>52W Breakout</t>
        </is>
      </c>
      <c r="I19" s="31" t="inlineStr">
        <is>
          <t>Yes</t>
        </is>
      </c>
      <c r="J19" s="31" t="n">
        <v>15</v>
      </c>
      <c r="K19" s="31" t="n">
        <v>8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KDDL</t>
        </is>
      </c>
      <c r="E20" s="31" t="inlineStr">
        <is>
          <t>Kddl Limited</t>
        </is>
      </c>
      <c r="F20" s="31" t="inlineStr">
        <is>
          <t>Watches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21</v>
      </c>
      <c r="K20" s="31" t="n">
        <v>24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KMEW</t>
        </is>
      </c>
      <c r="E21" s="31" t="inlineStr">
        <is>
          <t>Knowledge Marine &amp; Engineering Works Ltd</t>
        </is>
      </c>
      <c r="F21" s="31" t="inlineStr">
        <is>
          <t>Shipping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21</v>
      </c>
      <c r="K21" s="31" t="n">
        <v>29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MANORAMA</t>
        </is>
      </c>
      <c r="E22" s="31" t="inlineStr">
        <is>
          <t>Manorama Industries Ltd</t>
        </is>
      </c>
      <c r="F22" s="31" t="inlineStr">
        <is>
          <t>FMCG - Chocolate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21</v>
      </c>
      <c r="K22" s="31" t="n">
        <v>20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MOREPENLAB</t>
        </is>
      </c>
      <c r="E23" s="31" t="inlineStr">
        <is>
          <t>Morepen Laboratories Limited</t>
        </is>
      </c>
      <c r="F23" s="31" t="inlineStr">
        <is>
          <t>Pharma - API &amp; CRAMS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26</v>
      </c>
      <c r="K23" s="31" t="n">
        <v>20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KINGFA</t>
        </is>
      </c>
      <c r="E24" s="31" t="inlineStr">
        <is>
          <t>Kingfa Science &amp; Technology (india) Limited</t>
        </is>
      </c>
      <c r="F24" s="31" t="inlineStr">
        <is>
          <t>Plastics - Plastic &amp; Plastic Products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24</v>
      </c>
      <c r="K24" s="31" t="n">
        <v>17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APARINDS</t>
        </is>
      </c>
      <c r="E25" s="31" t="inlineStr">
        <is>
          <t>Apar Industries Limited</t>
        </is>
      </c>
      <c r="F25" s="31" t="inlineStr">
        <is>
          <t>Cables - Power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19</v>
      </c>
      <c r="K25" s="31" t="n">
        <v>20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NITINSPIN</t>
        </is>
      </c>
      <c r="E26" s="31" t="inlineStr">
        <is>
          <t>Nitin Spinners Limited</t>
        </is>
      </c>
      <c r="F26" s="31" t="inlineStr">
        <is>
          <t>Textiles - Spinning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20</v>
      </c>
      <c r="K26" s="31" t="n">
        <v>15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FCL</t>
        </is>
      </c>
      <c r="E27" s="31" t="inlineStr">
        <is>
          <t>Fineotex Chemical Limited</t>
        </is>
      </c>
      <c r="F27" s="31" t="inlineStr">
        <is>
          <t>Speciality Chemicals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23</v>
      </c>
      <c r="K27" s="31" t="n">
        <v>18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MENONBE</t>
        </is>
      </c>
      <c r="E28" s="31" t="inlineStr">
        <is>
          <t>Menon Bearings Limited</t>
        </is>
      </c>
      <c r="F28" s="31" t="inlineStr">
        <is>
          <t>Auto Ancillaries - Bearings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20</v>
      </c>
      <c r="K28" s="31" t="n">
        <v>27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UNIPARTS</t>
        </is>
      </c>
      <c r="E29" s="31" t="inlineStr">
        <is>
          <t>Uniparts India Ltd</t>
        </is>
      </c>
      <c r="F29" s="31" t="inlineStr">
        <is>
          <t>Castings, Forgings &amp; Fastners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20</v>
      </c>
      <c r="K29" s="31" t="n">
        <v>29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PGIL</t>
        </is>
      </c>
      <c r="E30" s="31" t="inlineStr">
        <is>
          <t>Pearl Global Industries Limited</t>
        </is>
      </c>
      <c r="F30" s="31" t="inlineStr">
        <is>
          <t>Textiles - Readymade Apparel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21</v>
      </c>
      <c r="K30" s="31" t="n">
        <v>27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INDSWFTLAB</t>
        </is>
      </c>
      <c r="E31" s="31" t="inlineStr">
        <is>
          <t>Ind-swift Laboratories Limited</t>
        </is>
      </c>
      <c r="F31" s="31" t="inlineStr">
        <is>
          <t>Pharma - API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24</v>
      </c>
      <c r="K31" s="31" t="n">
        <v>27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AUBANK</t>
        </is>
      </c>
      <c r="E32" s="31" t="inlineStr">
        <is>
          <t>AU Small Finance Bank Ltd</t>
        </is>
      </c>
      <c r="F32" s="31" t="inlineStr">
        <is>
          <t>Banks - Small Finance</t>
        </is>
      </c>
      <c r="G32" s="31" t="n">
        <v>2</v>
      </c>
      <c r="H32" s="31" t="inlineStr">
        <is>
          <t>52W Breakout</t>
        </is>
      </c>
      <c r="I32" s="31" t="inlineStr">
        <is>
          <t>Yes</t>
        </is>
      </c>
      <c r="J32" s="31" t="n">
        <v>16</v>
      </c>
      <c r="K32" s="31" t="n">
        <v>21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WELSPUNLIV</t>
        </is>
      </c>
      <c r="E33" s="31" t="inlineStr">
        <is>
          <t>Welspun Living Ltd</t>
        </is>
      </c>
      <c r="F33" s="31" t="inlineStr">
        <is>
          <t>Textiles - Home Textile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22</v>
      </c>
      <c r="K33" s="31" t="n">
        <v>13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MODISONLTD</t>
        </is>
      </c>
      <c r="E34" s="31" t="inlineStr">
        <is>
          <t>Modison Ltd</t>
        </is>
      </c>
      <c r="F34" s="31" t="inlineStr">
        <is>
          <t>Capital Goods - Electric General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27</v>
      </c>
      <c r="K34" s="31" t="n">
        <v>14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UNIVCABLES</t>
        </is>
      </c>
      <c r="E35" s="31" t="inlineStr">
        <is>
          <t>Universal Cables Limited</t>
        </is>
      </c>
      <c r="F35" s="31" t="inlineStr">
        <is>
          <t>Cables - Power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19</v>
      </c>
      <c r="K35" s="31" t="n">
        <v>23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HONASA</t>
        </is>
      </c>
      <c r="E36" s="31" t="inlineStr">
        <is>
          <t>Honasa Consumer Ltd</t>
        </is>
      </c>
      <c r="F36" s="31" t="inlineStr">
        <is>
          <t>New age - Platform - E-Retail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24</v>
      </c>
      <c r="K36" s="31" t="n">
        <v>23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IRISDOREME</t>
        </is>
      </c>
      <c r="E37" s="31" t="inlineStr">
        <is>
          <t>Iris Clothings Ltd</t>
        </is>
      </c>
      <c r="F37" s="31" t="inlineStr">
        <is>
          <t>Textiles - Readymade Apparel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20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AVALON</t>
        </is>
      </c>
      <c r="E38" s="31" t="inlineStr">
        <is>
          <t>Avalon Technologies Ltd</t>
        </is>
      </c>
      <c r="F38" s="31" t="inlineStr">
        <is>
          <t>Consumer Electronics - EMS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19</v>
      </c>
      <c r="K38" s="31" t="n">
        <v>21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KABRAEXTRU</t>
        </is>
      </c>
      <c r="E39" s="31" t="inlineStr">
        <is>
          <t>Kabra Extrusion Technik Limited</t>
        </is>
      </c>
      <c r="F39" s="31" t="inlineStr">
        <is>
          <t>Capital Goods - Engineering Heavy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22</v>
      </c>
      <c r="K39" s="31" t="n">
        <v>28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SETL</t>
        </is>
      </c>
      <c r="E40" s="31" t="inlineStr">
        <is>
          <t>Standard Enginnering Technology Ltd</t>
        </is>
      </c>
      <c r="F40" s="31" t="inlineStr">
        <is>
          <t>Engineering - Heavy - Glass - lined Equipment</t>
        </is>
      </c>
      <c r="G40" s="31" t="n">
        <v>2</v>
      </c>
      <c r="H40" s="31" t="inlineStr">
        <is>
          <t>52W Breakout</t>
        </is>
      </c>
      <c r="I40" s="31" t="inlineStr">
        <is>
          <t>Yes</t>
        </is>
      </c>
      <c r="J40" s="31" t="n">
        <v>15</v>
      </c>
      <c r="K40" s="31" t="n">
        <v>30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MARKSANS</t>
        </is>
      </c>
      <c r="E41" s="31" t="inlineStr">
        <is>
          <t>Marksans Pharma Limited</t>
        </is>
      </c>
      <c r="F41" s="31" t="inlineStr">
        <is>
          <t>Pharma - Formulators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27</v>
      </c>
      <c r="K41" s="31" t="n">
        <v>21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CUPID</t>
        </is>
      </c>
      <c r="E42" s="31" t="inlineStr">
        <is>
          <t>Cupid Limited</t>
        </is>
      </c>
      <c r="F42" s="31" t="inlineStr">
        <is>
          <t>Contraceptives/Protectives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21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NEULANDLAB</t>
        </is>
      </c>
      <c r="E43" s="31" t="inlineStr">
        <is>
          <t>Neuland Laboratories Limited</t>
        </is>
      </c>
      <c r="F43" s="31" t="inlineStr">
        <is>
          <t>Pharma - API &amp; CRAMS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27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PNBHOUSING</t>
        </is>
      </c>
      <c r="E44" s="31" t="inlineStr">
        <is>
          <t>Pnb Housing Finance Limited</t>
        </is>
      </c>
      <c r="F44" s="31" t="inlineStr">
        <is>
          <t>Finance - Housing</t>
        </is>
      </c>
      <c r="G44" s="31" t="n">
        <v>2</v>
      </c>
      <c r="H44" s="31" t="inlineStr">
        <is>
          <t>52W Breakout</t>
        </is>
      </c>
      <c r="I44" s="31" t="inlineStr">
        <is>
          <t>Yes</t>
        </is>
      </c>
      <c r="J44" s="31" t="n">
        <v>10</v>
      </c>
      <c r="K44" s="31" t="n">
        <v>22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GHCLTEXTIL</t>
        </is>
      </c>
      <c r="E45" s="31" t="inlineStr">
        <is>
          <t>GHCL Textiles Ltd</t>
        </is>
      </c>
      <c r="F45" s="31" t="inlineStr">
        <is>
          <t>Textiles - General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20</v>
      </c>
      <c r="K45" s="31" t="n">
        <v>27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TVSSRICHAK</t>
        </is>
      </c>
      <c r="E46" s="31" t="inlineStr">
        <is>
          <t>Tvs Srichakra Limited</t>
        </is>
      </c>
      <c r="F46" s="31" t="inlineStr">
        <is>
          <t>Tyres &amp; Tubes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25</v>
      </c>
      <c r="K46" s="31" t="n">
        <v>12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OFSS</t>
        </is>
      </c>
      <c r="E47" s="31" t="inlineStr">
        <is>
          <t>Oracle Financial Services Software Limited</t>
        </is>
      </c>
      <c r="F47" s="31" t="inlineStr">
        <is>
          <t>IT Product Companies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21</v>
      </c>
      <c r="K47" s="31" t="n">
        <v>21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AVTNPL</t>
        </is>
      </c>
      <c r="E48" s="31" t="inlineStr">
        <is>
          <t>Avt Natural Products Limited</t>
        </is>
      </c>
      <c r="F48" s="31" t="inlineStr">
        <is>
          <t>Agricultural Processing - Maize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24</v>
      </c>
      <c r="K48" s="31" t="n">
        <v>12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COFORGE</t>
        </is>
      </c>
      <c r="E49" s="31" t="inlineStr">
        <is>
          <t>Coforge (Niit Tech) Ltd</t>
        </is>
      </c>
      <c r="F49" s="31" t="inlineStr">
        <is>
          <t>IT - Software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20</v>
      </c>
      <c r="K49" s="31" t="n">
        <v>20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LAURUSLABS</t>
        </is>
      </c>
      <c r="E50" s="31" t="inlineStr">
        <is>
          <t>Laurus Labs Limited</t>
        </is>
      </c>
      <c r="F50" s="31" t="inlineStr">
        <is>
          <t>Pharma - API &amp; CRAMS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20</v>
      </c>
      <c r="K50" s="31" t="n">
        <v>30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GAYAPROJ</t>
        </is>
      </c>
      <c r="E51" s="31" t="inlineStr">
        <is>
          <t>Gayatri Projects Limited</t>
        </is>
      </c>
      <c r="F51" s="31" t="inlineStr">
        <is>
          <t>Construction - Civil/Turnkey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26</v>
      </c>
      <c r="K51" s="31" t="n">
        <v>7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WELCORP</t>
        </is>
      </c>
      <c r="E52" s="31" t="inlineStr">
        <is>
          <t>Welspun Corp Limited</t>
        </is>
      </c>
      <c r="F52" s="31" t="inlineStr">
        <is>
          <t>DI Pipes/Saw Pipes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19</v>
      </c>
      <c r="K52" s="31" t="n">
        <v>30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SOMANYCERA</t>
        </is>
      </c>
      <c r="E53" s="31" t="inlineStr">
        <is>
          <t>Somany Ceramics Limited</t>
        </is>
      </c>
      <c r="F53" s="31" t="inlineStr">
        <is>
          <t>Ceramics/Tiles/Sanitaryware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20</v>
      </c>
      <c r="K53" s="31" t="n">
        <v>8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FINCABLES</t>
        </is>
      </c>
      <c r="E54" s="31" t="inlineStr">
        <is>
          <t>Finolex Cables Limited</t>
        </is>
      </c>
      <c r="F54" s="31" t="inlineStr">
        <is>
          <t>Cables - Telecom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22</v>
      </c>
      <c r="K54" s="31" t="n">
        <v>16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THELEELA</t>
        </is>
      </c>
      <c r="E55" s="31" t="inlineStr">
        <is>
          <t>Leela Palaces Hotels &amp; Resorts Ltd</t>
        </is>
      </c>
      <c r="F55" s="31" t="inlineStr">
        <is>
          <t>Hotels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24</v>
      </c>
      <c r="K55" s="31" t="n">
        <v>24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AEROENTER</t>
        </is>
      </c>
      <c r="E56" s="31" t="inlineStr">
        <is>
          <t>Aeroflex Enterprises Ltd</t>
        </is>
      </c>
      <c r="F56" s="31" t="inlineStr">
        <is>
          <t>Miscellaneous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20</v>
      </c>
      <c r="K56" s="31" t="n">
        <v>16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MACPOWER</t>
        </is>
      </c>
      <c r="E57" s="31" t="inlineStr">
        <is>
          <t>Macpower CNC Machines Ltd</t>
        </is>
      </c>
      <c r="F57" s="31" t="inlineStr">
        <is>
          <t>CNC - Machines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23</v>
      </c>
      <c r="K57" s="31" t="n">
        <v>28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ARVSMART</t>
        </is>
      </c>
      <c r="E58" s="31" t="inlineStr">
        <is>
          <t>Arvind Smartspaces Limited</t>
        </is>
      </c>
      <c r="F58" s="31" t="inlineStr">
        <is>
          <t>Realty - Construction &amp; Contracting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20</v>
      </c>
      <c r="K58" s="31" t="n">
        <v>13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ACMESOLAR</t>
        </is>
      </c>
      <c r="E59" s="31" t="inlineStr">
        <is>
          <t>ACME Solar Holdings Ltd</t>
        </is>
      </c>
      <c r="F59" s="31" t="inlineStr">
        <is>
          <t>Engineering - Turnkey Services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21</v>
      </c>
      <c r="K59" s="31" t="n">
        <v>12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KANPRPLA</t>
        </is>
      </c>
      <c r="E60" s="31" t="inlineStr">
        <is>
          <t>Kanpur Plastipack Ltd</t>
        </is>
      </c>
      <c r="F60" s="31" t="inlineStr">
        <is>
          <t>Packaging - Polysacks</t>
        </is>
      </c>
      <c r="G60" s="31" t="n">
        <v>2</v>
      </c>
      <c r="H60" s="31" t="inlineStr">
        <is>
          <t>52W Breakout</t>
        </is>
      </c>
      <c r="I60" s="31" t="inlineStr">
        <is>
          <t>Yes</t>
        </is>
      </c>
      <c r="J60" s="31" t="n">
        <v>3</v>
      </c>
      <c r="K60" s="31" t="n">
        <v>16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DPABHUSHAN</t>
        </is>
      </c>
      <c r="E61" s="31" t="inlineStr">
        <is>
          <t>D.P. Abhushan Ltd</t>
        </is>
      </c>
      <c r="F61" s="31" t="inlineStr">
        <is>
          <t>Diamond, Gems &amp; Jewellery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21</v>
      </c>
      <c r="K61" s="31" t="n">
        <v>21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HFCL</t>
        </is>
      </c>
      <c r="E62" s="31" t="inlineStr">
        <is>
          <t>HFCL Ltd</t>
        </is>
      </c>
      <c r="F62" s="31" t="inlineStr">
        <is>
          <t>Telecom Services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25</v>
      </c>
      <c r="K62" s="31" t="n">
        <v>19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DIVGIITTS</t>
        </is>
      </c>
      <c r="E63" s="31" t="inlineStr">
        <is>
          <t>Divgi Torqtransfer Systems Ltd</t>
        </is>
      </c>
      <c r="F63" s="31" t="inlineStr">
        <is>
          <t>Auto Ancillaries - Transmission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21</v>
      </c>
      <c r="K63" s="31" t="n">
        <v>27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DIVISLAB</t>
        </is>
      </c>
      <c r="E64" s="31" t="inlineStr">
        <is>
          <t>Divi's Laboratories Limited</t>
        </is>
      </c>
      <c r="F64" s="31" t="inlineStr">
        <is>
          <t>Pharma - API &amp; CRAMS</t>
        </is>
      </c>
      <c r="G64" s="31" t="n">
        <v>2</v>
      </c>
      <c r="H64" s="31" t="inlineStr">
        <is>
          <t>52W Breakout</t>
        </is>
      </c>
      <c r="I64" s="31" t="inlineStr">
        <is>
          <t>Yes</t>
        </is>
      </c>
      <c r="J64" s="31" t="n">
        <v>13</v>
      </c>
      <c r="K64" s="31" t="n">
        <v>26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PTCIL</t>
        </is>
      </c>
      <c r="E65" s="31" t="inlineStr">
        <is>
          <t>PTC Industries Ltd</t>
        </is>
      </c>
      <c r="F65" s="31" t="inlineStr">
        <is>
          <t>Castings - Steel/Alloy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24</v>
      </c>
      <c r="K65" s="31" t="n">
        <v>18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YASHO</t>
        </is>
      </c>
      <c r="E66" s="31" t="inlineStr">
        <is>
          <t>Yasho Industries Ltd</t>
        </is>
      </c>
      <c r="F66" s="31" t="inlineStr">
        <is>
          <t>Speciality Chemicals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19</v>
      </c>
      <c r="K66" s="31" t="n">
        <v>30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KRN</t>
        </is>
      </c>
      <c r="E67" s="31" t="inlineStr">
        <is>
          <t>KRN Heat Exchanger and Refrigeration Ltd</t>
        </is>
      </c>
      <c r="F67" s="31" t="inlineStr">
        <is>
          <t>Engineering - General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22</v>
      </c>
      <c r="K67" s="31" t="n">
        <v>14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KENNAMET</t>
        </is>
      </c>
      <c r="E68" s="31" t="inlineStr">
        <is>
          <t>Kennametal India Ltd</t>
        </is>
      </c>
      <c r="F68" s="31" t="inlineStr">
        <is>
          <t>Castings, Forgings &amp; Fastners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30</v>
      </c>
      <c r="K68" s="31" t="n">
        <v>19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WELENT</t>
        </is>
      </c>
      <c r="E69" s="31" t="inlineStr">
        <is>
          <t>Welspun Enterprises Limited</t>
        </is>
      </c>
      <c r="F69" s="31" t="inlineStr">
        <is>
          <t>Water Treatment</t>
        </is>
      </c>
      <c r="G69" s="31" t="n">
        <v>2</v>
      </c>
      <c r="H69" s="31" t="inlineStr">
        <is>
          <t>52W Breakout</t>
        </is>
      </c>
      <c r="I69" s="31" t="inlineStr">
        <is>
          <t>Yes</t>
        </is>
      </c>
      <c r="J69" s="31" t="n">
        <v>16</v>
      </c>
      <c r="K69" s="31" t="n">
        <v>12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MANINDS</t>
        </is>
      </c>
      <c r="E70" s="31" t="inlineStr">
        <is>
          <t>Man Industries (india) Limited</t>
        </is>
      </c>
      <c r="F70" s="31" t="inlineStr">
        <is>
          <t>Steel - Tubes/Pipes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25</v>
      </c>
      <c r="K70" s="31" t="n">
        <v>14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SAMBHV</t>
        </is>
      </c>
      <c r="E71" s="31" t="inlineStr">
        <is>
          <t>Sambhv Steel Tubes Ltd</t>
        </is>
      </c>
      <c r="F71" s="31" t="inlineStr">
        <is>
          <t>Steel - Tubes/Pipes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19</v>
      </c>
      <c r="K71" s="31" t="n">
        <v>13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STLTECH</t>
        </is>
      </c>
      <c r="E72" s="31" t="inlineStr">
        <is>
          <t>Sterlite Technologies Limited</t>
        </is>
      </c>
      <c r="F72" s="31" t="inlineStr">
        <is>
          <t>Cables - Telecom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21</v>
      </c>
      <c r="K72" s="31" t="n">
        <v>20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GALAXYSURF</t>
        </is>
      </c>
      <c r="E73" s="31" t="inlineStr">
        <is>
          <t>Galaxy Surfactants Ltd</t>
        </is>
      </c>
      <c r="F73" s="31" t="inlineStr">
        <is>
          <t>Speciality Chemicals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21</v>
      </c>
      <c r="K73" s="31" t="n">
        <v>9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RPEL</t>
        </is>
      </c>
      <c r="E74" s="31" t="inlineStr">
        <is>
          <t>Raghav Productivity Enhancers Ltd</t>
        </is>
      </c>
      <c r="F74" s="31" t="inlineStr">
        <is>
          <t>Steel Products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21</v>
      </c>
      <c r="K74" s="31" t="n">
        <v>21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UFLEX</t>
        </is>
      </c>
      <c r="E75" s="31" t="inlineStr">
        <is>
          <t>Uflex Limited</t>
        </is>
      </c>
      <c r="F75" s="31" t="inlineStr">
        <is>
          <t>Packaging - BOPP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27</v>
      </c>
      <c r="K75" s="31" t="n">
        <v>15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NETWEB</t>
        </is>
      </c>
      <c r="E76" s="31" t="inlineStr">
        <is>
          <t>Netweb Technologies India Ltd</t>
        </is>
      </c>
      <c r="F76" s="31" t="inlineStr">
        <is>
          <t>Data Centre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19</v>
      </c>
      <c r="K76" s="31" t="n">
        <v>19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EMIL</t>
        </is>
      </c>
      <c r="E77" s="31" t="inlineStr">
        <is>
          <t>Electronics Mart India Ltd</t>
        </is>
      </c>
      <c r="F77" s="31" t="inlineStr">
        <is>
          <t>Retail - Electronics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22</v>
      </c>
      <c r="K77" s="31" t="n">
        <v>15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CHENNPETRO</t>
        </is>
      </c>
      <c r="E78" s="31" t="inlineStr">
        <is>
          <t>Chennai Petroleum Corporation Limited</t>
        </is>
      </c>
      <c r="F78" s="31" t="inlineStr">
        <is>
          <t>Refineries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24</v>
      </c>
      <c r="K78" s="31" t="n">
        <v>24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YATHARTH</t>
        </is>
      </c>
      <c r="E79" s="31" t="inlineStr">
        <is>
          <t>Yatharth Hospital &amp; Trauma Care Services Ltd</t>
        </is>
      </c>
      <c r="F79" s="31" t="inlineStr">
        <is>
          <t>Hospitals</t>
        </is>
      </c>
      <c r="G79" s="31" t="n">
        <v>2</v>
      </c>
      <c r="H79" s="31" t="inlineStr">
        <is>
          <t>52W Breakout</t>
        </is>
      </c>
      <c r="I79" s="31" t="inlineStr">
        <is>
          <t>Yes</t>
        </is>
      </c>
      <c r="J79" s="31" t="n">
        <v>13</v>
      </c>
      <c r="K79" s="31" t="n">
        <v>12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GLAXO</t>
        </is>
      </c>
      <c r="E80" s="31" t="inlineStr">
        <is>
          <t>Glaxosmithkline Pharmaceuticals Limited</t>
        </is>
      </c>
      <c r="F80" s="31" t="inlineStr">
        <is>
          <t>Pharma - MNC bulk Drugs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22</v>
      </c>
      <c r="K80" s="31" t="n">
        <v>20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TIIL</t>
        </is>
      </c>
      <c r="E81" s="31" t="inlineStr">
        <is>
          <t>Technocraft Industries (india) Limited</t>
        </is>
      </c>
      <c r="F81" s="31" t="inlineStr">
        <is>
          <t>Scaffolding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20</v>
      </c>
      <c r="K81" s="31" t="n">
        <v>12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SMARTWORKS</t>
        </is>
      </c>
      <c r="E82" s="31" t="inlineStr">
        <is>
          <t>Smartworks Coworking Spaces Ltd</t>
        </is>
      </c>
      <c r="F82" s="31" t="inlineStr">
        <is>
          <t>Realty - CoWorking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21</v>
      </c>
      <c r="K82" s="31" t="n">
        <v>7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APOLLOPIPE</t>
        </is>
      </c>
      <c r="E83" s="31" t="inlineStr">
        <is>
          <t>Apollo Pipes Ltd</t>
        </is>
      </c>
      <c r="F83" s="31" t="inlineStr">
        <is>
          <t>Building Materials - Plastic Pipes</t>
        </is>
      </c>
      <c r="G83" s="31" t="n">
        <v>2</v>
      </c>
      <c r="H83" s="31" t="inlineStr">
        <is>
          <t>52W Breakout</t>
        </is>
      </c>
      <c r="I83" s="31" t="inlineStr">
        <is>
          <t>Yes</t>
        </is>
      </c>
      <c r="J83" s="31" t="n">
        <v>18</v>
      </c>
      <c r="K83" s="31" t="n">
        <v>14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PVP</t>
        </is>
      </c>
      <c r="E84" s="31" t="inlineStr">
        <is>
          <t>Pvp Ventures Limited</t>
        </is>
      </c>
      <c r="F84" s="31" t="inlineStr">
        <is>
          <t>Realty - Construction &amp; Contracting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22</v>
      </c>
      <c r="K84" s="31" t="n">
        <v>14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MAXESTATES</t>
        </is>
      </c>
      <c r="E85" s="31" t="inlineStr">
        <is>
          <t>Max Estates Ltd</t>
        </is>
      </c>
      <c r="F85" s="31" t="inlineStr">
        <is>
          <t>Realty - Regional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19</v>
      </c>
      <c r="K85" s="31" t="n">
        <v>10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MAHASTEEL</t>
        </is>
      </c>
      <c r="E86" s="31" t="inlineStr">
        <is>
          <t>Mahamaya Steel Industries Limited</t>
        </is>
      </c>
      <c r="F86" s="31" t="inlineStr">
        <is>
          <t>Steel - Rolling</t>
        </is>
      </c>
      <c r="G86" s="31" t="n">
        <v>2</v>
      </c>
      <c r="H86" s="31" t="inlineStr">
        <is>
          <t>52W Breakout</t>
        </is>
      </c>
      <c r="I86" s="31" t="inlineStr">
        <is>
          <t>Yes</t>
        </is>
      </c>
      <c r="J86" s="31" t="n">
        <v>14</v>
      </c>
      <c r="K86" s="31" t="n">
        <v>19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DOLPHIN</t>
        </is>
      </c>
      <c r="E87" s="31" t="inlineStr">
        <is>
          <t>Dolphin Offshore Enterprises (India) Ltd</t>
        </is>
      </c>
      <c r="F87" s="31" t="inlineStr">
        <is>
          <t>Oil Drilling &amp; Exploration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23</v>
      </c>
      <c r="K87" s="31" t="n">
        <v>17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RATNAVEER</t>
        </is>
      </c>
      <c r="E88" s="31" t="inlineStr">
        <is>
          <t>Ratnaveer Precision Engineering Ltd</t>
        </is>
      </c>
      <c r="F88" s="31" t="inlineStr">
        <is>
          <t>unknown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0</v>
      </c>
      <c r="K88" s="31" t="n">
        <v>22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SHANTIGEAR</t>
        </is>
      </c>
      <c r="E89" s="31" t="inlineStr">
        <is>
          <t>Shanthi Gears Limited</t>
        </is>
      </c>
      <c r="F89" s="31" t="inlineStr">
        <is>
          <t>Auto Ancillaries - Gears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19</v>
      </c>
      <c r="K89" s="31" t="n">
        <v>2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PRICOLLTD</t>
        </is>
      </c>
      <c r="E90" s="31" t="inlineStr">
        <is>
          <t>Pricol Ltd.</t>
        </is>
      </c>
      <c r="F90" s="31" t="inlineStr">
        <is>
          <t>Auto Ancillaries - 2 Wheelers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22</v>
      </c>
      <c r="K90" s="31" t="n">
        <v>28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TNPETRO</t>
        </is>
      </c>
      <c r="E91" s="31" t="inlineStr">
        <is>
          <t>Tamilnadu Petroproducts Limited</t>
        </is>
      </c>
      <c r="F91" s="31" t="inlineStr">
        <is>
          <t>Petrochem - Others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22</v>
      </c>
      <c r="K91" s="31" t="n">
        <v>10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BIL</t>
        </is>
      </c>
      <c r="E92" s="31" t="inlineStr">
        <is>
          <t>Bhartiya International Limited</t>
        </is>
      </c>
      <c r="F92" s="31" t="inlineStr">
        <is>
          <t>Textiles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19</v>
      </c>
      <c r="K92" s="31" t="n">
        <v>17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BEL</t>
        </is>
      </c>
      <c r="E93" s="31" t="inlineStr">
        <is>
          <t>Bharat Electronics Limited</t>
        </is>
      </c>
      <c r="F93" s="31" t="inlineStr">
        <is>
          <t>Aerospace &amp; Defence - Equipments</t>
        </is>
      </c>
      <c r="G93" s="31" t="n">
        <v>2</v>
      </c>
      <c r="H93" s="31" t="inlineStr">
        <is>
          <t>EMA Crossover</t>
        </is>
      </c>
      <c r="I93" s="31" t="inlineStr">
        <is>
          <t>Yes</t>
        </is>
      </c>
      <c r="J93" s="31" t="n">
        <v>5</v>
      </c>
      <c r="K93" s="31" t="n">
        <v>6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MFSL</t>
        </is>
      </c>
      <c r="E94" s="31" t="inlineStr">
        <is>
          <t>Max Financial Services Limited</t>
        </is>
      </c>
      <c r="F94" s="31" t="inlineStr">
        <is>
          <t>Finance - Holding Company</t>
        </is>
      </c>
      <c r="G94" s="31" t="n">
        <v>2</v>
      </c>
      <c r="H94" s="31" t="inlineStr">
        <is>
          <t>EMA Crossover</t>
        </is>
      </c>
      <c r="I94" s="31" t="inlineStr">
        <is>
          <t>Yes</t>
        </is>
      </c>
      <c r="J94" s="31" t="n">
        <v>5</v>
      </c>
      <c r="K94" s="31" t="n">
        <v>1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GAEL</t>
        </is>
      </c>
      <c r="E95" s="31" t="inlineStr">
        <is>
          <t>Gujarat Ambuja Exports Limited</t>
        </is>
      </c>
      <c r="F95" s="31" t="inlineStr">
        <is>
          <t>Agricultural Processing - Maize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19</v>
      </c>
      <c r="K95" s="31" t="n">
        <v>22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GNFC</t>
        </is>
      </c>
      <c r="E96" s="31" t="inlineStr">
        <is>
          <t>Gujarat Narmada Valley Fertilizers And Chemicals Limited</t>
        </is>
      </c>
      <c r="F96" s="31" t="inlineStr">
        <is>
          <t>Fertilisers</t>
        </is>
      </c>
      <c r="G96" s="31" t="n">
        <v>2</v>
      </c>
      <c r="H96" s="31" t="inlineStr">
        <is>
          <t>No</t>
        </is>
      </c>
      <c r="I96" s="31" t="inlineStr">
        <is>
          <t>Yes</t>
        </is>
      </c>
      <c r="J96" s="31" t="n">
        <v>20</v>
      </c>
      <c r="K96" s="31" t="n">
        <v>19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GIPCL</t>
        </is>
      </c>
      <c r="E97" s="31" t="inlineStr">
        <is>
          <t>Gujarat Industries Power Company Limited</t>
        </is>
      </c>
      <c r="F97" s="31" t="inlineStr">
        <is>
          <t>Power - Generation/Distribution</t>
        </is>
      </c>
      <c r="G97" s="31" t="n">
        <v>2</v>
      </c>
      <c r="H97" s="31" t="inlineStr">
        <is>
          <t>No</t>
        </is>
      </c>
      <c r="I97" s="31" t="inlineStr">
        <is>
          <t>Yes</t>
        </is>
      </c>
      <c r="J97" s="31" t="n">
        <v>21</v>
      </c>
      <c r="K97" s="31" t="n">
        <v>12</v>
      </c>
    </row>
  </sheetData>
  <autoFilter ref="A1:K97"/>
  <conditionalFormatting sqref="G2:G9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7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IF(B2=0,"",RANK(B2,$B$2:$B$370,0))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INDOBORAX</t>
        </is>
      </c>
      <c r="D2" s="31" t="inlineStr">
        <is>
          <t>Indo Borax &amp; Chemicals Ltd</t>
        </is>
      </c>
      <c r="E2" s="31" t="inlineStr">
        <is>
          <t>chemicals</t>
        </is>
      </c>
      <c r="F2" s="31" t="inlineStr">
        <is>
          <t>chemicals</t>
        </is>
      </c>
      <c r="G2" s="31" t="inlineStr">
        <is>
          <t>smallcap</t>
        </is>
      </c>
      <c r="H2" s="32" t="n">
        <v>1612.04</v>
      </c>
      <c r="I2" s="32" t="n">
        <v>487.4</v>
      </c>
      <c r="J2" s="32" t="n">
        <v>-2.98</v>
      </c>
      <c r="K2" s="32" t="n">
        <v>263931</v>
      </c>
      <c r="L2" s="31" t="n">
        <v>91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74.64</v>
      </c>
      <c r="P2" s="32" t="n">
        <v>75.02</v>
      </c>
      <c r="Q2" s="32" t="n">
        <v>374.54</v>
      </c>
      <c r="R2" s="31" t="inlineStr">
        <is>
          <t>Near 52W High Breakout</t>
        </is>
      </c>
      <c r="S2" s="31" t="inlineStr">
        <is>
          <t>Nifty 50</t>
        </is>
      </c>
      <c r="T2" s="32" t="n">
        <v>-0.38</v>
      </c>
      <c r="U2" s="32" t="n">
        <v>123.13</v>
      </c>
      <c r="V2" s="32" t="n">
        <v>123.97</v>
      </c>
      <c r="W2" s="32" t="n">
        <v>30.46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IF(B3=0,"",RANK(B3,$B$2:$B$370,0))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SCPL</t>
        </is>
      </c>
      <c r="D3" s="31" t="inlineStr">
        <is>
          <t>Sheetal Cool Products Ltd</t>
        </is>
      </c>
      <c r="E3" s="31" t="inlineStr">
        <is>
          <t>fmcg</t>
        </is>
      </c>
      <c r="F3" s="31" t="inlineStr">
        <is>
          <t>food - processing - indian</t>
        </is>
      </c>
      <c r="G3" s="31" t="inlineStr">
        <is>
          <t>smallcap</t>
        </is>
      </c>
      <c r="H3" s="32" t="n">
        <v>684.1799999999999</v>
      </c>
      <c r="I3" s="32" t="n">
        <v>664.8</v>
      </c>
      <c r="J3" s="32" t="n">
        <v>2.03</v>
      </c>
      <c r="K3" s="32" t="n">
        <v>15991</v>
      </c>
      <c r="L3" s="31" t="inlineStr"/>
      <c r="M3" s="31" t="inlineStr"/>
      <c r="N3" s="32">
        <f>IF(M3="Underperforming",-5,IF(L3&gt;=95,15,IF(L3&gt;=90,10,IF(L3&gt;=80,5,0))))</f>
        <v/>
      </c>
      <c r="O3" s="32" t="n">
        <v>73.05</v>
      </c>
      <c r="P3" s="32" t="n">
        <v>59.38</v>
      </c>
      <c r="Q3" s="32" t="n">
        <v>494.91</v>
      </c>
      <c r="R3" s="31" t="inlineStr">
        <is>
          <t>Near 52W High Breakout</t>
        </is>
      </c>
      <c r="S3" s="31" t="inlineStr">
        <is>
          <t>Nifty FMCG</t>
        </is>
      </c>
      <c r="T3" s="32" t="inlineStr"/>
      <c r="U3" s="32" t="inlineStr"/>
      <c r="V3" s="32" t="inlineStr"/>
      <c r="W3" s="32" t="inlineStr"/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IF(B4=0,"",RANK(B4,$B$2:$B$370,0))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VADILALIND</t>
        </is>
      </c>
      <c r="D4" s="31" t="inlineStr">
        <is>
          <t>Vadilal Industries Limited</t>
        </is>
      </c>
      <c r="E4" s="31" t="inlineStr">
        <is>
          <t>fmcg</t>
        </is>
      </c>
      <c r="F4" s="31" t="inlineStr">
        <is>
          <t>food - processing - indian</t>
        </is>
      </c>
      <c r="G4" s="31" t="inlineStr">
        <is>
          <t>midcap</t>
        </is>
      </c>
      <c r="H4" s="32" t="n">
        <v>5337.32</v>
      </c>
      <c r="I4" s="32" t="n">
        <v>7449</v>
      </c>
      <c r="J4" s="32" t="n">
        <v>0.32</v>
      </c>
      <c r="K4" s="32" t="n">
        <v>11946</v>
      </c>
      <c r="L4" s="31" t="inlineStr"/>
      <c r="M4" s="31" t="inlineStr"/>
      <c r="N4" s="32">
        <f>IF(M4="Underperforming",-5,IF(L4&gt;=95,15,IF(L4&gt;=90,10,IF(L4&gt;=80,5,0))))</f>
        <v/>
      </c>
      <c r="O4" s="32" t="n">
        <v>73.17</v>
      </c>
      <c r="P4" s="32" t="n">
        <v>48.99</v>
      </c>
      <c r="Q4" s="32" t="n">
        <v>6213.15</v>
      </c>
      <c r="R4" s="31" t="inlineStr">
        <is>
          <t>Near 52W High Breakout</t>
        </is>
      </c>
      <c r="S4" s="31" t="inlineStr">
        <is>
          <t>Nifty FMCG</t>
        </is>
      </c>
      <c r="T4" s="32" t="inlineStr"/>
      <c r="U4" s="32" t="inlineStr"/>
      <c r="V4" s="32" t="inlineStr"/>
      <c r="W4" s="32" t="inlineStr"/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IF(B5=0,"",RANK(B5,$B$2:$B$370,0))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PREMIERPOL</t>
        </is>
      </c>
      <c r="D5" s="31" t="inlineStr">
        <is>
          <t>Premier Polyfilm Limited</t>
        </is>
      </c>
      <c r="E5" s="31" t="inlineStr">
        <is>
          <t>plastic products</t>
        </is>
      </c>
      <c r="F5" s="31" t="inlineStr">
        <is>
          <t>plastics products</t>
        </is>
      </c>
      <c r="G5" s="31" t="inlineStr">
        <is>
          <t>smallcap</t>
        </is>
      </c>
      <c r="H5" s="32" t="n">
        <v>933.46</v>
      </c>
      <c r="I5" s="32" t="n">
        <v>89.51000000000001</v>
      </c>
      <c r="J5" s="32" t="n">
        <v>0.44</v>
      </c>
      <c r="K5" s="32" t="n">
        <v>313394</v>
      </c>
      <c r="L5" s="31" t="n">
        <v>89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71.81</v>
      </c>
      <c r="P5" s="32" t="n">
        <v>53.33</v>
      </c>
      <c r="Q5" s="32" t="n">
        <v>63.12</v>
      </c>
      <c r="R5" s="31" t="inlineStr">
        <is>
          <t>Near 52W High Breakout</t>
        </is>
      </c>
      <c r="S5" s="31" t="inlineStr">
        <is>
          <t>Nifty 50</t>
        </is>
      </c>
      <c r="T5" s="32" t="n">
        <v>-0.38</v>
      </c>
      <c r="U5" s="32" t="n">
        <v>88.05</v>
      </c>
      <c r="V5" s="32" t="n">
        <v>88.77</v>
      </c>
      <c r="W5" s="32" t="n">
        <v>28.99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IF(B6=0,"",RANK(B6,$B$2:$B$370,0))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MSTCLTD</t>
        </is>
      </c>
      <c r="D6" s="31" t="inlineStr">
        <is>
          <t>MSTC Ltd</t>
        </is>
      </c>
      <c r="E6" s="31" t="inlineStr">
        <is>
          <t>i.t</t>
        </is>
      </c>
      <c r="F6" s="31" t="inlineStr">
        <is>
          <t>trading</t>
        </is>
      </c>
      <c r="G6" s="31" t="inlineStr">
        <is>
          <t>midcap</t>
        </is>
      </c>
      <c r="H6" s="32" t="n">
        <v>5143.42</v>
      </c>
      <c r="I6" s="32" t="n">
        <v>727.95</v>
      </c>
      <c r="J6" s="32" t="n">
        <v>-0.36</v>
      </c>
      <c r="K6" s="32" t="n">
        <v>289396</v>
      </c>
      <c r="L6" s="31" t="n">
        <v>85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66.42</v>
      </c>
      <c r="P6" s="32" t="n">
        <v>41.68</v>
      </c>
      <c r="Q6" s="32" t="n">
        <v>547.46</v>
      </c>
      <c r="R6" s="31" t="inlineStr">
        <is>
          <t>Near 52W High Breakout</t>
        </is>
      </c>
      <c r="S6" s="31" t="inlineStr">
        <is>
          <t>Nifty IT</t>
        </is>
      </c>
      <c r="T6" s="32" t="n">
        <v>-12.53</v>
      </c>
      <c r="U6" s="32" t="n">
        <v>63.91</v>
      </c>
      <c r="V6" s="32" t="n">
        <v>87.39</v>
      </c>
      <c r="W6" s="32" t="n">
        <v>26.06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IF(B7=0,"",RANK(B7,$B$2:$B$370,0))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BLUSPRING</t>
        </is>
      </c>
      <c r="D7" s="31" t="inlineStr">
        <is>
          <t>Bluspring Enterprises Ltd</t>
        </is>
      </c>
      <c r="E7" s="31" t="inlineStr">
        <is>
          <t>miscellaneous</t>
        </is>
      </c>
      <c r="F7" s="31" t="inlineStr">
        <is>
          <t>diversified - large</t>
        </is>
      </c>
      <c r="G7" s="31" t="inlineStr">
        <is>
          <t>smallcap</t>
        </is>
      </c>
      <c r="H7" s="32" t="n">
        <v>1987.71</v>
      </c>
      <c r="I7" s="32" t="n">
        <v>126.83</v>
      </c>
      <c r="J7" s="32" t="n">
        <v>-4.65</v>
      </c>
      <c r="K7" s="32" t="n">
        <v>1187957</v>
      </c>
      <c r="L7" s="31" t="n">
        <v>87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69.84</v>
      </c>
      <c r="P7" s="32" t="n">
        <v>62.8</v>
      </c>
      <c r="Q7" s="32" t="n">
        <v>88.45</v>
      </c>
      <c r="R7" s="31" t="inlineStr">
        <is>
          <t>Near 52W High Breakout</t>
        </is>
      </c>
      <c r="S7" s="31" t="inlineStr">
        <is>
          <t>Nifty 50</t>
        </is>
      </c>
      <c r="T7" s="32" t="n">
        <v>-0.38</v>
      </c>
      <c r="U7" s="32" t="n">
        <v>59.49</v>
      </c>
      <c r="V7" s="32" t="n">
        <v>60.1</v>
      </c>
      <c r="W7" s="32" t="n">
        <v>27.52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IF(B8=0,"",RANK(B8,$B$2:$B$370,0))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IOLCP</t>
        </is>
      </c>
      <c r="D8" s="31" t="inlineStr">
        <is>
          <t>Iol Chemicals And Pharmaceuticals Limited</t>
        </is>
      </c>
      <c r="E8" s="31" t="inlineStr">
        <is>
          <t>healthcare</t>
        </is>
      </c>
      <c r="F8" s="31" t="inlineStr">
        <is>
          <t>pharmaceuticals - indian - bulk drugs &amp; formln</t>
        </is>
      </c>
      <c r="G8" s="31" t="inlineStr">
        <is>
          <t>smallcap</t>
        </is>
      </c>
      <c r="H8" s="32" t="n">
        <v>4962.96</v>
      </c>
      <c r="I8" s="32" t="n">
        <v>172.37</v>
      </c>
      <c r="J8" s="32" t="n">
        <v>1.95</v>
      </c>
      <c r="K8" s="32" t="n">
        <v>7083289</v>
      </c>
      <c r="L8" s="31" t="n">
        <v>84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73.31999999999999</v>
      </c>
      <c r="P8" s="32" t="n">
        <v>79.16</v>
      </c>
      <c r="Q8" s="32" t="n">
        <v>124.98</v>
      </c>
      <c r="R8" s="31" t="inlineStr">
        <is>
          <t>Near 52W High Breakout</t>
        </is>
      </c>
      <c r="S8" s="31" t="inlineStr">
        <is>
          <t>Nifty Pharma</t>
        </is>
      </c>
      <c r="T8" s="32" t="n">
        <v>21.83</v>
      </c>
      <c r="U8" s="32" t="n">
        <v>92.54000000000001</v>
      </c>
      <c r="V8" s="32" t="n">
        <v>58.04</v>
      </c>
      <c r="W8" s="32" t="n">
        <v>25.06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IF(B9=0,"",RANK(B9,$B$2:$B$370,0))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KANORICHEM</t>
        </is>
      </c>
      <c r="D9" s="31" t="inlineStr">
        <is>
          <t>Kanoria Chemicals &amp; Industries Limited</t>
        </is>
      </c>
      <c r="E9" s="31" t="inlineStr">
        <is>
          <t>chemicals</t>
        </is>
      </c>
      <c r="F9" s="31" t="inlineStr">
        <is>
          <t>chemicals</t>
        </is>
      </c>
      <c r="G9" s="31" t="inlineStr">
        <is>
          <t>smallcap</t>
        </is>
      </c>
      <c r="H9" s="32" t="n">
        <v>675.8</v>
      </c>
      <c r="I9" s="32" t="n">
        <v>158.95</v>
      </c>
      <c r="J9" s="32" t="n">
        <v>2.77</v>
      </c>
      <c r="K9" s="32" t="n">
        <v>206295</v>
      </c>
      <c r="L9" s="31" t="n">
        <v>90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72.95</v>
      </c>
      <c r="P9" s="32" t="n">
        <v>60.95</v>
      </c>
      <c r="Q9" s="32" t="n">
        <v>120.15</v>
      </c>
      <c r="R9" s="31" t="inlineStr">
        <is>
          <t>Near 52W High Breakout</t>
        </is>
      </c>
      <c r="S9" s="31" t="inlineStr">
        <is>
          <t>Nifty 50</t>
        </is>
      </c>
      <c r="T9" s="32" t="n">
        <v>-0.38</v>
      </c>
      <c r="U9" s="32" t="n">
        <v>92.84999999999999</v>
      </c>
      <c r="V9" s="32" t="n">
        <v>93.59</v>
      </c>
      <c r="W9" s="32" t="n">
        <v>29.73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IF(B10=0,"",RANK(B10,$B$2:$B$370,0))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VISHNU</t>
        </is>
      </c>
      <c r="D10" s="31" t="inlineStr">
        <is>
          <t>Vishnu Chemicals Limited</t>
        </is>
      </c>
      <c r="E10" s="31" t="inlineStr">
        <is>
          <t>chemicals</t>
        </is>
      </c>
      <c r="F10" s="31" t="inlineStr">
        <is>
          <t>chemicals</t>
        </is>
      </c>
      <c r="G10" s="31" t="inlineStr">
        <is>
          <t>smallcap</t>
        </is>
      </c>
      <c r="H10" s="32" t="n">
        <v>4292.7</v>
      </c>
      <c r="I10" s="32" t="n">
        <v>640.8</v>
      </c>
      <c r="J10" s="32" t="n">
        <v>0.49</v>
      </c>
      <c r="K10" s="32" t="n">
        <v>110866</v>
      </c>
      <c r="L10" s="31" t="n">
        <v>32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62.56</v>
      </c>
      <c r="P10" s="32" t="n">
        <v>44.31</v>
      </c>
      <c r="Q10" s="32" t="n">
        <v>514.6900000000001</v>
      </c>
      <c r="R10" s="31" t="inlineStr">
        <is>
          <t>Near 52W High Breakout</t>
        </is>
      </c>
      <c r="S10" s="31" t="inlineStr">
        <is>
          <t>Nifty 50</t>
        </is>
      </c>
      <c r="T10" s="32" t="n">
        <v>-0.38</v>
      </c>
      <c r="U10" s="32" t="n">
        <v>30.67</v>
      </c>
      <c r="V10" s="32" t="n">
        <v>31.16</v>
      </c>
      <c r="W10" s="32" t="n">
        <v>7.96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IF(B11=0,"",RANK(B11,$B$2:$B$370,0))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VINDHYATEL</t>
        </is>
      </c>
      <c r="D11" s="31" t="inlineStr">
        <is>
          <t>Vindhya Telelinks Limited</t>
        </is>
      </c>
      <c r="E11" s="31" t="inlineStr">
        <is>
          <t>realty</t>
        </is>
      </c>
      <c r="F11" s="31" t="inlineStr">
        <is>
          <t>construction</t>
        </is>
      </c>
      <c r="G11" s="31" t="inlineStr">
        <is>
          <t>smallcap</t>
        </is>
      </c>
      <c r="H11" s="32" t="n">
        <v>2830.46</v>
      </c>
      <c r="I11" s="32" t="n">
        <v>2386.9</v>
      </c>
      <c r="J11" s="32" t="n">
        <v>-0.06</v>
      </c>
      <c r="K11" s="32" t="n">
        <v>75479</v>
      </c>
      <c r="L11" s="31" t="inlineStr"/>
      <c r="M11" s="31" t="inlineStr"/>
      <c r="N11" s="32">
        <f>IF(M11="Underperforming",-5,IF(L11&gt;=95,15,IF(L11&gt;=90,10,IF(L11&gt;=80,5,0))))</f>
        <v/>
      </c>
      <c r="O11" s="32" t="n">
        <v>64.31999999999999</v>
      </c>
      <c r="P11" s="32" t="n">
        <v>52.19</v>
      </c>
      <c r="Q11" s="32" t="n">
        <v>1735.67</v>
      </c>
      <c r="R11" s="31" t="inlineStr">
        <is>
          <t>Near 52W High Breakout</t>
        </is>
      </c>
      <c r="S11" s="31" t="inlineStr">
        <is>
          <t>Nifty Realty</t>
        </is>
      </c>
      <c r="T11" s="32" t="inlineStr"/>
      <c r="U11" s="32" t="inlineStr"/>
      <c r="V11" s="32" t="inlineStr"/>
      <c r="W11" s="32" t="inlineStr"/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IF(B12=0,"",RANK(B12,$B$2:$B$370,0))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GOKULAGRO</t>
        </is>
      </c>
      <c r="D12" s="31" t="inlineStr">
        <is>
          <t>Gokul Agro Resources Limited</t>
        </is>
      </c>
      <c r="E12" s="31" t="inlineStr">
        <is>
          <t>fmcg</t>
        </is>
      </c>
      <c r="F12" s="31" t="inlineStr">
        <is>
          <t>solvent extraction</t>
        </is>
      </c>
      <c r="G12" s="31" t="inlineStr">
        <is>
          <t>midcap</t>
        </is>
      </c>
      <c r="H12" s="32" t="n">
        <v>7201.59</v>
      </c>
      <c r="I12" s="32" t="n">
        <v>252.85</v>
      </c>
      <c r="J12" s="32" t="n">
        <v>3.61</v>
      </c>
      <c r="K12" s="32" t="n">
        <v>2707973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68.92</v>
      </c>
      <c r="P12" s="32" t="n">
        <v>25.73</v>
      </c>
      <c r="Q12" s="32" t="n">
        <v>195.23</v>
      </c>
      <c r="R12" s="31" t="inlineStr">
        <is>
          <t>Near 52W High Breakout</t>
        </is>
      </c>
      <c r="S12" s="31" t="inlineStr">
        <is>
          <t>Nifty FMCG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IF(B13=0,"",RANK(B13,$B$2:$B$370,0))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AURUM</t>
        </is>
      </c>
      <c r="D13" s="31" t="inlineStr">
        <is>
          <t>Aurum Proptech Ltd</t>
        </is>
      </c>
      <c r="E13" s="31" t="inlineStr">
        <is>
          <t>i.t</t>
        </is>
      </c>
      <c r="F13" s="31" t="inlineStr">
        <is>
          <t>computers - software - medium / small</t>
        </is>
      </c>
      <c r="G13" s="31" t="inlineStr">
        <is>
          <t>smallcap</t>
        </is>
      </c>
      <c r="H13" s="32" t="n">
        <v>1781.58</v>
      </c>
      <c r="I13" s="32" t="n">
        <v>237</v>
      </c>
      <c r="J13" s="32" t="n">
        <v>2.08</v>
      </c>
      <c r="K13" s="32" t="n">
        <v>248174</v>
      </c>
      <c r="L13" s="31" t="n">
        <v>59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65.93000000000001</v>
      </c>
      <c r="P13" s="32" t="n">
        <v>50.1</v>
      </c>
      <c r="Q13" s="32" t="n">
        <v>183.99</v>
      </c>
      <c r="R13" s="31" t="inlineStr">
        <is>
          <t>Near 52W High Breakout</t>
        </is>
      </c>
      <c r="S13" s="31" t="inlineStr">
        <is>
          <t>Nifty IT</t>
        </is>
      </c>
      <c r="T13" s="32" t="n">
        <v>-12.53</v>
      </c>
      <c r="U13" s="32" t="n">
        <v>43.07</v>
      </c>
      <c r="V13" s="32" t="n">
        <v>63.58</v>
      </c>
      <c r="W13" s="32" t="n">
        <v>15.11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IF(B14=0,"",RANK(B14,$B$2:$B$370,0))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ALIVUS</t>
        </is>
      </c>
      <c r="D14" s="31" t="inlineStr">
        <is>
          <t>Alivus Life Sciences Ltd</t>
        </is>
      </c>
      <c r="E14" s="31" t="inlineStr">
        <is>
          <t>healthcare</t>
        </is>
      </c>
      <c r="F14" s="31" t="inlineStr">
        <is>
          <t>pharmaceuticals - indian - bulk drugs &amp; formln</t>
        </is>
      </c>
      <c r="G14" s="31" t="inlineStr">
        <is>
          <t>midcap</t>
        </is>
      </c>
      <c r="H14" s="32" t="n">
        <v>16767.01</v>
      </c>
      <c r="I14" s="32" t="n">
        <v>1354.3</v>
      </c>
      <c r="J14" s="32" t="n">
        <v>-0.86</v>
      </c>
      <c r="K14" s="32" t="n">
        <v>37075</v>
      </c>
      <c r="L14" s="31" t="n">
        <v>55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73.04000000000001</v>
      </c>
      <c r="P14" s="32" t="n">
        <v>44.31</v>
      </c>
      <c r="Q14" s="32" t="n">
        <v>1141.65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21.83</v>
      </c>
      <c r="U14" s="32" t="n">
        <v>43.48</v>
      </c>
      <c r="V14" s="32" t="n">
        <v>17.77</v>
      </c>
      <c r="W14" s="32" t="n">
        <v>13.67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IF(B15=0,"",RANK(B15,$B$2:$B$370,0))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INDIAGLYCO</t>
        </is>
      </c>
      <c r="D15" s="31" t="inlineStr">
        <is>
          <t>India Glycols Limited</t>
        </is>
      </c>
      <c r="E15" s="31" t="inlineStr">
        <is>
          <t>fmcg</t>
        </is>
      </c>
      <c r="F15" s="31" t="inlineStr">
        <is>
          <t>breweries &amp; distilleries</t>
        </is>
      </c>
      <c r="G15" s="31" t="inlineStr">
        <is>
          <t>midcap</t>
        </is>
      </c>
      <c r="H15" s="32" t="n">
        <v>7984.9</v>
      </c>
      <c r="I15" s="32" t="n">
        <v>1170.5</v>
      </c>
      <c r="J15" s="32" t="n">
        <v>-1.75</v>
      </c>
      <c r="K15" s="32" t="n">
        <v>629975</v>
      </c>
      <c r="L15" s="31" t="inlineStr"/>
      <c r="M15" s="31" t="inlineStr"/>
      <c r="N15" s="32">
        <f>IF(M15="Underperforming",-5,IF(L15&gt;=95,15,IF(L15&gt;=90,10,IF(L15&gt;=80,5,0))))</f>
        <v/>
      </c>
      <c r="O15" s="32" t="n">
        <v>62.05</v>
      </c>
      <c r="P15" s="32" t="n">
        <v>25.52</v>
      </c>
      <c r="Q15" s="32" t="n">
        <v>918.72</v>
      </c>
      <c r="R15" s="31" t="inlineStr">
        <is>
          <t>Near 52W High Breakout</t>
        </is>
      </c>
      <c r="S15" s="31" t="inlineStr">
        <is>
          <t>Nifty FMCG</t>
        </is>
      </c>
      <c r="T15" s="32" t="inlineStr"/>
      <c r="U15" s="32" t="inlineStr"/>
      <c r="V15" s="32" t="inlineStr"/>
      <c r="W15" s="32" t="inlineStr"/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IF(B16=0,"",RANK(B16,$B$2:$B$370,0))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SENORES</t>
        </is>
      </c>
      <c r="D16" s="31" t="inlineStr">
        <is>
          <t>Senores Pharmaceuticals Ltd</t>
        </is>
      </c>
      <c r="E16" s="31" t="inlineStr">
        <is>
          <t>healthcare</t>
        </is>
      </c>
      <c r="F16" s="31" t="inlineStr">
        <is>
          <t>pharmaceuticals - indian - formulations</t>
        </is>
      </c>
      <c r="G16" s="31" t="inlineStr">
        <is>
          <t>midcap</t>
        </is>
      </c>
      <c r="H16" s="32" t="n">
        <v>6980.34</v>
      </c>
      <c r="I16" s="32" t="n">
        <v>1480.4</v>
      </c>
      <c r="J16" s="32" t="n">
        <v>-2.33</v>
      </c>
      <c r="K16" s="32" t="n">
        <v>260380</v>
      </c>
      <c r="L16" s="31" t="n">
        <v>82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71.47</v>
      </c>
      <c r="P16" s="32" t="n">
        <v>60.78</v>
      </c>
      <c r="Q16" s="32" t="n">
        <v>1163.04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21.83</v>
      </c>
      <c r="U16" s="32" t="n">
        <v>114.5</v>
      </c>
      <c r="V16" s="32" t="n">
        <v>76.06999999999999</v>
      </c>
      <c r="W16" s="32" t="n">
        <v>24.59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IF(B17=0,"",RANK(B17,$B$2:$B$370,0))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SUVEN</t>
        </is>
      </c>
      <c r="D17" s="31" t="inlineStr">
        <is>
          <t>Suven Life Sciences Limited</t>
        </is>
      </c>
      <c r="E17" s="31" t="inlineStr">
        <is>
          <t>healthcare</t>
        </is>
      </c>
      <c r="F17" s="31" t="inlineStr">
        <is>
          <t>miscellaneous</t>
        </is>
      </c>
      <c r="G17" s="31" t="inlineStr">
        <is>
          <t>smallcap</t>
        </is>
      </c>
      <c r="H17" s="32" t="n">
        <v>714.3099999999999</v>
      </c>
      <c r="I17" s="32" t="n">
        <v>360.05</v>
      </c>
      <c r="J17" s="32" t="n">
        <v>-2.62</v>
      </c>
      <c r="K17" s="32" t="n">
        <v>648281</v>
      </c>
      <c r="L17" s="31" t="n">
        <v>78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68.40000000000001</v>
      </c>
      <c r="P17" s="32" t="n">
        <v>47.67</v>
      </c>
      <c r="Q17" s="32" t="n">
        <v>264.29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21.83</v>
      </c>
      <c r="U17" s="32" t="n">
        <v>68.29000000000001</v>
      </c>
      <c r="V17" s="32" t="n">
        <v>38.13</v>
      </c>
      <c r="W17" s="32" t="n">
        <v>22.87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IF(B18=0,"",RANK(B18,$B$2:$B$370,0))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SPORTKING</t>
        </is>
      </c>
      <c r="D18" s="31" t="inlineStr">
        <is>
          <t>Sportking India Ltd</t>
        </is>
      </c>
      <c r="E18" s="31" t="inlineStr">
        <is>
          <t>textiles</t>
        </is>
      </c>
      <c r="F18" s="31" t="inlineStr">
        <is>
          <t>textiles - spinning - synthetic / blended</t>
        </is>
      </c>
      <c r="G18" s="31" t="inlineStr">
        <is>
          <t>smallcap</t>
        </is>
      </c>
      <c r="H18" s="32" t="n">
        <v>2730.27</v>
      </c>
      <c r="I18" s="32" t="n">
        <v>228.26</v>
      </c>
      <c r="J18" s="32" t="n">
        <v>6.24</v>
      </c>
      <c r="K18" s="32" t="n">
        <v>1811370</v>
      </c>
      <c r="L18" s="31" t="n">
        <v>85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74.52</v>
      </c>
      <c r="P18" s="32" t="n">
        <v>73.06999999999999</v>
      </c>
      <c r="Q18" s="32" t="n">
        <v>169.2</v>
      </c>
      <c r="R18" s="31" t="inlineStr">
        <is>
          <t>Near 52W High Breakout</t>
        </is>
      </c>
      <c r="S18" s="31" t="inlineStr">
        <is>
          <t>Nifty 50</t>
        </is>
      </c>
      <c r="T18" s="32" t="n">
        <v>-0.38</v>
      </c>
      <c r="U18" s="32" t="n">
        <v>112.65</v>
      </c>
      <c r="V18" s="32" t="n">
        <v>113.46</v>
      </c>
      <c r="W18" s="32" t="n">
        <v>25.15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IF(B19=0,"",RANK(B19,$B$2:$B$370,0))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KDDL</t>
        </is>
      </c>
      <c r="D19" s="31" t="inlineStr">
        <is>
          <t>Kddl Limited</t>
        </is>
      </c>
      <c r="E19" s="31" t="inlineStr">
        <is>
          <t>consumer discretionary</t>
        </is>
      </c>
      <c r="F19" s="31" t="inlineStr">
        <is>
          <t>miscellaneous</t>
        </is>
      </c>
      <c r="G19" s="31" t="inlineStr">
        <is>
          <t>smallcap</t>
        </is>
      </c>
      <c r="H19" s="32" t="n">
        <v>4733.62</v>
      </c>
      <c r="I19" s="32" t="n">
        <v>3924.6</v>
      </c>
      <c r="J19" s="32" t="n">
        <v>1.97</v>
      </c>
      <c r="K19" s="32" t="n">
        <v>157893</v>
      </c>
      <c r="L19" s="31" t="n">
        <v>69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74.95</v>
      </c>
      <c r="P19" s="32" t="n">
        <v>44.5</v>
      </c>
      <c r="Q19" s="32" t="n">
        <v>3063.64</v>
      </c>
      <c r="R19" s="31" t="inlineStr">
        <is>
          <t>Near 52W High Breakout</t>
        </is>
      </c>
      <c r="S19" s="31" t="inlineStr">
        <is>
          <t>Nifty 50</t>
        </is>
      </c>
      <c r="T19" s="32" t="n">
        <v>-0.38</v>
      </c>
      <c r="U19" s="32" t="n">
        <v>65.92</v>
      </c>
      <c r="V19" s="32" t="n">
        <v>66.55</v>
      </c>
      <c r="W19" s="32" t="n">
        <v>19.94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IF(B20=0,"",RANK(B20,$B$2:$B$370,0))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SYRMA</t>
        </is>
      </c>
      <c r="D20" s="31" t="inlineStr">
        <is>
          <t>Syrma SGS Technology Ltd</t>
        </is>
      </c>
      <c r="E20" s="31" t="inlineStr">
        <is>
          <t>consumer discretionary</t>
        </is>
      </c>
      <c r="F20" s="31" t="inlineStr">
        <is>
          <t>electronics - components</t>
        </is>
      </c>
      <c r="G20" s="31" t="inlineStr">
        <is>
          <t>largecap</t>
        </is>
      </c>
      <c r="H20" s="32" t="n">
        <v>28151.32</v>
      </c>
      <c r="I20" s="32" t="n">
        <v>1458.1</v>
      </c>
      <c r="J20" s="32" t="n">
        <v>-0.12</v>
      </c>
      <c r="K20" s="32" t="n">
        <v>620028</v>
      </c>
      <c r="L20" s="31" t="n">
        <v>77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68.11</v>
      </c>
      <c r="P20" s="32" t="n">
        <v>61.17</v>
      </c>
      <c r="Q20" s="32" t="n">
        <v>1144.23</v>
      </c>
      <c r="R20" s="31" t="inlineStr">
        <is>
          <t>Near 52W High Breakout</t>
        </is>
      </c>
      <c r="S20" s="31" t="inlineStr">
        <is>
          <t>Nifty 50</t>
        </is>
      </c>
      <c r="T20" s="32" t="n">
        <v>-0.38</v>
      </c>
      <c r="U20" s="32" t="n">
        <v>94.13</v>
      </c>
      <c r="V20" s="32" t="n">
        <v>94.87</v>
      </c>
      <c r="W20" s="32" t="n">
        <v>21.98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IF(B21=0,"",RANK(B21,$B$2:$B$370,0))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KMEW</t>
        </is>
      </c>
      <c r="D21" s="31" t="inlineStr">
        <is>
          <t>Knowledge Marine &amp; Engineering Works Ltd</t>
        </is>
      </c>
      <c r="E21" s="31" t="inlineStr">
        <is>
          <t>transportation</t>
        </is>
      </c>
      <c r="F21" s="31" t="inlineStr">
        <is>
          <t>miscellaneous</t>
        </is>
      </c>
      <c r="G21" s="31" t="inlineStr">
        <is>
          <t>midcap</t>
        </is>
      </c>
      <c r="H21" s="32" t="n">
        <v>6630.95</v>
      </c>
      <c r="I21" s="32" t="n">
        <v>2695.5</v>
      </c>
      <c r="J21" s="32" t="n">
        <v>-0.63</v>
      </c>
      <c r="K21" s="32" t="n">
        <v>53130</v>
      </c>
      <c r="L21" s="31" t="n">
        <v>92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74.33</v>
      </c>
      <c r="P21" s="32" t="n">
        <v>52.63</v>
      </c>
      <c r="Q21" s="32" t="n">
        <v>2015.14</v>
      </c>
      <c r="R21" s="31" t="inlineStr">
        <is>
          <t>Near 52W High Breakout</t>
        </is>
      </c>
      <c r="S21" s="31" t="inlineStr">
        <is>
          <t>Nifty 50</t>
        </is>
      </c>
      <c r="T21" s="32" t="n">
        <v>-0.38</v>
      </c>
      <c r="U21" s="32" t="n">
        <v>185.57</v>
      </c>
      <c r="V21" s="32" t="n">
        <v>186.66</v>
      </c>
      <c r="W21" s="32" t="n">
        <v>32.57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IF(B22=0,"",RANK(B22,$B$2:$B$370,0))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FILATEX</t>
        </is>
      </c>
      <c r="D22" s="31" t="inlineStr">
        <is>
          <t>Filatex India Limited</t>
        </is>
      </c>
      <c r="E22" s="31" t="inlineStr">
        <is>
          <t>textiles</t>
        </is>
      </c>
      <c r="F22" s="31" t="inlineStr">
        <is>
          <t>textiles - manmade</t>
        </is>
      </c>
      <c r="G22" s="31" t="inlineStr">
        <is>
          <t>smallcap</t>
        </is>
      </c>
      <c r="H22" s="32" t="n">
        <v>3732.31</v>
      </c>
      <c r="I22" s="32" t="n">
        <v>82.11</v>
      </c>
      <c r="J22" s="32" t="n">
        <v>-2.31</v>
      </c>
      <c r="K22" s="32" t="n">
        <v>2059653</v>
      </c>
      <c r="L22" s="31" t="n">
        <v>91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76.88</v>
      </c>
      <c r="P22" s="32" t="n">
        <v>40.54</v>
      </c>
      <c r="Q22" s="32" t="n">
        <v>64.12</v>
      </c>
      <c r="R22" s="31" t="inlineStr">
        <is>
          <t>Near 52W High Breakout</t>
        </is>
      </c>
      <c r="S22" s="31" t="inlineStr">
        <is>
          <t>Nifty 50</t>
        </is>
      </c>
      <c r="T22" s="32" t="n">
        <v>-0.38</v>
      </c>
      <c r="U22" s="32" t="n">
        <v>59.15</v>
      </c>
      <c r="V22" s="32" t="n">
        <v>59.75</v>
      </c>
      <c r="W22" s="32" t="n">
        <v>29.85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Between 12 to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IF(B23=0,"",RANK(B23,$B$2:$B$370,0))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INDOTECH</t>
        </is>
      </c>
      <c r="D23" s="31" t="inlineStr">
        <is>
          <t>Indo Tech Transformers Limited</t>
        </is>
      </c>
      <c r="E23" s="31" t="inlineStr">
        <is>
          <t>industrials</t>
        </is>
      </c>
      <c r="F23" s="31" t="inlineStr">
        <is>
          <t>electric equipment</t>
        </is>
      </c>
      <c r="G23" s="31" t="inlineStr">
        <is>
          <t>smallcap</t>
        </is>
      </c>
      <c r="H23" s="32" t="n">
        <v>4089.34</v>
      </c>
      <c r="I23" s="32" t="n">
        <v>3742.2</v>
      </c>
      <c r="J23" s="32" t="n">
        <v>-2.82</v>
      </c>
      <c r="K23" s="32" t="n">
        <v>10199</v>
      </c>
      <c r="L23" s="31" t="inlineStr"/>
      <c r="M23" s="31" t="inlineStr"/>
      <c r="N23" s="32">
        <f>IF(M23="Underperforming",-5,IF(L23&gt;=95,15,IF(L23&gt;=90,10,IF(L23&gt;=80,5,0))))</f>
        <v/>
      </c>
      <c r="O23" s="32" t="n">
        <v>70.5</v>
      </c>
      <c r="P23" s="32" t="n">
        <v>52.02</v>
      </c>
      <c r="Q23" s="32" t="n">
        <v>2900.72</v>
      </c>
      <c r="R23" s="31" t="inlineStr">
        <is>
          <t>Near 52W High Breakout</t>
        </is>
      </c>
      <c r="S23" s="31" t="inlineStr">
        <is>
          <t>Nifty Infra</t>
        </is>
      </c>
      <c r="T23" s="32" t="inlineStr"/>
      <c r="U23" s="32" t="inlineStr"/>
      <c r="V23" s="32" t="inlineStr"/>
      <c r="W23" s="32" t="inlineStr"/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IF(B24=0,"",RANK(B24,$B$2:$B$370,0))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REDINGTON</t>
        </is>
      </c>
      <c r="D24" s="31" t="inlineStr">
        <is>
          <t>Redington (india) Limited</t>
        </is>
      </c>
      <c r="E24" s="31" t="inlineStr">
        <is>
          <t>services</t>
        </is>
      </c>
      <c r="F24" s="31" t="inlineStr">
        <is>
          <t>trading</t>
        </is>
      </c>
      <c r="G24" s="31" t="inlineStr">
        <is>
          <t>largecap</t>
        </is>
      </c>
      <c r="H24" s="32" t="n">
        <v>28542.58</v>
      </c>
      <c r="I24" s="32" t="n">
        <v>352.65</v>
      </c>
      <c r="J24" s="32" t="n">
        <v>-3.41</v>
      </c>
      <c r="K24" s="32" t="n">
        <v>5828400</v>
      </c>
      <c r="L24" s="31" t="n">
        <v>80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68.90000000000001</v>
      </c>
      <c r="P24" s="32" t="n">
        <v>38.66</v>
      </c>
      <c r="Q24" s="32" t="n">
        <v>272.88</v>
      </c>
      <c r="R24" s="31" t="inlineStr">
        <is>
          <t>Near 52W High Breakout</t>
        </is>
      </c>
      <c r="S24" s="31" t="inlineStr">
        <is>
          <t>Nifty 50</t>
        </is>
      </c>
      <c r="T24" s="32" t="n">
        <v>-0.38</v>
      </c>
      <c r="U24" s="32" t="n">
        <v>49.63</v>
      </c>
      <c r="V24" s="32" t="n">
        <v>50.2</v>
      </c>
      <c r="W24" s="32" t="n">
        <v>23.56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IF(B25=0,"",RANK(B25,$B$2:$B$370,0))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PARAS</t>
        </is>
      </c>
      <c r="D25" s="31" t="inlineStr">
        <is>
          <t>Paras Defence and Space Technologies Ltd</t>
        </is>
      </c>
      <c r="E25" s="31" t="inlineStr">
        <is>
          <t>aerospace &amp; defence</t>
        </is>
      </c>
      <c r="F25" s="31" t="inlineStr">
        <is>
          <t>engineering</t>
        </is>
      </c>
      <c r="G25" s="31" t="inlineStr">
        <is>
          <t>midcap</t>
        </is>
      </c>
      <c r="H25" s="32" t="n">
        <v>12249.27</v>
      </c>
      <c r="I25" s="32" t="n">
        <v>1445.2</v>
      </c>
      <c r="J25" s="32" t="n">
        <v>-4.92</v>
      </c>
      <c r="K25" s="32" t="n">
        <v>3213306</v>
      </c>
      <c r="L25" s="31" t="n">
        <v>93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69.45999999999999</v>
      </c>
      <c r="P25" s="32" t="n">
        <v>64.98999999999999</v>
      </c>
      <c r="Q25" s="32" t="n">
        <v>1100.2</v>
      </c>
      <c r="R25" s="31" t="inlineStr">
        <is>
          <t>Near 52W High Breakout</t>
        </is>
      </c>
      <c r="S25" s="31" t="inlineStr">
        <is>
          <t>Nifty 50</t>
        </is>
      </c>
      <c r="T25" s="32" t="n">
        <v>-0.38</v>
      </c>
      <c r="U25" s="32" t="n">
        <v>122.78</v>
      </c>
      <c r="V25" s="32" t="n">
        <v>123.63</v>
      </c>
      <c r="W25" s="32" t="n">
        <v>36.15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IF(B26=0,"",RANK(B26,$B$2:$B$370,0))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CLSEL</t>
        </is>
      </c>
      <c r="D26" s="31" t="inlineStr">
        <is>
          <t>Chamanlal Setia Exports Ltd</t>
        </is>
      </c>
      <c r="E26" s="31" t="inlineStr">
        <is>
          <t>fmcg</t>
        </is>
      </c>
      <c r="F26" s="31" t="inlineStr">
        <is>
          <t>food - processing - indian</t>
        </is>
      </c>
      <c r="G26" s="31" t="inlineStr">
        <is>
          <t>smallcap</t>
        </is>
      </c>
      <c r="H26" s="32" t="n">
        <v>1555.17</v>
      </c>
      <c r="I26" s="32" t="n">
        <v>322</v>
      </c>
      <c r="J26" s="32" t="n">
        <v>2.96</v>
      </c>
      <c r="K26" s="32" t="n">
        <v>923054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62.59</v>
      </c>
      <c r="P26" s="32" t="n">
        <v>27.07</v>
      </c>
      <c r="Q26" s="32" t="n">
        <v>245.65</v>
      </c>
      <c r="R26" s="31" t="inlineStr">
        <is>
          <t>Volume Spike &amp; Near 52W High Breakout</t>
        </is>
      </c>
      <c r="S26" s="31" t="inlineStr">
        <is>
          <t>Nifty FMCG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IF(B27=0,"",RANK(B27,$B$2:$B$370,0))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GLAND</t>
        </is>
      </c>
      <c r="D27" s="31" t="inlineStr">
        <is>
          <t>Gland Pharma Ltd</t>
        </is>
      </c>
      <c r="E27" s="31" t="inlineStr">
        <is>
          <t>healthcare</t>
        </is>
      </c>
      <c r="F27" s="31" t="inlineStr">
        <is>
          <t>pharmaceuticals - indian - formulations</t>
        </is>
      </c>
      <c r="G27" s="31" t="inlineStr">
        <is>
          <t>largecap</t>
        </is>
      </c>
      <c r="H27" s="32" t="n">
        <v>46215.1</v>
      </c>
      <c r="I27" s="32" t="n">
        <v>2824.6</v>
      </c>
      <c r="J27" s="32" t="n">
        <v>0.82</v>
      </c>
      <c r="K27" s="32" t="n">
        <v>169967</v>
      </c>
      <c r="L27" s="31" t="n">
        <v>58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71.79000000000001</v>
      </c>
      <c r="P27" s="32" t="n">
        <v>61.61</v>
      </c>
      <c r="Q27" s="32" t="n">
        <v>2450.9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21.83</v>
      </c>
      <c r="U27" s="32" t="n">
        <v>52.07</v>
      </c>
      <c r="V27" s="32" t="n">
        <v>24.82</v>
      </c>
      <c r="W27" s="32" t="n">
        <v>14.81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IF(B28=0,"",RANK(B28,$B$2:$B$370,0))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RADICO</t>
        </is>
      </c>
      <c r="D28" s="31" t="inlineStr">
        <is>
          <t>Radico Khaitan Limited</t>
        </is>
      </c>
      <c r="E28" s="31" t="inlineStr">
        <is>
          <t>fmcg</t>
        </is>
      </c>
      <c r="F28" s="31" t="inlineStr">
        <is>
          <t>breweries &amp; distilleries</t>
        </is>
      </c>
      <c r="G28" s="31" t="inlineStr">
        <is>
          <t>largecap</t>
        </is>
      </c>
      <c r="H28" s="32" t="n">
        <v>61608.42</v>
      </c>
      <c r="I28" s="32" t="n">
        <v>4630</v>
      </c>
      <c r="J28" s="32" t="n">
        <v>0.65</v>
      </c>
      <c r="K28" s="32" t="n">
        <v>234617</v>
      </c>
      <c r="L28" s="31" t="inlineStr"/>
      <c r="M28" s="31" t="inlineStr"/>
      <c r="N28" s="32">
        <f>IF(M28="Underperforming",-5,IF(L28&gt;=95,15,IF(L28&gt;=90,10,IF(L28&gt;=80,5,0))))</f>
        <v/>
      </c>
      <c r="O28" s="32" t="n">
        <v>85.69</v>
      </c>
      <c r="P28" s="32" t="n">
        <v>67.33</v>
      </c>
      <c r="Q28" s="32" t="n">
        <v>4029.51</v>
      </c>
      <c r="R28" s="31" t="inlineStr">
        <is>
          <t>Near 52W High Breakout</t>
        </is>
      </c>
      <c r="S28" s="31" t="inlineStr">
        <is>
          <t>Nifty FMCG</t>
        </is>
      </c>
      <c r="T28" s="32" t="inlineStr"/>
      <c r="U28" s="32" t="inlineStr"/>
      <c r="V28" s="32" t="inlineStr"/>
      <c r="W28" s="32" t="inlineStr"/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B2C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IF(B29=0,"",RANK(B29,$B$2:$B$370,0))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MANORAMA</t>
        </is>
      </c>
      <c r="D29" s="31" t="inlineStr">
        <is>
          <t>Manorama Industries Ltd</t>
        </is>
      </c>
      <c r="E29" s="31" t="inlineStr">
        <is>
          <t>fmcg</t>
        </is>
      </c>
      <c r="F29" s="31" t="inlineStr">
        <is>
          <t>food - processing - indian</t>
        </is>
      </c>
      <c r="G29" s="31" t="inlineStr">
        <is>
          <t>midcap</t>
        </is>
      </c>
      <c r="H29" s="32" t="n">
        <v>11400.75</v>
      </c>
      <c r="I29" s="32" t="n">
        <v>1914.6</v>
      </c>
      <c r="J29" s="32" t="n">
        <v>0.27</v>
      </c>
      <c r="K29" s="32" t="n">
        <v>172622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73.78</v>
      </c>
      <c r="P29" s="32" t="n">
        <v>22.42</v>
      </c>
      <c r="Q29" s="32" t="n">
        <v>1524.94</v>
      </c>
      <c r="R29" s="31" t="inlineStr">
        <is>
          <t>Near 52W High Breakout</t>
        </is>
      </c>
      <c r="S29" s="31" t="inlineStr">
        <is>
          <t>Nifty FMCG</t>
        </is>
      </c>
      <c r="T29" s="32" t="inlineStr"/>
      <c r="U29" s="32" t="inlineStr"/>
      <c r="V29" s="32" t="inlineStr"/>
      <c r="W29" s="32" t="inlineStr"/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IF(B30=0,"",RANK(B30,$B$2:$B$370,0))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MOREPENLAB</t>
        </is>
      </c>
      <c r="D30" s="31" t="inlineStr">
        <is>
          <t>Morepen Laboratories Limited</t>
        </is>
      </c>
      <c r="E30" s="31" t="inlineStr">
        <is>
          <t>healthcare</t>
        </is>
      </c>
      <c r="F30" s="31" t="inlineStr">
        <is>
          <t>pharmaceuticals - indian - bulk drugs &amp; formln</t>
        </is>
      </c>
      <c r="G30" s="31" t="inlineStr">
        <is>
          <t>midcap</t>
        </is>
      </c>
      <c r="H30" s="32" t="n">
        <v>5217.62</v>
      </c>
      <c r="I30" s="32" t="n">
        <v>93.90000000000001</v>
      </c>
      <c r="J30" s="32" t="n">
        <v>-1.39</v>
      </c>
      <c r="K30" s="32" t="n">
        <v>11530007</v>
      </c>
      <c r="L30" s="31" t="n">
        <v>96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80.62</v>
      </c>
      <c r="P30" s="32" t="n">
        <v>43.13</v>
      </c>
      <c r="Q30" s="32" t="n">
        <v>72.90000000000001</v>
      </c>
      <c r="R30" s="31" t="inlineStr">
        <is>
          <t>Near 52W High Breakout</t>
        </is>
      </c>
      <c r="S30" s="31" t="inlineStr">
        <is>
          <t>Nifty Pharma</t>
        </is>
      </c>
      <c r="T30" s="32" t="n">
        <v>21.83</v>
      </c>
      <c r="U30" s="32" t="n">
        <v>101.37</v>
      </c>
      <c r="V30" s="32" t="n">
        <v>65.29000000000001</v>
      </c>
      <c r="W30" s="32" t="n">
        <v>45.41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IF(B31=0,"",RANK(B31,$B$2:$B$370,0))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AKUMS</t>
        </is>
      </c>
      <c r="D31" s="31" t="inlineStr">
        <is>
          <t>Akums Drugs &amp; Pharmaceuticals Ltd</t>
        </is>
      </c>
      <c r="E31" s="31" t="inlineStr">
        <is>
          <t>healthcare</t>
        </is>
      </c>
      <c r="F31" s="31" t="inlineStr">
        <is>
          <t>pharmaceuticals - indian - bulk drugs &amp; formln</t>
        </is>
      </c>
      <c r="G31" s="31" t="inlineStr">
        <is>
          <t>midcap</t>
        </is>
      </c>
      <c r="H31" s="32" t="n">
        <v>12124.85</v>
      </c>
      <c r="I31" s="32" t="n">
        <v>744.85</v>
      </c>
      <c r="J31" s="32" t="n">
        <v>-3.31</v>
      </c>
      <c r="K31" s="32" t="n">
        <v>318598</v>
      </c>
      <c r="L31" s="31" t="n">
        <v>71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71.87</v>
      </c>
      <c r="P31" s="32" t="n">
        <v>57.31</v>
      </c>
      <c r="Q31" s="32" t="n">
        <v>603.0599999999999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21.83</v>
      </c>
      <c r="U31" s="32" t="n">
        <v>64.79000000000001</v>
      </c>
      <c r="V31" s="32" t="n">
        <v>35.26</v>
      </c>
      <c r="W31" s="32" t="n">
        <v>20.25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IF(B32=0,"",RANK(B32,$B$2:$B$370,0))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NITINSPIN</t>
        </is>
      </c>
      <c r="D32" s="31" t="inlineStr">
        <is>
          <t>Nitin Spinners Limited</t>
        </is>
      </c>
      <c r="E32" s="31" t="inlineStr">
        <is>
          <t>textiles</t>
        </is>
      </c>
      <c r="F32" s="31" t="inlineStr">
        <is>
          <t>textiles - cotton/blended</t>
        </is>
      </c>
      <c r="G32" s="31" t="inlineStr">
        <is>
          <t>smallcap</t>
        </is>
      </c>
      <c r="H32" s="32" t="n">
        <v>3261.6</v>
      </c>
      <c r="I32" s="32" t="n">
        <v>623.65</v>
      </c>
      <c r="J32" s="32" t="n">
        <v>7.5</v>
      </c>
      <c r="K32" s="32" t="n">
        <v>787696</v>
      </c>
      <c r="L32" s="31" t="n">
        <v>67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73.61</v>
      </c>
      <c r="P32" s="32" t="n">
        <v>66.04000000000001</v>
      </c>
      <c r="Q32" s="32" t="n">
        <v>489.68</v>
      </c>
      <c r="R32" s="31" t="inlineStr">
        <is>
          <t>Near 52W High Breakout</t>
        </is>
      </c>
      <c r="S32" s="31" t="inlineStr">
        <is>
          <t>Nifty 50</t>
        </is>
      </c>
      <c r="T32" s="32" t="n">
        <v>-0.38</v>
      </c>
      <c r="U32" s="32" t="n">
        <v>79</v>
      </c>
      <c r="V32" s="32" t="n">
        <v>79.68000000000001</v>
      </c>
      <c r="W32" s="32" t="n">
        <v>18.72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Between 0.7 to 1.2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IF(B33=0,"",RANK(B33,$B$2:$B$370,0))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MENONBE</t>
        </is>
      </c>
      <c r="D33" s="31" t="inlineStr">
        <is>
          <t>Menon Bearings Limited</t>
        </is>
      </c>
      <c r="E33" s="31" t="inlineStr">
        <is>
          <t>auto</t>
        </is>
      </c>
      <c r="F33" s="31" t="inlineStr">
        <is>
          <t>auto ancillaries</t>
        </is>
      </c>
      <c r="G33" s="31" t="inlineStr">
        <is>
          <t>smallcap</t>
        </is>
      </c>
      <c r="H33" s="32" t="n">
        <v>1462.42</v>
      </c>
      <c r="I33" s="32" t="n">
        <v>272</v>
      </c>
      <c r="J33" s="32" t="n">
        <v>4.23</v>
      </c>
      <c r="K33" s="32" t="n">
        <v>260595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76.84999999999999</v>
      </c>
      <c r="P33" s="32" t="n">
        <v>58.11</v>
      </c>
      <c r="Q33" s="32" t="n">
        <v>206.82</v>
      </c>
      <c r="R33" s="31" t="inlineStr">
        <is>
          <t>Near 52W High Breakout</t>
        </is>
      </c>
      <c r="S33" s="31" t="inlineStr">
        <is>
          <t>Nifty Auto</t>
        </is>
      </c>
      <c r="T33" s="32" t="inlineStr"/>
      <c r="U33" s="32" t="inlineStr"/>
      <c r="V33" s="32" t="inlineStr"/>
      <c r="W33" s="32" t="inlineStr"/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IF(B34=0,"",RANK(B34,$B$2:$B$370,0))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KINGFA</t>
        </is>
      </c>
      <c r="D34" s="31" t="inlineStr">
        <is>
          <t>Kingfa Science &amp; Technology (india) Limited</t>
        </is>
      </c>
      <c r="E34" s="31" t="inlineStr">
        <is>
          <t>plastic products</t>
        </is>
      </c>
      <c r="F34" s="31" t="inlineStr">
        <is>
          <t>plastics products</t>
        </is>
      </c>
      <c r="G34" s="31" t="inlineStr">
        <is>
          <t>midcap</t>
        </is>
      </c>
      <c r="H34" s="32" t="n">
        <v>7783.91</v>
      </c>
      <c r="I34" s="32" t="n">
        <v>5905</v>
      </c>
      <c r="J34" s="32" t="n">
        <v>2.8</v>
      </c>
      <c r="K34" s="32" t="n">
        <v>18630</v>
      </c>
      <c r="L34" s="31" t="n">
        <v>37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69.23999999999999</v>
      </c>
      <c r="P34" s="32" t="n">
        <v>34.22</v>
      </c>
      <c r="Q34" s="32" t="n">
        <v>4712.82</v>
      </c>
      <c r="R34" s="31" t="inlineStr">
        <is>
          <t>Near 52W High Breakout</t>
        </is>
      </c>
      <c r="S34" s="31" t="inlineStr">
        <is>
          <t>Nifty 50</t>
        </is>
      </c>
      <c r="T34" s="32" t="n">
        <v>-0.38</v>
      </c>
      <c r="U34" s="32" t="n">
        <v>41.56</v>
      </c>
      <c r="V34" s="32" t="n">
        <v>42.1</v>
      </c>
      <c r="W34" s="32" t="n">
        <v>9.18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IF(B35=0,"",RANK(B35,$B$2:$B$370,0))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UNIPARTS</t>
        </is>
      </c>
      <c r="D35" s="31" t="inlineStr">
        <is>
          <t>Uniparts India Ltd</t>
        </is>
      </c>
      <c r="E35" s="31" t="inlineStr">
        <is>
          <t>industrials</t>
        </is>
      </c>
      <c r="F35" s="31" t="inlineStr">
        <is>
          <t>engineering</t>
        </is>
      </c>
      <c r="G35" s="31" t="inlineStr">
        <is>
          <t>smallcap</t>
        </is>
      </c>
      <c r="H35" s="32" t="n">
        <v>3648.47</v>
      </c>
      <c r="I35" s="32" t="n">
        <v>825.6</v>
      </c>
      <c r="J35" s="32" t="n">
        <v>2.15</v>
      </c>
      <c r="K35" s="32" t="n">
        <v>350407</v>
      </c>
      <c r="L35" s="31" t="n">
        <v>86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79.94</v>
      </c>
      <c r="P35" s="32" t="n">
        <v>66.23999999999999</v>
      </c>
      <c r="Q35" s="32" t="n">
        <v>667.47</v>
      </c>
      <c r="R35" s="31" t="inlineStr">
        <is>
          <t>Near 52W High Breakout</t>
        </is>
      </c>
      <c r="S35" s="31" t="inlineStr">
        <is>
          <t>Nifty 50</t>
        </is>
      </c>
      <c r="T35" s="32" t="n">
        <v>-0.38</v>
      </c>
      <c r="U35" s="32" t="n">
        <v>123.46</v>
      </c>
      <c r="V35" s="32" t="n">
        <v>124.31</v>
      </c>
      <c r="W35" s="32" t="n">
        <v>26.72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IF(B36=0,"",RANK(B36,$B$2:$B$370,0))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HITECHCORP</t>
        </is>
      </c>
      <c r="D36" s="31" t="inlineStr">
        <is>
          <t>Hitech Corporation</t>
        </is>
      </c>
      <c r="E36" s="31" t="inlineStr">
        <is>
          <t>industrials</t>
        </is>
      </c>
      <c r="F36" s="31" t="inlineStr">
        <is>
          <t>packaging</t>
        </is>
      </c>
      <c r="G36" s="31" t="inlineStr">
        <is>
          <t>smallcap</t>
        </is>
      </c>
      <c r="H36" s="32" t="n">
        <v>571.35</v>
      </c>
      <c r="I36" s="32" t="n">
        <v>339.4</v>
      </c>
      <c r="J36" s="32" t="n">
        <v>2.03</v>
      </c>
      <c r="K36" s="32" t="n">
        <v>40094</v>
      </c>
      <c r="L36" s="31" t="n">
        <v>80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81.84999999999999</v>
      </c>
      <c r="P36" s="32" t="n">
        <v>65.93000000000001</v>
      </c>
      <c r="Q36" s="32" t="n">
        <v>275.5</v>
      </c>
      <c r="R36" s="31" t="inlineStr">
        <is>
          <t>Near 52W High Breakout</t>
        </is>
      </c>
      <c r="S36" s="31" t="inlineStr">
        <is>
          <t>Nifty 50</t>
        </is>
      </c>
      <c r="T36" s="32" t="n">
        <v>-0.38</v>
      </c>
      <c r="U36" s="32" t="n">
        <v>69.12</v>
      </c>
      <c r="V36" s="32" t="n">
        <v>69.76000000000001</v>
      </c>
      <c r="W36" s="32" t="n">
        <v>23.67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IF(B37=0,"",RANK(B37,$B$2:$B$370,0))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APARINDS</t>
        </is>
      </c>
      <c r="D37" s="31" t="inlineStr">
        <is>
          <t>Apar Industries Limited</t>
        </is>
      </c>
      <c r="E37" s="31" t="inlineStr">
        <is>
          <t>industrials</t>
        </is>
      </c>
      <c r="F37" s="31" t="inlineStr">
        <is>
          <t>electric equipment</t>
        </is>
      </c>
      <c r="G37" s="31" t="inlineStr">
        <is>
          <t>largecap</t>
        </is>
      </c>
      <c r="H37" s="32" t="n">
        <v>69947.74000000001</v>
      </c>
      <c r="I37" s="32" t="n">
        <v>17001</v>
      </c>
      <c r="J37" s="32" t="n">
        <v>1.77</v>
      </c>
      <c r="K37" s="32" t="n">
        <v>162714</v>
      </c>
      <c r="L37" s="31" t="n">
        <v>79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72.55</v>
      </c>
      <c r="P37" s="32" t="n">
        <v>43.37</v>
      </c>
      <c r="Q37" s="32" t="n">
        <v>13056.9</v>
      </c>
      <c r="R37" s="31" t="inlineStr">
        <is>
          <t>Near 52W High Breakout</t>
        </is>
      </c>
      <c r="S37" s="31" t="inlineStr">
        <is>
          <t>Nifty 500</t>
        </is>
      </c>
      <c r="T37" s="32" t="n">
        <v>5.11</v>
      </c>
      <c r="U37" s="32" t="n">
        <v>119.88</v>
      </c>
      <c r="V37" s="32" t="n">
        <v>109.18</v>
      </c>
      <c r="W37" s="32" t="n">
        <v>23.41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IF(B38=0,"",RANK(B38,$B$2:$B$370,0))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POLYPLEX</t>
        </is>
      </c>
      <c r="D38" s="31" t="inlineStr">
        <is>
          <t>Polyplex Corporation Limited</t>
        </is>
      </c>
      <c r="E38" s="31" t="inlineStr">
        <is>
          <t>industrials</t>
        </is>
      </c>
      <c r="F38" s="31" t="inlineStr">
        <is>
          <t>packaging</t>
        </is>
      </c>
      <c r="G38" s="31" t="inlineStr">
        <is>
          <t>smallcap</t>
        </is>
      </c>
      <c r="H38" s="32" t="n">
        <v>3672.92</v>
      </c>
      <c r="I38" s="32" t="n">
        <v>1190</v>
      </c>
      <c r="J38" s="32" t="n">
        <v>1.71</v>
      </c>
      <c r="K38" s="32" t="n">
        <v>81139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70.93000000000001</v>
      </c>
      <c r="P38" s="32" t="n">
        <v>54.24</v>
      </c>
      <c r="Q38" s="32" t="n">
        <v>976.63</v>
      </c>
      <c r="R38" s="31" t="inlineStr">
        <is>
          <t>Near 52W High Breakout</t>
        </is>
      </c>
      <c r="S38" s="31" t="inlineStr">
        <is>
          <t>Nifty Infra</t>
        </is>
      </c>
      <c r="T38" s="32" t="inlineStr"/>
      <c r="U38" s="32" t="inlineStr"/>
      <c r="V38" s="32" t="inlineStr"/>
      <c r="W38" s="32" t="inlineStr"/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IF(B39=0,"",RANK(B39,$B$2:$B$370,0))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CARTRADE</t>
        </is>
      </c>
      <c r="D39" s="31" t="inlineStr">
        <is>
          <t>Cartrade Tech Ltd</t>
        </is>
      </c>
      <c r="E39" s="31" t="inlineStr">
        <is>
          <t>consumer discretionary</t>
        </is>
      </c>
      <c r="F39" s="31" t="inlineStr">
        <is>
          <t>miscellaneous</t>
        </is>
      </c>
      <c r="G39" s="31" t="inlineStr">
        <is>
          <t>midcap</t>
        </is>
      </c>
      <c r="H39" s="32" t="n">
        <v>15072.51</v>
      </c>
      <c r="I39" s="32" t="n">
        <v>3144.8</v>
      </c>
      <c r="J39" s="32" t="n">
        <v>0.2</v>
      </c>
      <c r="K39" s="32" t="n">
        <v>488323</v>
      </c>
      <c r="L39" s="31" t="n">
        <v>89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71.55</v>
      </c>
      <c r="P39" s="32" t="n">
        <v>42</v>
      </c>
      <c r="Q39" s="32" t="n">
        <v>2370.68</v>
      </c>
      <c r="R39" s="31" t="inlineStr">
        <is>
          <t>Near 52W High Breakout</t>
        </is>
      </c>
      <c r="S39" s="31" t="inlineStr">
        <is>
          <t>Nifty 50</t>
        </is>
      </c>
      <c r="T39" s="32" t="n">
        <v>-0.38</v>
      </c>
      <c r="U39" s="32" t="n">
        <v>31.14</v>
      </c>
      <c r="V39" s="32" t="n">
        <v>31.64</v>
      </c>
      <c r="W39" s="32" t="n">
        <v>29.18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IF(B40=0,"",RANK(B40,$B$2:$B$370,0))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KPIL</t>
        </is>
      </c>
      <c r="D40" s="31" t="inlineStr">
        <is>
          <t>Kalpataru Projects International Ltd</t>
        </is>
      </c>
      <c r="E40" s="31" t="inlineStr">
        <is>
          <t>realty</t>
        </is>
      </c>
      <c r="F40" s="31" t="inlineStr">
        <is>
          <t>transmisson line towers / equipment</t>
        </is>
      </c>
      <c r="G40" s="31" t="inlineStr">
        <is>
          <t>largecap</t>
        </is>
      </c>
      <c r="H40" s="32" t="n">
        <v>23718.6</v>
      </c>
      <c r="I40" s="32" t="n">
        <v>1384.4</v>
      </c>
      <c r="J40" s="32" t="n">
        <v>-0.32</v>
      </c>
      <c r="K40" s="32" t="n">
        <v>134764</v>
      </c>
      <c r="L40" s="31" t="inlineStr"/>
      <c r="M40" s="31" t="inlineStr"/>
      <c r="N40" s="32">
        <f>IF(M40="Underperforming",-5,IF(L40&gt;=95,15,IF(L40&gt;=90,10,IF(L40&gt;=80,5,0))))</f>
        <v/>
      </c>
      <c r="O40" s="32" t="n">
        <v>62.44</v>
      </c>
      <c r="P40" s="32" t="n">
        <v>32.02</v>
      </c>
      <c r="Q40" s="32" t="n">
        <v>1164.21</v>
      </c>
      <c r="R40" s="31" t="inlineStr">
        <is>
          <t>Near 52W High Breakout</t>
        </is>
      </c>
      <c r="S40" s="31" t="inlineStr">
        <is>
          <t>Nifty Realty</t>
        </is>
      </c>
      <c r="T40" s="32" t="inlineStr"/>
      <c r="U40" s="32" t="inlineStr"/>
      <c r="V40" s="32" t="inlineStr"/>
      <c r="W40" s="32" t="inlineStr"/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IF(B41=0,"",RANK(B41,$B$2:$B$370,0))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WSTCSTPAPR</t>
        </is>
      </c>
      <c r="D41" s="31" t="inlineStr">
        <is>
          <t>West Coast Paper Mills Limited</t>
        </is>
      </c>
      <c r="E41" s="31" t="inlineStr">
        <is>
          <t>building materials</t>
        </is>
      </c>
      <c r="F41" s="31" t="inlineStr">
        <is>
          <t>paper</t>
        </is>
      </c>
      <c r="G41" s="31" t="inlineStr">
        <is>
          <t>smallcap</t>
        </is>
      </c>
      <c r="H41" s="32" t="n">
        <v>4051.77</v>
      </c>
      <c r="I41" s="32" t="n">
        <v>608</v>
      </c>
      <c r="J41" s="32" t="n">
        <v>-0.89</v>
      </c>
      <c r="K41" s="32" t="n">
        <v>140358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65.37</v>
      </c>
      <c r="P41" s="32" t="n">
        <v>46.52</v>
      </c>
      <c r="Q41" s="32" t="n">
        <v>505.92</v>
      </c>
      <c r="R41" s="31" t="inlineStr">
        <is>
          <t>Near 52W High Breakout</t>
        </is>
      </c>
      <c r="S41" s="31" t="inlineStr">
        <is>
          <t>Nifty Infra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IF(B42=0,"",RANK(B42,$B$2:$B$370,0))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ORIENTBELL</t>
        </is>
      </c>
      <c r="D42" s="31" t="inlineStr">
        <is>
          <t>Orient Bell Limited</t>
        </is>
      </c>
      <c r="E42" s="31" t="inlineStr">
        <is>
          <t>building materials</t>
        </is>
      </c>
      <c r="F42" s="31" t="inlineStr">
        <is>
          <t>ceramics - tiles / sanitaryware</t>
        </is>
      </c>
      <c r="G42" s="31" t="inlineStr">
        <is>
          <t>smallcap</t>
        </is>
      </c>
      <c r="H42" s="32" t="n">
        <v>558.5599999999999</v>
      </c>
      <c r="I42" s="32" t="n">
        <v>376.25</v>
      </c>
      <c r="J42" s="32" t="n">
        <v>-0.91</v>
      </c>
      <c r="K42" s="32" t="n">
        <v>23116</v>
      </c>
      <c r="L42" s="31" t="inlineStr"/>
      <c r="M42" s="31" t="inlineStr"/>
      <c r="N42" s="32">
        <f>IF(M42="Underperforming",-5,IF(L42&gt;=95,15,IF(L42&gt;=90,10,IF(L42&gt;=80,5,0))))</f>
        <v/>
      </c>
      <c r="O42" s="32" t="n">
        <v>67.48</v>
      </c>
      <c r="P42" s="32" t="n">
        <v>39.02</v>
      </c>
      <c r="Q42" s="32" t="n">
        <v>290.76</v>
      </c>
      <c r="R42" s="31" t="inlineStr">
        <is>
          <t>Near 52W High Breakout</t>
        </is>
      </c>
      <c r="S42" s="31" t="inlineStr">
        <is>
          <t>Nifty Infra</t>
        </is>
      </c>
      <c r="T42" s="32" t="inlineStr"/>
      <c r="U42" s="32" t="inlineStr"/>
      <c r="V42" s="32" t="inlineStr"/>
      <c r="W42" s="32" t="inlineStr"/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IF(B43=0,"",RANK(B43,$B$2:$B$370,0))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GNA</t>
        </is>
      </c>
      <c r="D43" s="31" t="inlineStr">
        <is>
          <t>Gna Axles Limited</t>
        </is>
      </c>
      <c r="E43" s="31" t="inlineStr">
        <is>
          <t>auto</t>
        </is>
      </c>
      <c r="F43" s="31" t="inlineStr">
        <is>
          <t>auto ancillaries</t>
        </is>
      </c>
      <c r="G43" s="31" t="inlineStr">
        <is>
          <t>smallcap</t>
        </is>
      </c>
      <c r="H43" s="32" t="n">
        <v>2384.38</v>
      </c>
      <c r="I43" s="32" t="n">
        <v>550.25</v>
      </c>
      <c r="J43" s="32" t="n">
        <v>-0.93</v>
      </c>
      <c r="K43" s="32" t="n">
        <v>231083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65.8</v>
      </c>
      <c r="P43" s="32" t="n">
        <v>38.68</v>
      </c>
      <c r="Q43" s="32" t="n">
        <v>423.48</v>
      </c>
      <c r="R43" s="31" t="inlineStr">
        <is>
          <t>Near 52W High Breakout</t>
        </is>
      </c>
      <c r="S43" s="31" t="inlineStr">
        <is>
          <t>Nifty Auto</t>
        </is>
      </c>
      <c r="T43" s="32" t="inlineStr"/>
      <c r="U43" s="32" t="inlineStr"/>
      <c r="V43" s="32" t="inlineStr"/>
      <c r="W43" s="32" t="inlineStr"/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IF(B44=0,"",RANK(B44,$B$2:$B$370,0))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ATHERENERG</t>
        </is>
      </c>
      <c r="D44" s="31" t="inlineStr">
        <is>
          <t>Ather Energy Ltd</t>
        </is>
      </c>
      <c r="E44" s="31" t="inlineStr">
        <is>
          <t>auto</t>
        </is>
      </c>
      <c r="F44" s="31" t="inlineStr">
        <is>
          <t>automobiles - scooters and 3 - wheelers</t>
        </is>
      </c>
      <c r="G44" s="31" t="inlineStr">
        <is>
          <t>largecap</t>
        </is>
      </c>
      <c r="H44" s="32" t="n">
        <v>57270.35</v>
      </c>
      <c r="I44" s="32" t="n">
        <v>1439.4</v>
      </c>
      <c r="J44" s="32" t="n">
        <v>-0.9399999999999999</v>
      </c>
      <c r="K44" s="32" t="n">
        <v>1305300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73.84</v>
      </c>
      <c r="P44" s="32" t="n">
        <v>63.55</v>
      </c>
      <c r="Q44" s="32" t="n">
        <v>1187.17</v>
      </c>
      <c r="R44" s="31" t="inlineStr">
        <is>
          <t>Near 52W High Breakout</t>
        </is>
      </c>
      <c r="S44" s="31" t="inlineStr">
        <is>
          <t>Nifty Auto</t>
        </is>
      </c>
      <c r="T44" s="32" t="inlineStr"/>
      <c r="U44" s="32" t="inlineStr"/>
      <c r="V44" s="32" t="inlineStr"/>
      <c r="W44" s="32" t="inlineStr"/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IF(B45=0,"",RANK(B45,$B$2:$B$370,0))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GARFIBRES</t>
        </is>
      </c>
      <c r="D45" s="31" t="inlineStr">
        <is>
          <t>Garware Technical Fibres Ltd</t>
        </is>
      </c>
      <c r="E45" s="31" t="inlineStr">
        <is>
          <t>textiles</t>
        </is>
      </c>
      <c r="F45" s="31" t="inlineStr">
        <is>
          <t>textiles - products</t>
        </is>
      </c>
      <c r="G45" s="31" t="inlineStr">
        <is>
          <t>midcap</t>
        </is>
      </c>
      <c r="H45" s="32" t="n">
        <v>7903.66</v>
      </c>
      <c r="I45" s="32" t="n">
        <v>795.85</v>
      </c>
      <c r="J45" s="32" t="n">
        <v>-1.67</v>
      </c>
      <c r="K45" s="32" t="n">
        <v>72825</v>
      </c>
      <c r="L45" s="31" t="n">
        <v>21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60.31</v>
      </c>
      <c r="P45" s="32" t="n">
        <v>43.79</v>
      </c>
      <c r="Q45" s="32" t="n">
        <v>631.1</v>
      </c>
      <c r="R45" s="31" t="inlineStr">
        <is>
          <t>Near 52W High Breakout</t>
        </is>
      </c>
      <c r="S45" s="31" t="inlineStr">
        <is>
          <t>Nifty 50</t>
        </is>
      </c>
      <c r="T45" s="32" t="n">
        <v>-0.38</v>
      </c>
      <c r="U45" s="32" t="n">
        <v>5.63</v>
      </c>
      <c r="V45" s="32" t="n">
        <v>6.03</v>
      </c>
      <c r="W45" s="32" t="n">
        <v>5.91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Between 1.5 to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IF(B46=0,"",RANK(B46,$B$2:$B$370,0))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FCL</t>
        </is>
      </c>
      <c r="D46" s="31" t="inlineStr">
        <is>
          <t>Fineotex Chemical Limited</t>
        </is>
      </c>
      <c r="E46" s="31" t="inlineStr">
        <is>
          <t>chemicals</t>
        </is>
      </c>
      <c r="F46" s="31" t="inlineStr">
        <is>
          <t>chemicals</t>
        </is>
      </c>
      <c r="G46" s="31" t="inlineStr">
        <is>
          <t>midcap</t>
        </is>
      </c>
      <c r="H46" s="32" t="n">
        <v>5778.25</v>
      </c>
      <c r="I46" s="32" t="n">
        <v>48.78</v>
      </c>
      <c r="J46" s="32" t="n">
        <v>-1.69</v>
      </c>
      <c r="K46" s="32" t="n">
        <v>18132728</v>
      </c>
      <c r="L46" s="31" t="n">
        <v>77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74.61</v>
      </c>
      <c r="P46" s="32" t="n">
        <v>50.05</v>
      </c>
      <c r="Q46" s="32" t="n">
        <v>35.79</v>
      </c>
      <c r="R46" s="31" t="inlineStr">
        <is>
          <t>Near 52W High Breakout</t>
        </is>
      </c>
      <c r="S46" s="31" t="inlineStr">
        <is>
          <t>Nifty 50</t>
        </is>
      </c>
      <c r="T46" s="32" t="n">
        <v>-0.38</v>
      </c>
      <c r="U46" s="32" t="n">
        <v>105.57</v>
      </c>
      <c r="V46" s="32" t="n">
        <v>106.35</v>
      </c>
      <c r="W46" s="32" t="n">
        <v>22.64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Between 1.5 to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IF(B47=0,"",RANK(B47,$B$2:$B$370,0))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PGIL</t>
        </is>
      </c>
      <c r="D47" s="31" t="inlineStr">
        <is>
          <t>Pearl Global Industries Limited</t>
        </is>
      </c>
      <c r="E47" s="31" t="inlineStr">
        <is>
          <t>consumer discretionary</t>
        </is>
      </c>
      <c r="F47" s="31" t="inlineStr">
        <is>
          <t>textiles - products</t>
        </is>
      </c>
      <c r="G47" s="31" t="inlineStr">
        <is>
          <t>midcap</t>
        </is>
      </c>
      <c r="H47" s="32" t="n">
        <v>10955.8</v>
      </c>
      <c r="I47" s="32" t="n">
        <v>2326.7</v>
      </c>
      <c r="J47" s="32" t="n">
        <v>-1.92</v>
      </c>
      <c r="K47" s="32" t="n">
        <v>71839</v>
      </c>
      <c r="L47" s="31" t="n">
        <v>80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67.55</v>
      </c>
      <c r="P47" s="32" t="n">
        <v>57.05</v>
      </c>
      <c r="Q47" s="32" t="n">
        <v>1951.26</v>
      </c>
      <c r="R47" s="31" t="inlineStr">
        <is>
          <t>Earnings / Momentum Support</t>
        </is>
      </c>
      <c r="S47" s="31" t="inlineStr">
        <is>
          <t>Nifty 50</t>
        </is>
      </c>
      <c r="T47" s="32" t="n">
        <v>-0.38</v>
      </c>
      <c r="U47" s="32" t="n">
        <v>90.31999999999999</v>
      </c>
      <c r="V47" s="32" t="n">
        <v>91.04000000000001</v>
      </c>
      <c r="W47" s="32" t="n">
        <v>23.59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IF(B48=0,"",RANK(B48,$B$2:$B$370,0))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TBZ</t>
        </is>
      </c>
      <c r="D48" s="31" t="inlineStr">
        <is>
          <t>Tribhovandas Bhimji Zaveri Limited</t>
        </is>
      </c>
      <c r="E48" s="31" t="inlineStr">
        <is>
          <t>consumer discretionary</t>
        </is>
      </c>
      <c r="F48" s="31" t="inlineStr">
        <is>
          <t>diamond cutting / jewellery</t>
        </is>
      </c>
      <c r="G48" s="31" t="inlineStr">
        <is>
          <t>smallcap</t>
        </is>
      </c>
      <c r="H48" s="32" t="n">
        <v>1909.83</v>
      </c>
      <c r="I48" s="32" t="n">
        <v>280.35</v>
      </c>
      <c r="J48" s="32" t="n">
        <v>-2.04</v>
      </c>
      <c r="K48" s="32" t="n">
        <v>1279027</v>
      </c>
      <c r="L48" s="31" t="n">
        <v>85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73.45</v>
      </c>
      <c r="P48" s="32" t="n">
        <v>44.34</v>
      </c>
      <c r="Q48" s="32" t="n">
        <v>199.34</v>
      </c>
      <c r="R48" s="31" t="inlineStr">
        <is>
          <t>Near 52W High Breakout</t>
        </is>
      </c>
      <c r="S48" s="31" t="inlineStr">
        <is>
          <t>Nifty 50</t>
        </is>
      </c>
      <c r="T48" s="32" t="n">
        <v>-0.38</v>
      </c>
      <c r="U48" s="32" t="n">
        <v>53.12</v>
      </c>
      <c r="V48" s="32" t="n">
        <v>53.7</v>
      </c>
      <c r="W48" s="32" t="n">
        <v>26.2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IF(B49=0,"",RANK(B49,$B$2:$B$370,0))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SHANTIGOLD</t>
        </is>
      </c>
      <c r="D49" s="31" t="inlineStr">
        <is>
          <t>Shanti Gold International Ltd</t>
        </is>
      </c>
      <c r="E49" s="31" t="inlineStr">
        <is>
          <t>consumer discretionary</t>
        </is>
      </c>
      <c r="F49" s="31" t="inlineStr">
        <is>
          <t>diamond cutting / jewellery</t>
        </is>
      </c>
      <c r="G49" s="31" t="inlineStr">
        <is>
          <t>smallcap</t>
        </is>
      </c>
      <c r="H49" s="32" t="n">
        <v>1950.34</v>
      </c>
      <c r="I49" s="32" t="n">
        <v>263.96</v>
      </c>
      <c r="J49" s="32" t="n">
        <v>-2.43</v>
      </c>
      <c r="K49" s="32" t="n">
        <v>3865188</v>
      </c>
      <c r="L49" s="31" t="n">
        <v>32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68.3</v>
      </c>
      <c r="P49" s="32" t="n">
        <v>35.08</v>
      </c>
      <c r="Q49" s="32" t="n">
        <v>204</v>
      </c>
      <c r="R49" s="31" t="inlineStr">
        <is>
          <t>Near 52W High Breakout</t>
        </is>
      </c>
      <c r="S49" s="31" t="inlineStr">
        <is>
          <t>Nifty 50</t>
        </is>
      </c>
      <c r="T49" s="32" t="n">
        <v>-0.38</v>
      </c>
      <c r="U49" s="32" t="n">
        <v>20.13</v>
      </c>
      <c r="V49" s="32" t="n">
        <v>20.59</v>
      </c>
      <c r="W49" s="32" t="n">
        <v>7.95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IF(B50=0,"",RANK(B50,$B$2:$B$370,0))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UFBL</t>
        </is>
      </c>
      <c r="D50" s="31" t="inlineStr">
        <is>
          <t>United Foodbrands Ltd</t>
        </is>
      </c>
      <c r="E50" s="31" t="inlineStr">
        <is>
          <t>consumer discretionary</t>
        </is>
      </c>
      <c r="F50" s="31" t="inlineStr">
        <is>
          <t>hotels</t>
        </is>
      </c>
      <c r="G50" s="31" t="inlineStr">
        <is>
          <t>smallcap</t>
        </is>
      </c>
      <c r="H50" s="32" t="n">
        <v>3275.24</v>
      </c>
      <c r="I50" s="32" t="n">
        <v>796.1</v>
      </c>
      <c r="J50" s="32" t="n">
        <v>-4.99</v>
      </c>
      <c r="K50" s="32" t="n">
        <v>44080</v>
      </c>
      <c r="L50" s="31" t="n">
        <v>97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71.98999999999999</v>
      </c>
      <c r="P50" s="32" t="n">
        <v>55.85</v>
      </c>
      <c r="Q50" s="32" t="n">
        <v>607.61</v>
      </c>
      <c r="R50" s="31" t="inlineStr">
        <is>
          <t>Near 52W High Breakout</t>
        </is>
      </c>
      <c r="S50" s="31" t="inlineStr">
        <is>
          <t>Nifty 50</t>
        </is>
      </c>
      <c r="T50" s="32" t="n">
        <v>-0.38</v>
      </c>
      <c r="U50" s="32" t="n">
        <v>196.72</v>
      </c>
      <c r="V50" s="32" t="n">
        <v>197.85</v>
      </c>
      <c r="W50" s="32" t="n">
        <v>45.58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Between 1.5 to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More than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IF(B51=0,"",RANK(B51,$B$2:$B$370,0))</f>
        <v/>
      </c>
      <c r="B51" s="32">
        <f>SUM(N51,Y51,AA51,AC51,AE51,AG51,AI51,AK51,AM51,AO51,AQ51,AS51,AU51,AW51,AY51,BA51,BC51,BE51,BG51,BI51,BK51,BM51,BO51,BQ51,BS51,BU51,BW51,BY51,CA51,CC51,CE51)</f>
        <v/>
      </c>
      <c r="C51" s="33" t="inlineStr">
        <is>
          <t>JAGSNPHARM</t>
        </is>
      </c>
      <c r="D51" s="33" t="inlineStr">
        <is>
          <t>Jagsonpal Pharmaceuticals Limited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smallcap</t>
        </is>
      </c>
      <c r="H51" s="32" t="n">
        <v>1585.12</v>
      </c>
      <c r="I51" s="32" t="n">
        <v>244</v>
      </c>
      <c r="J51" s="32" t="n">
        <v>1.34</v>
      </c>
      <c r="K51" s="32" t="n">
        <v>114387</v>
      </c>
      <c r="L51" s="31" t="n">
        <v>20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65.81999999999999</v>
      </c>
      <c r="P51" s="32" t="n">
        <v>45.26</v>
      </c>
      <c r="Q51" s="32" t="n">
        <v>188.1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21.83</v>
      </c>
      <c r="U51" s="32" t="n">
        <v>4.29</v>
      </c>
      <c r="V51" s="32" t="n">
        <v>-14.39</v>
      </c>
      <c r="W51" s="32" t="n">
        <v>5.51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IF(B52=0,"",RANK(B52,$B$2:$B$370,0))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IPCALAB</t>
        </is>
      </c>
      <c r="D52" s="31" t="inlineStr">
        <is>
          <t>Ipca Laboratories Limited</t>
        </is>
      </c>
      <c r="E52" s="31" t="inlineStr">
        <is>
          <t>healthcare</t>
        </is>
      </c>
      <c r="F52" s="31" t="inlineStr">
        <is>
          <t>pharmaceuticals - indian - bulk drugs &amp; formln</t>
        </is>
      </c>
      <c r="G52" s="31" t="inlineStr">
        <is>
          <t>largecap</t>
        </is>
      </c>
      <c r="H52" s="32" t="n">
        <v>48721.36</v>
      </c>
      <c r="I52" s="32" t="n">
        <v>1928.5</v>
      </c>
      <c r="J52" s="32" t="n">
        <v>0.42</v>
      </c>
      <c r="K52" s="32" t="n">
        <v>531499</v>
      </c>
      <c r="L52" s="31" t="n">
        <v>49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67.91</v>
      </c>
      <c r="P52" s="32" t="n">
        <v>38.04</v>
      </c>
      <c r="Q52" s="32" t="n">
        <v>1552.98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21.83</v>
      </c>
      <c r="U52" s="32" t="n">
        <v>39.79</v>
      </c>
      <c r="V52" s="32" t="n">
        <v>14.74</v>
      </c>
      <c r="W52" s="32" t="n">
        <v>12.76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IF(B53=0,"",RANK(B53,$B$2:$B$370,0))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INDSWFTLAB</t>
        </is>
      </c>
      <c r="D53" s="31" t="inlineStr">
        <is>
          <t>Ind-swift Laboratories Limited</t>
        </is>
      </c>
      <c r="E53" s="31" t="inlineStr">
        <is>
          <t>healthcare</t>
        </is>
      </c>
      <c r="F53" s="31" t="inlineStr">
        <is>
          <t>pharmaceuticals - indian - bulk drugs &amp; formln</t>
        </is>
      </c>
      <c r="G53" s="31" t="inlineStr">
        <is>
          <t>smallcap</t>
        </is>
      </c>
      <c r="H53" s="32" t="n">
        <v>2845.99</v>
      </c>
      <c r="I53" s="32" t="n">
        <v>323.5</v>
      </c>
      <c r="J53" s="32" t="n">
        <v>-1.15</v>
      </c>
      <c r="K53" s="32" t="n">
        <v>348267</v>
      </c>
      <c r="L53" s="31" t="n">
        <v>98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84.90000000000001</v>
      </c>
      <c r="P53" s="32" t="n">
        <v>68.39</v>
      </c>
      <c r="Q53" s="32" t="n">
        <v>252.98</v>
      </c>
      <c r="R53" s="31" t="inlineStr">
        <is>
          <t>Near 52W High Breakout</t>
        </is>
      </c>
      <c r="S53" s="31" t="inlineStr">
        <is>
          <t>Nifty Pharma</t>
        </is>
      </c>
      <c r="T53" s="32" t="n">
        <v>21.83</v>
      </c>
      <c r="U53" s="32" t="n">
        <v>237.68</v>
      </c>
      <c r="V53" s="32" t="n">
        <v>177.18</v>
      </c>
      <c r="W53" s="32" t="n">
        <v>56.35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IF(B54=0,"",RANK(B54,$B$2:$B$370,0))</f>
        <v/>
      </c>
      <c r="B54" s="32">
        <f>SUM(N54,Y54,AA54,AC54,AE54,AG54,AI54,AK54,AM54,AO54,AQ54,AS54,AU54,AW54,AY54,BA54,BC54,BE54,BG54,BI54,BK54,BM54,BO54,BQ54,BS54,BU54,BW54,BY54,CA54,CC54,CE54)</f>
        <v/>
      </c>
      <c r="C54" s="33" t="inlineStr">
        <is>
          <t>INNOVACAP</t>
        </is>
      </c>
      <c r="D54" s="33" t="inlineStr">
        <is>
          <t>Innova Captab Ltd</t>
        </is>
      </c>
      <c r="E54" s="31" t="inlineStr">
        <is>
          <t>healthcare</t>
        </is>
      </c>
      <c r="F54" s="31" t="inlineStr">
        <is>
          <t>pharmaceuticals - indian - bulk drugs &amp; formln</t>
        </is>
      </c>
      <c r="G54" s="31" t="inlineStr">
        <is>
          <t>midcap</t>
        </is>
      </c>
      <c r="H54" s="32" t="n">
        <v>6083.3</v>
      </c>
      <c r="I54" s="32" t="n">
        <v>1040.4</v>
      </c>
      <c r="J54" s="32" t="n">
        <v>-2.13</v>
      </c>
      <c r="K54" s="32" t="n">
        <v>35553</v>
      </c>
      <c r="L54" s="31" t="n">
        <v>36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66.64</v>
      </c>
      <c r="P54" s="32" t="n">
        <v>60.47</v>
      </c>
      <c r="Q54" s="32" t="n">
        <v>863.09</v>
      </c>
      <c r="R54" s="31" t="inlineStr">
        <is>
          <t>Near 52W High Breakout</t>
        </is>
      </c>
      <c r="S54" s="31" t="inlineStr">
        <is>
          <t>Nifty Pharma</t>
        </is>
      </c>
      <c r="T54" s="32" t="n">
        <v>21.83</v>
      </c>
      <c r="U54" s="32" t="n">
        <v>15.68</v>
      </c>
      <c r="V54" s="32" t="n">
        <v>-5.05</v>
      </c>
      <c r="W54" s="32" t="n">
        <v>8.98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IF(B55=0,"",RANK(B55,$B$2:$B$370,0))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IDEA</t>
        </is>
      </c>
      <c r="D55" s="31" t="inlineStr">
        <is>
          <t>Vodafone Idea Ltd</t>
        </is>
      </c>
      <c r="E55" s="31" t="inlineStr">
        <is>
          <t>telecom-service</t>
        </is>
      </c>
      <c r="F55" s="31" t="inlineStr">
        <is>
          <t>telecommunications - service provider</t>
        </is>
      </c>
      <c r="G55" s="31" t="inlineStr">
        <is>
          <t>largecap</t>
        </is>
      </c>
      <c r="H55" s="32" t="n">
        <v>152438.65</v>
      </c>
      <c r="I55" s="32" t="n">
        <v>15.19</v>
      </c>
      <c r="J55" s="32" t="n">
        <v>7.96</v>
      </c>
      <c r="K55" s="32" t="n">
        <v>1574066520</v>
      </c>
      <c r="L55" s="31" t="n">
        <v>76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66.97</v>
      </c>
      <c r="P55" s="32" t="n">
        <v>34.93</v>
      </c>
      <c r="Q55" s="32" t="n">
        <v>12.18</v>
      </c>
      <c r="R55" s="31" t="inlineStr">
        <is>
          <t>Near 52W High Breakout</t>
        </is>
      </c>
      <c r="S55" s="31" t="inlineStr">
        <is>
          <t>Nifty 50</t>
        </is>
      </c>
      <c r="T55" s="32" t="n">
        <v>-0.38</v>
      </c>
      <c r="U55" s="32" t="n">
        <v>134.05</v>
      </c>
      <c r="V55" s="32" t="n">
        <v>134.94</v>
      </c>
      <c r="W55" s="32" t="n">
        <v>21.81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Oligopoly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IF(B56=0,"",RANK(B56,$B$2:$B$370,0))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MODISONLTD</t>
        </is>
      </c>
      <c r="D56" s="31" t="inlineStr">
        <is>
          <t>Modison Ltd</t>
        </is>
      </c>
      <c r="E56" s="31" t="inlineStr">
        <is>
          <t>industrials</t>
        </is>
      </c>
      <c r="F56" s="31" t="inlineStr">
        <is>
          <t>electric equipment</t>
        </is>
      </c>
      <c r="G56" s="31" t="inlineStr">
        <is>
          <t>smallcap</t>
        </is>
      </c>
      <c r="H56" s="32" t="n">
        <v>1287.62</v>
      </c>
      <c r="I56" s="32" t="n">
        <v>414.85</v>
      </c>
      <c r="J56" s="32" t="n">
        <v>4.55</v>
      </c>
      <c r="K56" s="32" t="n">
        <v>160897</v>
      </c>
      <c r="L56" s="31" t="n">
        <v>94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76.89</v>
      </c>
      <c r="P56" s="32" t="n">
        <v>59.75</v>
      </c>
      <c r="Q56" s="32" t="n">
        <v>310.88</v>
      </c>
      <c r="R56" s="31" t="inlineStr">
        <is>
          <t>Near 52W High Breakout</t>
        </is>
      </c>
      <c r="S56" s="31" t="inlineStr">
        <is>
          <t>Nifty 50</t>
        </is>
      </c>
      <c r="T56" s="32" t="n">
        <v>-0.38</v>
      </c>
      <c r="U56" s="32" t="n">
        <v>176.94</v>
      </c>
      <c r="V56" s="32" t="n">
        <v>177.99</v>
      </c>
      <c r="W56" s="32" t="n">
        <v>38.51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IF(B57=0,"",RANK(B57,$B$2:$B$370,0))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ADANIENT</t>
        </is>
      </c>
      <c r="D57" s="31" t="inlineStr">
        <is>
          <t>Adani Enterprises Limited</t>
        </is>
      </c>
      <c r="E57" s="31" t="inlineStr">
        <is>
          <t>services</t>
        </is>
      </c>
      <c r="F57" s="31" t="inlineStr">
        <is>
          <t>trading</t>
        </is>
      </c>
      <c r="G57" s="31" t="inlineStr">
        <is>
          <t>largecap</t>
        </is>
      </c>
      <c r="H57" s="32" t="n">
        <v>405927.26</v>
      </c>
      <c r="I57" s="32" t="n">
        <v>3110</v>
      </c>
      <c r="J57" s="32" t="n">
        <v>3.72</v>
      </c>
      <c r="K57" s="32" t="n">
        <v>2045161</v>
      </c>
      <c r="L57" s="31" t="n">
        <v>34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66.11</v>
      </c>
      <c r="P57" s="32" t="n">
        <v>43.2</v>
      </c>
      <c r="Q57" s="32" t="n">
        <v>2730.25</v>
      </c>
      <c r="R57" s="31" t="inlineStr">
        <is>
          <t>Near 52W High Breakout</t>
        </is>
      </c>
      <c r="S57" s="31" t="inlineStr">
        <is>
          <t>Nifty 50</t>
        </is>
      </c>
      <c r="T57" s="32" t="n">
        <v>-0.38</v>
      </c>
      <c r="U57" s="32" t="n">
        <v>38.61</v>
      </c>
      <c r="V57" s="32" t="n">
        <v>39.14</v>
      </c>
      <c r="W57" s="32" t="n">
        <v>8.82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IF(B58=0,"",RANK(B58,$B$2:$B$370,0))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SREEL</t>
        </is>
      </c>
      <c r="D58" s="31" t="inlineStr">
        <is>
          <t>Sreeleathers Limited</t>
        </is>
      </c>
      <c r="E58" s="31" t="inlineStr">
        <is>
          <t>consumer discretionary</t>
        </is>
      </c>
      <c r="F58" s="31" t="inlineStr">
        <is>
          <t>trading</t>
        </is>
      </c>
      <c r="G58" s="31" t="inlineStr">
        <is>
          <t>smallcap</t>
        </is>
      </c>
      <c r="H58" s="32" t="n">
        <v>578.2</v>
      </c>
      <c r="I58" s="32" t="n">
        <v>257.61</v>
      </c>
      <c r="J58" s="32" t="n">
        <v>3.16</v>
      </c>
      <c r="K58" s="32" t="n">
        <v>68881</v>
      </c>
      <c r="L58" s="31" t="n">
        <v>38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72.34</v>
      </c>
      <c r="P58" s="32" t="n">
        <v>46.8</v>
      </c>
      <c r="Q58" s="32" t="n">
        <v>200.92</v>
      </c>
      <c r="R58" s="31" t="inlineStr">
        <is>
          <t>Near 52W High Breakout</t>
        </is>
      </c>
      <c r="S58" s="31" t="inlineStr">
        <is>
          <t>Nifty 50</t>
        </is>
      </c>
      <c r="T58" s="32" t="n">
        <v>-0.38</v>
      </c>
      <c r="U58" s="32" t="n">
        <v>10.16</v>
      </c>
      <c r="V58" s="32" t="n">
        <v>10.58</v>
      </c>
      <c r="W58" s="32" t="n">
        <v>9.890000000000001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IF(B59=0,"",RANK(B59,$B$2:$B$370,0))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QUESS</t>
        </is>
      </c>
      <c r="D59" s="31" t="inlineStr">
        <is>
          <t>Quess Corp Limited</t>
        </is>
      </c>
      <c r="E59" s="31" t="inlineStr">
        <is>
          <t>miscellaneous</t>
        </is>
      </c>
      <c r="F59" s="31" t="inlineStr">
        <is>
          <t>diversified - large</t>
        </is>
      </c>
      <c r="G59" s="31" t="inlineStr">
        <is>
          <t>midcap</t>
        </is>
      </c>
      <c r="H59" s="32" t="n">
        <v>5057.32</v>
      </c>
      <c r="I59" s="32" t="n">
        <v>347</v>
      </c>
      <c r="J59" s="32" t="n">
        <v>2.48</v>
      </c>
      <c r="K59" s="32" t="n">
        <v>564340</v>
      </c>
      <c r="L59" s="31" t="n">
        <v>79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75.86</v>
      </c>
      <c r="P59" s="32" t="n">
        <v>57.98</v>
      </c>
      <c r="Q59" s="32" t="n">
        <v>275.44</v>
      </c>
      <c r="R59" s="31" t="inlineStr">
        <is>
          <t>Near 52W High Breakout</t>
        </is>
      </c>
      <c r="S59" s="31" t="inlineStr">
        <is>
          <t>Nifty 50</t>
        </is>
      </c>
      <c r="T59" s="32" t="n">
        <v>-0.38</v>
      </c>
      <c r="U59" s="32" t="n">
        <v>35.54</v>
      </c>
      <c r="V59" s="32" t="n">
        <v>36.06</v>
      </c>
      <c r="W59" s="32" t="n">
        <v>23.34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IF(B60=0,"",RANK(B60,$B$2:$B$370,0))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SETL</t>
        </is>
      </c>
      <c r="D60" s="31" t="inlineStr">
        <is>
          <t>Standard Enginnering Technology Ltd</t>
        </is>
      </c>
      <c r="E60" s="31" t="inlineStr">
        <is>
          <t>industrials</t>
        </is>
      </c>
      <c r="F60" s="31" t="inlineStr">
        <is>
          <t>engineering</t>
        </is>
      </c>
      <c r="G60" s="31" t="inlineStr">
        <is>
          <t>midcap</t>
        </is>
      </c>
      <c r="H60" s="32" t="n">
        <v>6231.12</v>
      </c>
      <c r="I60" s="32" t="n">
        <v>314.75</v>
      </c>
      <c r="J60" s="32" t="n">
        <v>0.77</v>
      </c>
      <c r="K60" s="32" t="n">
        <v>1839780</v>
      </c>
      <c r="L60" s="31" t="n">
        <v>98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83.04000000000001</v>
      </c>
      <c r="P60" s="32" t="n">
        <v>57.01</v>
      </c>
      <c r="Q60" s="32" t="n">
        <v>240.56</v>
      </c>
      <c r="R60" s="31" t="inlineStr">
        <is>
          <t>Near 52W High Breakout</t>
        </is>
      </c>
      <c r="S60" s="31" t="inlineStr">
        <is>
          <t>Nifty 50</t>
        </is>
      </c>
      <c r="T60" s="32" t="n">
        <v>-0.38</v>
      </c>
      <c r="U60" s="32" t="n">
        <v>76.23</v>
      </c>
      <c r="V60" s="32" t="n">
        <v>76.90000000000001</v>
      </c>
      <c r="W60" s="32" t="n">
        <v>49.28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IF(B61=0,"",RANK(B61,$B$2:$B$370,0))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ROLEXRINGS</t>
        </is>
      </c>
      <c r="D61" s="31" t="inlineStr">
        <is>
          <t>Rolex Rings Ltd</t>
        </is>
      </c>
      <c r="E61" s="31" t="inlineStr">
        <is>
          <t>auto</t>
        </is>
      </c>
      <c r="F61" s="31" t="inlineStr">
        <is>
          <t>auto ancillaries</t>
        </is>
      </c>
      <c r="G61" s="31" t="inlineStr">
        <is>
          <t>smallcap</t>
        </is>
      </c>
      <c r="H61" s="32" t="n">
        <v>4934.4</v>
      </c>
      <c r="I61" s="32" t="n">
        <v>182.42</v>
      </c>
      <c r="J61" s="32" t="n">
        <v>0.68</v>
      </c>
      <c r="K61" s="32" t="n">
        <v>1861565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66.98999999999999</v>
      </c>
      <c r="P61" s="32" t="n">
        <v>38.67</v>
      </c>
      <c r="Q61" s="32" t="n">
        <v>142.61</v>
      </c>
      <c r="R61" s="31" t="inlineStr">
        <is>
          <t>Near 52W High Breakout</t>
        </is>
      </c>
      <c r="S61" s="31" t="inlineStr">
        <is>
          <t>Nifty Auto</t>
        </is>
      </c>
      <c r="T61" s="32" t="inlineStr"/>
      <c r="U61" s="32" t="inlineStr"/>
      <c r="V61" s="32" t="inlineStr"/>
      <c r="W61" s="32" t="inlineStr"/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IF(B62=0,"",RANK(B62,$B$2:$B$370,0))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OBEROIRLTY</t>
        </is>
      </c>
      <c r="D62" s="31" t="inlineStr">
        <is>
          <t>Oberoi Realty Limited</t>
        </is>
      </c>
      <c r="E62" s="31" t="inlineStr">
        <is>
          <t>realty</t>
        </is>
      </c>
      <c r="F62" s="31" t="inlineStr">
        <is>
          <t>construction</t>
        </is>
      </c>
      <c r="G62" s="31" t="inlineStr">
        <is>
          <t>largecap</t>
        </is>
      </c>
      <c r="H62" s="32" t="n">
        <v>67993.62</v>
      </c>
      <c r="I62" s="32" t="n">
        <v>1880</v>
      </c>
      <c r="J62" s="32" t="n">
        <v>0.53</v>
      </c>
      <c r="K62" s="32" t="n">
        <v>150427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61.01</v>
      </c>
      <c r="P62" s="32" t="n">
        <v>20.75</v>
      </c>
      <c r="Q62" s="32" t="n">
        <v>1632.55</v>
      </c>
      <c r="R62" s="31" t="inlineStr">
        <is>
          <t>Near 52W High Breakout</t>
        </is>
      </c>
      <c r="S62" s="31" t="inlineStr">
        <is>
          <t>Nifty Realty</t>
        </is>
      </c>
      <c r="T62" s="32" t="inlineStr"/>
      <c r="U62" s="32" t="inlineStr"/>
      <c r="V62" s="32" t="inlineStr"/>
      <c r="W62" s="32" t="inlineStr"/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IF(B63=0,"",RANK(B63,$B$2:$B$370,0))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GRWRHITECH</t>
        </is>
      </c>
      <c r="D63" s="31" t="inlineStr">
        <is>
          <t>Garware Hi Tech Films Ltd</t>
        </is>
      </c>
      <c r="E63" s="31" t="inlineStr">
        <is>
          <t>industrials</t>
        </is>
      </c>
      <c r="F63" s="31" t="inlineStr">
        <is>
          <t>packaging</t>
        </is>
      </c>
      <c r="G63" s="31" t="inlineStr">
        <is>
          <t>midcap</t>
        </is>
      </c>
      <c r="H63" s="32" t="n">
        <v>16807.48</v>
      </c>
      <c r="I63" s="32" t="n">
        <v>7264</v>
      </c>
      <c r="J63" s="32" t="n">
        <v>0.41</v>
      </c>
      <c r="K63" s="32" t="n">
        <v>45162</v>
      </c>
      <c r="L63" s="31" t="n">
        <v>87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76.2</v>
      </c>
      <c r="P63" s="32" t="n">
        <v>63.43</v>
      </c>
      <c r="Q63" s="32" t="n">
        <v>5672.97</v>
      </c>
      <c r="R63" s="31" t="inlineStr">
        <is>
          <t>Near 52W High Breakout</t>
        </is>
      </c>
      <c r="S63" s="31" t="inlineStr">
        <is>
          <t>Nifty 50</t>
        </is>
      </c>
      <c r="T63" s="32" t="n">
        <v>-0.38</v>
      </c>
      <c r="U63" s="32" t="n">
        <v>170.25</v>
      </c>
      <c r="V63" s="32" t="n">
        <v>171.28</v>
      </c>
      <c r="W63" s="32" t="n">
        <v>27.22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IF(B64=0,"",RANK(B64,$B$2:$B$370,0))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WELSPUNLIV</t>
        </is>
      </c>
      <c r="D64" s="31" t="inlineStr">
        <is>
          <t>Welspun Living Ltd</t>
        </is>
      </c>
      <c r="E64" s="31" t="inlineStr">
        <is>
          <t>textiles</t>
        </is>
      </c>
      <c r="F64" s="31" t="inlineStr">
        <is>
          <t>textiles - products</t>
        </is>
      </c>
      <c r="G64" s="31" t="inlineStr">
        <is>
          <t>midcap</t>
        </is>
      </c>
      <c r="H64" s="32" t="n">
        <v>17990.92</v>
      </c>
      <c r="I64" s="32" t="n">
        <v>190.3</v>
      </c>
      <c r="J64" s="32" t="n">
        <v>-0.07000000000000001</v>
      </c>
      <c r="K64" s="32" t="n">
        <v>3021653</v>
      </c>
      <c r="L64" s="31" t="n">
        <v>75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73.88</v>
      </c>
      <c r="P64" s="32" t="n">
        <v>36.24</v>
      </c>
      <c r="Q64" s="32" t="n">
        <v>150.36</v>
      </c>
      <c r="R64" s="31" t="inlineStr">
        <is>
          <t>Near 52W High Breakout</t>
        </is>
      </c>
      <c r="S64" s="31" t="inlineStr">
        <is>
          <t>Nifty 50</t>
        </is>
      </c>
      <c r="T64" s="32" t="n">
        <v>-0.38</v>
      </c>
      <c r="U64" s="32" t="n">
        <v>74.18000000000001</v>
      </c>
      <c r="V64" s="32" t="n">
        <v>74.84</v>
      </c>
      <c r="W64" s="32" t="n">
        <v>21.29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IF(B65=0,"",RANK(B65,$B$2:$B$370,0))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KABRAEXTRU</t>
        </is>
      </c>
      <c r="D65" s="31" t="inlineStr">
        <is>
          <t>Kabra Extrusion Technik Limited</t>
        </is>
      </c>
      <c r="E65" s="31" t="inlineStr">
        <is>
          <t>industrials</t>
        </is>
      </c>
      <c r="F65" s="31" t="inlineStr">
        <is>
          <t>engineering</t>
        </is>
      </c>
      <c r="G65" s="31" t="inlineStr">
        <is>
          <t>smallcap</t>
        </is>
      </c>
      <c r="H65" s="32" t="n">
        <v>2137.19</v>
      </c>
      <c r="I65" s="32" t="n">
        <v>609.15</v>
      </c>
      <c r="J65" s="32" t="n">
        <v>-0.32</v>
      </c>
      <c r="K65" s="32" t="n">
        <v>388617</v>
      </c>
      <c r="L65" s="31" t="n">
        <v>99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89.97</v>
      </c>
      <c r="P65" s="32" t="n">
        <v>45.11</v>
      </c>
      <c r="Q65" s="32" t="n">
        <v>475.77</v>
      </c>
      <c r="R65" s="31" t="inlineStr">
        <is>
          <t>Near 52W High Breakout</t>
        </is>
      </c>
      <c r="S65" s="31" t="inlineStr">
        <is>
          <t>Nifty 50</t>
        </is>
      </c>
      <c r="T65" s="32" t="n">
        <v>-0.38</v>
      </c>
      <c r="U65" s="32" t="n">
        <v>110.85</v>
      </c>
      <c r="V65" s="32" t="n">
        <v>111.65</v>
      </c>
      <c r="W65" s="32" t="n">
        <v>67.90000000000001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IF(B66=0,"",RANK(B66,$B$2:$B$370,0))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AVALON</t>
        </is>
      </c>
      <c r="D66" s="31" t="inlineStr">
        <is>
          <t>Avalon Technologies Ltd</t>
        </is>
      </c>
      <c r="E66" s="31" t="inlineStr">
        <is>
          <t>consumer discretionary</t>
        </is>
      </c>
      <c r="F66" s="31" t="inlineStr">
        <is>
          <t>electronics - components</t>
        </is>
      </c>
      <c r="G66" s="31" t="inlineStr">
        <is>
          <t>midcap</t>
        </is>
      </c>
      <c r="H66" s="32" t="n">
        <v>14160.08</v>
      </c>
      <c r="I66" s="32" t="n">
        <v>2111.5</v>
      </c>
      <c r="J66" s="32" t="n">
        <v>-0.37</v>
      </c>
      <c r="K66" s="32" t="n">
        <v>247317</v>
      </c>
      <c r="L66" s="31" t="n">
        <v>90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77.06</v>
      </c>
      <c r="P66" s="32" t="n">
        <v>59.26</v>
      </c>
      <c r="Q66" s="32" t="n">
        <v>1676.05</v>
      </c>
      <c r="R66" s="31" t="inlineStr">
        <is>
          <t>Near 52W High Breakout</t>
        </is>
      </c>
      <c r="S66" s="31" t="inlineStr">
        <is>
          <t>Nifty 50</t>
        </is>
      </c>
      <c r="T66" s="32" t="n">
        <v>-0.38</v>
      </c>
      <c r="U66" s="32" t="n">
        <v>154.18</v>
      </c>
      <c r="V66" s="32" t="n">
        <v>155.15</v>
      </c>
      <c r="W66" s="32" t="n">
        <v>29.75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IF(B67=0,"",RANK(B67,$B$2:$B$370,0))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SOLARINDS</t>
        </is>
      </c>
      <c r="D67" s="31" t="inlineStr">
        <is>
          <t>Solar Industries India Limited</t>
        </is>
      </c>
      <c r="E67" s="31" t="inlineStr">
        <is>
          <t>aerospace &amp; defence</t>
        </is>
      </c>
      <c r="F67" s="31" t="inlineStr">
        <is>
          <t>chemicals</t>
        </is>
      </c>
      <c r="G67" s="31" t="inlineStr">
        <is>
          <t>largecap</t>
        </is>
      </c>
      <c r="H67" s="32" t="n">
        <v>180301.43</v>
      </c>
      <c r="I67" s="32" t="n">
        <v>19800</v>
      </c>
      <c r="J67" s="32" t="n">
        <v>-0.63</v>
      </c>
      <c r="K67" s="32" t="n">
        <v>58372</v>
      </c>
      <c r="L67" s="31" t="n">
        <v>39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69.75</v>
      </c>
      <c r="P67" s="32" t="n">
        <v>39.4</v>
      </c>
      <c r="Q67" s="32" t="n">
        <v>16504.25</v>
      </c>
      <c r="R67" s="31" t="inlineStr">
        <is>
          <t>Near 52W High Breakout</t>
        </is>
      </c>
      <c r="S67" s="31" t="inlineStr">
        <is>
          <t>Nifty 500</t>
        </is>
      </c>
      <c r="T67" s="32" t="n">
        <v>5.11</v>
      </c>
      <c r="U67" s="32" t="n">
        <v>43.62</v>
      </c>
      <c r="V67" s="32" t="n">
        <v>36.63</v>
      </c>
      <c r="W67" s="32" t="n">
        <v>10.05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IF(B68=0,"",RANK(B68,$B$2:$B$370,0))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SJS</t>
        </is>
      </c>
      <c r="D68" s="31" t="inlineStr">
        <is>
          <t>S J S Enterprises Ltd</t>
        </is>
      </c>
      <c r="E68" s="31" t="inlineStr">
        <is>
          <t>auto</t>
        </is>
      </c>
      <c r="F68" s="31" t="inlineStr">
        <is>
          <t>plastics products</t>
        </is>
      </c>
      <c r="G68" s="31" t="inlineStr">
        <is>
          <t>midcap</t>
        </is>
      </c>
      <c r="H68" s="32" t="n">
        <v>8198.76</v>
      </c>
      <c r="I68" s="32" t="n">
        <v>2535</v>
      </c>
      <c r="J68" s="32" t="n">
        <v>-1.04</v>
      </c>
      <c r="K68" s="32" t="n">
        <v>162303</v>
      </c>
      <c r="L68" s="31" t="inlineStr"/>
      <c r="M68" s="31" t="inlineStr"/>
      <c r="N68" s="32">
        <f>IF(M68="Underperforming",-5,IF(L68&gt;=95,15,IF(L68&gt;=90,10,IF(L68&gt;=80,5,0))))</f>
        <v/>
      </c>
      <c r="O68" s="32" t="n">
        <v>72.93000000000001</v>
      </c>
      <c r="P68" s="32" t="n">
        <v>46.97</v>
      </c>
      <c r="Q68" s="32" t="n">
        <v>2071.86</v>
      </c>
      <c r="R68" s="31" t="inlineStr">
        <is>
          <t>Near 52W High Breakout</t>
        </is>
      </c>
      <c r="S68" s="31" t="inlineStr">
        <is>
          <t>Nifty Auto</t>
        </is>
      </c>
      <c r="T68" s="32" t="inlineStr"/>
      <c r="U68" s="32" t="inlineStr"/>
      <c r="V68" s="32" t="inlineStr"/>
      <c r="W68" s="32" t="inlineStr"/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IF(B69=0,"",RANK(B69,$B$2:$B$370,0))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MOTHERSON</t>
        </is>
      </c>
      <c r="D69" s="31" t="inlineStr">
        <is>
          <t>Samvardhana Motherson International Ltd</t>
        </is>
      </c>
      <c r="E69" s="31" t="inlineStr">
        <is>
          <t>auto</t>
        </is>
      </c>
      <c r="F69" s="31" t="inlineStr">
        <is>
          <t>auto ancillaries</t>
        </is>
      </c>
      <c r="G69" s="31" t="inlineStr">
        <is>
          <t>largecap</t>
        </is>
      </c>
      <c r="H69" s="32" t="n">
        <v>178370.08</v>
      </c>
      <c r="I69" s="32" t="n">
        <v>166.45</v>
      </c>
      <c r="J69" s="32" t="n">
        <v>-1.51</v>
      </c>
      <c r="K69" s="32" t="n">
        <v>8643535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71.17</v>
      </c>
      <c r="P69" s="32" t="n">
        <v>40.78</v>
      </c>
      <c r="Q69" s="32" t="n">
        <v>141.87</v>
      </c>
      <c r="R69" s="31" t="inlineStr">
        <is>
          <t>Near 52W High Breakout</t>
        </is>
      </c>
      <c r="S69" s="31" t="inlineStr">
        <is>
          <t>Nifty Auto</t>
        </is>
      </c>
      <c r="T69" s="32" t="inlineStr"/>
      <c r="U69" s="32" t="inlineStr"/>
      <c r="V69" s="32" t="inlineStr"/>
      <c r="W69" s="32" t="inlineStr"/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IF(B70=0,"",RANK(B70,$B$2:$B$370,0))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PANACHE</t>
        </is>
      </c>
      <c r="D70" s="31" t="inlineStr">
        <is>
          <t>Panache Digilife Ltd</t>
        </is>
      </c>
      <c r="E70" s="31" t="inlineStr">
        <is>
          <t>i.t</t>
        </is>
      </c>
      <c r="F70" s="31" t="inlineStr">
        <is>
          <t>computers - hardware</t>
        </is>
      </c>
      <c r="G70" s="31" t="inlineStr">
        <is>
          <t>smallcap</t>
        </is>
      </c>
      <c r="H70" s="32" t="n">
        <v>878.45</v>
      </c>
      <c r="I70" s="32" t="n">
        <v>539</v>
      </c>
      <c r="J70" s="32" t="n">
        <v>-1.74</v>
      </c>
      <c r="K70" s="32" t="n">
        <v>6696</v>
      </c>
      <c r="L70" s="31" t="n">
        <v>92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73.73</v>
      </c>
      <c r="P70" s="32" t="n">
        <v>30.04</v>
      </c>
      <c r="Q70" s="32" t="n">
        <v>414.31</v>
      </c>
      <c r="R70" s="31" t="inlineStr">
        <is>
          <t>Near 52W High Breakout</t>
        </is>
      </c>
      <c r="S70" s="31" t="inlineStr">
        <is>
          <t>Nifty IT</t>
        </is>
      </c>
      <c r="T70" s="32" t="n">
        <v>-12.53</v>
      </c>
      <c r="U70" s="32" t="n">
        <v>124.96</v>
      </c>
      <c r="V70" s="32" t="n">
        <v>157.19</v>
      </c>
      <c r="W70" s="32" t="n">
        <v>33.78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IF(B71=0,"",RANK(B71,$B$2:$B$370,0))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IRISDOREME</t>
        </is>
      </c>
      <c r="D71" s="31" t="inlineStr">
        <is>
          <t>Iris Clothings Ltd</t>
        </is>
      </c>
      <c r="E71" s="31" t="inlineStr">
        <is>
          <t>consumer discretionary</t>
        </is>
      </c>
      <c r="F71" s="31" t="inlineStr">
        <is>
          <t>textiles - products</t>
        </is>
      </c>
      <c r="G71" s="31" t="inlineStr">
        <is>
          <t>smallcap</t>
        </is>
      </c>
      <c r="H71" s="32" t="n">
        <v>1096.31</v>
      </c>
      <c r="I71" s="32" t="n">
        <v>56.42</v>
      </c>
      <c r="J71" s="32" t="n">
        <v>-2.05</v>
      </c>
      <c r="K71" s="32" t="n">
        <v>1022207</v>
      </c>
      <c r="L71" s="31" t="n">
        <v>86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81.09999999999999</v>
      </c>
      <c r="P71" s="32" t="n">
        <v>46.34</v>
      </c>
      <c r="Q71" s="32" t="n">
        <v>45.78</v>
      </c>
      <c r="R71" s="31" t="inlineStr">
        <is>
          <t>Near 52W High Breakout</t>
        </is>
      </c>
      <c r="S71" s="31" t="inlineStr">
        <is>
          <t>Nifty 50</t>
        </is>
      </c>
      <c r="T71" s="32" t="n">
        <v>-0.38</v>
      </c>
      <c r="U71" s="32" t="n">
        <v>80.03</v>
      </c>
      <c r="V71" s="32" t="n">
        <v>80.70999999999999</v>
      </c>
      <c r="W71" s="32" t="n">
        <v>26.21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IF(B72=0,"",RANK(B72,$B$2:$B$370,0))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HAPPYFORGE</t>
        </is>
      </c>
      <c r="D72" s="31" t="inlineStr">
        <is>
          <t>Happy Forgings Ltd</t>
        </is>
      </c>
      <c r="E72" s="31" t="inlineStr">
        <is>
          <t>industrials</t>
        </is>
      </c>
      <c r="F72" s="31" t="inlineStr">
        <is>
          <t>castings &amp; forgings</t>
        </is>
      </c>
      <c r="G72" s="31" t="inlineStr">
        <is>
          <t>largecap</t>
        </is>
      </c>
      <c r="H72" s="32" t="n">
        <v>20678.38</v>
      </c>
      <c r="I72" s="32" t="n">
        <v>2145</v>
      </c>
      <c r="J72" s="32" t="n">
        <v>-2.1</v>
      </c>
      <c r="K72" s="32" t="n">
        <v>70413</v>
      </c>
      <c r="L72" s="31" t="n">
        <v>91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82.14</v>
      </c>
      <c r="P72" s="32" t="n">
        <v>58.88</v>
      </c>
      <c r="Q72" s="32" t="n">
        <v>1817.09</v>
      </c>
      <c r="R72" s="31" t="inlineStr">
        <is>
          <t>Near 52W High Breakout</t>
        </is>
      </c>
      <c r="S72" s="31" t="inlineStr">
        <is>
          <t>Nifty 50</t>
        </is>
      </c>
      <c r="T72" s="32" t="n">
        <v>-0.38</v>
      </c>
      <c r="U72" s="32" t="n">
        <v>139.23</v>
      </c>
      <c r="V72" s="32" t="n">
        <v>140.13</v>
      </c>
      <c r="W72" s="32" t="n">
        <v>31.71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Between 1.5 to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IF(B73=0,"",RANK(B73,$B$2:$B$370,0))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OMAXE</t>
        </is>
      </c>
      <c r="D73" s="31" t="inlineStr">
        <is>
          <t>Omaxe Limited</t>
        </is>
      </c>
      <c r="E73" s="31" t="inlineStr">
        <is>
          <t>realty</t>
        </is>
      </c>
      <c r="F73" s="31" t="inlineStr">
        <is>
          <t>construction</t>
        </is>
      </c>
      <c r="G73" s="31" t="inlineStr">
        <is>
          <t>smallcap</t>
        </is>
      </c>
      <c r="H73" s="32" t="n">
        <v>1861.38</v>
      </c>
      <c r="I73" s="32" t="n">
        <v>99.63</v>
      </c>
      <c r="J73" s="32" t="n">
        <v>-2.1</v>
      </c>
      <c r="K73" s="32" t="n">
        <v>1097787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64.68000000000001</v>
      </c>
      <c r="P73" s="32" t="n">
        <v>29.86</v>
      </c>
      <c r="Q73" s="32" t="n">
        <v>72.43000000000001</v>
      </c>
      <c r="R73" s="31" t="inlineStr">
        <is>
          <t>Near 52W High Breakout</t>
        </is>
      </c>
      <c r="S73" s="31" t="inlineStr">
        <is>
          <t>Nifty Realty</t>
        </is>
      </c>
      <c r="T73" s="32" t="inlineStr"/>
      <c r="U73" s="32" t="inlineStr"/>
      <c r="V73" s="32" t="inlineStr"/>
      <c r="W73" s="32" t="inlineStr"/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IF(B74=0,"",RANK(B74,$B$2:$B$370,0))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UNIVCABLES</t>
        </is>
      </c>
      <c r="D74" s="31" t="inlineStr">
        <is>
          <t>Universal Cables Limited</t>
        </is>
      </c>
      <c r="E74" s="31" t="inlineStr">
        <is>
          <t>industrials</t>
        </is>
      </c>
      <c r="F74" s="31" t="inlineStr">
        <is>
          <t>cables - power</t>
        </is>
      </c>
      <c r="G74" s="31" t="inlineStr">
        <is>
          <t>midcap</t>
        </is>
      </c>
      <c r="H74" s="32" t="n">
        <v>5661.25</v>
      </c>
      <c r="I74" s="32" t="n">
        <v>1589.9</v>
      </c>
      <c r="J74" s="32" t="n">
        <v>-2.56</v>
      </c>
      <c r="K74" s="32" t="n">
        <v>178998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72.92</v>
      </c>
      <c r="P74" s="32" t="n">
        <v>60.18</v>
      </c>
      <c r="Q74" s="32" t="n">
        <v>1181.53</v>
      </c>
      <c r="R74" s="31" t="inlineStr">
        <is>
          <t>Near 52W High Breakout</t>
        </is>
      </c>
      <c r="S74" s="31" t="inlineStr">
        <is>
          <t>Nifty Energy</t>
        </is>
      </c>
      <c r="T74" s="32" t="inlineStr"/>
      <c r="U74" s="32" t="inlineStr"/>
      <c r="V74" s="32" t="inlineStr"/>
      <c r="W74" s="32" t="inlineStr"/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IF(B75=0,"",RANK(B75,$B$2:$B$370,0))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IGPL</t>
        </is>
      </c>
      <c r="D75" s="31" t="inlineStr">
        <is>
          <t>Ig Petrochemicals Limited</t>
        </is>
      </c>
      <c r="E75" s="31" t="inlineStr">
        <is>
          <t>chemicals</t>
        </is>
      </c>
      <c r="F75" s="31" t="inlineStr">
        <is>
          <t>chemicals</t>
        </is>
      </c>
      <c r="G75" s="31" t="inlineStr">
        <is>
          <t>smallcap</t>
        </is>
      </c>
      <c r="H75" s="32" t="n">
        <v>1542.98</v>
      </c>
      <c r="I75" s="32" t="n">
        <v>488.05</v>
      </c>
      <c r="J75" s="32" t="n">
        <v>-2.59</v>
      </c>
      <c r="K75" s="32" t="n">
        <v>77970</v>
      </c>
      <c r="L75" s="31" t="n">
        <v>24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61.71</v>
      </c>
      <c r="P75" s="32" t="n">
        <v>23.56</v>
      </c>
      <c r="Q75" s="32" t="n">
        <v>380.94</v>
      </c>
      <c r="R75" s="31" t="inlineStr">
        <is>
          <t>Volume Spike &amp; Near 52W High Breakout</t>
        </is>
      </c>
      <c r="S75" s="31" t="inlineStr">
        <is>
          <t>Nifty 50</t>
        </is>
      </c>
      <c r="T75" s="32" t="n">
        <v>-0.38</v>
      </c>
      <c r="U75" s="32" t="n">
        <v>15.06</v>
      </c>
      <c r="V75" s="32" t="n">
        <v>15.5</v>
      </c>
      <c r="W75" s="32" t="n">
        <v>6.68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IF(B76=0,"",RANK(B76,$B$2:$B$370,0))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CHEMBONDCH</t>
        </is>
      </c>
      <c r="D76" s="31" t="inlineStr">
        <is>
          <t>Chembond Chemicals Ltd</t>
        </is>
      </c>
      <c r="E76" s="31" t="inlineStr">
        <is>
          <t>chemicals</t>
        </is>
      </c>
      <c r="F76" s="31" t="inlineStr">
        <is>
          <t>chemicals</t>
        </is>
      </c>
      <c r="G76" s="31" t="inlineStr">
        <is>
          <t>smallcap</t>
        </is>
      </c>
      <c r="H76" s="32" t="n">
        <v>736.72</v>
      </c>
      <c r="I76" s="32" t="n">
        <v>266.5</v>
      </c>
      <c r="J76" s="32" t="n">
        <v>-2.71</v>
      </c>
      <c r="K76" s="32" t="n">
        <v>25808</v>
      </c>
      <c r="L76" s="31" t="n">
        <v>67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66.73999999999999</v>
      </c>
      <c r="P76" s="32" t="n">
        <v>46.8</v>
      </c>
      <c r="Q76" s="32" t="n">
        <v>202.51</v>
      </c>
      <c r="R76" s="31" t="inlineStr">
        <is>
          <t>Earnings / Momentum Support</t>
        </is>
      </c>
      <c r="S76" s="31" t="inlineStr">
        <is>
          <t>Nifty 50</t>
        </is>
      </c>
      <c r="T76" s="32" t="n">
        <v>-0.38</v>
      </c>
      <c r="U76" s="32" t="n">
        <v>44.32</v>
      </c>
      <c r="V76" s="32" t="n">
        <v>44.87</v>
      </c>
      <c r="W76" s="32" t="n">
        <v>18.94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IF(B77=0,"",RANK(B77,$B$2:$B$370,0))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ADOR</t>
        </is>
      </c>
      <c r="D77" s="31" t="inlineStr">
        <is>
          <t>Ador Welding Ltd</t>
        </is>
      </c>
      <c r="E77" s="31" t="inlineStr">
        <is>
          <t>industrials</t>
        </is>
      </c>
      <c r="F77" s="31" t="inlineStr">
        <is>
          <t>electrodes - welding equipment</t>
        </is>
      </c>
      <c r="G77" s="31" t="inlineStr">
        <is>
          <t>smallcap</t>
        </is>
      </c>
      <c r="H77" s="32" t="n">
        <v>2828.65</v>
      </c>
      <c r="I77" s="32" t="n">
        <v>1580.4</v>
      </c>
      <c r="J77" s="32" t="n">
        <v>-2.77</v>
      </c>
      <c r="K77" s="32" t="n">
        <v>39063</v>
      </c>
      <c r="L77" s="31" t="n">
        <v>74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76.78</v>
      </c>
      <c r="P77" s="32" t="n">
        <v>60.05</v>
      </c>
      <c r="Q77" s="32" t="n">
        <v>1311.22</v>
      </c>
      <c r="R77" s="31" t="inlineStr">
        <is>
          <t>Near 52W High Breakout</t>
        </is>
      </c>
      <c r="S77" s="31" t="inlineStr">
        <is>
          <t>Nifty 50</t>
        </is>
      </c>
      <c r="T77" s="32" t="n">
        <v>-0.38</v>
      </c>
      <c r="U77" s="32" t="n">
        <v>76.28</v>
      </c>
      <c r="V77" s="32" t="n">
        <v>76.95</v>
      </c>
      <c r="W77" s="32" t="n">
        <v>21.27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IF(B78=0,"",RANK(B78,$B$2:$B$370,0))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SHILPAMED</t>
        </is>
      </c>
      <c r="D78" s="31" t="inlineStr">
        <is>
          <t>Shilpa Medicare Limited</t>
        </is>
      </c>
      <c r="E78" s="31" t="inlineStr">
        <is>
          <t>healthcare</t>
        </is>
      </c>
      <c r="F78" s="31" t="inlineStr">
        <is>
          <t>pharmaceuticals - indian - formulations</t>
        </is>
      </c>
      <c r="G78" s="31" t="inlineStr">
        <is>
          <t>midcap</t>
        </is>
      </c>
      <c r="H78" s="32" t="n">
        <v>16737.89</v>
      </c>
      <c r="I78" s="32" t="n">
        <v>861.55</v>
      </c>
      <c r="J78" s="32" t="n">
        <v>0.67</v>
      </c>
      <c r="K78" s="32" t="n">
        <v>1438091</v>
      </c>
      <c r="L78" s="31" t="n">
        <v>93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89.17</v>
      </c>
      <c r="P78" s="32" t="n">
        <v>76.16</v>
      </c>
      <c r="Q78" s="32" t="n">
        <v>705.5</v>
      </c>
      <c r="R78" s="31" t="inlineStr">
        <is>
          <t>Near 52W High Breakout</t>
        </is>
      </c>
      <c r="S78" s="31" t="inlineStr">
        <is>
          <t>Nifty Pharma</t>
        </is>
      </c>
      <c r="T78" s="32" t="n">
        <v>21.83</v>
      </c>
      <c r="U78" s="32" t="n">
        <v>103.86</v>
      </c>
      <c r="V78" s="32" t="n">
        <v>67.33</v>
      </c>
      <c r="W78" s="32" t="n">
        <v>34.59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IF(B79=0,"",RANK(B79,$B$2:$B$370,0))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ZIMLAB</t>
        </is>
      </c>
      <c r="D79" s="31" t="inlineStr">
        <is>
          <t>Zim Laboratories Ltd</t>
        </is>
      </c>
      <c r="E79" s="31" t="inlineStr">
        <is>
          <t>healthcare</t>
        </is>
      </c>
      <c r="F79" s="31" t="inlineStr">
        <is>
          <t>pharmaceuticals - indian - bulk drugs &amp; formln</t>
        </is>
      </c>
      <c r="G79" s="31" t="inlineStr">
        <is>
          <t>smallcap</t>
        </is>
      </c>
      <c r="H79" s="32" t="n">
        <v>663.74</v>
      </c>
      <c r="I79" s="32" t="n">
        <v>124.73</v>
      </c>
      <c r="J79" s="32" t="n">
        <v>0.63</v>
      </c>
      <c r="K79" s="32" t="n">
        <v>52134</v>
      </c>
      <c r="L79" s="31" t="n">
        <v>64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66.19</v>
      </c>
      <c r="P79" s="32" t="n">
        <v>61.34</v>
      </c>
      <c r="Q79" s="32" t="n">
        <v>91.39</v>
      </c>
      <c r="R79" s="31" t="inlineStr">
        <is>
          <t>Near 52W High Breakout</t>
        </is>
      </c>
      <c r="S79" s="31" t="inlineStr">
        <is>
          <t>Nifty Pharma</t>
        </is>
      </c>
      <c r="T79" s="32" t="n">
        <v>21.83</v>
      </c>
      <c r="U79" s="32" t="n">
        <v>65.52</v>
      </c>
      <c r="V79" s="32" t="n">
        <v>35.86</v>
      </c>
      <c r="W79" s="32" t="n">
        <v>16.61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IF(B80=0,"",RANK(B80,$B$2:$B$370,0))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VENKEYS</t>
        </is>
      </c>
      <c r="D80" s="31" t="inlineStr">
        <is>
          <t>Venky's (india) Limited</t>
        </is>
      </c>
      <c r="E80" s="31" t="inlineStr">
        <is>
          <t>fmcg</t>
        </is>
      </c>
      <c r="F80" s="31" t="inlineStr">
        <is>
          <t>miscellaneous</t>
        </is>
      </c>
      <c r="G80" s="31" t="inlineStr">
        <is>
          <t>smallcap</t>
        </is>
      </c>
      <c r="H80" s="32" t="n">
        <v>2209.6</v>
      </c>
      <c r="I80" s="32" t="n">
        <v>1577.4</v>
      </c>
      <c r="J80" s="32" t="n">
        <v>0.57</v>
      </c>
      <c r="K80" s="32" t="n">
        <v>100713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57.38</v>
      </c>
      <c r="P80" s="32" t="n">
        <v>37.03</v>
      </c>
      <c r="Q80" s="32" t="n">
        <v>1241.48</v>
      </c>
      <c r="R80" s="31" t="inlineStr">
        <is>
          <t>Near 52W High Breakout</t>
        </is>
      </c>
      <c r="S80" s="31" t="inlineStr">
        <is>
          <t>Nifty FMCG</t>
        </is>
      </c>
      <c r="T80" s="32" t="inlineStr"/>
      <c r="U80" s="32" t="inlineStr"/>
      <c r="V80" s="32" t="inlineStr"/>
      <c r="W80" s="32" t="inlineStr"/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B2C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IF(B81=0,"",RANK(B81,$B$2:$B$370,0))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NEULANDLAB</t>
        </is>
      </c>
      <c r="D81" s="31" t="inlineStr">
        <is>
          <t>Neuland Laboratories Limited</t>
        </is>
      </c>
      <c r="E81" s="31" t="inlineStr">
        <is>
          <t>healthcare</t>
        </is>
      </c>
      <c r="F81" s="31" t="inlineStr">
        <is>
          <t>pharmaceuticals - indian - bulk drugs</t>
        </is>
      </c>
      <c r="G81" s="31" t="inlineStr">
        <is>
          <t>largecap</t>
        </is>
      </c>
      <c r="H81" s="32" t="n">
        <v>29386.86</v>
      </c>
      <c r="I81" s="32" t="n">
        <v>22989</v>
      </c>
      <c r="J81" s="32" t="n">
        <v>0.37</v>
      </c>
      <c r="K81" s="32" t="n">
        <v>42950</v>
      </c>
      <c r="L81" s="31" t="n">
        <v>74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74.78</v>
      </c>
      <c r="P81" s="32" t="n">
        <v>55.83</v>
      </c>
      <c r="Q81" s="32" t="n">
        <v>19037.3</v>
      </c>
      <c r="R81" s="31" t="inlineStr">
        <is>
          <t>Near 52W High Breakout</t>
        </is>
      </c>
      <c r="S81" s="31" t="inlineStr">
        <is>
          <t>Nifty Pharma</t>
        </is>
      </c>
      <c r="T81" s="32" t="n">
        <v>21.83</v>
      </c>
      <c r="U81" s="32" t="n">
        <v>70.87</v>
      </c>
      <c r="V81" s="32" t="n">
        <v>40.25</v>
      </c>
      <c r="W81" s="32" t="n">
        <v>21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IF(B82=0,"",RANK(B82,$B$2:$B$370,0))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VIJAYA</t>
        </is>
      </c>
      <c r="D82" s="31" t="inlineStr">
        <is>
          <t>Vijaya Diagnostic Centre Ltd</t>
        </is>
      </c>
      <c r="E82" s="31" t="inlineStr">
        <is>
          <t>healthcare</t>
        </is>
      </c>
      <c r="F82" s="31" t="inlineStr">
        <is>
          <t>healthcare</t>
        </is>
      </c>
      <c r="G82" s="31" t="inlineStr">
        <is>
          <t>midcap</t>
        </is>
      </c>
      <c r="H82" s="32" t="n">
        <v>15253.41</v>
      </c>
      <c r="I82" s="32" t="n">
        <v>1482.3</v>
      </c>
      <c r="J82" s="32" t="n">
        <v>-0.01</v>
      </c>
      <c r="K82" s="32" t="n">
        <v>202219</v>
      </c>
      <c r="L82" s="31" t="n">
        <v>45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68.61</v>
      </c>
      <c r="P82" s="32" t="n">
        <v>58.53</v>
      </c>
      <c r="Q82" s="32" t="n">
        <v>1201.91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21.83</v>
      </c>
      <c r="U82" s="32" t="n">
        <v>47.19</v>
      </c>
      <c r="V82" s="32" t="n">
        <v>20.82</v>
      </c>
      <c r="W82" s="32" t="n">
        <v>11.34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IF(B83=0,"",RANK(B83,$B$2:$B$370,0))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BLISSGVS</t>
        </is>
      </c>
      <c r="D83" s="31" t="inlineStr">
        <is>
          <t>Bliss Gvs Pharma Limited</t>
        </is>
      </c>
      <c r="E83" s="31" t="inlineStr">
        <is>
          <t>healthcare</t>
        </is>
      </c>
      <c r="F83" s="31" t="inlineStr">
        <is>
          <t>pharmaceuticals - indian - formulations</t>
        </is>
      </c>
      <c r="G83" s="31" t="inlineStr">
        <is>
          <t>midcap</t>
        </is>
      </c>
      <c r="H83" s="32" t="n">
        <v>5991.12</v>
      </c>
      <c r="I83" s="32" t="n">
        <v>563</v>
      </c>
      <c r="J83" s="32" t="n">
        <v>-0.34</v>
      </c>
      <c r="K83" s="32" t="n">
        <v>265982</v>
      </c>
      <c r="L83" s="31" t="n">
        <v>95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77.72</v>
      </c>
      <c r="P83" s="32" t="n">
        <v>75.42</v>
      </c>
      <c r="Q83" s="32" t="n">
        <v>436.75</v>
      </c>
      <c r="R83" s="31" t="inlineStr">
        <is>
          <t>Near 52W High Breakout</t>
        </is>
      </c>
      <c r="S83" s="31" t="inlineStr">
        <is>
          <t>Nifty Pharma</t>
        </is>
      </c>
      <c r="T83" s="32" t="n">
        <v>21.83</v>
      </c>
      <c r="U83" s="32" t="n">
        <v>262.12</v>
      </c>
      <c r="V83" s="32" t="n">
        <v>197.23</v>
      </c>
      <c r="W83" s="32" t="n">
        <v>39.95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Between 12 to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IF(B84=0,"",RANK(B84,$B$2:$B$370,0))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CUPID</t>
        </is>
      </c>
      <c r="D84" s="31" t="inlineStr">
        <is>
          <t>Cupid Limited</t>
        </is>
      </c>
      <c r="E84" s="31" t="inlineStr">
        <is>
          <t>fmcg</t>
        </is>
      </c>
      <c r="F84" s="31" t="inlineStr">
        <is>
          <t>personal care - indian</t>
        </is>
      </c>
      <c r="G84" s="31" t="inlineStr">
        <is>
          <t>largecap</t>
        </is>
      </c>
      <c r="H84" s="32" t="n">
        <v>38512.43</v>
      </c>
      <c r="I84" s="32" t="n">
        <v>281.76</v>
      </c>
      <c r="J84" s="32" t="n">
        <v>-1.62</v>
      </c>
      <c r="K84" s="32" t="n">
        <v>14093652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86.43000000000001</v>
      </c>
      <c r="P84" s="32" t="n">
        <v>72.64</v>
      </c>
      <c r="Q84" s="32" t="n">
        <v>229.26</v>
      </c>
      <c r="R84" s="31" t="inlineStr">
        <is>
          <t>Near 52W High Breakout</t>
        </is>
      </c>
      <c r="S84" s="31" t="inlineStr">
        <is>
          <t>Nifty FMCG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B2C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IF(B85=0,"",RANK(B85,$B$2:$B$370,0))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MARKSANS</t>
        </is>
      </c>
      <c r="D85" s="31" t="inlineStr">
        <is>
          <t>Marksans Pharma Limited</t>
        </is>
      </c>
      <c r="E85" s="31" t="inlineStr">
        <is>
          <t>healthcare</t>
        </is>
      </c>
      <c r="F85" s="31" t="inlineStr">
        <is>
          <t>pharmaceuticals - indian - formulations</t>
        </is>
      </c>
      <c r="G85" s="31" t="inlineStr">
        <is>
          <t>midcap</t>
        </is>
      </c>
      <c r="H85" s="32" t="n">
        <v>14677.97</v>
      </c>
      <c r="I85" s="32" t="n">
        <v>318.5</v>
      </c>
      <c r="J85" s="32" t="n">
        <v>-1.67</v>
      </c>
      <c r="K85" s="32" t="n">
        <v>2084774</v>
      </c>
      <c r="L85" s="31" t="n">
        <v>74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72.26000000000001</v>
      </c>
      <c r="P85" s="32" t="n">
        <v>58.65</v>
      </c>
      <c r="Q85" s="32" t="n">
        <v>260.32</v>
      </c>
      <c r="R85" s="31" t="inlineStr">
        <is>
          <t>Near 52W High Breakout</t>
        </is>
      </c>
      <c r="S85" s="31" t="inlineStr">
        <is>
          <t>Nifty Pharma</t>
        </is>
      </c>
      <c r="T85" s="32" t="n">
        <v>21.83</v>
      </c>
      <c r="U85" s="32" t="n">
        <v>89.43000000000001</v>
      </c>
      <c r="V85" s="32" t="n">
        <v>55.49</v>
      </c>
      <c r="W85" s="32" t="n">
        <v>21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IF(B86=0,"",RANK(B86,$B$2:$B$370,0))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E2E</t>
        </is>
      </c>
      <c r="D86" s="31" t="inlineStr">
        <is>
          <t>E2E Networks Ltd</t>
        </is>
      </c>
      <c r="E86" s="31" t="inlineStr">
        <is>
          <t>i.t</t>
        </is>
      </c>
      <c r="F86" s="31" t="inlineStr">
        <is>
          <t>computers - software - medium / small</t>
        </is>
      </c>
      <c r="G86" s="31" t="inlineStr">
        <is>
          <t>midcap</t>
        </is>
      </c>
      <c r="H86" s="32" t="n">
        <v>12599.07</v>
      </c>
      <c r="I86" s="32" t="n">
        <v>596.35</v>
      </c>
      <c r="J86" s="32" t="n">
        <v>-2.7</v>
      </c>
      <c r="K86" s="32" t="n">
        <v>657170</v>
      </c>
      <c r="L86" s="31" t="n">
        <v>92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68.84999999999999</v>
      </c>
      <c r="P86" s="32" t="n">
        <v>51.15</v>
      </c>
      <c r="Q86" s="32" t="n">
        <v>476.45</v>
      </c>
      <c r="R86" s="31" t="inlineStr">
        <is>
          <t>Earnings / Momentum Support</t>
        </is>
      </c>
      <c r="S86" s="31" t="inlineStr">
        <is>
          <t>Nifty IT</t>
        </is>
      </c>
      <c r="T86" s="32" t="n">
        <v>-12.53</v>
      </c>
      <c r="U86" s="32" t="n">
        <v>159.84</v>
      </c>
      <c r="V86" s="32" t="n">
        <v>197.07</v>
      </c>
      <c r="W86" s="32" t="n">
        <v>33.77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IF(B87=0,"",RANK(B87,$B$2:$B$370,0))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SKYGOLD</t>
        </is>
      </c>
      <c r="D87" s="31" t="inlineStr">
        <is>
          <t>Sky Gold Ltd</t>
        </is>
      </c>
      <c r="E87" s="31" t="inlineStr">
        <is>
          <t>consumer discretionary</t>
        </is>
      </c>
      <c r="F87" s="31" t="inlineStr">
        <is>
          <t>diamond cutting / jewellery</t>
        </is>
      </c>
      <c r="G87" s="31" t="inlineStr">
        <is>
          <t>midcap</t>
        </is>
      </c>
      <c r="H87" s="32" t="n">
        <v>12358.94</v>
      </c>
      <c r="I87" s="32" t="n">
        <v>842.3</v>
      </c>
      <c r="J87" s="32" t="n">
        <v>5.55</v>
      </c>
      <c r="K87" s="32" t="n">
        <v>1863960</v>
      </c>
      <c r="L87" s="31" t="n">
        <v>94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83.05</v>
      </c>
      <c r="P87" s="32" t="n">
        <v>65.67</v>
      </c>
      <c r="Q87" s="32" t="n">
        <v>655.99</v>
      </c>
      <c r="R87" s="31" t="inlineStr">
        <is>
          <t>Near 52W High Breakout</t>
        </is>
      </c>
      <c r="S87" s="31" t="inlineStr">
        <is>
          <t>Nifty 50</t>
        </is>
      </c>
      <c r="T87" s="32" t="n">
        <v>-0.38</v>
      </c>
      <c r="U87" s="32" t="n">
        <v>192.57</v>
      </c>
      <c r="V87" s="32" t="n">
        <v>193.68</v>
      </c>
      <c r="W87" s="32" t="n">
        <v>38.33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Between 0.7 to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IF(B88=0,"",RANK(B88,$B$2:$B$370,0))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SIGMAADV</t>
        </is>
      </c>
      <c r="D88" s="31" t="inlineStr">
        <is>
          <t>Sigma Advanced System Ltd</t>
        </is>
      </c>
      <c r="E88" s="31" t="inlineStr">
        <is>
          <t>aerospace &amp; defence</t>
        </is>
      </c>
      <c r="F88" s="31" t="inlineStr">
        <is>
          <t>electronics - components</t>
        </is>
      </c>
      <c r="G88" s="31" t="inlineStr">
        <is>
          <t>midcap</t>
        </is>
      </c>
      <c r="H88" s="32" t="n">
        <v>12502.01</v>
      </c>
      <c r="I88" s="32" t="n">
        <v>692.7</v>
      </c>
      <c r="J88" s="32" t="n">
        <v>4.99</v>
      </c>
      <c r="K88" s="32" t="n">
        <v>155652</v>
      </c>
      <c r="L88" s="31" t="n">
        <v>98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74.23999999999999</v>
      </c>
      <c r="P88" s="32" t="n">
        <v>65.92</v>
      </c>
      <c r="Q88" s="32" t="n">
        <v>524.23</v>
      </c>
      <c r="R88" s="31" t="inlineStr">
        <is>
          <t>Near 52W High Breakout</t>
        </is>
      </c>
      <c r="S88" s="31" t="inlineStr">
        <is>
          <t>Nifty 50</t>
        </is>
      </c>
      <c r="T88" s="32" t="n">
        <v>-0.38</v>
      </c>
      <c r="U88" s="32" t="n">
        <v>419.27</v>
      </c>
      <c r="V88" s="32" t="n">
        <v>421.23</v>
      </c>
      <c r="W88" s="32" t="n">
        <v>64.91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Between 0.7 to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IF(B89=0,"",RANK(B89,$B$2:$B$370,0))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COSMOFIRST</t>
        </is>
      </c>
      <c r="D89" s="31" t="inlineStr">
        <is>
          <t>Cosmo First Ltd</t>
        </is>
      </c>
      <c r="E89" s="31" t="inlineStr">
        <is>
          <t>industrials</t>
        </is>
      </c>
      <c r="F89" s="31" t="inlineStr">
        <is>
          <t>packaging</t>
        </is>
      </c>
      <c r="G89" s="31" t="inlineStr">
        <is>
          <t>smallcap</t>
        </is>
      </c>
      <c r="H89" s="32" t="n">
        <v>2383.34</v>
      </c>
      <c r="I89" s="32" t="n">
        <v>930.65</v>
      </c>
      <c r="J89" s="32" t="n">
        <v>2.5</v>
      </c>
      <c r="K89" s="32" t="n">
        <v>88338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66.56999999999999</v>
      </c>
      <c r="P89" s="32" t="n">
        <v>46.93</v>
      </c>
      <c r="Q89" s="32" t="n">
        <v>733.1900000000001</v>
      </c>
      <c r="R89" s="31" t="inlineStr">
        <is>
          <t>Near 52W High Breakout</t>
        </is>
      </c>
      <c r="S89" s="31" t="inlineStr">
        <is>
          <t>Nifty Infra</t>
        </is>
      </c>
      <c r="T89" s="32" t="inlineStr"/>
      <c r="U89" s="32" t="inlineStr"/>
      <c r="V89" s="32" t="inlineStr"/>
      <c r="W89" s="32" t="inlineStr"/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Between 0.7 to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IF(B90=0,"",RANK(B90,$B$2:$B$370,0))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GHCLTEXTIL</t>
        </is>
      </c>
      <c r="D90" s="31" t="inlineStr">
        <is>
          <t>GHCL Textiles Ltd</t>
        </is>
      </c>
      <c r="E90" s="31" t="inlineStr">
        <is>
          <t>textiles</t>
        </is>
      </c>
      <c r="F90" s="31" t="inlineStr">
        <is>
          <t>textiles - spinning - synthetic / blended</t>
        </is>
      </c>
      <c r="G90" s="31" t="inlineStr">
        <is>
          <t>smallcap</t>
        </is>
      </c>
      <c r="H90" s="32" t="n">
        <v>1187.27</v>
      </c>
      <c r="I90" s="32" t="n">
        <v>126</v>
      </c>
      <c r="J90" s="32" t="n">
        <v>1.44</v>
      </c>
      <c r="K90" s="32" t="n">
        <v>670942</v>
      </c>
      <c r="L90" s="31" t="n">
        <v>65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72.73</v>
      </c>
      <c r="P90" s="32" t="n">
        <v>39.78</v>
      </c>
      <c r="Q90" s="32" t="n">
        <v>97</v>
      </c>
      <c r="R90" s="31" t="inlineStr">
        <is>
          <t>Near 52W High Breakout</t>
        </is>
      </c>
      <c r="S90" s="31" t="inlineStr">
        <is>
          <t>Nifty 50</t>
        </is>
      </c>
      <c r="T90" s="32" t="n">
        <v>-0.38</v>
      </c>
      <c r="U90" s="32" t="n">
        <v>58.87</v>
      </c>
      <c r="V90" s="32" t="n">
        <v>59.47</v>
      </c>
      <c r="W90" s="32" t="n">
        <v>17.06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IF(B91=0,"",RANK(B91,$B$2:$B$370,0))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BAJAJ-AUTO</t>
        </is>
      </c>
      <c r="D91" s="31" t="inlineStr">
        <is>
          <t>Bajaj Auto Limited</t>
        </is>
      </c>
      <c r="E91" s="31" t="inlineStr">
        <is>
          <t>auto</t>
        </is>
      </c>
      <c r="F91" s="31" t="inlineStr">
        <is>
          <t>automobiles - scooters and 3 - wheelers</t>
        </is>
      </c>
      <c r="G91" s="31" t="inlineStr">
        <is>
          <t>largecap</t>
        </is>
      </c>
      <c r="H91" s="32" t="n">
        <v>329807.45</v>
      </c>
      <c r="I91" s="32" t="n">
        <v>11927</v>
      </c>
      <c r="J91" s="32" t="n">
        <v>1.08</v>
      </c>
      <c r="K91" s="32" t="n">
        <v>150931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75.09</v>
      </c>
      <c r="P91" s="32" t="n">
        <v>25.08</v>
      </c>
      <c r="Q91" s="32" t="n">
        <v>10534.78</v>
      </c>
      <c r="R91" s="31" t="inlineStr">
        <is>
          <t>Near 52W High Breakout</t>
        </is>
      </c>
      <c r="S91" s="31" t="inlineStr">
        <is>
          <t>Nifty Auto</t>
        </is>
      </c>
      <c r="T91" s="32" t="inlineStr"/>
      <c r="U91" s="32" t="inlineStr"/>
      <c r="V91" s="32" t="inlineStr"/>
      <c r="W91" s="32" t="inlineStr"/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IF(B92=0,"",RANK(B92,$B$2:$B$370,0))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NAUKRI</t>
        </is>
      </c>
      <c r="D92" s="31" t="inlineStr">
        <is>
          <t>Info Edge (india) Limited</t>
        </is>
      </c>
      <c r="E92" s="31" t="inlineStr">
        <is>
          <t>i.t</t>
        </is>
      </c>
      <c r="F92" s="31" t="inlineStr">
        <is>
          <t>miscellaneous</t>
        </is>
      </c>
      <c r="G92" s="31" t="inlineStr">
        <is>
          <t>largecap</t>
        </is>
      </c>
      <c r="H92" s="32" t="n">
        <v>87471.94</v>
      </c>
      <c r="I92" s="32" t="n">
        <v>1350</v>
      </c>
      <c r="J92" s="32" t="n">
        <v>0.07000000000000001</v>
      </c>
      <c r="K92" s="32" t="n">
        <v>961681</v>
      </c>
      <c r="L92" s="31" t="n">
        <v>36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71.03</v>
      </c>
      <c r="P92" s="32" t="n">
        <v>25.94</v>
      </c>
      <c r="Q92" s="32" t="n">
        <v>1109.29</v>
      </c>
      <c r="R92" s="31" t="inlineStr">
        <is>
          <t>Near 52W High Breakout</t>
        </is>
      </c>
      <c r="S92" s="31" t="inlineStr">
        <is>
          <t>Nifty IT</t>
        </is>
      </c>
      <c r="T92" s="32" t="n">
        <v>-12.53</v>
      </c>
      <c r="U92" s="32" t="n">
        <v>0.11</v>
      </c>
      <c r="V92" s="32" t="n">
        <v>14.45</v>
      </c>
      <c r="W92" s="32" t="n">
        <v>8.9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IF(B93=0,"",RANK(B93,$B$2:$B$370,0))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RACLGEAR</t>
        </is>
      </c>
      <c r="D93" s="31" t="inlineStr">
        <is>
          <t>RACL Geartech Ltd</t>
        </is>
      </c>
      <c r="E93" s="31" t="inlineStr">
        <is>
          <t>auto</t>
        </is>
      </c>
      <c r="F93" s="31" t="inlineStr">
        <is>
          <t>auto ancillaries</t>
        </is>
      </c>
      <c r="G93" s="31" t="inlineStr">
        <is>
          <t>smallcap</t>
        </is>
      </c>
      <c r="H93" s="32" t="n">
        <v>1784.13</v>
      </c>
      <c r="I93" s="32" t="n">
        <v>1511.1</v>
      </c>
      <c r="J93" s="32" t="n">
        <v>-0.16</v>
      </c>
      <c r="K93" s="32" t="n">
        <v>79447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60.02</v>
      </c>
      <c r="P93" s="32" t="n">
        <v>49.73</v>
      </c>
      <c r="Q93" s="32" t="n">
        <v>1047.35</v>
      </c>
      <c r="R93" s="31" t="inlineStr">
        <is>
          <t>Near 52W High Breakout</t>
        </is>
      </c>
      <c r="S93" s="31" t="inlineStr">
        <is>
          <t>Nifty Auto</t>
        </is>
      </c>
      <c r="T93" s="32" t="inlineStr"/>
      <c r="U93" s="32" t="inlineStr"/>
      <c r="V93" s="32" t="inlineStr"/>
      <c r="W93" s="32" t="inlineStr"/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IF(B94=0,"",RANK(B94,$B$2:$B$370,0))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SANDHAR</t>
        </is>
      </c>
      <c r="D94" s="31" t="inlineStr">
        <is>
          <t>Sandhar Technologies Limited</t>
        </is>
      </c>
      <c r="E94" s="31" t="inlineStr">
        <is>
          <t>auto</t>
        </is>
      </c>
      <c r="F94" s="31" t="inlineStr">
        <is>
          <t>auto ancillaries</t>
        </is>
      </c>
      <c r="G94" s="31" t="inlineStr">
        <is>
          <t>smallcap</t>
        </is>
      </c>
      <c r="H94" s="32" t="n">
        <v>4096.58</v>
      </c>
      <c r="I94" s="32" t="n">
        <v>679</v>
      </c>
      <c r="J94" s="32" t="n">
        <v>-0.24</v>
      </c>
      <c r="K94" s="32" t="n">
        <v>192626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59.86</v>
      </c>
      <c r="P94" s="32" t="n">
        <v>35.84</v>
      </c>
      <c r="Q94" s="32" t="n">
        <v>541.4400000000001</v>
      </c>
      <c r="R94" s="31" t="inlineStr">
        <is>
          <t>Near 52W High Breakout</t>
        </is>
      </c>
      <c r="S94" s="31" t="inlineStr">
        <is>
          <t>Nifty Auto</t>
        </is>
      </c>
      <c r="T94" s="32" t="inlineStr"/>
      <c r="U94" s="32" t="inlineStr"/>
      <c r="V94" s="32" t="inlineStr"/>
      <c r="W94" s="32" t="inlineStr"/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Between 0.7 to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IF(B95=0,"",RANK(B95,$B$2:$B$370,0))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COMSYN</t>
        </is>
      </c>
      <c r="D95" s="31" t="inlineStr">
        <is>
          <t>Commercial Syn Bags Ltd</t>
        </is>
      </c>
      <c r="E95" s="31" t="inlineStr">
        <is>
          <t>industrials</t>
        </is>
      </c>
      <c r="F95" s="31" t="inlineStr">
        <is>
          <t>packaging</t>
        </is>
      </c>
      <c r="G95" s="31" t="inlineStr">
        <is>
          <t>smallcap</t>
        </is>
      </c>
      <c r="H95" s="32" t="n">
        <v>1166.49</v>
      </c>
      <c r="I95" s="32" t="n">
        <v>288.2</v>
      </c>
      <c r="J95" s="32" t="n">
        <v>-0.34</v>
      </c>
      <c r="K95" s="32" t="n">
        <v>62737</v>
      </c>
      <c r="L95" s="31" t="n">
        <v>94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80.8</v>
      </c>
      <c r="P95" s="32" t="n">
        <v>66.68000000000001</v>
      </c>
      <c r="Q95" s="32" t="n">
        <v>221.23</v>
      </c>
      <c r="R95" s="31" t="inlineStr">
        <is>
          <t>Near 52W High Breakout</t>
        </is>
      </c>
      <c r="S95" s="31" t="inlineStr">
        <is>
          <t>Nifty 50</t>
        </is>
      </c>
      <c r="T95" s="32" t="n">
        <v>-0.38</v>
      </c>
      <c r="U95" s="32" t="n">
        <v>100.71</v>
      </c>
      <c r="V95" s="32" t="n">
        <v>101.47</v>
      </c>
      <c r="W95" s="32" t="n">
        <v>36.38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Between 0.7 to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IF(B96=0,"",RANK(B96,$B$2:$B$370,0))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NILKAMAL</t>
        </is>
      </c>
      <c r="D96" s="31" t="inlineStr">
        <is>
          <t>Nilkamal Limited</t>
        </is>
      </c>
      <c r="E96" s="31" t="inlineStr">
        <is>
          <t>plastic products</t>
        </is>
      </c>
      <c r="F96" s="31" t="inlineStr">
        <is>
          <t>plastics products</t>
        </is>
      </c>
      <c r="G96" s="31" t="inlineStr">
        <is>
          <t>smallcap</t>
        </is>
      </c>
      <c r="H96" s="32" t="n">
        <v>3023.9</v>
      </c>
      <c r="I96" s="32" t="n">
        <v>2015.9</v>
      </c>
      <c r="J96" s="32" t="n">
        <v>-0.52</v>
      </c>
      <c r="K96" s="32" t="n">
        <v>30854</v>
      </c>
      <c r="L96" s="31" t="n">
        <v>70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78.43000000000001</v>
      </c>
      <c r="P96" s="32" t="n">
        <v>38.66</v>
      </c>
      <c r="Q96" s="32" t="n">
        <v>1636.43</v>
      </c>
      <c r="R96" s="31" t="inlineStr">
        <is>
          <t>Near 52W High Breakout</t>
        </is>
      </c>
      <c r="S96" s="31" t="inlineStr">
        <is>
          <t>Nifty 50</t>
        </is>
      </c>
      <c r="T96" s="32" t="n">
        <v>-0.38</v>
      </c>
      <c r="U96" s="32" t="n">
        <v>31.3</v>
      </c>
      <c r="V96" s="32" t="n">
        <v>31.8</v>
      </c>
      <c r="W96" s="32" t="n">
        <v>20.21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IF(B97=0,"",RANK(B97,$B$2:$B$370,0))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SONACOMS</t>
        </is>
      </c>
      <c r="D97" s="31" t="inlineStr">
        <is>
          <t>Sona BLW Precision Forgings Ltd</t>
        </is>
      </c>
      <c r="E97" s="31" t="inlineStr">
        <is>
          <t>auto</t>
        </is>
      </c>
      <c r="F97" s="31" t="inlineStr">
        <is>
          <t>auto ancillaries</t>
        </is>
      </c>
      <c r="G97" s="31" t="inlineStr">
        <is>
          <t>largecap</t>
        </is>
      </c>
      <c r="H97" s="32" t="n">
        <v>50602.53</v>
      </c>
      <c r="I97" s="32" t="n">
        <v>808.8</v>
      </c>
      <c r="J97" s="32" t="n">
        <v>-0.58</v>
      </c>
      <c r="K97" s="32" t="n">
        <v>1445847</v>
      </c>
      <c r="L97" s="31" t="inlineStr"/>
      <c r="M97" s="31" t="inlineStr"/>
      <c r="N97" s="32">
        <f>IF(M97="Underperforming",-5,IF(L97&gt;=95,15,IF(L97&gt;=90,10,IF(L97&gt;=80,5,0))))</f>
        <v/>
      </c>
      <c r="O97" s="32" t="n">
        <v>76.14</v>
      </c>
      <c r="P97" s="32" t="n">
        <v>55.94</v>
      </c>
      <c r="Q97" s="32" t="n">
        <v>697.85</v>
      </c>
      <c r="R97" s="31" t="inlineStr">
        <is>
          <t>Near 52W High Breakout</t>
        </is>
      </c>
      <c r="S97" s="31" t="inlineStr">
        <is>
          <t>Nifty Auto</t>
        </is>
      </c>
      <c r="T97" s="32" t="inlineStr"/>
      <c r="U97" s="32" t="inlineStr"/>
      <c r="V97" s="32" t="inlineStr"/>
      <c r="W97" s="32" t="inlineStr"/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Between 1.5 to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IF(B98=0,"",RANK(B98,$B$2:$B$370,0))</f>
        <v/>
      </c>
      <c r="B98" s="32">
        <f>SUM(N98,Y98,AA98,AC98,AE98,AG98,AI98,AK98,AM98,AO98,AQ98,AS98,AU98,AW98,AY98,BA98,BC98,BE98,BG98,BI98,BK98,BM98,BO98,BQ98,BS98,BU98,BW98,BY98,CA98,CC98,CE98)</f>
        <v/>
      </c>
      <c r="C98" s="33" t="inlineStr">
        <is>
          <t>JAYAGROGN</t>
        </is>
      </c>
      <c r="D98" s="33" t="inlineStr">
        <is>
          <t>Jayant Agro Organics Limited</t>
        </is>
      </c>
      <c r="E98" s="31" t="inlineStr">
        <is>
          <t>chemicals</t>
        </is>
      </c>
      <c r="F98" s="31" t="inlineStr">
        <is>
          <t>chemicals</t>
        </is>
      </c>
      <c r="G98" s="31" t="inlineStr">
        <is>
          <t>smallcap</t>
        </is>
      </c>
      <c r="H98" s="32" t="n">
        <v>685.89</v>
      </c>
      <c r="I98" s="32" t="n">
        <v>227.26</v>
      </c>
      <c r="J98" s="32" t="n">
        <v>-0.6</v>
      </c>
      <c r="K98" s="32" t="n">
        <v>32557</v>
      </c>
      <c r="L98" s="31" t="n">
        <v>5</v>
      </c>
      <c r="M98" s="31" t="inlineStr">
        <is>
          <t>Underperforming</t>
        </is>
      </c>
      <c r="N98" s="32">
        <f>IF(M98="Underperforming",-5,IF(L98&gt;=95,15,IF(L98&gt;=90,10,IF(L98&gt;=80,5,0))))</f>
        <v/>
      </c>
      <c r="O98" s="32" t="n">
        <v>60.95</v>
      </c>
      <c r="P98" s="32" t="n">
        <v>38.39</v>
      </c>
      <c r="Q98" s="32" t="n">
        <v>176.97</v>
      </c>
      <c r="R98" s="31" t="inlineStr">
        <is>
          <t>Near 52W High Breakout</t>
        </is>
      </c>
      <c r="S98" s="31" t="inlineStr">
        <is>
          <t>Nifty 50</t>
        </is>
      </c>
      <c r="T98" s="32" t="n">
        <v>-0.38</v>
      </c>
      <c r="U98" s="32" t="n">
        <v>-2.29</v>
      </c>
      <c r="V98" s="32" t="n">
        <v>-1.92</v>
      </c>
      <c r="W98" s="32" t="n">
        <v>1.43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IF(B99=0,"",RANK(B99,$B$2:$B$370,0))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BIRLACABLE</t>
        </is>
      </c>
      <c r="D99" s="31" t="inlineStr">
        <is>
          <t>Birla Cable Limited</t>
        </is>
      </c>
      <c r="E99" s="31" t="inlineStr">
        <is>
          <t>industrials</t>
        </is>
      </c>
      <c r="F99" s="31" t="inlineStr">
        <is>
          <t>cables - telephone</t>
        </is>
      </c>
      <c r="G99" s="31" t="inlineStr">
        <is>
          <t>smallcap</t>
        </is>
      </c>
      <c r="H99" s="32" t="n">
        <v>813</v>
      </c>
      <c r="I99" s="32" t="n">
        <v>268.9</v>
      </c>
      <c r="J99" s="32" t="n">
        <v>-0.77</v>
      </c>
      <c r="K99" s="32" t="n">
        <v>68681</v>
      </c>
      <c r="L99" s="31" t="inlineStr"/>
      <c r="M99" s="31" t="inlineStr"/>
      <c r="N99" s="32">
        <f>IF(M99="Underperforming",-5,IF(L99&gt;=95,15,IF(L99&gt;=90,10,IF(L99&gt;=80,5,0))))</f>
        <v/>
      </c>
      <c r="O99" s="32" t="n">
        <v>66.13</v>
      </c>
      <c r="P99" s="32" t="n">
        <v>48.66</v>
      </c>
      <c r="Q99" s="32" t="n">
        <v>209.83</v>
      </c>
      <c r="R99" s="31" t="inlineStr">
        <is>
          <t>Earnings / Momentum Support</t>
        </is>
      </c>
      <c r="S99" s="31" t="inlineStr">
        <is>
          <t>Nifty Infra</t>
        </is>
      </c>
      <c r="T99" s="32" t="inlineStr"/>
      <c r="U99" s="32" t="inlineStr"/>
      <c r="V99" s="32" t="inlineStr"/>
      <c r="W99" s="32" t="inlineStr"/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IF(B100=0,"",RANK(B100,$B$2:$B$370,0))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ACE</t>
        </is>
      </c>
      <c r="D100" s="31" t="inlineStr">
        <is>
          <t>Action Construction Equipment Limited</t>
        </is>
      </c>
      <c r="E100" s="31" t="inlineStr">
        <is>
          <t>industrials</t>
        </is>
      </c>
      <c r="F100" s="31" t="inlineStr">
        <is>
          <t>engineering</t>
        </is>
      </c>
      <c r="G100" s="31" t="inlineStr">
        <is>
          <t>midcap</t>
        </is>
      </c>
      <c r="H100" s="32" t="n">
        <v>13899.39</v>
      </c>
      <c r="I100" s="32" t="n">
        <v>1154.8</v>
      </c>
      <c r="J100" s="32" t="n">
        <v>-1.06</v>
      </c>
      <c r="K100" s="32" t="n">
        <v>240076</v>
      </c>
      <c r="L100" s="31" t="n">
        <v>35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69.43000000000001</v>
      </c>
      <c r="P100" s="32" t="n">
        <v>29.5</v>
      </c>
      <c r="Q100" s="32" t="n">
        <v>976.36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-0.38</v>
      </c>
      <c r="U100" s="32" t="n">
        <v>9.619999999999999</v>
      </c>
      <c r="V100" s="32" t="n">
        <v>10.03</v>
      </c>
      <c r="W100" s="32" t="n">
        <v>8.869999999999999</v>
      </c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IF(B101=0,"",RANK(B101,$B$2:$B$370,0))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HONASA</t>
        </is>
      </c>
      <c r="D101" s="31" t="inlineStr">
        <is>
          <t>Honasa Consumer Ltd</t>
        </is>
      </c>
      <c r="E101" s="31" t="inlineStr">
        <is>
          <t>services</t>
        </is>
      </c>
      <c r="F101" s="31" t="inlineStr">
        <is>
          <t>trading</t>
        </is>
      </c>
      <c r="G101" s="31" t="inlineStr">
        <is>
          <t>midcap</t>
        </is>
      </c>
      <c r="H101" s="32" t="n">
        <v>16001.27</v>
      </c>
      <c r="I101" s="32" t="n">
        <v>485.5</v>
      </c>
      <c r="J101" s="32" t="n">
        <v>-1.08</v>
      </c>
      <c r="K101" s="32" t="n">
        <v>493454</v>
      </c>
      <c r="L101" s="31" t="n">
        <v>60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71.84</v>
      </c>
      <c r="P101" s="32" t="n">
        <v>61.28</v>
      </c>
      <c r="Q101" s="32" t="n">
        <v>411.77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-0.38</v>
      </c>
      <c r="U101" s="32" t="n">
        <v>65.73</v>
      </c>
      <c r="V101" s="32" t="n">
        <v>66.36</v>
      </c>
      <c r="W101" s="32" t="n">
        <v>15.31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IF(B102=0,"",RANK(B102,$B$2:$B$370,0))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LMW</t>
        </is>
      </c>
      <c r="D102" s="31" t="inlineStr">
        <is>
          <t>LMW Ltd</t>
        </is>
      </c>
      <c r="E102" s="31" t="inlineStr">
        <is>
          <t>industrials</t>
        </is>
      </c>
      <c r="F102" s="31" t="inlineStr">
        <is>
          <t>textile machinery</t>
        </is>
      </c>
      <c r="G102" s="31" t="inlineStr">
        <is>
          <t>largecap</t>
        </is>
      </c>
      <c r="H102" s="32" t="n">
        <v>20893.81</v>
      </c>
      <c r="I102" s="32" t="n">
        <v>19340</v>
      </c>
      <c r="J102" s="32" t="n">
        <v>-1.11</v>
      </c>
      <c r="K102" s="32" t="n">
        <v>2968</v>
      </c>
      <c r="L102" s="31" t="n">
        <v>45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70.86</v>
      </c>
      <c r="P102" s="32" t="n">
        <v>42.98</v>
      </c>
      <c r="Q102" s="32" t="n">
        <v>16489.66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-0.38</v>
      </c>
      <c r="U102" s="32" t="n">
        <v>37.52</v>
      </c>
      <c r="V102" s="32" t="n">
        <v>38.05</v>
      </c>
      <c r="W102" s="32" t="n">
        <v>11.64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IF(B103=0,"",RANK(B103,$B$2:$B$370,0))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SANSERA</t>
        </is>
      </c>
      <c r="D103" s="31" t="inlineStr">
        <is>
          <t>Sansera Engineering Ltd</t>
        </is>
      </c>
      <c r="E103" s="31" t="inlineStr">
        <is>
          <t>auto</t>
        </is>
      </c>
      <c r="F103" s="31" t="inlineStr">
        <is>
          <t>auto ancillaries</t>
        </is>
      </c>
      <c r="G103" s="31" t="inlineStr">
        <is>
          <t>largecap</t>
        </is>
      </c>
      <c r="H103" s="32" t="n">
        <v>23989.8</v>
      </c>
      <c r="I103" s="32" t="n">
        <v>3790.5</v>
      </c>
      <c r="J103" s="32" t="n">
        <v>-1.4</v>
      </c>
      <c r="K103" s="32" t="n">
        <v>104163</v>
      </c>
      <c r="L103" s="31" t="inlineStr"/>
      <c r="M103" s="31" t="inlineStr"/>
      <c r="N103" s="32">
        <f>IF(M103="Underperforming",-5,IF(L103&gt;=95,15,IF(L103&gt;=90,10,IF(L103&gt;=80,5,0))))</f>
        <v/>
      </c>
      <c r="O103" s="32" t="n">
        <v>76.77</v>
      </c>
      <c r="P103" s="32" t="n">
        <v>60.66</v>
      </c>
      <c r="Q103" s="32" t="n">
        <v>3179.07</v>
      </c>
      <c r="R103" s="31" t="inlineStr">
        <is>
          <t>Near 52W High Breakout</t>
        </is>
      </c>
      <c r="S103" s="31" t="inlineStr">
        <is>
          <t>Nifty Auto</t>
        </is>
      </c>
      <c r="T103" s="32" t="inlineStr"/>
      <c r="U103" s="32" t="inlineStr"/>
      <c r="V103" s="32" t="inlineStr"/>
      <c r="W103" s="32" t="inlineStr"/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Between 1.5 to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IF(B104=0,"",RANK(B104,$B$2:$B$370,0))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TVSSRICHAK</t>
        </is>
      </c>
      <c r="D104" s="31" t="inlineStr">
        <is>
          <t>Tvs Srichakra Limited</t>
        </is>
      </c>
      <c r="E104" s="31" t="inlineStr">
        <is>
          <t>auto</t>
        </is>
      </c>
      <c r="F104" s="31" t="inlineStr">
        <is>
          <t>tyres</t>
        </is>
      </c>
      <c r="G104" s="31" t="inlineStr">
        <is>
          <t>smallcap</t>
        </is>
      </c>
      <c r="H104" s="32" t="n">
        <v>3758</v>
      </c>
      <c r="I104" s="32" t="n">
        <v>4812</v>
      </c>
      <c r="J104" s="32" t="n">
        <v>-1.95</v>
      </c>
      <c r="K104" s="32" t="n">
        <v>22034</v>
      </c>
      <c r="L104" s="31" t="inlineStr"/>
      <c r="M104" s="31" t="inlineStr"/>
      <c r="N104" s="32">
        <f>IF(M104="Underperforming",-5,IF(L104&gt;=95,15,IF(L104&gt;=90,10,IF(L104&gt;=80,5,0))))</f>
        <v/>
      </c>
      <c r="O104" s="32" t="n">
        <v>67.79000000000001</v>
      </c>
      <c r="P104" s="32" t="n">
        <v>25.54</v>
      </c>
      <c r="Q104" s="32" t="n">
        <v>3873.9</v>
      </c>
      <c r="R104" s="31" t="inlineStr">
        <is>
          <t>Near 52W High Breakout</t>
        </is>
      </c>
      <c r="S104" s="31" t="inlineStr">
        <is>
          <t>Nifty Auto</t>
        </is>
      </c>
      <c r="T104" s="32" t="inlineStr"/>
      <c r="U104" s="32" t="inlineStr"/>
      <c r="V104" s="32" t="inlineStr"/>
      <c r="W104" s="32" t="inlineStr"/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IF(B105=0,"",RANK(B105,$B$2:$B$370,0))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AETHER</t>
        </is>
      </c>
      <c r="D105" s="31" t="inlineStr">
        <is>
          <t>Aether Industries Ltd</t>
        </is>
      </c>
      <c r="E105" s="31" t="inlineStr">
        <is>
          <t>chemicals</t>
        </is>
      </c>
      <c r="F105" s="31" t="inlineStr">
        <is>
          <t>chemicals</t>
        </is>
      </c>
      <c r="G105" s="31" t="inlineStr">
        <is>
          <t>largecap</t>
        </is>
      </c>
      <c r="H105" s="32" t="n">
        <v>22133.8</v>
      </c>
      <c r="I105" s="32" t="n">
        <v>1633.9</v>
      </c>
      <c r="J105" s="32" t="n">
        <v>-2.03</v>
      </c>
      <c r="K105" s="32" t="n">
        <v>318154</v>
      </c>
      <c r="L105" s="31" t="n">
        <v>88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76.23999999999999</v>
      </c>
      <c r="P105" s="32" t="n">
        <v>51.6</v>
      </c>
      <c r="Q105" s="32" t="n">
        <v>1314.6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-0.38</v>
      </c>
      <c r="U105" s="32" t="n">
        <v>121.97</v>
      </c>
      <c r="V105" s="32" t="n">
        <v>122.81</v>
      </c>
      <c r="W105" s="32" t="n">
        <v>28.12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IF(B106=0,"",RANK(B106,$B$2:$B$370,0))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NRBBEARING</t>
        </is>
      </c>
      <c r="D106" s="31" t="inlineStr">
        <is>
          <t>Nrb Bearing Limited</t>
        </is>
      </c>
      <c r="E106" s="31" t="inlineStr">
        <is>
          <t>industrials</t>
        </is>
      </c>
      <c r="F106" s="31" t="inlineStr">
        <is>
          <t>bearings</t>
        </is>
      </c>
      <c r="G106" s="31" t="inlineStr">
        <is>
          <t>smallcap</t>
        </is>
      </c>
      <c r="H106" s="32" t="n">
        <v>4661.49</v>
      </c>
      <c r="I106" s="32" t="n">
        <v>469.5</v>
      </c>
      <c r="J106" s="32" t="n">
        <v>-2.38</v>
      </c>
      <c r="K106" s="32" t="n">
        <v>241115</v>
      </c>
      <c r="L106" s="31" t="n">
        <v>66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71.59</v>
      </c>
      <c r="P106" s="32" t="n">
        <v>50.85</v>
      </c>
      <c r="Q106" s="32" t="n">
        <v>379.73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-0.38</v>
      </c>
      <c r="U106" s="32" t="n">
        <v>73.81</v>
      </c>
      <c r="V106" s="32" t="n">
        <v>74.47</v>
      </c>
      <c r="W106" s="32" t="n">
        <v>18.29</v>
      </c>
      <c r="X106" s="31" t="inlineStr">
        <is>
          <t>Cyclical in an Upturn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Between 12 to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IF(B107=0,"",RANK(B107,$B$2:$B$370,0))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RRKABEL</t>
        </is>
      </c>
      <c r="D107" s="31" t="inlineStr">
        <is>
          <t>R R Kabel Ltd</t>
        </is>
      </c>
      <c r="E107" s="31" t="inlineStr">
        <is>
          <t>industrials</t>
        </is>
      </c>
      <c r="F107" s="31" t="inlineStr">
        <is>
          <t>cables - power</t>
        </is>
      </c>
      <c r="G107" s="31" t="inlineStr">
        <is>
          <t>largecap</t>
        </is>
      </c>
      <c r="H107" s="32" t="n">
        <v>32460.15</v>
      </c>
      <c r="I107" s="32" t="n">
        <v>2801.2</v>
      </c>
      <c r="J107" s="32" t="n">
        <v>-2.39</v>
      </c>
      <c r="K107" s="32" t="n">
        <v>352475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73.06</v>
      </c>
      <c r="P107" s="32" t="n">
        <v>68.81999999999999</v>
      </c>
      <c r="Q107" s="32" t="n">
        <v>2350.38</v>
      </c>
      <c r="R107" s="31" t="inlineStr">
        <is>
          <t>Near 52W High Breakout</t>
        </is>
      </c>
      <c r="S107" s="31" t="inlineStr">
        <is>
          <t>Nifty Energy</t>
        </is>
      </c>
      <c r="T107" s="32" t="inlineStr"/>
      <c r="U107" s="32" t="inlineStr"/>
      <c r="V107" s="32" t="inlineStr"/>
      <c r="W107" s="32" t="inlineStr"/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IF(B108=0,"",RANK(B108,$B$2:$B$370,0))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MARINE</t>
        </is>
      </c>
      <c r="D108" s="31" t="inlineStr">
        <is>
          <t>Marine Electricals (India) Ltd</t>
        </is>
      </c>
      <c r="E108" s="31" t="inlineStr">
        <is>
          <t>industrials</t>
        </is>
      </c>
      <c r="F108" s="31" t="inlineStr">
        <is>
          <t>electric equipment</t>
        </is>
      </c>
      <c r="G108" s="31" t="inlineStr">
        <is>
          <t>midcap</t>
        </is>
      </c>
      <c r="H108" s="32" t="n">
        <v>5358.47</v>
      </c>
      <c r="I108" s="32" t="n">
        <v>373.5</v>
      </c>
      <c r="J108" s="32" t="n">
        <v>-2.45</v>
      </c>
      <c r="K108" s="32" t="n">
        <v>573987</v>
      </c>
      <c r="L108" s="31" t="n">
        <v>88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75.29000000000001</v>
      </c>
      <c r="P108" s="32" t="n">
        <v>40.86</v>
      </c>
      <c r="Q108" s="32" t="n">
        <v>282.78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-0.38</v>
      </c>
      <c r="U108" s="32" t="n">
        <v>124.78</v>
      </c>
      <c r="V108" s="32" t="n">
        <v>125.64</v>
      </c>
      <c r="W108" s="32" t="n">
        <v>28.06</v>
      </c>
      <c r="X108" s="31" t="inlineStr">
        <is>
          <t>Cyclical in an Upturn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Between 1.5 to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IF(B109=0,"",RANK(B109,$B$2:$B$370,0))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FINCABLES</t>
        </is>
      </c>
      <c r="D109" s="31" t="inlineStr">
        <is>
          <t>Finolex Cables Limited</t>
        </is>
      </c>
      <c r="E109" s="31" t="inlineStr">
        <is>
          <t>industrials</t>
        </is>
      </c>
      <c r="F109" s="31" t="inlineStr">
        <is>
          <t>cables - power</t>
        </is>
      </c>
      <c r="G109" s="31" t="inlineStr">
        <is>
          <t>midcap</t>
        </is>
      </c>
      <c r="H109" s="32" t="n">
        <v>19753.65</v>
      </c>
      <c r="I109" s="32" t="n">
        <v>1259.85</v>
      </c>
      <c r="J109" s="32" t="n">
        <v>-2.46</v>
      </c>
      <c r="K109" s="32" t="n">
        <v>467146</v>
      </c>
      <c r="L109" s="31" t="inlineStr"/>
      <c r="M109" s="31" t="inlineStr"/>
      <c r="N109" s="32">
        <f>IF(M109="Underperforming",-5,IF(L109&gt;=95,15,IF(L109&gt;=90,10,IF(L109&gt;=80,5,0))))</f>
        <v/>
      </c>
      <c r="O109" s="32" t="n">
        <v>66.45999999999999</v>
      </c>
      <c r="P109" s="32" t="n">
        <v>35.58</v>
      </c>
      <c r="Q109" s="32" t="n">
        <v>949.48</v>
      </c>
      <c r="R109" s="31" t="inlineStr">
        <is>
          <t>Near 52W High Breakout</t>
        </is>
      </c>
      <c r="S109" s="31" t="inlineStr">
        <is>
          <t>Nifty Energy</t>
        </is>
      </c>
      <c r="T109" s="32" t="inlineStr"/>
      <c r="U109" s="32" t="inlineStr"/>
      <c r="V109" s="32" t="inlineStr"/>
      <c r="W109" s="32" t="inlineStr"/>
      <c r="X109" s="31" t="inlineStr">
        <is>
          <t>Cyclical in an Upturn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IF(B110=0,"",RANK(B110,$B$2:$B$370,0))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QUADFUTURE</t>
        </is>
      </c>
      <c r="D110" s="31" t="inlineStr">
        <is>
          <t>Quadrant Future Tek Ltd</t>
        </is>
      </c>
      <c r="E110" s="31" t="inlineStr">
        <is>
          <t>industrials</t>
        </is>
      </c>
      <c r="F110" s="31" t="inlineStr">
        <is>
          <t>cables - power</t>
        </is>
      </c>
      <c r="G110" s="31" t="inlineStr">
        <is>
          <t>smallcap</t>
        </is>
      </c>
      <c r="H110" s="32" t="n">
        <v>1789.2</v>
      </c>
      <c r="I110" s="32" t="n">
        <v>418.5</v>
      </c>
      <c r="J110" s="32" t="n">
        <v>-6.44</v>
      </c>
      <c r="K110" s="32" t="n">
        <v>5756968</v>
      </c>
      <c r="L110" s="31" t="inlineStr"/>
      <c r="M110" s="31" t="inlineStr"/>
      <c r="N110" s="32">
        <f>IF(M110="Underperforming",-5,IF(L110&gt;=95,15,IF(L110&gt;=90,10,IF(L110&gt;=80,5,0))))</f>
        <v/>
      </c>
      <c r="O110" s="32" t="n">
        <v>59.55</v>
      </c>
      <c r="P110" s="32" t="n">
        <v>33.62</v>
      </c>
      <c r="Q110" s="32" t="n">
        <v>332.7</v>
      </c>
      <c r="R110" s="31" t="inlineStr">
        <is>
          <t>Volume Spike / Accumulation</t>
        </is>
      </c>
      <c r="S110" s="31" t="inlineStr">
        <is>
          <t>Nifty Energy</t>
        </is>
      </c>
      <c r="T110" s="32" t="inlineStr"/>
      <c r="U110" s="32" t="inlineStr"/>
      <c r="V110" s="32" t="inlineStr"/>
      <c r="W110" s="32" t="inlineStr"/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IF(B111=0,"",RANK(B111,$B$2:$B$370,0))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ENTERO</t>
        </is>
      </c>
      <c r="D111" s="31" t="inlineStr">
        <is>
          <t>Entero Healthcare Solutions Ltd</t>
        </is>
      </c>
      <c r="E111" s="31" t="inlineStr">
        <is>
          <t>healthcare</t>
        </is>
      </c>
      <c r="F111" s="31" t="inlineStr">
        <is>
          <t>trading</t>
        </is>
      </c>
      <c r="G111" s="31" t="inlineStr">
        <is>
          <t>midcap</t>
        </is>
      </c>
      <c r="H111" s="32" t="n">
        <v>6658.16</v>
      </c>
      <c r="I111" s="32" t="n">
        <v>1633</v>
      </c>
      <c r="J111" s="32" t="n">
        <v>6.75</v>
      </c>
      <c r="K111" s="32" t="n">
        <v>2519389</v>
      </c>
      <c r="L111" s="31" t="n">
        <v>59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73.51000000000001</v>
      </c>
      <c r="P111" s="32" t="n">
        <v>29.18</v>
      </c>
      <c r="Q111" s="32" t="n">
        <v>1283.92</v>
      </c>
      <c r="R111" s="31" t="inlineStr">
        <is>
          <t>Volume Spike &amp; Near 52W High Breakout</t>
        </is>
      </c>
      <c r="S111" s="31" t="inlineStr">
        <is>
          <t>Nifty Pharma</t>
        </is>
      </c>
      <c r="T111" s="32" t="n">
        <v>21.83</v>
      </c>
      <c r="U111" s="32" t="n">
        <v>38.16</v>
      </c>
      <c r="V111" s="32" t="n">
        <v>13.4</v>
      </c>
      <c r="W111" s="32" t="n">
        <v>15.2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Yes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Between 1.5 to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IF(B112=0,"",RANK(B112,$B$2:$B$370,0))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LAURUSLABS</t>
        </is>
      </c>
      <c r="D112" s="31" t="inlineStr">
        <is>
          <t>Laurus Labs Limited</t>
        </is>
      </c>
      <c r="E112" s="31" t="inlineStr">
        <is>
          <t>healthcare</t>
        </is>
      </c>
      <c r="F112" s="31" t="inlineStr">
        <is>
          <t>pharmaceuticals - indian - bulk drugs &amp; formln</t>
        </is>
      </c>
      <c r="G112" s="31" t="inlineStr">
        <is>
          <t>largecap</t>
        </is>
      </c>
      <c r="H112" s="32" t="n">
        <v>97298.95</v>
      </c>
      <c r="I112" s="32" t="n">
        <v>1866.2</v>
      </c>
      <c r="J112" s="32" t="n">
        <v>3.62</v>
      </c>
      <c r="K112" s="32" t="n">
        <v>3509584</v>
      </c>
      <c r="L112" s="31" t="n">
        <v>84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81.86</v>
      </c>
      <c r="P112" s="32" t="n">
        <v>68.14</v>
      </c>
      <c r="Q112" s="32" t="n">
        <v>1610.01</v>
      </c>
      <c r="R112" s="31" t="inlineStr">
        <is>
          <t>Near 52W High Breakout</t>
        </is>
      </c>
      <c r="S112" s="31" t="inlineStr">
        <is>
          <t>Nifty Pharma</t>
        </is>
      </c>
      <c r="T112" s="32" t="n">
        <v>21.83</v>
      </c>
      <c r="U112" s="32" t="n">
        <v>118.18</v>
      </c>
      <c r="V112" s="32" t="n">
        <v>79.09</v>
      </c>
      <c r="W112" s="32" t="n">
        <v>25.11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Yes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IF(B113=0,"",RANK(B113,$B$2:$B$370,0))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3" t="inlineStr">
        <is>
          <t>LALPATHLAB</t>
        </is>
      </c>
      <c r="D113" s="33" t="inlineStr">
        <is>
          <t>Dr. Lal Path Labs Ltd.</t>
        </is>
      </c>
      <c r="E113" s="31" t="inlineStr">
        <is>
          <t>healthcare</t>
        </is>
      </c>
      <c r="F113" s="31" t="inlineStr">
        <is>
          <t>healthcare</t>
        </is>
      </c>
      <c r="G113" s="31" t="inlineStr">
        <is>
          <t>largecap</t>
        </is>
      </c>
      <c r="H113" s="32" t="n">
        <v>31579.6</v>
      </c>
      <c r="I113" s="32" t="n">
        <v>1913.7</v>
      </c>
      <c r="J113" s="32" t="n">
        <v>1.59</v>
      </c>
      <c r="K113" s="32" t="n">
        <v>207179</v>
      </c>
      <c r="L113" s="31" t="n">
        <v>30</v>
      </c>
      <c r="M113" s="31" t="inlineStr">
        <is>
          <t>Underperforming</t>
        </is>
      </c>
      <c r="N113" s="32">
        <f>IF(M113="Underperforming",-5,IF(L113&gt;=95,15,IF(L113&gt;=90,10,IF(L113&gt;=80,5,0))))</f>
        <v/>
      </c>
      <c r="O113" s="32" t="n">
        <v>71.47</v>
      </c>
      <c r="P113" s="32" t="n">
        <v>42.57</v>
      </c>
      <c r="Q113" s="32" t="n">
        <v>1626.7</v>
      </c>
      <c r="R113" s="31" t="inlineStr">
        <is>
          <t>Near 52W High Breakout</t>
        </is>
      </c>
      <c r="S113" s="31" t="inlineStr">
        <is>
          <t>Nifty Pharma</t>
        </is>
      </c>
      <c r="T113" s="32" t="n">
        <v>21.83</v>
      </c>
      <c r="U113" s="32" t="n">
        <v>16.81</v>
      </c>
      <c r="V113" s="32" t="n">
        <v>-4.12</v>
      </c>
      <c r="W113" s="32" t="n">
        <v>7.71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Yes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IF(B114=0,"",RANK(B114,$B$2:$B$370,0))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COFORGE</t>
        </is>
      </c>
      <c r="D114" s="31" t="inlineStr">
        <is>
          <t>Coforge (Niit Tech) Ltd</t>
        </is>
      </c>
      <c r="E114" s="31" t="inlineStr">
        <is>
          <t>i.t</t>
        </is>
      </c>
      <c r="F114" s="31" t="inlineStr">
        <is>
          <t>computers - software - large</t>
        </is>
      </c>
      <c r="G114" s="31" t="inlineStr">
        <is>
          <t>largecap</t>
        </is>
      </c>
      <c r="H114" s="32" t="n">
        <v>82915.99000000001</v>
      </c>
      <c r="I114" s="32" t="n">
        <v>1892.8</v>
      </c>
      <c r="J114" s="32" t="n">
        <v>1.06</v>
      </c>
      <c r="K114" s="32" t="n">
        <v>1278339</v>
      </c>
      <c r="L114" s="31" t="n">
        <v>47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70.66</v>
      </c>
      <c r="P114" s="32" t="n">
        <v>15.89</v>
      </c>
      <c r="Q114" s="32" t="n">
        <v>1535.97</v>
      </c>
      <c r="R114" s="31" t="inlineStr">
        <is>
          <t>Near 52W High Breakout</t>
        </is>
      </c>
      <c r="S114" s="31" t="inlineStr">
        <is>
          <t>Nifty IT</t>
        </is>
      </c>
      <c r="T114" s="32" t="n">
        <v>-12.53</v>
      </c>
      <c r="U114" s="32" t="n">
        <v>10.79</v>
      </c>
      <c r="V114" s="32" t="n">
        <v>26.66</v>
      </c>
      <c r="W114" s="32" t="n">
        <v>12.12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0 to 20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IF(B115=0,"",RANK(B115,$B$2:$B$370,0))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AVTNPL</t>
        </is>
      </c>
      <c r="D115" s="31" t="inlineStr">
        <is>
          <t>Avt Natural Products Limited</t>
        </is>
      </c>
      <c r="E115" s="31" t="inlineStr">
        <is>
          <t>fmcg</t>
        </is>
      </c>
      <c r="F115" s="31" t="inlineStr">
        <is>
          <t>solvent extraction</t>
        </is>
      </c>
      <c r="G115" s="31" t="inlineStr">
        <is>
          <t>smallcap</t>
        </is>
      </c>
      <c r="H115" s="32" t="n">
        <v>1327.16</v>
      </c>
      <c r="I115" s="32" t="n">
        <v>87.59999999999999</v>
      </c>
      <c r="J115" s="32" t="n">
        <v>0.52</v>
      </c>
      <c r="K115" s="32" t="n">
        <v>196959</v>
      </c>
      <c r="L115" s="31" t="inlineStr"/>
      <c r="M115" s="31" t="inlineStr"/>
      <c r="N115" s="32">
        <f>IF(M115="Underperforming",-5,IF(L115&gt;=95,15,IF(L115&gt;=90,10,IF(L115&gt;=80,5,0))))</f>
        <v/>
      </c>
      <c r="O115" s="32" t="n">
        <v>75.70999999999999</v>
      </c>
      <c r="P115" s="32" t="n">
        <v>38.79</v>
      </c>
      <c r="Q115" s="32" t="n">
        <v>70.8</v>
      </c>
      <c r="R115" s="31" t="inlineStr">
        <is>
          <t>Near 52W High Breakout</t>
        </is>
      </c>
      <c r="S115" s="31" t="inlineStr">
        <is>
          <t>Nifty FMCG</t>
        </is>
      </c>
      <c r="T115" s="32" t="inlineStr"/>
      <c r="U115" s="32" t="inlineStr"/>
      <c r="V115" s="32" t="inlineStr"/>
      <c r="W115" s="32" t="inlineStr"/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B2C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IF(B116=0,"",RANK(B116,$B$2:$B$370,0))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ORCHPHARMA</t>
        </is>
      </c>
      <c r="D116" s="31" t="inlineStr">
        <is>
          <t>Orchid Pharma Ltd</t>
        </is>
      </c>
      <c r="E116" s="31" t="inlineStr">
        <is>
          <t>healthcare</t>
        </is>
      </c>
      <c r="F116" s="31" t="inlineStr">
        <is>
          <t>pharmaceuticals - indian - bulk drugs &amp; formln</t>
        </is>
      </c>
      <c r="G116" s="31" t="inlineStr">
        <is>
          <t>midcap</t>
        </is>
      </c>
      <c r="H116" s="32" t="n">
        <v>5265.15</v>
      </c>
      <c r="I116" s="32" t="n">
        <v>1041</v>
      </c>
      <c r="J116" s="32" t="n">
        <v>0.28</v>
      </c>
      <c r="K116" s="32" t="n">
        <v>82111</v>
      </c>
      <c r="L116" s="31" t="n">
        <v>62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68.13</v>
      </c>
      <c r="P116" s="32" t="n">
        <v>52.34</v>
      </c>
      <c r="Q116" s="32" t="n">
        <v>780.6900000000001</v>
      </c>
      <c r="R116" s="31" t="inlineStr">
        <is>
          <t>Near 52W High Breakout</t>
        </is>
      </c>
      <c r="S116" s="31" t="inlineStr">
        <is>
          <t>Nifty Pharma</t>
        </is>
      </c>
      <c r="T116" s="32" t="n">
        <v>21.83</v>
      </c>
      <c r="U116" s="32" t="n">
        <v>41.48</v>
      </c>
      <c r="V116" s="32" t="n">
        <v>16.13</v>
      </c>
      <c r="W116" s="32" t="n">
        <v>15.57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Yes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IF(B117=0,"",RANK(B117,$B$2:$B$370,0))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TASTYBITE</t>
        </is>
      </c>
      <c r="D117" s="31" t="inlineStr">
        <is>
          <t>Tasty Bite Eatables Ltd</t>
        </is>
      </c>
      <c r="E117" s="31" t="inlineStr">
        <is>
          <t>fmcg</t>
        </is>
      </c>
      <c r="F117" s="31" t="inlineStr">
        <is>
          <t>food - processing - indian</t>
        </is>
      </c>
      <c r="G117" s="31" t="inlineStr">
        <is>
          <t>smallcap</t>
        </is>
      </c>
      <c r="H117" s="32" t="n">
        <v>2593.97</v>
      </c>
      <c r="I117" s="32" t="n">
        <v>10017.5</v>
      </c>
      <c r="J117" s="32" t="n">
        <v>-0.91</v>
      </c>
      <c r="K117" s="32" t="n">
        <v>3906</v>
      </c>
      <c r="L117" s="31" t="inlineStr"/>
      <c r="M117" s="31" t="inlineStr"/>
      <c r="N117" s="32">
        <f>IF(M117="Underperforming",-5,IF(L117&gt;=95,15,IF(L117&gt;=90,10,IF(L117&gt;=80,5,0))))</f>
        <v/>
      </c>
      <c r="O117" s="32" t="n">
        <v>71.86</v>
      </c>
      <c r="P117" s="32" t="n">
        <v>47.63</v>
      </c>
      <c r="Q117" s="32" t="n">
        <v>8011.17</v>
      </c>
      <c r="R117" s="31" t="inlineStr">
        <is>
          <t>Near 52W High Breakout</t>
        </is>
      </c>
      <c r="S117" s="31" t="inlineStr">
        <is>
          <t>Nifty FMCG</t>
        </is>
      </c>
      <c r="T117" s="32" t="inlineStr"/>
      <c r="U117" s="32" t="inlineStr"/>
      <c r="V117" s="32" t="inlineStr"/>
      <c r="W117" s="32" t="inlineStr"/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B2C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IF(B118=0,"",RANK(B118,$B$2:$B$370,0))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SUBEXLTD</t>
        </is>
      </c>
      <c r="D118" s="31" t="inlineStr">
        <is>
          <t>Subex Ltd</t>
        </is>
      </c>
      <c r="E118" s="31" t="inlineStr">
        <is>
          <t>i.t</t>
        </is>
      </c>
      <c r="F118" s="31" t="inlineStr">
        <is>
          <t>computers - software - medium / small</t>
        </is>
      </c>
      <c r="G118" s="31" t="inlineStr">
        <is>
          <t>smallcap</t>
        </is>
      </c>
      <c r="H118" s="32" t="n">
        <v>1025.66</v>
      </c>
      <c r="I118" s="32" t="n">
        <v>17.82</v>
      </c>
      <c r="J118" s="32" t="n">
        <v>-2.36</v>
      </c>
      <c r="K118" s="32" t="n">
        <v>5158751</v>
      </c>
      <c r="L118" s="31" t="n">
        <v>82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72.23999999999999</v>
      </c>
      <c r="P118" s="32" t="n">
        <v>29.94</v>
      </c>
      <c r="Q118" s="32" t="n">
        <v>13.7</v>
      </c>
      <c r="R118" s="31" t="inlineStr">
        <is>
          <t>Near 52W High Breakout</t>
        </is>
      </c>
      <c r="S118" s="31" t="inlineStr">
        <is>
          <t>Nifty IT</t>
        </is>
      </c>
      <c r="T118" s="32" t="n">
        <v>-12.53</v>
      </c>
      <c r="U118" s="32" t="n">
        <v>42.45</v>
      </c>
      <c r="V118" s="32" t="n">
        <v>62.86</v>
      </c>
      <c r="W118" s="32" t="n">
        <v>24.37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Between 12 to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IF(B119=0,"",RANK(B119,$B$2:$B$370,0))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BANARISUG</t>
        </is>
      </c>
      <c r="D119" s="31" t="inlineStr">
        <is>
          <t>Bannari Amman Sugars Limited</t>
        </is>
      </c>
      <c r="E119" s="31" t="inlineStr">
        <is>
          <t>fmcg</t>
        </is>
      </c>
      <c r="F119" s="31" t="inlineStr">
        <is>
          <t>sugar</t>
        </is>
      </c>
      <c r="G119" s="31" t="inlineStr">
        <is>
          <t>midcap</t>
        </is>
      </c>
      <c r="H119" s="32" t="n">
        <v>5013.25</v>
      </c>
      <c r="I119" s="32" t="n">
        <v>3899.9</v>
      </c>
      <c r="J119" s="32" t="n">
        <v>-2.45</v>
      </c>
      <c r="K119" s="32" t="n">
        <v>4133</v>
      </c>
      <c r="L119" s="31" t="inlineStr"/>
      <c r="M119" s="31" t="inlineStr"/>
      <c r="N119" s="32">
        <f>IF(M119="Underperforming",-5,IF(L119&gt;=95,15,IF(L119&gt;=90,10,IF(L119&gt;=80,5,0))))</f>
        <v/>
      </c>
      <c r="O119" s="32" t="n">
        <v>63.88</v>
      </c>
      <c r="P119" s="32" t="n">
        <v>28.8</v>
      </c>
      <c r="Q119" s="32" t="n">
        <v>3499.85</v>
      </c>
      <c r="R119" s="31" t="inlineStr">
        <is>
          <t>Near 52W High Breakout</t>
        </is>
      </c>
      <c r="S119" s="31" t="inlineStr">
        <is>
          <t>Nifty FMCG</t>
        </is>
      </c>
      <c r="T119" s="32" t="inlineStr"/>
      <c r="U119" s="32" t="inlineStr"/>
      <c r="V119" s="32" t="inlineStr"/>
      <c r="W119" s="32" t="inlineStr"/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B2C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IF(B120=0,"",RANK(B120,$B$2:$B$370,0))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LTFOODS</t>
        </is>
      </c>
      <c r="D120" s="31" t="inlineStr">
        <is>
          <t>L T Foods Ltd</t>
        </is>
      </c>
      <c r="E120" s="31" t="inlineStr">
        <is>
          <t>fmcg</t>
        </is>
      </c>
      <c r="F120" s="31" t="inlineStr">
        <is>
          <t>food - processing - indian</t>
        </is>
      </c>
      <c r="G120" s="31" t="inlineStr">
        <is>
          <t>midcap</t>
        </is>
      </c>
      <c r="H120" s="32" t="n">
        <v>15938.91</v>
      </c>
      <c r="I120" s="32" t="n">
        <v>445.8</v>
      </c>
      <c r="J120" s="32" t="n">
        <v>-2.88</v>
      </c>
      <c r="K120" s="32" t="n">
        <v>3215208</v>
      </c>
      <c r="L120" s="31" t="inlineStr"/>
      <c r="M120" s="31" t="inlineStr"/>
      <c r="N120" s="32">
        <f>IF(M120="Underperforming",-5,IF(L120&gt;=95,15,IF(L120&gt;=90,10,IF(L120&gt;=80,5,0))))</f>
        <v/>
      </c>
      <c r="O120" s="32" t="n">
        <v>63.81</v>
      </c>
      <c r="P120" s="32" t="n">
        <v>17.32</v>
      </c>
      <c r="Q120" s="32" t="n">
        <v>359.8</v>
      </c>
      <c r="R120" s="31" t="inlineStr">
        <is>
          <t>Volume Spike / Accumulation</t>
        </is>
      </c>
      <c r="S120" s="31" t="inlineStr">
        <is>
          <t>Nifty FMCG</t>
        </is>
      </c>
      <c r="T120" s="32" t="inlineStr"/>
      <c r="U120" s="32" t="inlineStr"/>
      <c r="V120" s="32" t="inlineStr"/>
      <c r="W120" s="32" t="inlineStr"/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B2C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0 to 20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IF(B121=0,"",RANK(B121,$B$2:$B$370,0))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KRBL</t>
        </is>
      </c>
      <c r="D121" s="31" t="inlineStr">
        <is>
          <t>Krbl Limited</t>
        </is>
      </c>
      <c r="E121" s="31" t="inlineStr">
        <is>
          <t>fmcg</t>
        </is>
      </c>
      <c r="F121" s="31" t="inlineStr">
        <is>
          <t>food - processing - indian</t>
        </is>
      </c>
      <c r="G121" s="31" t="inlineStr">
        <is>
          <t>midcap</t>
        </is>
      </c>
      <c r="H121" s="32" t="n">
        <v>10020.8</v>
      </c>
      <c r="I121" s="32" t="n">
        <v>423</v>
      </c>
      <c r="J121" s="32" t="n">
        <v>-3.38</v>
      </c>
      <c r="K121" s="32" t="n">
        <v>1798854</v>
      </c>
      <c r="L121" s="31" t="inlineStr"/>
      <c r="M121" s="31" t="inlineStr"/>
      <c r="N121" s="32">
        <f>IF(M121="Underperforming",-5,IF(L121&gt;=95,15,IF(L121&gt;=90,10,IF(L121&gt;=80,5,0))))</f>
        <v/>
      </c>
      <c r="O121" s="32" t="n">
        <v>66.42</v>
      </c>
      <c r="P121" s="32" t="n">
        <v>9.880000000000001</v>
      </c>
      <c r="Q121" s="32" t="n">
        <v>339.69</v>
      </c>
      <c r="R121" s="31" t="inlineStr">
        <is>
          <t>Volume Spike / Accumulation</t>
        </is>
      </c>
      <c r="S121" s="31" t="inlineStr">
        <is>
          <t>Nifty FMCG</t>
        </is>
      </c>
      <c r="T121" s="32" t="inlineStr"/>
      <c r="U121" s="32" t="inlineStr"/>
      <c r="V121" s="32" t="inlineStr"/>
      <c r="W121" s="32" t="inlineStr"/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B2C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0 to 20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IF(B122=0,"",RANK(B122,$B$2:$B$370,0))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CYIENTDLM</t>
        </is>
      </c>
      <c r="D122" s="31" t="inlineStr">
        <is>
          <t>Cyient DLM Ltd</t>
        </is>
      </c>
      <c r="E122" s="31" t="inlineStr">
        <is>
          <t>aerospace &amp; defence</t>
        </is>
      </c>
      <c r="F122" s="31" t="inlineStr">
        <is>
          <t>electronics - components</t>
        </is>
      </c>
      <c r="G122" s="31" t="inlineStr">
        <is>
          <t>midcap</t>
        </is>
      </c>
      <c r="H122" s="32" t="n">
        <v>5841.43</v>
      </c>
      <c r="I122" s="32" t="n">
        <v>769.35</v>
      </c>
      <c r="J122" s="32" t="n">
        <v>4.55</v>
      </c>
      <c r="K122" s="32" t="n">
        <v>1123660</v>
      </c>
      <c r="L122" s="31" t="inlineStr"/>
      <c r="M122" s="31" t="inlineStr"/>
      <c r="N122" s="32">
        <f>IF(M122="Underperforming",-5,IF(L122&gt;=95,15,IF(L122&gt;=90,10,IF(L122&gt;=80,5,0))))</f>
        <v/>
      </c>
      <c r="O122" s="32" t="n">
        <v>87.45999999999999</v>
      </c>
      <c r="P122" s="32" t="n">
        <v>67.01000000000001</v>
      </c>
      <c r="Q122" s="32" t="n">
        <v>604.27</v>
      </c>
      <c r="R122" s="31" t="inlineStr">
        <is>
          <t>Near 52W High Breakout</t>
        </is>
      </c>
      <c r="S122" s="31" t="inlineStr">
        <is>
          <t>Nifty Infra</t>
        </is>
      </c>
      <c r="T122" s="32" t="inlineStr"/>
      <c r="U122" s="32" t="inlineStr"/>
      <c r="V122" s="32" t="inlineStr"/>
      <c r="W122" s="32" t="inlineStr"/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IF(B123=0,"",RANK(B123,$B$2:$B$370,0))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NAZARA</t>
        </is>
      </c>
      <c r="D123" s="31" t="inlineStr">
        <is>
          <t>Nazara Technologies Ltd</t>
        </is>
      </c>
      <c r="E123" s="31" t="inlineStr">
        <is>
          <t>i.t</t>
        </is>
      </c>
      <c r="F123" s="31" t="inlineStr">
        <is>
          <t>telecommunications - service provider</t>
        </is>
      </c>
      <c r="G123" s="31" t="inlineStr">
        <is>
          <t>midcap</t>
        </is>
      </c>
      <c r="H123" s="32" t="n">
        <v>13385.5</v>
      </c>
      <c r="I123" s="32" t="n">
        <v>358</v>
      </c>
      <c r="J123" s="32" t="n">
        <v>2.89</v>
      </c>
      <c r="K123" s="32" t="n">
        <v>2724208</v>
      </c>
      <c r="L123" s="31" t="n">
        <v>43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72.70999999999999</v>
      </c>
      <c r="P123" s="32" t="n">
        <v>23.25</v>
      </c>
      <c r="Q123" s="32" t="n">
        <v>292.5</v>
      </c>
      <c r="R123" s="31" t="inlineStr">
        <is>
          <t>Near 52W High Breakout</t>
        </is>
      </c>
      <c r="S123" s="31" t="inlineStr">
        <is>
          <t>Nifty IT</t>
        </is>
      </c>
      <c r="T123" s="32" t="n">
        <v>-12.53</v>
      </c>
      <c r="U123" s="32" t="n">
        <v>23.33</v>
      </c>
      <c r="V123" s="32" t="n">
        <v>41</v>
      </c>
      <c r="W123" s="32" t="n">
        <v>10.87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Oligopoly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Yes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IF(B124=0,"",RANK(B124,$B$2:$B$370,0))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LODHA</t>
        </is>
      </c>
      <c r="D124" s="31" t="inlineStr">
        <is>
          <t>Lodha Developers Ltd</t>
        </is>
      </c>
      <c r="E124" s="31" t="inlineStr">
        <is>
          <t>realty</t>
        </is>
      </c>
      <c r="F124" s="31" t="inlineStr">
        <is>
          <t>construction</t>
        </is>
      </c>
      <c r="G124" s="31" t="inlineStr">
        <is>
          <t>largecap</t>
        </is>
      </c>
      <c r="H124" s="32" t="n">
        <v>125726.04</v>
      </c>
      <c r="I124" s="32" t="n">
        <v>1281.1</v>
      </c>
      <c r="J124" s="32" t="n">
        <v>1.8</v>
      </c>
      <c r="K124" s="32" t="n">
        <v>2236853</v>
      </c>
      <c r="L124" s="31" t="inlineStr"/>
      <c r="M124" s="31" t="inlineStr"/>
      <c r="N124" s="32">
        <f>IF(M124="Underperforming",-5,IF(L124&gt;=95,15,IF(L124&gt;=90,10,IF(L124&gt;=80,5,0))))</f>
        <v/>
      </c>
      <c r="O124" s="32" t="n">
        <v>65.95</v>
      </c>
      <c r="P124" s="32" t="n">
        <v>24.38</v>
      </c>
      <c r="Q124" s="32" t="n">
        <v>1018.45</v>
      </c>
      <c r="R124" s="31" t="inlineStr">
        <is>
          <t>Near 52W High Breakout</t>
        </is>
      </c>
      <c r="S124" s="31" t="inlineStr">
        <is>
          <t>Nifty Realty</t>
        </is>
      </c>
      <c r="T124" s="32" t="inlineStr"/>
      <c r="U124" s="32" t="inlineStr"/>
      <c r="V124" s="32" t="inlineStr"/>
      <c r="W124" s="32" t="inlineStr"/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IF(B125=0,"",RANK(B125,$B$2:$B$370,0))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VINCOFE</t>
        </is>
      </c>
      <c r="D125" s="31" t="inlineStr">
        <is>
          <t>Vintage Coffee &amp; Beverages Ltd</t>
        </is>
      </c>
      <c r="E125" s="31" t="inlineStr">
        <is>
          <t>consumer discretionary</t>
        </is>
      </c>
      <c r="F125" s="31" t="inlineStr">
        <is>
          <t>trading</t>
        </is>
      </c>
      <c r="G125" s="31" t="inlineStr">
        <is>
          <t>smallcap</t>
        </is>
      </c>
      <c r="H125" s="32" t="n">
        <v>2316.15</v>
      </c>
      <c r="I125" s="32" t="n">
        <v>160.9</v>
      </c>
      <c r="J125" s="32" t="n">
        <v>1.21</v>
      </c>
      <c r="K125" s="32" t="n">
        <v>2458803</v>
      </c>
      <c r="L125" s="31" t="n">
        <v>14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58.73</v>
      </c>
      <c r="P125" s="32" t="n">
        <v>25.03</v>
      </c>
      <c r="Q125" s="32" t="n">
        <v>121.52</v>
      </c>
      <c r="R125" s="31" t="inlineStr">
        <is>
          <t>Earnings / Momentum Support</t>
        </is>
      </c>
      <c r="S125" s="31" t="inlineStr">
        <is>
          <t>Nifty 50</t>
        </is>
      </c>
      <c r="T125" s="32" t="n">
        <v>-0.38</v>
      </c>
      <c r="U125" s="32" t="n">
        <v>10.11</v>
      </c>
      <c r="V125" s="32" t="n">
        <v>10.52</v>
      </c>
      <c r="W125" s="32" t="n">
        <v>4.45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IF(B126=0,"",RANK(B126,$B$2:$B$370,0))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ETERNAL</t>
        </is>
      </c>
      <c r="D126" s="31" t="inlineStr">
        <is>
          <t>Eternal Ltd</t>
        </is>
      </c>
      <c r="E126" s="31" t="inlineStr">
        <is>
          <t>i.t</t>
        </is>
      </c>
      <c r="F126" s="31" t="inlineStr">
        <is>
          <t>miscellaneous</t>
        </is>
      </c>
      <c r="G126" s="31" t="inlineStr">
        <is>
          <t>largecap</t>
        </is>
      </c>
      <c r="H126" s="32" t="n">
        <v>315711.22</v>
      </c>
      <c r="I126" s="32" t="n">
        <v>331</v>
      </c>
      <c r="J126" s="32" t="n">
        <v>1.18</v>
      </c>
      <c r="K126" s="32" t="n">
        <v>29635459</v>
      </c>
      <c r="L126" s="31" t="n">
        <v>34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68.87</v>
      </c>
      <c r="P126" s="32" t="n">
        <v>22.27</v>
      </c>
      <c r="Q126" s="32" t="n">
        <v>270.45</v>
      </c>
      <c r="R126" s="31" t="inlineStr">
        <is>
          <t>Near 52W High Breakout</t>
        </is>
      </c>
      <c r="S126" s="31" t="inlineStr">
        <is>
          <t>Nifty IT</t>
        </is>
      </c>
      <c r="T126" s="32" t="n">
        <v>-12.53</v>
      </c>
      <c r="U126" s="32" t="n">
        <v>5.43</v>
      </c>
      <c r="V126" s="32" t="n">
        <v>20.54</v>
      </c>
      <c r="W126" s="32" t="n">
        <v>8.720000000000001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IF(B127=0,"",RANK(B127,$B$2:$B$370,0))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NYKAA</t>
        </is>
      </c>
      <c r="D127" s="31" t="inlineStr">
        <is>
          <t>FSN E-Commerce Ventures Ltd</t>
        </is>
      </c>
      <c r="E127" s="31" t="inlineStr">
        <is>
          <t>i.t</t>
        </is>
      </c>
      <c r="F127" s="31" t="inlineStr">
        <is>
          <t>trading</t>
        </is>
      </c>
      <c r="G127" s="31" t="inlineStr">
        <is>
          <t>largecap</t>
        </is>
      </c>
      <c r="H127" s="32" t="n">
        <v>94592.11</v>
      </c>
      <c r="I127" s="32" t="n">
        <v>334</v>
      </c>
      <c r="J127" s="32" t="n">
        <v>1.12</v>
      </c>
      <c r="K127" s="32" t="n">
        <v>3389962</v>
      </c>
      <c r="L127" s="31" t="n">
        <v>55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71.75</v>
      </c>
      <c r="P127" s="32" t="n">
        <v>45.77</v>
      </c>
      <c r="Q127" s="32" t="n">
        <v>286.27</v>
      </c>
      <c r="R127" s="31" t="inlineStr">
        <is>
          <t>Near 52W High Breakout</t>
        </is>
      </c>
      <c r="S127" s="31" t="inlineStr">
        <is>
          <t>Nifty IT</t>
        </is>
      </c>
      <c r="T127" s="32" t="n">
        <v>-12.53</v>
      </c>
      <c r="U127" s="32" t="n">
        <v>45.12</v>
      </c>
      <c r="V127" s="32" t="n">
        <v>65.92</v>
      </c>
      <c r="W127" s="32" t="n">
        <v>13.79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Between 0.7 to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IF(B128=0,"",RANK(B128,$B$2:$B$370,0))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TIRUPATIFL</t>
        </is>
      </c>
      <c r="D128" s="31" t="inlineStr">
        <is>
          <t>Tirupati Forge Ltd</t>
        </is>
      </c>
      <c r="E128" s="31" t="inlineStr">
        <is>
          <t>industrials</t>
        </is>
      </c>
      <c r="F128" s="31" t="inlineStr">
        <is>
          <t>castings &amp; forgings</t>
        </is>
      </c>
      <c r="G128" s="31" t="inlineStr">
        <is>
          <t>smallcap</t>
        </is>
      </c>
      <c r="H128" s="32" t="n">
        <v>919.77</v>
      </c>
      <c r="I128" s="32" t="n">
        <v>71.5</v>
      </c>
      <c r="J128" s="32" t="n">
        <v>1.09</v>
      </c>
      <c r="K128" s="32" t="n">
        <v>231498</v>
      </c>
      <c r="L128" s="31" t="n">
        <v>87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69.31</v>
      </c>
      <c r="P128" s="32" t="n">
        <v>48.81</v>
      </c>
      <c r="Q128" s="32" t="n">
        <v>51.63</v>
      </c>
      <c r="R128" s="31" t="inlineStr">
        <is>
          <t>Near 52W High Breakout</t>
        </is>
      </c>
      <c r="S128" s="31" t="inlineStr">
        <is>
          <t>Nifty 50</t>
        </is>
      </c>
      <c r="T128" s="32" t="n">
        <v>-0.38</v>
      </c>
      <c r="U128" s="32" t="n">
        <v>84.98999999999999</v>
      </c>
      <c r="V128" s="32" t="n">
        <v>85.7</v>
      </c>
      <c r="W128" s="32" t="n">
        <v>27.06</v>
      </c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IF(B129=0,"",RANK(B129,$B$2:$B$370,0))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AEROENTER</t>
        </is>
      </c>
      <c r="D129" s="31" t="inlineStr">
        <is>
          <t>Aeroflex Enterprises Ltd</t>
        </is>
      </c>
      <c r="E129" s="31" t="inlineStr">
        <is>
          <t>metals &amp; mining</t>
        </is>
      </c>
      <c r="F129" s="31" t="inlineStr">
        <is>
          <t>steel - medium / small</t>
        </is>
      </c>
      <c r="G129" s="31" t="inlineStr">
        <is>
          <t>smallcap</t>
        </is>
      </c>
      <c r="H129" s="32" t="n">
        <v>1575.59</v>
      </c>
      <c r="I129" s="32" t="n">
        <v>140.74</v>
      </c>
      <c r="J129" s="32" t="n">
        <v>1.08</v>
      </c>
      <c r="K129" s="32" t="n">
        <v>959067</v>
      </c>
      <c r="L129" s="31" t="inlineStr"/>
      <c r="M129" s="31" t="inlineStr"/>
      <c r="N129" s="32">
        <f>IF(M129="Underperforming",-5,IF(L129&gt;=95,15,IF(L129&gt;=90,10,IF(L129&gt;=80,5,0))))</f>
        <v/>
      </c>
      <c r="O129" s="32" t="n">
        <v>67.38</v>
      </c>
      <c r="P129" s="32" t="n">
        <v>51.79</v>
      </c>
      <c r="Q129" s="32" t="n">
        <v>101.54</v>
      </c>
      <c r="R129" s="31" t="inlineStr">
        <is>
          <t>Near 52W High Breakout</t>
        </is>
      </c>
      <c r="S129" s="31" t="inlineStr">
        <is>
          <t>Nifty Metal</t>
        </is>
      </c>
      <c r="T129" s="32" t="inlineStr"/>
      <c r="U129" s="32" t="inlineStr"/>
      <c r="V129" s="32" t="inlineStr"/>
      <c r="W129" s="32" t="inlineStr"/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Cyclical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Volatile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IF(B130=0,"",RANK(B130,$B$2:$B$370,0))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MUNJALAU</t>
        </is>
      </c>
      <c r="D130" s="31" t="inlineStr">
        <is>
          <t>Munjal Auto Industries Limited</t>
        </is>
      </c>
      <c r="E130" s="31" t="inlineStr">
        <is>
          <t>auto</t>
        </is>
      </c>
      <c r="F130" s="31" t="inlineStr">
        <is>
          <t>auto ancillaries</t>
        </is>
      </c>
      <c r="G130" s="31" t="inlineStr">
        <is>
          <t>smallcap</t>
        </is>
      </c>
      <c r="H130" s="32" t="n">
        <v>1121.4</v>
      </c>
      <c r="I130" s="32" t="n">
        <v>113.23</v>
      </c>
      <c r="J130" s="32" t="n">
        <v>0.97</v>
      </c>
      <c r="K130" s="32" t="n">
        <v>482789</v>
      </c>
      <c r="L130" s="31" t="inlineStr"/>
      <c r="M130" s="31" t="inlineStr"/>
      <c r="N130" s="32">
        <f>IF(M130="Underperforming",-5,IF(L130&gt;=95,15,IF(L130&gt;=90,10,IF(L130&gt;=80,5,0))))</f>
        <v/>
      </c>
      <c r="O130" s="32" t="n">
        <v>67.31</v>
      </c>
      <c r="P130" s="32" t="n">
        <v>50.66</v>
      </c>
      <c r="Q130" s="32" t="n">
        <v>89.31</v>
      </c>
      <c r="R130" s="31" t="inlineStr">
        <is>
          <t>Earnings / Momentum Support</t>
        </is>
      </c>
      <c r="S130" s="31" t="inlineStr">
        <is>
          <t>Nifty Auto</t>
        </is>
      </c>
      <c r="T130" s="32" t="inlineStr"/>
      <c r="U130" s="32" t="inlineStr"/>
      <c r="V130" s="32" t="inlineStr"/>
      <c r="W130" s="32" t="inlineStr"/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Between 0.7 to 1.2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IF(B131=0,"",RANK(B131,$B$2:$B$370,0))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THELEELA</t>
        </is>
      </c>
      <c r="D131" s="31" t="inlineStr">
        <is>
          <t>Leela Palaces Hotels &amp; Resorts Ltd</t>
        </is>
      </c>
      <c r="E131" s="31" t="inlineStr">
        <is>
          <t>services</t>
        </is>
      </c>
      <c r="F131" s="31" t="inlineStr">
        <is>
          <t>hotels</t>
        </is>
      </c>
      <c r="G131" s="31" t="inlineStr">
        <is>
          <t>midcap</t>
        </is>
      </c>
      <c r="H131" s="32" t="n">
        <v>18357.66</v>
      </c>
      <c r="I131" s="32" t="n">
        <v>554.9</v>
      </c>
      <c r="J131" s="32" t="n">
        <v>0.95</v>
      </c>
      <c r="K131" s="32" t="n">
        <v>470310</v>
      </c>
      <c r="L131" s="31" t="n">
        <v>57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68.75</v>
      </c>
      <c r="P131" s="32" t="n">
        <v>33.21</v>
      </c>
      <c r="Q131" s="32" t="n">
        <v>460.12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-0.38</v>
      </c>
      <c r="U131" s="32" t="n">
        <v>38.92</v>
      </c>
      <c r="V131" s="32" t="n">
        <v>39.44</v>
      </c>
      <c r="W131" s="32" t="n">
        <v>14.57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IF(B132=0,"",RANK(B132,$B$2:$B$370,0))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BHAGERIA</t>
        </is>
      </c>
      <c r="D132" s="31" t="inlineStr">
        <is>
          <t>Bhageria Industries Limited</t>
        </is>
      </c>
      <c r="E132" s="31" t="inlineStr">
        <is>
          <t>chemicals</t>
        </is>
      </c>
      <c r="F132" s="31" t="inlineStr">
        <is>
          <t>dyes and pigments</t>
        </is>
      </c>
      <c r="G132" s="31" t="inlineStr">
        <is>
          <t>smallcap</t>
        </is>
      </c>
      <c r="H132" s="32" t="n">
        <v>974.71</v>
      </c>
      <c r="I132" s="32" t="n">
        <v>225</v>
      </c>
      <c r="J132" s="32" t="n">
        <v>0.75</v>
      </c>
      <c r="K132" s="32" t="n">
        <v>203051</v>
      </c>
      <c r="L132" s="31" t="n">
        <v>51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60.43</v>
      </c>
      <c r="P132" s="32" t="n">
        <v>30.43</v>
      </c>
      <c r="Q132" s="32" t="n">
        <v>167.04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-0.38</v>
      </c>
      <c r="U132" s="32" t="n">
        <v>16.74</v>
      </c>
      <c r="V132" s="32" t="n">
        <v>17.19</v>
      </c>
      <c r="W132" s="32" t="n">
        <v>13.09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IF(B133=0,"",RANK(B133,$B$2:$B$370,0))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KRISHANA</t>
        </is>
      </c>
      <c r="D133" s="31" t="inlineStr">
        <is>
          <t>Krishana Phoschem Ltd</t>
        </is>
      </c>
      <c r="E133" s="31" t="inlineStr">
        <is>
          <t>chemicals</t>
        </is>
      </c>
      <c r="F133" s="31" t="inlineStr">
        <is>
          <t>fertilizers</t>
        </is>
      </c>
      <c r="G133" s="31" t="inlineStr">
        <is>
          <t>smallcap</t>
        </is>
      </c>
      <c r="H133" s="32" t="n">
        <v>1234.57</v>
      </c>
      <c r="I133" s="32" t="n">
        <v>201</v>
      </c>
      <c r="J133" s="32" t="n">
        <v>0.66</v>
      </c>
      <c r="K133" s="32" t="n">
        <v>1711948</v>
      </c>
      <c r="L133" s="31" t="n">
        <v>83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80.20999999999999</v>
      </c>
      <c r="P133" s="32" t="n">
        <v>50.32</v>
      </c>
      <c r="Q133" s="32" t="n">
        <v>159.76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-0.38</v>
      </c>
      <c r="U133" s="32" t="n">
        <v>74.73</v>
      </c>
      <c r="V133" s="32" t="n">
        <v>75.40000000000001</v>
      </c>
      <c r="W133" s="32" t="n">
        <v>24.7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More than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IF(B134=0,"",RANK(B134,$B$2:$B$370,0))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KANPRPLA</t>
        </is>
      </c>
      <c r="D134" s="31" t="inlineStr">
        <is>
          <t>Kanpur Plastipack Ltd</t>
        </is>
      </c>
      <c r="E134" s="31" t="inlineStr">
        <is>
          <t>industrials</t>
        </is>
      </c>
      <c r="F134" s="31" t="inlineStr">
        <is>
          <t>packaging</t>
        </is>
      </c>
      <c r="G134" s="31" t="inlineStr">
        <is>
          <t>smallcap</t>
        </is>
      </c>
      <c r="H134" s="32" t="n">
        <v>675.52</v>
      </c>
      <c r="I134" s="32" t="n">
        <v>277.19</v>
      </c>
      <c r="J134" s="32" t="n">
        <v>0.45</v>
      </c>
      <c r="K134" s="32" t="n">
        <v>92324</v>
      </c>
      <c r="L134" s="31" t="n">
        <v>63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73.97</v>
      </c>
      <c r="P134" s="32" t="n">
        <v>22.71</v>
      </c>
      <c r="Q134" s="32" t="n">
        <v>198.47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-0.38</v>
      </c>
      <c r="U134" s="32" t="n">
        <v>41.27</v>
      </c>
      <c r="V134" s="32" t="n">
        <v>41.8</v>
      </c>
      <c r="W134" s="32" t="n">
        <v>16.38</v>
      </c>
      <c r="X134" s="31" t="inlineStr">
        <is>
          <t>Cyclical in an Upturn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IF(B135=0,"",RANK(B135,$B$2:$B$370,0))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AZAD</t>
        </is>
      </c>
      <c r="D135" s="31" t="inlineStr">
        <is>
          <t>Azad Engineering Ltd</t>
        </is>
      </c>
      <c r="E135" s="31" t="inlineStr">
        <is>
          <t>aerospace &amp; defence</t>
        </is>
      </c>
      <c r="F135" s="31" t="inlineStr">
        <is>
          <t>engineering</t>
        </is>
      </c>
      <c r="G135" s="31" t="inlineStr">
        <is>
          <t>midcap</t>
        </is>
      </c>
      <c r="H135" s="32" t="n">
        <v>18058.35</v>
      </c>
      <c r="I135" s="32" t="n">
        <v>2804.5</v>
      </c>
      <c r="J135" s="32" t="n">
        <v>0.3</v>
      </c>
      <c r="K135" s="32" t="n">
        <v>833706</v>
      </c>
      <c r="L135" s="31" t="n">
        <v>75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69.28</v>
      </c>
      <c r="P135" s="32" t="n">
        <v>36.47</v>
      </c>
      <c r="Q135" s="32" t="n">
        <v>2187.54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-0.38</v>
      </c>
      <c r="U135" s="32" t="n">
        <v>83.3</v>
      </c>
      <c r="V135" s="32" t="n">
        <v>84</v>
      </c>
      <c r="W135" s="32" t="n">
        <v>21.53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IF(B136=0,"",RANK(B136,$B$2:$B$370,0))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HAL</t>
        </is>
      </c>
      <c r="D136" s="31" t="inlineStr">
        <is>
          <t>Hindustan Aeronautics Ltd</t>
        </is>
      </c>
      <c r="E136" s="31" t="inlineStr">
        <is>
          <t>aerospace &amp; defence</t>
        </is>
      </c>
      <c r="F136" s="31" t="inlineStr">
        <is>
          <t>engineering</t>
        </is>
      </c>
      <c r="G136" s="31" t="inlineStr">
        <is>
          <t>largecap</t>
        </is>
      </c>
      <c r="H136" s="32" t="n">
        <v>328101.02</v>
      </c>
      <c r="I136" s="32" t="n">
        <v>4900</v>
      </c>
      <c r="J136" s="32" t="n">
        <v>-0.12</v>
      </c>
      <c r="K136" s="32" t="n">
        <v>555366</v>
      </c>
      <c r="L136" s="31" t="n">
        <v>22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62.67</v>
      </c>
      <c r="P136" s="32" t="n">
        <v>26.15</v>
      </c>
      <c r="Q136" s="32" t="n">
        <v>4312.98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-0.38</v>
      </c>
      <c r="U136" s="32" t="n">
        <v>14.27</v>
      </c>
      <c r="V136" s="32" t="n">
        <v>14.7</v>
      </c>
      <c r="W136" s="32" t="n">
        <v>5.97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Between 12 to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IF(B137=0,"",RANK(B137,$B$2:$B$370,0))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GAYAPROJ</t>
        </is>
      </c>
      <c r="D137" s="31" t="inlineStr">
        <is>
          <t>Gayatri Projects Limited</t>
        </is>
      </c>
      <c r="E137" s="31" t="inlineStr">
        <is>
          <t>realty</t>
        </is>
      </c>
      <c r="F137" s="31" t="inlineStr">
        <is>
          <t>construction</t>
        </is>
      </c>
      <c r="G137" s="31" t="inlineStr">
        <is>
          <t>smallcap</t>
        </is>
      </c>
      <c r="H137" s="32" t="n">
        <v>1037.24</v>
      </c>
      <c r="I137" s="32" t="n">
        <v>22.3</v>
      </c>
      <c r="J137" s="32" t="n">
        <v>-0.18</v>
      </c>
      <c r="K137" s="32" t="n">
        <v>523739</v>
      </c>
      <c r="L137" s="31" t="inlineStr"/>
      <c r="M137" s="31" t="inlineStr"/>
      <c r="N137" s="32">
        <f>IF(M137="Underperforming",-5,IF(L137&gt;=95,15,IF(L137&gt;=90,10,IF(L137&gt;=80,5,0))))</f>
        <v/>
      </c>
      <c r="O137" s="32" t="n">
        <v>64.95</v>
      </c>
      <c r="P137" s="32" t="n">
        <v>29.99</v>
      </c>
      <c r="Q137" s="32" t="n">
        <v>17.75</v>
      </c>
      <c r="R137" s="31" t="inlineStr">
        <is>
          <t>Earnings / Momentum Support</t>
        </is>
      </c>
      <c r="S137" s="31" t="inlineStr">
        <is>
          <t>Nifty Realty</t>
        </is>
      </c>
      <c r="T137" s="32" t="inlineStr"/>
      <c r="U137" s="32" t="inlineStr"/>
      <c r="V137" s="32" t="inlineStr"/>
      <c r="W137" s="32" t="inlineStr"/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IF(B138=0,"",RANK(B138,$B$2:$B$370,0))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KROSS</t>
        </is>
      </c>
      <c r="D138" s="31" t="inlineStr">
        <is>
          <t>Kross Ltd</t>
        </is>
      </c>
      <c r="E138" s="31" t="inlineStr">
        <is>
          <t>auto</t>
        </is>
      </c>
      <c r="F138" s="31" t="inlineStr">
        <is>
          <t>auto ancillaries</t>
        </is>
      </c>
      <c r="G138" s="31" t="inlineStr">
        <is>
          <t>smallcap</t>
        </is>
      </c>
      <c r="H138" s="32" t="n">
        <v>1352.12</v>
      </c>
      <c r="I138" s="32" t="n">
        <v>209.11</v>
      </c>
      <c r="J138" s="32" t="n">
        <v>-0.23</v>
      </c>
      <c r="K138" s="32" t="n">
        <v>418545</v>
      </c>
      <c r="L138" s="31" t="inlineStr"/>
      <c r="M138" s="31" t="inlineStr"/>
      <c r="N138" s="32">
        <f>IF(M138="Underperforming",-5,IF(L138&gt;=95,15,IF(L138&gt;=90,10,IF(L138&gt;=80,5,0))))</f>
        <v/>
      </c>
      <c r="O138" s="32" t="n">
        <v>56.89</v>
      </c>
      <c r="P138" s="32" t="n">
        <v>24.1</v>
      </c>
      <c r="Q138" s="32" t="n">
        <v>158.69</v>
      </c>
      <c r="R138" s="31" t="inlineStr">
        <is>
          <t>Earnings / Momentum Support</t>
        </is>
      </c>
      <c r="S138" s="31" t="inlineStr">
        <is>
          <t>Nifty Auto</t>
        </is>
      </c>
      <c r="T138" s="32" t="inlineStr"/>
      <c r="U138" s="32" t="inlineStr"/>
      <c r="V138" s="32" t="inlineStr"/>
      <c r="W138" s="32" t="inlineStr"/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IF(B139=0,"",RANK(B139,$B$2:$B$370,0))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VARROC</t>
        </is>
      </c>
      <c r="D139" s="31" t="inlineStr">
        <is>
          <t>Varroc Engineering Ltd</t>
        </is>
      </c>
      <c r="E139" s="31" t="inlineStr">
        <is>
          <t>auto</t>
        </is>
      </c>
      <c r="F139" s="31" t="inlineStr">
        <is>
          <t>auto ancillaries</t>
        </is>
      </c>
      <c r="G139" s="31" t="inlineStr">
        <is>
          <t>midcap</t>
        </is>
      </c>
      <c r="H139" s="32" t="n">
        <v>12412.37</v>
      </c>
      <c r="I139" s="32" t="n">
        <v>810</v>
      </c>
      <c r="J139" s="32" t="n">
        <v>-0.3</v>
      </c>
      <c r="K139" s="32" t="n">
        <v>134139</v>
      </c>
      <c r="L139" s="31" t="inlineStr"/>
      <c r="M139" s="31" t="inlineStr"/>
      <c r="N139" s="32">
        <f>IF(M139="Underperforming",-5,IF(L139&gt;=95,15,IF(L139&gt;=90,10,IF(L139&gt;=80,5,0))))</f>
        <v/>
      </c>
      <c r="O139" s="32" t="n">
        <v>73.48</v>
      </c>
      <c r="P139" s="32" t="n">
        <v>46.92</v>
      </c>
      <c r="Q139" s="32" t="n">
        <v>695.25</v>
      </c>
      <c r="R139" s="31" t="inlineStr">
        <is>
          <t>Near 52W High Breakout</t>
        </is>
      </c>
      <c r="S139" s="31" t="inlineStr">
        <is>
          <t>Nifty Auto</t>
        </is>
      </c>
      <c r="T139" s="32" t="inlineStr"/>
      <c r="U139" s="32" t="inlineStr"/>
      <c r="V139" s="32" t="inlineStr"/>
      <c r="W139" s="32" t="inlineStr"/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IF(B140=0,"",RANK(B140,$B$2:$B$370,0))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GULFOILLUB</t>
        </is>
      </c>
      <c r="D140" s="31" t="inlineStr">
        <is>
          <t>Gulf Oil Lubricants India Limited</t>
        </is>
      </c>
      <c r="E140" s="31" t="inlineStr">
        <is>
          <t>chemicals</t>
        </is>
      </c>
      <c r="F140" s="31" t="inlineStr">
        <is>
          <t>chemicals</t>
        </is>
      </c>
      <c r="G140" s="31" t="inlineStr">
        <is>
          <t>midcap</t>
        </is>
      </c>
      <c r="H140" s="32" t="n">
        <v>5764.25</v>
      </c>
      <c r="I140" s="32" t="n">
        <v>1155</v>
      </c>
      <c r="J140" s="32" t="n">
        <v>-0.78</v>
      </c>
      <c r="K140" s="32" t="n">
        <v>95795</v>
      </c>
      <c r="L140" s="31" t="inlineStr"/>
      <c r="M140" s="31" t="inlineStr"/>
      <c r="N140" s="32">
        <f>IF(M140="Underperforming",-5,IF(L140&gt;=95,15,IF(L140&gt;=90,10,IF(L140&gt;=80,5,0))))</f>
        <v/>
      </c>
      <c r="O140" s="32" t="n">
        <v>59.52</v>
      </c>
      <c r="P140" s="32" t="n">
        <v>20.45</v>
      </c>
      <c r="Q140" s="32" t="n">
        <v>976.96</v>
      </c>
      <c r="R140" s="31" t="inlineStr">
        <is>
          <t>Earnings / Momentum Support</t>
        </is>
      </c>
      <c r="S140" s="31" t="inlineStr">
        <is>
          <t>Nifty Energy</t>
        </is>
      </c>
      <c r="T140" s="32" t="inlineStr"/>
      <c r="U140" s="32" t="inlineStr"/>
      <c r="V140" s="32" t="inlineStr"/>
      <c r="W140" s="32" t="inlineStr"/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IF(B141=0,"",RANK(B141,$B$2:$B$370,0))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MMP</t>
        </is>
      </c>
      <c r="D141" s="31" t="inlineStr">
        <is>
          <t>MMP Industries Ltd</t>
        </is>
      </c>
      <c r="E141" s="31" t="inlineStr">
        <is>
          <t>metals &amp; mining</t>
        </is>
      </c>
      <c r="F141" s="31" t="inlineStr">
        <is>
          <t>aluminium and aluminium products</t>
        </is>
      </c>
      <c r="G141" s="31" t="inlineStr">
        <is>
          <t>smallcap</t>
        </is>
      </c>
      <c r="H141" s="32" t="n">
        <v>745.67</v>
      </c>
      <c r="I141" s="32" t="n">
        <v>389</v>
      </c>
      <c r="J141" s="32" t="n">
        <v>-1.29</v>
      </c>
      <c r="K141" s="32" t="n">
        <v>92700</v>
      </c>
      <c r="L141" s="31" t="inlineStr"/>
      <c r="M141" s="31" t="inlineStr"/>
      <c r="N141" s="32">
        <f>IF(M141="Underperforming",-5,IF(L141&gt;=95,15,IF(L141&gt;=90,10,IF(L141&gt;=80,5,0))))</f>
        <v/>
      </c>
      <c r="O141" s="32" t="n">
        <v>74.47</v>
      </c>
      <c r="P141" s="32" t="n">
        <v>43.9</v>
      </c>
      <c r="Q141" s="32" t="n">
        <v>306.2</v>
      </c>
      <c r="R141" s="31" t="inlineStr">
        <is>
          <t>Near 52W High Breakout</t>
        </is>
      </c>
      <c r="S141" s="31" t="inlineStr">
        <is>
          <t>Nifty Metal</t>
        </is>
      </c>
      <c r="T141" s="32" t="inlineStr"/>
      <c r="U141" s="32" t="inlineStr"/>
      <c r="V141" s="32" t="inlineStr"/>
      <c r="W141" s="32" t="inlineStr"/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Cyclical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Volatile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IF(B142=0,"",RANK(B142,$B$2:$B$370,0))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RISHABH</t>
        </is>
      </c>
      <c r="D142" s="31" t="inlineStr">
        <is>
          <t>Rishabh Instruments Ltd</t>
        </is>
      </c>
      <c r="E142" s="31" t="inlineStr">
        <is>
          <t>industrials</t>
        </is>
      </c>
      <c r="F142" s="31" t="inlineStr">
        <is>
          <t>electric equipment</t>
        </is>
      </c>
      <c r="G142" s="31" t="inlineStr">
        <is>
          <t>smallcap</t>
        </is>
      </c>
      <c r="H142" s="32" t="n">
        <v>2696.49</v>
      </c>
      <c r="I142" s="32" t="n">
        <v>688.55</v>
      </c>
      <c r="J142" s="32" t="n">
        <v>-1.57</v>
      </c>
      <c r="K142" s="32" t="n">
        <v>174603</v>
      </c>
      <c r="L142" s="31" t="inlineStr"/>
      <c r="M142" s="31" t="inlineStr"/>
      <c r="N142" s="32">
        <f>IF(M142="Underperforming",-5,IF(L142&gt;=95,15,IF(L142&gt;=90,10,IF(L142&gt;=80,5,0))))</f>
        <v/>
      </c>
      <c r="O142" s="32" t="n">
        <v>71.16</v>
      </c>
      <c r="P142" s="32" t="n">
        <v>44.33</v>
      </c>
      <c r="Q142" s="32" t="n">
        <v>505.86</v>
      </c>
      <c r="R142" s="31" t="inlineStr">
        <is>
          <t>Near 52W High Breakout</t>
        </is>
      </c>
      <c r="S142" s="31" t="inlineStr">
        <is>
          <t>Nifty Infra</t>
        </is>
      </c>
      <c r="T142" s="32" t="inlineStr"/>
      <c r="U142" s="32" t="inlineStr"/>
      <c r="V142" s="32" t="inlineStr"/>
      <c r="W142" s="32" t="inlineStr"/>
      <c r="X142" s="31" t="inlineStr">
        <is>
          <t>Cyclical in an Upturn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Less than 12%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IF(B143=0,"",RANK(B143,$B$2:$B$370,0))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ARVSMART</t>
        </is>
      </c>
      <c r="D143" s="31" t="inlineStr">
        <is>
          <t>Arvind Smartspaces Limited</t>
        </is>
      </c>
      <c r="E143" s="31" t="inlineStr">
        <is>
          <t>realty</t>
        </is>
      </c>
      <c r="F143" s="31" t="inlineStr">
        <is>
          <t>construction</t>
        </is>
      </c>
      <c r="G143" s="31" t="inlineStr">
        <is>
          <t>smallcap</t>
        </is>
      </c>
      <c r="H143" s="32" t="n">
        <v>3187.07</v>
      </c>
      <c r="I143" s="32" t="n">
        <v>683.75</v>
      </c>
      <c r="J143" s="32" t="n">
        <v>-1.6</v>
      </c>
      <c r="K143" s="32" t="n">
        <v>71548</v>
      </c>
      <c r="L143" s="31" t="inlineStr"/>
      <c r="M143" s="31" t="inlineStr"/>
      <c r="N143" s="32">
        <f>IF(M143="Underperforming",-5,IF(L143&gt;=95,15,IF(L143&gt;=90,10,IF(L143&gt;=80,5,0))))</f>
        <v/>
      </c>
      <c r="O143" s="32" t="n">
        <v>64.69</v>
      </c>
      <c r="P143" s="32" t="n">
        <v>31.19</v>
      </c>
      <c r="Q143" s="32" t="n">
        <v>550.85</v>
      </c>
      <c r="R143" s="31" t="inlineStr">
        <is>
          <t>Near 52W High Breakout</t>
        </is>
      </c>
      <c r="S143" s="31" t="inlineStr">
        <is>
          <t>Nifty Realty</t>
        </is>
      </c>
      <c r="T143" s="32" t="inlineStr"/>
      <c r="U143" s="32" t="inlineStr"/>
      <c r="V143" s="32" t="inlineStr"/>
      <c r="W143" s="32" t="inlineStr"/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IF(B144=0,"",RANK(B144,$B$2:$B$370,0))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UNIMECH</t>
        </is>
      </c>
      <c r="D144" s="31" t="inlineStr">
        <is>
          <t>Unimech Aerospace and Manufacturing Ltd</t>
        </is>
      </c>
      <c r="E144" s="31" t="inlineStr">
        <is>
          <t>aerospace &amp; defence</t>
        </is>
      </c>
      <c r="F144" s="31" t="inlineStr">
        <is>
          <t>engineering</t>
        </is>
      </c>
      <c r="G144" s="31" t="inlineStr">
        <is>
          <t>midcap</t>
        </is>
      </c>
      <c r="H144" s="32" t="n">
        <v>7625.48</v>
      </c>
      <c r="I144" s="32" t="n">
        <v>1473.5</v>
      </c>
      <c r="J144" s="32" t="n">
        <v>-1.73</v>
      </c>
      <c r="K144" s="32" t="n">
        <v>284907</v>
      </c>
      <c r="L144" s="31" t="n">
        <v>73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71.12</v>
      </c>
      <c r="P144" s="32" t="n">
        <v>39.4</v>
      </c>
      <c r="Q144" s="32" t="n">
        <v>1177.23</v>
      </c>
      <c r="R144" s="31" t="inlineStr">
        <is>
          <t>Near 52W High Breakout</t>
        </is>
      </c>
      <c r="S144" s="31" t="inlineStr">
        <is>
          <t>Nifty 50</t>
        </is>
      </c>
      <c r="T144" s="32" t="n">
        <v>-0.38</v>
      </c>
      <c r="U144" s="32" t="n">
        <v>40.72</v>
      </c>
      <c r="V144" s="32" t="n">
        <v>41.26</v>
      </c>
      <c r="W144" s="32" t="n">
        <v>20.8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IF(B145=0,"",RANK(B145,$B$2:$B$370,0))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SOMANYCERA</t>
        </is>
      </c>
      <c r="D145" s="31" t="inlineStr">
        <is>
          <t>Somany Ceramics Limited</t>
        </is>
      </c>
      <c r="E145" s="31" t="inlineStr">
        <is>
          <t>building materials</t>
        </is>
      </c>
      <c r="F145" s="31" t="inlineStr">
        <is>
          <t>ceramics - tiles / sanitaryware</t>
        </is>
      </c>
      <c r="G145" s="31" t="inlineStr">
        <is>
          <t>smallcap</t>
        </is>
      </c>
      <c r="H145" s="32" t="n">
        <v>2264.32</v>
      </c>
      <c r="I145" s="32" t="n">
        <v>542</v>
      </c>
      <c r="J145" s="32" t="n">
        <v>-1.83</v>
      </c>
      <c r="K145" s="32" t="n">
        <v>253622</v>
      </c>
      <c r="L145" s="31" t="inlineStr"/>
      <c r="M145" s="31" t="inlineStr"/>
      <c r="N145" s="32">
        <f>IF(M145="Underperforming",-5,IF(L145&gt;=95,15,IF(L145&gt;=90,10,IF(L145&gt;=80,5,0))))</f>
        <v/>
      </c>
      <c r="O145" s="32" t="n">
        <v>62.95</v>
      </c>
      <c r="P145" s="32" t="n">
        <v>30.7</v>
      </c>
      <c r="Q145" s="32" t="n">
        <v>418.39</v>
      </c>
      <c r="R145" s="31" t="inlineStr">
        <is>
          <t>Near 52W High Breakout</t>
        </is>
      </c>
      <c r="S145" s="31" t="inlineStr">
        <is>
          <t>Nifty Infra</t>
        </is>
      </c>
      <c r="T145" s="32" t="inlineStr"/>
      <c r="U145" s="32" t="inlineStr"/>
      <c r="V145" s="32" t="inlineStr"/>
      <c r="W145" s="32" t="inlineStr"/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IF(B146=0,"",RANK(B146,$B$2:$B$370,0))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ACMESOLAR</t>
        </is>
      </c>
      <c r="D146" s="31" t="inlineStr">
        <is>
          <t>ACME Solar Holdings Ltd</t>
        </is>
      </c>
      <c r="E146" s="31" t="inlineStr">
        <is>
          <t>realty</t>
        </is>
      </c>
      <c r="F146" s="31" t="inlineStr">
        <is>
          <t>engineering - turnkey services</t>
        </is>
      </c>
      <c r="G146" s="31" t="inlineStr">
        <is>
          <t>largecap</t>
        </is>
      </c>
      <c r="H146" s="32" t="n">
        <v>28921.76</v>
      </c>
      <c r="I146" s="32" t="n">
        <v>399.3</v>
      </c>
      <c r="J146" s="32" t="n">
        <v>-2.41</v>
      </c>
      <c r="K146" s="32" t="n">
        <v>2652812</v>
      </c>
      <c r="L146" s="31" t="inlineStr"/>
      <c r="M146" s="31" t="inlineStr"/>
      <c r="N146" s="32">
        <f>IF(M146="Underperforming",-5,IF(L146&gt;=95,15,IF(L146&gt;=90,10,IF(L146&gt;=80,5,0))))</f>
        <v/>
      </c>
      <c r="O146" s="32" t="n">
        <v>69.81</v>
      </c>
      <c r="P146" s="32" t="n">
        <v>43.96</v>
      </c>
      <c r="Q146" s="32" t="n">
        <v>314.91</v>
      </c>
      <c r="R146" s="31" t="inlineStr">
        <is>
          <t>Near 52W High Breakout</t>
        </is>
      </c>
      <c r="S146" s="31" t="inlineStr">
        <is>
          <t>Nifty Realty</t>
        </is>
      </c>
      <c r="T146" s="32" t="inlineStr"/>
      <c r="U146" s="32" t="inlineStr"/>
      <c r="V146" s="32" t="inlineStr"/>
      <c r="W146" s="32" t="inlineStr"/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More than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IF(B147=0,"",RANK(B147,$B$2:$B$370,0))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WELCORP</t>
        </is>
      </c>
      <c r="D147" s="31" t="inlineStr">
        <is>
          <t>Welspun Corp Limited</t>
        </is>
      </c>
      <c r="E147" s="31" t="inlineStr">
        <is>
          <t>industrials</t>
        </is>
      </c>
      <c r="F147" s="31" t="inlineStr">
        <is>
          <t>steel - large</t>
        </is>
      </c>
      <c r="G147" s="31" t="inlineStr">
        <is>
          <t>largecap</t>
        </is>
      </c>
      <c r="H147" s="32" t="n">
        <v>63552.44</v>
      </c>
      <c r="I147" s="32" t="n">
        <v>2345.5</v>
      </c>
      <c r="J147" s="32" t="n">
        <v>-2.64</v>
      </c>
      <c r="K147" s="32" t="n">
        <v>2854192</v>
      </c>
      <c r="L147" s="31" t="inlineStr"/>
      <c r="M147" s="31" t="inlineStr"/>
      <c r="N147" s="32">
        <f>IF(M147="Underperforming",-5,IF(L147&gt;=95,15,IF(L147&gt;=90,10,IF(L147&gt;=80,5,0))))</f>
        <v/>
      </c>
      <c r="O147" s="32" t="n">
        <v>93.39</v>
      </c>
      <c r="P147" s="32" t="n">
        <v>73.7</v>
      </c>
      <c r="Q147" s="32" t="n">
        <v>1938.93</v>
      </c>
      <c r="R147" s="31" t="inlineStr">
        <is>
          <t>Near 52W High Breakout</t>
        </is>
      </c>
      <c r="S147" s="31" t="inlineStr">
        <is>
          <t>Nifty Metal</t>
        </is>
      </c>
      <c r="T147" s="32" t="inlineStr"/>
      <c r="U147" s="32" t="inlineStr"/>
      <c r="V147" s="32" t="inlineStr"/>
      <c r="W147" s="32" t="inlineStr"/>
      <c r="X147" s="31" t="inlineStr">
        <is>
          <t>Cyclical in an Upturn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IF(B148=0,"",RANK(B148,$B$2:$B$370,0))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ARIES</t>
        </is>
      </c>
      <c r="D148" s="31" t="inlineStr">
        <is>
          <t>Aries Agro Limited</t>
        </is>
      </c>
      <c r="E148" s="31" t="inlineStr">
        <is>
          <t>chemicals</t>
        </is>
      </c>
      <c r="F148" s="31" t="inlineStr">
        <is>
          <t>fertilizers</t>
        </is>
      </c>
      <c r="G148" s="31" t="inlineStr">
        <is>
          <t>smallcap</t>
        </is>
      </c>
      <c r="H148" s="32" t="n">
        <v>596.96</v>
      </c>
      <c r="I148" s="32" t="n">
        <v>446.75</v>
      </c>
      <c r="J148" s="32" t="n">
        <v>-2.68</v>
      </c>
      <c r="K148" s="32" t="n">
        <v>35988</v>
      </c>
      <c r="L148" s="31" t="n">
        <v>38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72.62</v>
      </c>
      <c r="P148" s="32" t="n">
        <v>14.86</v>
      </c>
      <c r="Q148" s="32" t="n">
        <v>361.51</v>
      </c>
      <c r="R148" s="31" t="inlineStr">
        <is>
          <t>Near 52W High Breakout</t>
        </is>
      </c>
      <c r="S148" s="31" t="inlineStr">
        <is>
          <t>Nifty 50</t>
        </is>
      </c>
      <c r="T148" s="32" t="n">
        <v>-0.38</v>
      </c>
      <c r="U148" s="32" t="n">
        <v>11.04</v>
      </c>
      <c r="V148" s="32" t="n">
        <v>11.46</v>
      </c>
      <c r="W148" s="32" t="n">
        <v>9.82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0 to 20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Less than 1.5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IF(B149=0,"",RANK(B149,$B$2:$B$370,0))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MACPOWER</t>
        </is>
      </c>
      <c r="D149" s="31" t="inlineStr">
        <is>
          <t>Macpower CNC Machines Ltd</t>
        </is>
      </c>
      <c r="E149" s="31" t="inlineStr">
        <is>
          <t>industrials</t>
        </is>
      </c>
      <c r="F149" s="31" t="inlineStr">
        <is>
          <t>engineering</t>
        </is>
      </c>
      <c r="G149" s="31" t="inlineStr">
        <is>
          <t>smallcap</t>
        </is>
      </c>
      <c r="H149" s="32" t="n">
        <v>1964.22</v>
      </c>
      <c r="I149" s="32" t="n">
        <v>1903</v>
      </c>
      <c r="J149" s="32" t="n">
        <v>-3.08</v>
      </c>
      <c r="K149" s="32" t="n">
        <v>142502</v>
      </c>
      <c r="L149" s="31" t="n">
        <v>96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78.22</v>
      </c>
      <c r="P149" s="32" t="n">
        <v>36.27</v>
      </c>
      <c r="Q149" s="32" t="n">
        <v>1380.77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-0.38</v>
      </c>
      <c r="U149" s="32" t="n">
        <v>135.39</v>
      </c>
      <c r="V149" s="32" t="n">
        <v>136.29</v>
      </c>
      <c r="W149" s="32" t="n">
        <v>42.53</v>
      </c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IF(B150=0,"",RANK(B150,$B$2:$B$370,0))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SHALPAINTS</t>
        </is>
      </c>
      <c r="D150" s="31" t="inlineStr">
        <is>
          <t>Shalimar Paints Limited</t>
        </is>
      </c>
      <c r="E150" s="31" t="inlineStr">
        <is>
          <t>building materials</t>
        </is>
      </c>
      <c r="F150" s="31" t="inlineStr">
        <is>
          <t>paints / varnishes</t>
        </is>
      </c>
      <c r="G150" s="31" t="inlineStr">
        <is>
          <t>smallcap</t>
        </is>
      </c>
      <c r="H150" s="32" t="n">
        <v>709.45</v>
      </c>
      <c r="I150" s="32" t="n">
        <v>81.87</v>
      </c>
      <c r="J150" s="32" t="n">
        <v>-3.4</v>
      </c>
      <c r="K150" s="32" t="n">
        <v>87461</v>
      </c>
      <c r="L150" s="31" t="inlineStr"/>
      <c r="M150" s="31" t="inlineStr"/>
      <c r="N150" s="32">
        <f>IF(M150="Underperforming",-5,IF(L150&gt;=95,15,IF(L150&gt;=90,10,IF(L150&gt;=80,5,0))))</f>
        <v/>
      </c>
      <c r="O150" s="32" t="n">
        <v>63.91</v>
      </c>
      <c r="P150" s="32" t="n">
        <v>24.61</v>
      </c>
      <c r="Q150" s="32" t="n">
        <v>66.02</v>
      </c>
      <c r="R150" s="31" t="inlineStr">
        <is>
          <t>Earnings / Momentum Support</t>
        </is>
      </c>
      <c r="S150" s="31" t="inlineStr">
        <is>
          <t>Nifty Infra</t>
        </is>
      </c>
      <c r="T150" s="32" t="inlineStr"/>
      <c r="U150" s="32" t="inlineStr"/>
      <c r="V150" s="32" t="inlineStr"/>
      <c r="W150" s="32" t="inlineStr"/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IF(B151=0,"",RANK(B151,$B$2:$B$370,0))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NAHARINDUS</t>
        </is>
      </c>
      <c r="D151" s="31" t="inlineStr">
        <is>
          <t>Nahar Industrial Enterprises Limited</t>
        </is>
      </c>
      <c r="E151" s="31" t="inlineStr">
        <is>
          <t>textiles</t>
        </is>
      </c>
      <c r="F151" s="31" t="inlineStr">
        <is>
          <t>textiles - cotton/blended</t>
        </is>
      </c>
      <c r="G151" s="31" t="inlineStr">
        <is>
          <t>smallcap</t>
        </is>
      </c>
      <c r="H151" s="32" t="n">
        <v>637.71</v>
      </c>
      <c r="I151" s="32" t="n">
        <v>138.51</v>
      </c>
      <c r="J151" s="32" t="n">
        <v>-6.16</v>
      </c>
      <c r="K151" s="32" t="n">
        <v>448049</v>
      </c>
      <c r="L151" s="31" t="n">
        <v>41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68.45999999999999</v>
      </c>
      <c r="P151" s="32" t="n">
        <v>24.66</v>
      </c>
      <c r="Q151" s="32" t="n">
        <v>106.48</v>
      </c>
      <c r="R151" s="31" t="inlineStr">
        <is>
          <t>Volume Spike &amp; Near 52W High Breakout</t>
        </is>
      </c>
      <c r="S151" s="31" t="inlineStr">
        <is>
          <t>Nifty 50</t>
        </is>
      </c>
      <c r="T151" s="32" t="n">
        <v>-0.38</v>
      </c>
      <c r="U151" s="32" t="n">
        <v>27.51</v>
      </c>
      <c r="V151" s="32" t="n">
        <v>28</v>
      </c>
      <c r="W151" s="32" t="n">
        <v>10.4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IF(B152=0,"",RANK(B152,$B$2:$B$370,0))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BAFNAPH</t>
        </is>
      </c>
      <c r="D152" s="31" t="inlineStr">
        <is>
          <t>Bafna Pharmaceuticals Ltd</t>
        </is>
      </c>
      <c r="E152" s="31" t="inlineStr">
        <is>
          <t>healthcare</t>
        </is>
      </c>
      <c r="F152" s="31" t="inlineStr">
        <is>
          <t>pharmaceuticals - indian - formulations</t>
        </is>
      </c>
      <c r="G152" s="31" t="inlineStr">
        <is>
          <t>smallcap</t>
        </is>
      </c>
      <c r="H152" s="32" t="n">
        <v>602.17</v>
      </c>
      <c r="I152" s="32" t="n">
        <v>267.25</v>
      </c>
      <c r="J152" s="32" t="n">
        <v>4.99</v>
      </c>
      <c r="K152" s="32" t="n">
        <v>13983</v>
      </c>
      <c r="L152" s="31" t="n">
        <v>97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67.93000000000001</v>
      </c>
      <c r="P152" s="32" t="n">
        <v>54.39</v>
      </c>
      <c r="Q152" s="32" t="n">
        <v>215.38</v>
      </c>
      <c r="R152" s="31" t="inlineStr">
        <is>
          <t>Earnings / Momentum Support</t>
        </is>
      </c>
      <c r="S152" s="31" t="inlineStr">
        <is>
          <t>Nifty Pharma</t>
        </is>
      </c>
      <c r="T152" s="32" t="n">
        <v>21.83</v>
      </c>
      <c r="U152" s="32" t="n">
        <v>157.32</v>
      </c>
      <c r="V152" s="32" t="n">
        <v>111.21</v>
      </c>
      <c r="W152" s="32" t="n">
        <v>49.06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Yes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IF(B153=0,"",RANK(B153,$B$2:$B$370,0))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ABDL</t>
        </is>
      </c>
      <c r="D153" s="31" t="inlineStr">
        <is>
          <t>Allied Blenders &amp; Distillers Ltd</t>
        </is>
      </c>
      <c r="E153" s="31" t="inlineStr">
        <is>
          <t>fmcg</t>
        </is>
      </c>
      <c r="F153" s="31" t="inlineStr">
        <is>
          <t>breweries &amp; distilleries</t>
        </is>
      </c>
      <c r="G153" s="31" t="inlineStr">
        <is>
          <t>midcap</t>
        </is>
      </c>
      <c r="H153" s="32" t="n">
        <v>17072.11</v>
      </c>
      <c r="I153" s="32" t="n">
        <v>633.45</v>
      </c>
      <c r="J153" s="32" t="n">
        <v>3.78</v>
      </c>
      <c r="K153" s="32" t="n">
        <v>1290350</v>
      </c>
      <c r="L153" s="31" t="inlineStr"/>
      <c r="M153" s="31" t="inlineStr"/>
      <c r="N153" s="32">
        <f>IF(M153="Underperforming",-5,IF(L153&gt;=95,15,IF(L153&gt;=90,10,IF(L153&gt;=80,5,0))))</f>
        <v/>
      </c>
      <c r="O153" s="32" t="n">
        <v>59.3</v>
      </c>
      <c r="P153" s="32" t="n">
        <v>25.29</v>
      </c>
      <c r="Q153" s="32" t="n">
        <v>509.9</v>
      </c>
      <c r="R153" s="31" t="inlineStr">
        <is>
          <t>Near 52W High Breakout</t>
        </is>
      </c>
      <c r="S153" s="31" t="inlineStr">
        <is>
          <t>Nifty FMCG</t>
        </is>
      </c>
      <c r="T153" s="32" t="inlineStr"/>
      <c r="U153" s="32" t="inlineStr"/>
      <c r="V153" s="32" t="inlineStr"/>
      <c r="W153" s="32" t="inlineStr"/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B2C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IF(B154=0,"",RANK(B154,$B$2:$B$370,0))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DIVISLAB</t>
        </is>
      </c>
      <c r="D154" s="31" t="inlineStr">
        <is>
          <t>Divi's Laboratories Limited</t>
        </is>
      </c>
      <c r="E154" s="31" t="inlineStr">
        <is>
          <t>healthcare</t>
        </is>
      </c>
      <c r="F154" s="31" t="inlineStr">
        <is>
          <t>pharmaceuticals - indian - bulk drugs</t>
        </is>
      </c>
      <c r="G154" s="31" t="inlineStr">
        <is>
          <t>largecap</t>
        </is>
      </c>
      <c r="H154" s="32" t="n">
        <v>225542.11</v>
      </c>
      <c r="I154" s="32" t="n">
        <v>8744.5</v>
      </c>
      <c r="J154" s="32" t="n">
        <v>2.92</v>
      </c>
      <c r="K154" s="32" t="n">
        <v>565541</v>
      </c>
      <c r="L154" s="31" t="n">
        <v>57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85.39</v>
      </c>
      <c r="P154" s="32" t="n">
        <v>36.85</v>
      </c>
      <c r="Q154" s="32" t="n">
        <v>7696.82</v>
      </c>
      <c r="R154" s="31" t="inlineStr">
        <is>
          <t>Near 52W High Breakout</t>
        </is>
      </c>
      <c r="S154" s="31" t="inlineStr">
        <is>
          <t>Nifty Pharma</t>
        </is>
      </c>
      <c r="T154" s="32" t="n">
        <v>21.83</v>
      </c>
      <c r="U154" s="32" t="n">
        <v>43.2</v>
      </c>
      <c r="V154" s="32" t="n">
        <v>17.54</v>
      </c>
      <c r="W154" s="32" t="n">
        <v>14.4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Yes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Above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IF(B155=0,"",RANK(B155,$B$2:$B$370,0))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KEI</t>
        </is>
      </c>
      <c r="D155" s="31" t="inlineStr">
        <is>
          <t>Kei Industries Limited</t>
        </is>
      </c>
      <c r="E155" s="31" t="inlineStr">
        <is>
          <t>industrials</t>
        </is>
      </c>
      <c r="F155" s="31" t="inlineStr">
        <is>
          <t>cables - power</t>
        </is>
      </c>
      <c r="G155" s="31" t="inlineStr">
        <is>
          <t>largecap</t>
        </is>
      </c>
      <c r="H155" s="32" t="n">
        <v>52522.97</v>
      </c>
      <c r="I155" s="32" t="n">
        <v>5588</v>
      </c>
      <c r="J155" s="32" t="n">
        <v>1.71</v>
      </c>
      <c r="K155" s="32" t="n">
        <v>430421</v>
      </c>
      <c r="L155" s="31" t="inlineStr"/>
      <c r="M155" s="31" t="inlineStr"/>
      <c r="N155" s="32">
        <f>IF(M155="Underperforming",-5,IF(L155&gt;=95,15,IF(L155&gt;=90,10,IF(L155&gt;=80,5,0))))</f>
        <v/>
      </c>
      <c r="O155" s="32" t="n">
        <v>61.99</v>
      </c>
      <c r="P155" s="32" t="n">
        <v>24.7</v>
      </c>
      <c r="Q155" s="32" t="n">
        <v>4623.04</v>
      </c>
      <c r="R155" s="31" t="inlineStr">
        <is>
          <t>Near 52W High Breakout</t>
        </is>
      </c>
      <c r="S155" s="31" t="inlineStr">
        <is>
          <t>Nifty Energy</t>
        </is>
      </c>
      <c r="T155" s="32" t="inlineStr"/>
      <c r="U155" s="32" t="inlineStr"/>
      <c r="V155" s="32" t="inlineStr"/>
      <c r="W155" s="32" t="inlineStr"/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Fully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Yes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Less than 1.5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Yes, More Than 10%</t>
        </is>
      </c>
      <c r="CE155" s="31">
        <f>IF(CD155="Yes, more than 10%",-10,IF(CD155="No",10,0))</f>
        <v/>
      </c>
    </row>
    <row r="156">
      <c r="A156" s="31">
        <f>IF(B156=0,"",RANK(B156,$B$2:$B$370,0))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DBOL</t>
        </is>
      </c>
      <c r="D156" s="31" t="inlineStr">
        <is>
          <t>Dhampur Bio Organics Ltd</t>
        </is>
      </c>
      <c r="E156" s="31" t="inlineStr">
        <is>
          <t>fmcg</t>
        </is>
      </c>
      <c r="F156" s="31" t="inlineStr">
        <is>
          <t>sugar</t>
        </is>
      </c>
      <c r="G156" s="31" t="inlineStr">
        <is>
          <t>smallcap</t>
        </is>
      </c>
      <c r="H156" s="32" t="n">
        <v>852.75</v>
      </c>
      <c r="I156" s="32" t="n">
        <v>128.94</v>
      </c>
      <c r="J156" s="32" t="n">
        <v>0.38</v>
      </c>
      <c r="K156" s="32" t="n">
        <v>603722</v>
      </c>
      <c r="L156" s="31" t="inlineStr"/>
      <c r="M156" s="31" t="inlineStr"/>
      <c r="N156" s="32">
        <f>IF(M156="Underperforming",-5,IF(L156&gt;=95,15,IF(L156&gt;=90,10,IF(L156&gt;=80,5,0))))</f>
        <v/>
      </c>
      <c r="O156" s="32" t="n">
        <v>64.38</v>
      </c>
      <c r="P156" s="32" t="n">
        <v>35.85</v>
      </c>
      <c r="Q156" s="32" t="n">
        <v>96.28</v>
      </c>
      <c r="R156" s="31" t="inlineStr">
        <is>
          <t>Near 52W High Breakout</t>
        </is>
      </c>
      <c r="S156" s="31" t="inlineStr">
        <is>
          <t>Nifty FMCG</t>
        </is>
      </c>
      <c r="T156" s="32" t="inlineStr"/>
      <c r="U156" s="32" t="inlineStr"/>
      <c r="V156" s="32" t="inlineStr"/>
      <c r="W156" s="32" t="inlineStr"/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B2C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Between 0.7 to 1.2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IF(B157=0,"",RANK(B157,$B$2:$B$370,0))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3" t="inlineStr">
        <is>
          <t>TARSONS</t>
        </is>
      </c>
      <c r="D157" s="33" t="inlineStr">
        <is>
          <t>Tarsons Products Ltd</t>
        </is>
      </c>
      <c r="E157" s="31" t="inlineStr">
        <is>
          <t>healthcare</t>
        </is>
      </c>
      <c r="F157" s="31" t="inlineStr">
        <is>
          <t>miscellaneous</t>
        </is>
      </c>
      <c r="G157" s="31" t="inlineStr">
        <is>
          <t>smallcap</t>
        </is>
      </c>
      <c r="H157" s="32" t="n">
        <v>1845.46</v>
      </c>
      <c r="I157" s="32" t="n">
        <v>345</v>
      </c>
      <c r="J157" s="32" t="n">
        <v>-0.53</v>
      </c>
      <c r="K157" s="32" t="n">
        <v>121327</v>
      </c>
      <c r="L157" s="31" t="n">
        <v>68</v>
      </c>
      <c r="M157" s="31" t="inlineStr">
        <is>
          <t>Underperforming</t>
        </is>
      </c>
      <c r="N157" s="32">
        <f>IF(M157="Underperforming",-5,IF(L157&gt;=95,15,IF(L157&gt;=90,10,IF(L157&gt;=80,5,0))))</f>
        <v/>
      </c>
      <c r="O157" s="32" t="n">
        <v>69.73999999999999</v>
      </c>
      <c r="P157" s="32" t="n">
        <v>44.6</v>
      </c>
      <c r="Q157" s="32" t="n">
        <v>263.58</v>
      </c>
      <c r="R157" s="31" t="inlineStr">
        <is>
          <t>Near 52W High Breakout</t>
        </is>
      </c>
      <c r="S157" s="31" t="inlineStr">
        <is>
          <t>Nifty Pharma</t>
        </is>
      </c>
      <c r="T157" s="32" t="n">
        <v>21.83</v>
      </c>
      <c r="U157" s="32" t="n">
        <v>10.81</v>
      </c>
      <c r="V157" s="32" t="n">
        <v>-9.050000000000001</v>
      </c>
      <c r="W157" s="32" t="n">
        <v>19.32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Yes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IF(B158=0,"",RANK(B158,$B$2:$B$370,0))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BLSE</t>
        </is>
      </c>
      <c r="D158" s="31" t="inlineStr">
        <is>
          <t>BLS E-Services Ltd</t>
        </is>
      </c>
      <c r="E158" s="31" t="inlineStr">
        <is>
          <t>i.t</t>
        </is>
      </c>
      <c r="F158" s="31" t="inlineStr">
        <is>
          <t>computers - software - medium / small</t>
        </is>
      </c>
      <c r="G158" s="31" t="inlineStr">
        <is>
          <t>smallcap</t>
        </is>
      </c>
      <c r="H158" s="32" t="n">
        <v>2861.98</v>
      </c>
      <c r="I158" s="32" t="n">
        <v>312.1</v>
      </c>
      <c r="J158" s="32" t="n">
        <v>-0.92</v>
      </c>
      <c r="K158" s="32" t="n">
        <v>277539</v>
      </c>
      <c r="L158" s="31" t="n">
        <v>83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78.37</v>
      </c>
      <c r="P158" s="32" t="n">
        <v>53.69</v>
      </c>
      <c r="Q158" s="32" t="n">
        <v>258.61</v>
      </c>
      <c r="R158" s="31" t="inlineStr">
        <is>
          <t>Near 52W High Breakout</t>
        </is>
      </c>
      <c r="S158" s="31" t="inlineStr">
        <is>
          <t>Nifty IT</t>
        </is>
      </c>
      <c r="T158" s="32" t="n">
        <v>-12.53</v>
      </c>
      <c r="U158" s="32" t="n">
        <v>78.45999999999999</v>
      </c>
      <c r="V158" s="32" t="n">
        <v>104.04</v>
      </c>
      <c r="W158" s="32" t="n">
        <v>25.05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Above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IF(B159=0,"",RANK(B159,$B$2:$B$370,0))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ARTEMISMED</t>
        </is>
      </c>
      <c r="D159" s="31" t="inlineStr">
        <is>
          <t>Artemis Medicare Services Ltd</t>
        </is>
      </c>
      <c r="E159" s="31" t="inlineStr">
        <is>
          <t>healthcare</t>
        </is>
      </c>
      <c r="F159" s="31" t="inlineStr">
        <is>
          <t>healthcare</t>
        </is>
      </c>
      <c r="G159" s="31" t="inlineStr">
        <is>
          <t>midcap</t>
        </is>
      </c>
      <c r="H159" s="32" t="n">
        <v>5206.69</v>
      </c>
      <c r="I159" s="32" t="n">
        <v>324.7</v>
      </c>
      <c r="J159" s="32" t="n">
        <v>-1.28</v>
      </c>
      <c r="K159" s="32" t="n">
        <v>235407</v>
      </c>
      <c r="L159" s="31" t="n">
        <v>52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71.55</v>
      </c>
      <c r="P159" s="32" t="n">
        <v>32.66</v>
      </c>
      <c r="Q159" s="32" t="n">
        <v>266.37</v>
      </c>
      <c r="R159" s="31" t="inlineStr">
        <is>
          <t>Near 52W High Breakout</t>
        </is>
      </c>
      <c r="S159" s="31" t="inlineStr">
        <is>
          <t>Nifty Pharma</t>
        </is>
      </c>
      <c r="T159" s="32" t="n">
        <v>21.83</v>
      </c>
      <c r="U159" s="32" t="n">
        <v>48.07</v>
      </c>
      <c r="V159" s="32" t="n">
        <v>21.54</v>
      </c>
      <c r="W159" s="32" t="n">
        <v>13.12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IF(B160=0,"",RANK(B160,$B$2:$B$370,0))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HNDFDS</t>
        </is>
      </c>
      <c r="D160" s="31" t="inlineStr">
        <is>
          <t>Hindustan Foods Ltd</t>
        </is>
      </c>
      <c r="E160" s="31" t="inlineStr">
        <is>
          <t>fmcg</t>
        </is>
      </c>
      <c r="F160" s="31" t="inlineStr">
        <is>
          <t>diversified - large</t>
        </is>
      </c>
      <c r="G160" s="31" t="inlineStr">
        <is>
          <t>midcap</t>
        </is>
      </c>
      <c r="H160" s="32" t="n">
        <v>7747.14</v>
      </c>
      <c r="I160" s="32" t="n">
        <v>628.75</v>
      </c>
      <c r="J160" s="32" t="n">
        <v>-1.67</v>
      </c>
      <c r="K160" s="32" t="n">
        <v>56532</v>
      </c>
      <c r="L160" s="31" t="inlineStr"/>
      <c r="M160" s="31" t="inlineStr"/>
      <c r="N160" s="32">
        <f>IF(M160="Underperforming",-5,IF(L160&gt;=95,15,IF(L160&gt;=90,10,IF(L160&gt;=80,5,0))))</f>
        <v/>
      </c>
      <c r="O160" s="32" t="n">
        <v>68.66</v>
      </c>
      <c r="P160" s="32" t="n">
        <v>38.53</v>
      </c>
      <c r="Q160" s="32" t="n">
        <v>537.13</v>
      </c>
      <c r="R160" s="31" t="inlineStr">
        <is>
          <t>Near 52W High Breakout</t>
        </is>
      </c>
      <c r="S160" s="31" t="inlineStr">
        <is>
          <t>Nifty FMCG</t>
        </is>
      </c>
      <c r="T160" s="32" t="inlineStr"/>
      <c r="U160" s="32" t="inlineStr"/>
      <c r="V160" s="32" t="inlineStr"/>
      <c r="W160" s="32" t="inlineStr"/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B2C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Between 1.5 to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Between 0.7 to 1.2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IF(B161=0,"",RANK(B161,$B$2:$B$370,0))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MAGADSUGAR</t>
        </is>
      </c>
      <c r="D161" s="31" t="inlineStr">
        <is>
          <t>Magadh Sugar &amp; Energy Ltd</t>
        </is>
      </c>
      <c r="E161" s="31" t="inlineStr">
        <is>
          <t>fmcg</t>
        </is>
      </c>
      <c r="F161" s="31" t="inlineStr">
        <is>
          <t>sugar</t>
        </is>
      </c>
      <c r="G161" s="31" t="inlineStr">
        <is>
          <t>smallcap</t>
        </is>
      </c>
      <c r="H161" s="32" t="n">
        <v>846.98</v>
      </c>
      <c r="I161" s="32" t="n">
        <v>582.35</v>
      </c>
      <c r="J161" s="32" t="n">
        <v>-3.11</v>
      </c>
      <c r="K161" s="32" t="n">
        <v>103368</v>
      </c>
      <c r="L161" s="31" t="inlineStr"/>
      <c r="M161" s="31" t="inlineStr"/>
      <c r="N161" s="32">
        <f>IF(M161="Underperforming",-5,IF(L161&gt;=95,15,IF(L161&gt;=90,10,IF(L161&gt;=80,5,0))))</f>
        <v/>
      </c>
      <c r="O161" s="32" t="n">
        <v>67.95999999999999</v>
      </c>
      <c r="P161" s="32" t="n">
        <v>21.56</v>
      </c>
      <c r="Q161" s="32" t="n">
        <v>473.41</v>
      </c>
      <c r="R161" s="31" t="inlineStr">
        <is>
          <t>Near 52W High Breakout</t>
        </is>
      </c>
      <c r="S161" s="31" t="inlineStr">
        <is>
          <t>Nifty FMCG</t>
        </is>
      </c>
      <c r="T161" s="32" t="inlineStr"/>
      <c r="U161" s="32" t="inlineStr"/>
      <c r="V161" s="32" t="inlineStr"/>
      <c r="W161" s="32" t="inlineStr"/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B2C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Between 0.7 to 1.2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IF(B162=0,"",RANK(B162,$B$2:$B$370,0))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SHREEPUSHK</t>
        </is>
      </c>
      <c r="D162" s="31" t="inlineStr">
        <is>
          <t>Shree Pushkar Chemicals &amp; Fertilisers Limited</t>
        </is>
      </c>
      <c r="E162" s="31" t="inlineStr">
        <is>
          <t>chemicals</t>
        </is>
      </c>
      <c r="F162" s="31" t="inlineStr">
        <is>
          <t>dyes and pigments</t>
        </is>
      </c>
      <c r="G162" s="31" t="inlineStr">
        <is>
          <t>smallcap</t>
        </is>
      </c>
      <c r="H162" s="32" t="n">
        <v>1380.5</v>
      </c>
      <c r="I162" s="32" t="n">
        <v>454.1</v>
      </c>
      <c r="J162" s="32" t="n">
        <v>6.37</v>
      </c>
      <c r="K162" s="32" t="n">
        <v>530431</v>
      </c>
      <c r="L162" s="31" t="n">
        <v>56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63.96</v>
      </c>
      <c r="P162" s="32" t="n">
        <v>34.44</v>
      </c>
      <c r="Q162" s="32" t="n">
        <v>334.92</v>
      </c>
      <c r="R162" s="31" t="inlineStr">
        <is>
          <t>Volume Spike &amp; Near 52W High Breakout</t>
        </is>
      </c>
      <c r="S162" s="31" t="inlineStr">
        <is>
          <t>Nifty 50</t>
        </is>
      </c>
      <c r="T162" s="32" t="n">
        <v>-0.38</v>
      </c>
      <c r="U162" s="32" t="n">
        <v>45.48</v>
      </c>
      <c r="V162" s="32" t="n">
        <v>46.03</v>
      </c>
      <c r="W162" s="32" t="n">
        <v>14.28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IF(B163=0,"",RANK(B163,$B$2:$B$370,0))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BODALCHEM</t>
        </is>
      </c>
      <c r="D163" s="31" t="inlineStr">
        <is>
          <t>Bodal Chemicals Limited</t>
        </is>
      </c>
      <c r="E163" s="31" t="inlineStr">
        <is>
          <t>chemicals</t>
        </is>
      </c>
      <c r="F163" s="31" t="inlineStr">
        <is>
          <t>dyes and pigments</t>
        </is>
      </c>
      <c r="G163" s="31" t="inlineStr">
        <is>
          <t>smallcap</t>
        </is>
      </c>
      <c r="H163" s="32" t="n">
        <v>1044.2</v>
      </c>
      <c r="I163" s="32" t="n">
        <v>87.05</v>
      </c>
      <c r="J163" s="32" t="n">
        <v>4.99</v>
      </c>
      <c r="K163" s="32" t="n">
        <v>1544129</v>
      </c>
      <c r="L163" s="31" t="n">
        <v>53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69.88</v>
      </c>
      <c r="P163" s="32" t="n">
        <v>34.13</v>
      </c>
      <c r="Q163" s="32" t="n">
        <v>66.28</v>
      </c>
      <c r="R163" s="31" t="inlineStr">
        <is>
          <t>Volume Spike &amp; Near 52W High Breakout</t>
        </is>
      </c>
      <c r="S163" s="31" t="inlineStr">
        <is>
          <t>Nifty IT</t>
        </is>
      </c>
      <c r="T163" s="32" t="n">
        <v>-12.53</v>
      </c>
      <c r="U163" s="32" t="n">
        <v>34.61</v>
      </c>
      <c r="V163" s="32" t="n">
        <v>53.89</v>
      </c>
      <c r="W163" s="32" t="n">
        <v>13.42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Between 0.7 to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IF(B164=0,"",RANK(B164,$B$2:$B$370,0))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KRN</t>
        </is>
      </c>
      <c r="D164" s="31" t="inlineStr">
        <is>
          <t>KRN Heat Exchanger and Refrigeration Ltd</t>
        </is>
      </c>
      <c r="E164" s="31" t="inlineStr">
        <is>
          <t>industrials</t>
        </is>
      </c>
      <c r="F164" s="31" t="inlineStr">
        <is>
          <t>engineering</t>
        </is>
      </c>
      <c r="G164" s="31" t="inlineStr">
        <is>
          <t>midcap</t>
        </is>
      </c>
      <c r="H164" s="32" t="n">
        <v>9630.25</v>
      </c>
      <c r="I164" s="32" t="n">
        <v>1524.8</v>
      </c>
      <c r="J164" s="32" t="n">
        <v>3.64</v>
      </c>
      <c r="K164" s="32" t="n">
        <v>343658</v>
      </c>
      <c r="L164" s="31" t="n">
        <v>72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72.61</v>
      </c>
      <c r="P164" s="32" t="n">
        <v>32.52</v>
      </c>
      <c r="Q164" s="32" t="n">
        <v>1139.53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-0.38</v>
      </c>
      <c r="U164" s="32" t="n">
        <v>76.81999999999999</v>
      </c>
      <c r="V164" s="32" t="n">
        <v>77.48999999999999</v>
      </c>
      <c r="W164" s="32" t="n">
        <v>20.67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IF(B165=0,"",RANK(B165,$B$2:$B$370,0))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KAMDHENU</t>
        </is>
      </c>
      <c r="D165" s="31" t="inlineStr">
        <is>
          <t>Kamdhenu Limited</t>
        </is>
      </c>
      <c r="E165" s="31" t="inlineStr">
        <is>
          <t>metals &amp; mining</t>
        </is>
      </c>
      <c r="F165" s="31" t="inlineStr">
        <is>
          <t>steel - medium / small</t>
        </is>
      </c>
      <c r="G165" s="31" t="inlineStr">
        <is>
          <t>smallcap</t>
        </is>
      </c>
      <c r="H165" s="32" t="n">
        <v>974.47</v>
      </c>
      <c r="I165" s="32" t="n">
        <v>35.5</v>
      </c>
      <c r="J165" s="32" t="n">
        <v>2.69</v>
      </c>
      <c r="K165" s="32" t="n">
        <v>968389</v>
      </c>
      <c r="L165" s="31" t="inlineStr"/>
      <c r="M165" s="31" t="inlineStr"/>
      <c r="N165" s="32">
        <f>IF(M165="Underperforming",-5,IF(L165&gt;=95,15,IF(L165&gt;=90,10,IF(L165&gt;=80,5,0))))</f>
        <v/>
      </c>
      <c r="O165" s="32" t="n">
        <v>68.44</v>
      </c>
      <c r="P165" s="32" t="n">
        <v>45.4</v>
      </c>
      <c r="Q165" s="32" t="n">
        <v>26.89</v>
      </c>
      <c r="R165" s="31" t="inlineStr">
        <is>
          <t>Near 52W High Breakout</t>
        </is>
      </c>
      <c r="S165" s="31" t="inlineStr">
        <is>
          <t>Nifty Metal</t>
        </is>
      </c>
      <c r="T165" s="32" t="inlineStr"/>
      <c r="U165" s="32" t="inlineStr"/>
      <c r="V165" s="32" t="inlineStr"/>
      <c r="W165" s="32" t="inlineStr"/>
      <c r="X165" s="31" t="inlineStr">
        <is>
          <t>Cyclical in an Upturn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Cyclical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Volatile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IF(B166=0,"",RANK(B166,$B$2:$B$370,0))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WELENT</t>
        </is>
      </c>
      <c r="D166" s="31" t="inlineStr">
        <is>
          <t>Welspun Enterprises Limited</t>
        </is>
      </c>
      <c r="E166" s="31" t="inlineStr">
        <is>
          <t>realty</t>
        </is>
      </c>
      <c r="F166" s="31" t="inlineStr">
        <is>
          <t>construction</t>
        </is>
      </c>
      <c r="G166" s="31" t="inlineStr">
        <is>
          <t>midcap</t>
        </is>
      </c>
      <c r="H166" s="32" t="n">
        <v>8967.83</v>
      </c>
      <c r="I166" s="32" t="n">
        <v>661</v>
      </c>
      <c r="J166" s="32" t="n">
        <v>2.02</v>
      </c>
      <c r="K166" s="32" t="n">
        <v>1128974</v>
      </c>
      <c r="L166" s="31" t="inlineStr"/>
      <c r="M166" s="31" t="inlineStr"/>
      <c r="N166" s="32">
        <f>IF(M166="Underperforming",-5,IF(L166&gt;=95,15,IF(L166&gt;=90,10,IF(L166&gt;=80,5,0))))</f>
        <v/>
      </c>
      <c r="O166" s="32" t="n">
        <v>69.61</v>
      </c>
      <c r="P166" s="32" t="n">
        <v>22.99</v>
      </c>
      <c r="Q166" s="32" t="n">
        <v>529.9400000000001</v>
      </c>
      <c r="R166" s="31" t="inlineStr">
        <is>
          <t>Near 52W High Breakout</t>
        </is>
      </c>
      <c r="S166" s="31" t="inlineStr">
        <is>
          <t>Nifty Realty</t>
        </is>
      </c>
      <c r="T166" s="32" t="inlineStr"/>
      <c r="U166" s="32" t="inlineStr"/>
      <c r="V166" s="32" t="inlineStr"/>
      <c r="W166" s="32" t="inlineStr"/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IF(B167=0,"",RANK(B167,$B$2:$B$370,0))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OCCLLTD</t>
        </is>
      </c>
      <c r="D167" s="31" t="inlineStr">
        <is>
          <t>OCCL Ltd</t>
        </is>
      </c>
      <c r="E167" s="31" t="inlineStr">
        <is>
          <t>chemicals</t>
        </is>
      </c>
      <c r="F167" s="31" t="inlineStr">
        <is>
          <t>chemicals</t>
        </is>
      </c>
      <c r="G167" s="31" t="inlineStr">
        <is>
          <t>smallcap</t>
        </is>
      </c>
      <c r="H167" s="32" t="n">
        <v>785.02</v>
      </c>
      <c r="I167" s="32" t="n">
        <v>160</v>
      </c>
      <c r="J167" s="32" t="n">
        <v>1.81</v>
      </c>
      <c r="K167" s="32" t="n">
        <v>20733</v>
      </c>
      <c r="L167" s="31" t="n">
        <v>61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71.72</v>
      </c>
      <c r="P167" s="32" t="n">
        <v>44.96</v>
      </c>
      <c r="Q167" s="32" t="n">
        <v>120.25</v>
      </c>
      <c r="R167" s="31" t="inlineStr">
        <is>
          <t>Near 52W High Breakout</t>
        </is>
      </c>
      <c r="S167" s="31" t="inlineStr">
        <is>
          <t>Nifty 50</t>
        </is>
      </c>
      <c r="T167" s="32" t="n">
        <v>-0.38</v>
      </c>
      <c r="U167" s="32" t="n">
        <v>24.53</v>
      </c>
      <c r="V167" s="32" t="n">
        <v>25</v>
      </c>
      <c r="W167" s="32" t="n">
        <v>15.41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IF(B168=0,"",RANK(B168,$B$2:$B$370,0))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TBOTEK</t>
        </is>
      </c>
      <c r="D168" s="31" t="inlineStr">
        <is>
          <t>TBO Tek Ltd</t>
        </is>
      </c>
      <c r="E168" s="31" t="inlineStr">
        <is>
          <t>i.t</t>
        </is>
      </c>
      <c r="F168" s="31" t="inlineStr">
        <is>
          <t>travel agencies</t>
        </is>
      </c>
      <c r="G168" s="31" t="inlineStr">
        <is>
          <t>midcap</t>
        </is>
      </c>
      <c r="H168" s="32" t="n">
        <v>18497.93</v>
      </c>
      <c r="I168" s="32" t="n">
        <v>1725.1</v>
      </c>
      <c r="J168" s="32" t="n">
        <v>1.27</v>
      </c>
      <c r="K168" s="32" t="n">
        <v>256449</v>
      </c>
      <c r="L168" s="31" t="n">
        <v>63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68.81</v>
      </c>
      <c r="P168" s="32" t="n">
        <v>23.13</v>
      </c>
      <c r="Q168" s="32" t="n">
        <v>1381.5</v>
      </c>
      <c r="R168" s="31" t="inlineStr">
        <is>
          <t>Near 52W High Breakout</t>
        </is>
      </c>
      <c r="S168" s="31" t="inlineStr">
        <is>
          <t>Nifty IT</t>
        </is>
      </c>
      <c r="T168" s="32" t="n">
        <v>-12.53</v>
      </c>
      <c r="U168" s="32" t="n">
        <v>31.96</v>
      </c>
      <c r="V168" s="32" t="n">
        <v>50.87</v>
      </c>
      <c r="W168" s="32" t="n">
        <v>16.3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IF(B169=0,"",RANK(B169,$B$2:$B$370,0))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KALYANKJIL</t>
        </is>
      </c>
      <c r="D169" s="31" t="inlineStr">
        <is>
          <t>Kalyan Jewellers India Ltd</t>
        </is>
      </c>
      <c r="E169" s="31" t="inlineStr">
        <is>
          <t>consumer discretionary</t>
        </is>
      </c>
      <c r="F169" s="31" t="inlineStr">
        <is>
          <t>diamond cutting / jewellery</t>
        </is>
      </c>
      <c r="G169" s="31" t="inlineStr">
        <is>
          <t>largecap</t>
        </is>
      </c>
      <c r="H169" s="32" t="n">
        <v>62785.44</v>
      </c>
      <c r="I169" s="32" t="n">
        <v>612.6</v>
      </c>
      <c r="J169" s="32" t="n">
        <v>0.76</v>
      </c>
      <c r="K169" s="32" t="n">
        <v>11762981</v>
      </c>
      <c r="L169" s="31" t="n">
        <v>78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71.66</v>
      </c>
      <c r="P169" s="32" t="n">
        <v>36.81</v>
      </c>
      <c r="Q169" s="32" t="n">
        <v>472.93</v>
      </c>
      <c r="R169" s="31" t="inlineStr">
        <is>
          <t>Near 52W High Breakout</t>
        </is>
      </c>
      <c r="S169" s="31" t="inlineStr">
        <is>
          <t>Nifty 50</t>
        </is>
      </c>
      <c r="T169" s="32" t="n">
        <v>-0.38</v>
      </c>
      <c r="U169" s="32" t="n">
        <v>21.87</v>
      </c>
      <c r="V169" s="32" t="n">
        <v>22.33</v>
      </c>
      <c r="W169" s="32" t="n">
        <v>22.67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Between 0.7 to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IF(B170=0,"",RANK(B170,$B$2:$B$370,0))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VMART</t>
        </is>
      </c>
      <c r="D170" s="31" t="inlineStr">
        <is>
          <t>V-mart Retail Limited</t>
        </is>
      </c>
      <c r="E170" s="31" t="inlineStr">
        <is>
          <t>consumer discretionary</t>
        </is>
      </c>
      <c r="F170" s="31" t="inlineStr">
        <is>
          <t>trading</t>
        </is>
      </c>
      <c r="G170" s="31" t="inlineStr">
        <is>
          <t>midcap</t>
        </is>
      </c>
      <c r="H170" s="32" t="n">
        <v>6813.68</v>
      </c>
      <c r="I170" s="32" t="n">
        <v>862.15</v>
      </c>
      <c r="J170" s="32" t="n">
        <v>0.65</v>
      </c>
      <c r="K170" s="32" t="n">
        <v>118281</v>
      </c>
      <c r="L170" s="31" t="n">
        <v>44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67.81999999999999</v>
      </c>
      <c r="P170" s="32" t="n">
        <v>29.12</v>
      </c>
      <c r="Q170" s="32" t="n">
        <v>684.66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-0.38</v>
      </c>
      <c r="U170" s="32" t="n">
        <v>16.25</v>
      </c>
      <c r="V170" s="32" t="n">
        <v>16.7</v>
      </c>
      <c r="W170" s="32" t="n">
        <v>11.1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Between 0.7 to 1.2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IF(B171=0,"",RANK(B171,$B$2:$B$370,0))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EMAMIPAP</t>
        </is>
      </c>
      <c r="D171" s="31" t="inlineStr">
        <is>
          <t>Emami Paper Mills Ltd</t>
        </is>
      </c>
      <c r="E171" s="31" t="inlineStr">
        <is>
          <t>building materials</t>
        </is>
      </c>
      <c r="F171" s="31" t="inlineStr">
        <is>
          <t>paper</t>
        </is>
      </c>
      <c r="G171" s="31" t="inlineStr">
        <is>
          <t>smallcap</t>
        </is>
      </c>
      <c r="H171" s="32" t="n">
        <v>704.27</v>
      </c>
      <c r="I171" s="32" t="n">
        <v>116.81</v>
      </c>
      <c r="J171" s="32" t="n">
        <v>0.34</v>
      </c>
      <c r="K171" s="32" t="n">
        <v>49370</v>
      </c>
      <c r="L171" s="31" t="inlineStr"/>
      <c r="M171" s="31" t="inlineStr"/>
      <c r="N171" s="32">
        <f>IF(M171="Underperforming",-5,IF(L171&gt;=95,15,IF(L171&gt;=90,10,IF(L171&gt;=80,5,0))))</f>
        <v/>
      </c>
      <c r="O171" s="32" t="n">
        <v>70.12</v>
      </c>
      <c r="P171" s="32" t="n">
        <v>26.88</v>
      </c>
      <c r="Q171" s="32" t="n">
        <v>89.3</v>
      </c>
      <c r="R171" s="31" t="inlineStr">
        <is>
          <t>Near 52W High Breakout</t>
        </is>
      </c>
      <c r="S171" s="31" t="inlineStr">
        <is>
          <t>Nifty Infra</t>
        </is>
      </c>
      <c r="T171" s="32" t="inlineStr"/>
      <c r="U171" s="32" t="inlineStr"/>
      <c r="V171" s="32" t="inlineStr"/>
      <c r="W171" s="32" t="inlineStr"/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More than 1.2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IF(B172=0,"",RANK(B172,$B$2:$B$370,0))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EICHERMOT</t>
        </is>
      </c>
      <c r="D172" s="31" t="inlineStr">
        <is>
          <t>Eicher Motors Limited</t>
        </is>
      </c>
      <c r="E172" s="31" t="inlineStr">
        <is>
          <t>auto</t>
        </is>
      </c>
      <c r="F172" s="31" t="inlineStr">
        <is>
          <t>automobiles - motorcycles / mopeds</t>
        </is>
      </c>
      <c r="G172" s="31" t="inlineStr">
        <is>
          <t>largecap</t>
        </is>
      </c>
      <c r="H172" s="32" t="n">
        <v>220888.16</v>
      </c>
      <c r="I172" s="32" t="n">
        <v>8055</v>
      </c>
      <c r="J172" s="32" t="n">
        <v>0.1</v>
      </c>
      <c r="K172" s="32" t="n">
        <v>222822</v>
      </c>
      <c r="L172" s="31" t="inlineStr"/>
      <c r="M172" s="31" t="inlineStr"/>
      <c r="N172" s="32">
        <f>IF(M172="Underperforming",-5,IF(L172&gt;=95,15,IF(L172&gt;=90,10,IF(L172&gt;=80,5,0))))</f>
        <v/>
      </c>
      <c r="O172" s="32" t="n">
        <v>64.73</v>
      </c>
      <c r="P172" s="32" t="n">
        <v>11.17</v>
      </c>
      <c r="Q172" s="32" t="n">
        <v>7039.4</v>
      </c>
      <c r="R172" s="31" t="inlineStr">
        <is>
          <t>Near 52W High Breakout</t>
        </is>
      </c>
      <c r="S172" s="31" t="inlineStr">
        <is>
          <t>Nifty Auto</t>
        </is>
      </c>
      <c r="T172" s="32" t="inlineStr"/>
      <c r="U172" s="32" t="inlineStr"/>
      <c r="V172" s="32" t="inlineStr"/>
      <c r="W172" s="32" t="inlineStr"/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Between 1.5 to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IF(B173=0,"",RANK(B173,$B$2:$B$370,0))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GRASIM</t>
        </is>
      </c>
      <c r="D173" s="31" t="inlineStr">
        <is>
          <t>Grasim Industries Limited</t>
        </is>
      </c>
      <c r="E173" s="31" t="inlineStr">
        <is>
          <t>textiles</t>
        </is>
      </c>
      <c r="F173" s="31" t="inlineStr">
        <is>
          <t>textiles - manmade</t>
        </is>
      </c>
      <c r="G173" s="31" t="inlineStr">
        <is>
          <t>largecap</t>
        </is>
      </c>
      <c r="H173" s="32" t="n">
        <v>223774.89</v>
      </c>
      <c r="I173" s="32" t="n">
        <v>3289.6</v>
      </c>
      <c r="J173" s="32" t="n">
        <v>0.05</v>
      </c>
      <c r="K173" s="32" t="n">
        <v>1725715</v>
      </c>
      <c r="L173" s="31" t="n">
        <v>16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64.58</v>
      </c>
      <c r="P173" s="32" t="n">
        <v>38.73</v>
      </c>
      <c r="Q173" s="32" t="n">
        <v>2912.06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-0.38</v>
      </c>
      <c r="U173" s="32" t="n">
        <v>18.89</v>
      </c>
      <c r="V173" s="32" t="n">
        <v>19.34</v>
      </c>
      <c r="W173" s="32" t="n">
        <v>4.76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More than 1.2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IF(B174=0,"",RANK(B174,$B$2:$B$370,0))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HFCL</t>
        </is>
      </c>
      <c r="D174" s="31" t="inlineStr">
        <is>
          <t>HFCL Ltd</t>
        </is>
      </c>
      <c r="E174" s="31" t="inlineStr">
        <is>
          <t>telecom</t>
        </is>
      </c>
      <c r="F174" s="31" t="inlineStr">
        <is>
          <t>cables - telephone</t>
        </is>
      </c>
      <c r="G174" s="31" t="inlineStr">
        <is>
          <t>largecap</t>
        </is>
      </c>
      <c r="H174" s="32" t="n">
        <v>36492.62</v>
      </c>
      <c r="I174" s="32" t="n">
        <v>238.01</v>
      </c>
      <c r="J174" s="32" t="n">
        <v>-0.17</v>
      </c>
      <c r="K174" s="32" t="n">
        <v>19820671</v>
      </c>
      <c r="L174" s="31" t="inlineStr"/>
      <c r="M174" s="31" t="inlineStr"/>
      <c r="N174" s="32">
        <f>IF(M174="Underperforming",-5,IF(L174&gt;=95,15,IF(L174&gt;=90,10,IF(L174&gt;=80,5,0))))</f>
        <v/>
      </c>
      <c r="O174" s="32" t="n">
        <v>79.11</v>
      </c>
      <c r="P174" s="32" t="n">
        <v>63.42</v>
      </c>
      <c r="Q174" s="32" t="n">
        <v>180.65</v>
      </c>
      <c r="R174" s="31" t="inlineStr">
        <is>
          <t>Near 52W High Breakout</t>
        </is>
      </c>
      <c r="S174" s="31" t="inlineStr">
        <is>
          <t>Nifty Infra</t>
        </is>
      </c>
      <c r="T174" s="32" t="inlineStr"/>
      <c r="U174" s="32" t="inlineStr"/>
      <c r="V174" s="32" t="inlineStr"/>
      <c r="W174" s="32" t="inlineStr"/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Oligopoly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Above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Blue sky scenario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IF(B175=0,"",RANK(B175,$B$2:$B$370,0))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HEG</t>
        </is>
      </c>
      <c r="D175" s="31" t="inlineStr">
        <is>
          <t>Heg Limited</t>
        </is>
      </c>
      <c r="E175" s="31" t="inlineStr">
        <is>
          <t>industrials</t>
        </is>
      </c>
      <c r="F175" s="31" t="inlineStr">
        <is>
          <t>electrodes - graphites</t>
        </is>
      </c>
      <c r="G175" s="31" t="inlineStr">
        <is>
          <t>midcap</t>
        </is>
      </c>
      <c r="H175" s="32" t="n">
        <v>13947.45</v>
      </c>
      <c r="I175" s="32" t="n">
        <v>721.55</v>
      </c>
      <c r="J175" s="32" t="n">
        <v>-0.17</v>
      </c>
      <c r="K175" s="32" t="n">
        <v>1284004</v>
      </c>
      <c r="L175" s="31" t="n">
        <v>62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70.09</v>
      </c>
      <c r="P175" s="32" t="n">
        <v>28.94</v>
      </c>
      <c r="Q175" s="32" t="n">
        <v>569.8</v>
      </c>
      <c r="R175" s="31" t="inlineStr">
        <is>
          <t>Near 52W High Breakout</t>
        </is>
      </c>
      <c r="S175" s="31" t="inlineStr">
        <is>
          <t>Nifty 50</t>
        </is>
      </c>
      <c r="T175" s="32" t="n">
        <v>-0.38</v>
      </c>
      <c r="U175" s="32" t="n">
        <v>57.06</v>
      </c>
      <c r="V175" s="32" t="n">
        <v>57.66</v>
      </c>
      <c r="W175" s="32" t="n">
        <v>15.57</v>
      </c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Between 12 to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IF(B176=0,"",RANK(B176,$B$2:$B$370,0))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SEAMECLTD</t>
        </is>
      </c>
      <c r="D176" s="31" t="inlineStr">
        <is>
          <t>Seamec Limited</t>
        </is>
      </c>
      <c r="E176" s="31" t="inlineStr">
        <is>
          <t>miscellaneous</t>
        </is>
      </c>
      <c r="F176" s="31" t="inlineStr">
        <is>
          <t>miscellaneous</t>
        </is>
      </c>
      <c r="G176" s="31" t="inlineStr">
        <is>
          <t>smallcap</t>
        </is>
      </c>
      <c r="H176" s="32" t="n">
        <v>4207.84</v>
      </c>
      <c r="I176" s="32" t="n">
        <v>1648</v>
      </c>
      <c r="J176" s="32" t="n">
        <v>-0.42</v>
      </c>
      <c r="K176" s="32" t="n">
        <v>35412</v>
      </c>
      <c r="L176" s="31" t="n">
        <v>47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64.34</v>
      </c>
      <c r="P176" s="32" t="n">
        <v>20.86</v>
      </c>
      <c r="Q176" s="32" t="n">
        <v>1309.87</v>
      </c>
      <c r="R176" s="31" t="inlineStr">
        <is>
          <t>Near 52W High Breakout</t>
        </is>
      </c>
      <c r="S176" s="31" t="inlineStr">
        <is>
          <t>Nifty 50</t>
        </is>
      </c>
      <c r="T176" s="32" t="n">
        <v>-0.38</v>
      </c>
      <c r="U176" s="32" t="n">
        <v>67.14</v>
      </c>
      <c r="V176" s="32" t="n">
        <v>67.78</v>
      </c>
      <c r="W176" s="32" t="n">
        <v>12.3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IF(B177=0,"",RANK(B177,$B$2:$B$370,0))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TCPLPACK</t>
        </is>
      </c>
      <c r="D177" s="31" t="inlineStr">
        <is>
          <t>TCPL Packaging Ltd</t>
        </is>
      </c>
      <c r="E177" s="31" t="inlineStr">
        <is>
          <t>industrials</t>
        </is>
      </c>
      <c r="F177" s="31" t="inlineStr">
        <is>
          <t>packaging</t>
        </is>
      </c>
      <c r="G177" s="31" t="inlineStr">
        <is>
          <t>smallcap</t>
        </is>
      </c>
      <c r="H177" s="32" t="n">
        <v>3614.52</v>
      </c>
      <c r="I177" s="32" t="n">
        <v>3946.2</v>
      </c>
      <c r="J177" s="32" t="n">
        <v>-0.65</v>
      </c>
      <c r="K177" s="32" t="n">
        <v>8097</v>
      </c>
      <c r="L177" s="31" t="n">
        <v>64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70.48</v>
      </c>
      <c r="P177" s="32" t="n">
        <v>34.26</v>
      </c>
      <c r="Q177" s="32" t="n">
        <v>3153.06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-0.38</v>
      </c>
      <c r="U177" s="32" t="n">
        <v>17.99</v>
      </c>
      <c r="V177" s="32" t="n">
        <v>18.43</v>
      </c>
      <c r="W177" s="32" t="n">
        <v>16.61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Between 0.7 to 1.2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IF(B178=0,"",RANK(B178,$B$2:$B$370,0))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EIMCOELECO</t>
        </is>
      </c>
      <c r="D178" s="31" t="inlineStr">
        <is>
          <t>Eimco Elecon (india) Limited</t>
        </is>
      </c>
      <c r="E178" s="31" t="inlineStr">
        <is>
          <t>industrials</t>
        </is>
      </c>
      <c r="F178" s="31" t="inlineStr">
        <is>
          <t>engineering</t>
        </is>
      </c>
      <c r="G178" s="31" t="inlineStr">
        <is>
          <t>smallcap</t>
        </is>
      </c>
      <c r="H178" s="32" t="n">
        <v>1295.46</v>
      </c>
      <c r="I178" s="32" t="n">
        <v>2225</v>
      </c>
      <c r="J178" s="32" t="n">
        <v>-0.93</v>
      </c>
      <c r="K178" s="32" t="n">
        <v>103248</v>
      </c>
      <c r="L178" s="31" t="n">
        <v>43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72.97</v>
      </c>
      <c r="P178" s="32" t="n">
        <v>40.33</v>
      </c>
      <c r="Q178" s="32" t="n">
        <v>1722.91</v>
      </c>
      <c r="R178" s="31" t="inlineStr">
        <is>
          <t>Near 52W High Breakout</t>
        </is>
      </c>
      <c r="S178" s="31" t="inlineStr">
        <is>
          <t>Nifty 50</t>
        </is>
      </c>
      <c r="T178" s="32" t="n">
        <v>-0.38</v>
      </c>
      <c r="U178" s="32" t="n">
        <v>-0.08</v>
      </c>
      <c r="V178" s="32" t="n">
        <v>0.3</v>
      </c>
      <c r="W178" s="32" t="n">
        <v>10.92</v>
      </c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IF(B179=0,"",RANK(B179,$B$2:$B$370,0))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ALKYLAMINE</t>
        </is>
      </c>
      <c r="D179" s="31" t="inlineStr">
        <is>
          <t>Alkyl Amines Chemicals Limited</t>
        </is>
      </c>
      <c r="E179" s="31" t="inlineStr">
        <is>
          <t>chemicals</t>
        </is>
      </c>
      <c r="F179" s="31" t="inlineStr">
        <is>
          <t>chemicals</t>
        </is>
      </c>
      <c r="G179" s="31" t="inlineStr">
        <is>
          <t>midcap</t>
        </is>
      </c>
      <c r="H179" s="32" t="n">
        <v>10657.84</v>
      </c>
      <c r="I179" s="32" t="n">
        <v>2061.5</v>
      </c>
      <c r="J179" s="32" t="n">
        <v>-1.07</v>
      </c>
      <c r="K179" s="32" t="n">
        <v>133758</v>
      </c>
      <c r="L179" s="31" t="n">
        <v>26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69.17</v>
      </c>
      <c r="P179" s="32" t="n">
        <v>42.19</v>
      </c>
      <c r="Q179" s="32" t="n">
        <v>1600.12</v>
      </c>
      <c r="R179" s="31" t="inlineStr">
        <is>
          <t>Near 52W High Breakout</t>
        </is>
      </c>
      <c r="S179" s="31" t="inlineStr">
        <is>
          <t>Nifty 50</t>
        </is>
      </c>
      <c r="T179" s="32" t="n">
        <v>-0.38</v>
      </c>
      <c r="U179" s="32" t="n">
        <v>3.37</v>
      </c>
      <c r="V179" s="32" t="n">
        <v>3.76</v>
      </c>
      <c r="W179" s="32" t="n">
        <v>6.89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Above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IF(B180=0,"",RANK(B180,$B$2:$B$370,0))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STLTECH</t>
        </is>
      </c>
      <c r="D180" s="31" t="inlineStr">
        <is>
          <t>Sterlite Technologies Limited</t>
        </is>
      </c>
      <c r="E180" s="31" t="inlineStr">
        <is>
          <t>industrials</t>
        </is>
      </c>
      <c r="F180" s="31" t="inlineStr">
        <is>
          <t>cables - telephone</t>
        </is>
      </c>
      <c r="G180" s="31" t="inlineStr">
        <is>
          <t>largecap</t>
        </is>
      </c>
      <c r="H180" s="32" t="n">
        <v>33840.06</v>
      </c>
      <c r="I180" s="32" t="n">
        <v>651.35</v>
      </c>
      <c r="J180" s="32" t="n">
        <v>-1.09</v>
      </c>
      <c r="K180" s="32" t="n">
        <v>994599</v>
      </c>
      <c r="L180" s="31" t="inlineStr"/>
      <c r="M180" s="31" t="inlineStr"/>
      <c r="N180" s="32">
        <f>IF(M180="Underperforming",-5,IF(L180&gt;=95,15,IF(L180&gt;=90,10,IF(L180&gt;=80,5,0))))</f>
        <v/>
      </c>
      <c r="O180" s="32" t="n">
        <v>72.47</v>
      </c>
      <c r="P180" s="32" t="n">
        <v>76.78</v>
      </c>
      <c r="Q180" s="32" t="n">
        <v>458.39</v>
      </c>
      <c r="R180" s="31" t="inlineStr">
        <is>
          <t>Near 52W High Breakout</t>
        </is>
      </c>
      <c r="S180" s="31" t="inlineStr">
        <is>
          <t>Nifty Infra</t>
        </is>
      </c>
      <c r="T180" s="32" t="inlineStr"/>
      <c r="U180" s="32" t="inlineStr"/>
      <c r="V180" s="32" t="inlineStr"/>
      <c r="W180" s="32" t="inlineStr"/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Between 0.7 to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IF(B181=0,"",RANK(B181,$B$2:$B$370,0))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3" t="inlineStr">
        <is>
          <t>TTKHLTCARE</t>
        </is>
      </c>
      <c r="D181" s="33" t="inlineStr">
        <is>
          <t>Ttk Healthcare Limited</t>
        </is>
      </c>
      <c r="E181" s="31" t="inlineStr">
        <is>
          <t>miscellaneous</t>
        </is>
      </c>
      <c r="F181" s="31" t="inlineStr">
        <is>
          <t>diversified - medium / small</t>
        </is>
      </c>
      <c r="G181" s="31" t="inlineStr">
        <is>
          <t>smallcap</t>
        </is>
      </c>
      <c r="H181" s="32" t="n">
        <v>1572.14</v>
      </c>
      <c r="I181" s="32" t="n">
        <v>1096.8</v>
      </c>
      <c r="J181" s="32" t="n">
        <v>-1.42</v>
      </c>
      <c r="K181" s="32" t="n">
        <v>12753</v>
      </c>
      <c r="L181" s="31" t="n">
        <v>15</v>
      </c>
      <c r="M181" s="31" t="inlineStr">
        <is>
          <t>Underperforming</t>
        </is>
      </c>
      <c r="N181" s="32">
        <f>IF(M181="Underperforming",-5,IF(L181&gt;=95,15,IF(L181&gt;=90,10,IF(L181&gt;=80,5,0))))</f>
        <v/>
      </c>
      <c r="O181" s="32" t="n">
        <v>62.92</v>
      </c>
      <c r="P181" s="32" t="n">
        <v>24.51</v>
      </c>
      <c r="Q181" s="32" t="n">
        <v>908.01</v>
      </c>
      <c r="R181" s="31" t="inlineStr">
        <is>
          <t>Earnings / Momentum Support</t>
        </is>
      </c>
      <c r="S181" s="31" t="inlineStr">
        <is>
          <t>Nifty 50</t>
        </is>
      </c>
      <c r="T181" s="32" t="n">
        <v>-0.38</v>
      </c>
      <c r="U181" s="32" t="n">
        <v>-4.65</v>
      </c>
      <c r="V181" s="32" t="n">
        <v>-4.29</v>
      </c>
      <c r="W181" s="32" t="n">
        <v>4.72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IF(B182=0,"",RANK(B182,$B$2:$B$370,0))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ANDHRSUGAR</t>
        </is>
      </c>
      <c r="D182" s="31" t="inlineStr">
        <is>
          <t>The Andhra Sugars Limited</t>
        </is>
      </c>
      <c r="E182" s="31" t="inlineStr">
        <is>
          <t>chemicals</t>
        </is>
      </c>
      <c r="F182" s="31" t="inlineStr">
        <is>
          <t>chlor alkali / soda ash</t>
        </is>
      </c>
      <c r="G182" s="31" t="inlineStr">
        <is>
          <t>smallcap</t>
        </is>
      </c>
      <c r="H182" s="32" t="n">
        <v>1345.6</v>
      </c>
      <c r="I182" s="32" t="n">
        <v>97.73999999999999</v>
      </c>
      <c r="J182" s="32" t="n">
        <v>-1.55</v>
      </c>
      <c r="K182" s="32" t="n">
        <v>592979</v>
      </c>
      <c r="L182" s="31" t="n">
        <v>30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61.16</v>
      </c>
      <c r="P182" s="32" t="n">
        <v>13.69</v>
      </c>
      <c r="Q182" s="32" t="n">
        <v>77.61</v>
      </c>
      <c r="R182" s="31" t="inlineStr">
        <is>
          <t>Near 52W High Breakout</t>
        </is>
      </c>
      <c r="S182" s="31" t="inlineStr">
        <is>
          <t>Nifty 50</t>
        </is>
      </c>
      <c r="T182" s="32" t="n">
        <v>-0.38</v>
      </c>
      <c r="U182" s="32" t="n">
        <v>30.9</v>
      </c>
      <c r="V182" s="32" t="n">
        <v>31.39</v>
      </c>
      <c r="W182" s="32" t="n">
        <v>7.74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IF(B183=0,"",RANK(B183,$B$2:$B$370,0))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JINDALSAW</t>
        </is>
      </c>
      <c r="D183" s="31" t="inlineStr">
        <is>
          <t>Jindal Saw Limited</t>
        </is>
      </c>
      <c r="E183" s="31" t="inlineStr">
        <is>
          <t>industrials</t>
        </is>
      </c>
      <c r="F183" s="31" t="inlineStr">
        <is>
          <t>steel - large</t>
        </is>
      </c>
      <c r="G183" s="31" t="inlineStr">
        <is>
          <t>midcap</t>
        </is>
      </c>
      <c r="H183" s="32" t="n">
        <v>18369.87</v>
      </c>
      <c r="I183" s="32" t="n">
        <v>281.75</v>
      </c>
      <c r="J183" s="32" t="n">
        <v>-1.91</v>
      </c>
      <c r="K183" s="32" t="n">
        <v>1236143</v>
      </c>
      <c r="L183" s="31" t="inlineStr"/>
      <c r="M183" s="31" t="inlineStr"/>
      <c r="N183" s="32">
        <f>IF(M183="Underperforming",-5,IF(L183&gt;=95,15,IF(L183&gt;=90,10,IF(L183&gt;=80,5,0))))</f>
        <v/>
      </c>
      <c r="O183" s="32" t="n">
        <v>63.38</v>
      </c>
      <c r="P183" s="32" t="n">
        <v>44.18</v>
      </c>
      <c r="Q183" s="32" t="n">
        <v>227.75</v>
      </c>
      <c r="R183" s="31" t="inlineStr">
        <is>
          <t>Near 52W High Breakout</t>
        </is>
      </c>
      <c r="S183" s="31" t="inlineStr">
        <is>
          <t>Nifty Metal</t>
        </is>
      </c>
      <c r="T183" s="32" t="inlineStr"/>
      <c r="U183" s="32" t="inlineStr"/>
      <c r="V183" s="32" t="inlineStr"/>
      <c r="W183" s="32" t="inlineStr"/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IF(B184=0,"",RANK(B184,$B$2:$B$370,0))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KENNAMET</t>
        </is>
      </c>
      <c r="D184" s="31" t="inlineStr">
        <is>
          <t>Kennametal India Ltd</t>
        </is>
      </c>
      <c r="E184" s="31" t="inlineStr">
        <is>
          <t>industrials</t>
        </is>
      </c>
      <c r="F184" s="31" t="inlineStr">
        <is>
          <t>castings &amp; forgings</t>
        </is>
      </c>
      <c r="G184" s="31" t="inlineStr">
        <is>
          <t>midcap</t>
        </is>
      </c>
      <c r="H184" s="32" t="n">
        <v>9301.190000000001</v>
      </c>
      <c r="I184" s="32" t="n">
        <v>4132.1</v>
      </c>
      <c r="J184" s="32" t="n">
        <v>-2.36</v>
      </c>
      <c r="K184" s="32" t="n">
        <v>40920</v>
      </c>
      <c r="L184" s="31" t="inlineStr"/>
      <c r="M184" s="31" t="inlineStr"/>
      <c r="N184" s="32">
        <f>IF(M184="Underperforming",-5,IF(L184&gt;=95,15,IF(L184&gt;=90,10,IF(L184&gt;=80,5,0))))</f>
        <v/>
      </c>
      <c r="O184" s="32" t="n">
        <v>81.20999999999999</v>
      </c>
      <c r="P184" s="32" t="n">
        <v>45.12</v>
      </c>
      <c r="Q184" s="32" t="n">
        <v>3275.2</v>
      </c>
      <c r="R184" s="31" t="inlineStr">
        <is>
          <t>Near 52W High Breakout</t>
        </is>
      </c>
      <c r="S184" s="31" t="inlineStr">
        <is>
          <t>Nifty Infra</t>
        </is>
      </c>
      <c r="T184" s="32" t="inlineStr"/>
      <c r="U184" s="32" t="inlineStr"/>
      <c r="V184" s="32" t="inlineStr"/>
      <c r="W184" s="32" t="inlineStr"/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Above 40</t>
        </is>
      </c>
      <c r="AY184" s="31">
        <f>IF(AX184="Above 40",20,IF(AX184="20 to 40",10,IF(AX184="0 to 20",-5,0)))</f>
        <v/>
      </c>
      <c r="AZ184" s="31" t="inlineStr">
        <is>
          <t>Above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IF(B185=0,"",RANK(B185,$B$2:$B$370,0))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SHRIPISTON</t>
        </is>
      </c>
      <c r="D185" s="31" t="inlineStr">
        <is>
          <t>Shriram Pistons &amp; Rings Limited</t>
        </is>
      </c>
      <c r="E185" s="31" t="inlineStr">
        <is>
          <t>auto</t>
        </is>
      </c>
      <c r="F185" s="31" t="inlineStr">
        <is>
          <t>auto ancillaries</t>
        </is>
      </c>
      <c r="G185" s="31" t="inlineStr">
        <is>
          <t>largecap</t>
        </is>
      </c>
      <c r="H185" s="32" t="n">
        <v>20909.57</v>
      </c>
      <c r="I185" s="32" t="n">
        <v>4629.9</v>
      </c>
      <c r="J185" s="32" t="n">
        <v>-2.46</v>
      </c>
      <c r="K185" s="32" t="n">
        <v>129618</v>
      </c>
      <c r="L185" s="31" t="inlineStr"/>
      <c r="M185" s="31" t="inlineStr"/>
      <c r="N185" s="32">
        <f>IF(M185="Underperforming",-5,IF(L185&gt;=95,15,IF(L185&gt;=90,10,IF(L185&gt;=80,5,0))))</f>
        <v/>
      </c>
      <c r="O185" s="32" t="n">
        <v>76.36</v>
      </c>
      <c r="P185" s="32" t="n">
        <v>50.48</v>
      </c>
      <c r="Q185" s="32" t="n">
        <v>3762.6</v>
      </c>
      <c r="R185" s="31" t="inlineStr">
        <is>
          <t>Near 52W High Breakout</t>
        </is>
      </c>
      <c r="S185" s="31" t="inlineStr">
        <is>
          <t>Nifty Auto</t>
        </is>
      </c>
      <c r="T185" s="32" t="inlineStr"/>
      <c r="U185" s="32" t="inlineStr"/>
      <c r="V185" s="32" t="inlineStr"/>
      <c r="W185" s="32" t="inlineStr"/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Above 40</t>
        </is>
      </c>
      <c r="AY185" s="31">
        <f>IF(AX185="Above 40",20,IF(AX185="20 to 40",10,IF(AX185="0 to 20",-5,0)))</f>
        <v/>
      </c>
      <c r="AZ185" s="31" t="inlineStr">
        <is>
          <t>Above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IF(B186=0,"",RANK(B186,$B$2:$B$370,0))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DIVGIITTS</t>
        </is>
      </c>
      <c r="D186" s="31" t="inlineStr">
        <is>
          <t>Divgi Torqtransfer Systems Ltd</t>
        </is>
      </c>
      <c r="E186" s="31" t="inlineStr">
        <is>
          <t>auto</t>
        </is>
      </c>
      <c r="F186" s="31" t="inlineStr">
        <is>
          <t>auto ancillaries</t>
        </is>
      </c>
      <c r="G186" s="31" t="inlineStr">
        <is>
          <t>smallcap</t>
        </is>
      </c>
      <c r="H186" s="32" t="n">
        <v>3734.33</v>
      </c>
      <c r="I186" s="32" t="n">
        <v>1190.35</v>
      </c>
      <c r="J186" s="32" t="n">
        <v>-2.51</v>
      </c>
      <c r="K186" s="32" t="n">
        <v>79394</v>
      </c>
      <c r="L186" s="31" t="inlineStr"/>
      <c r="M186" s="31" t="inlineStr"/>
      <c r="N186" s="32">
        <f>IF(M186="Underperforming",-5,IF(L186&gt;=95,15,IF(L186&gt;=90,10,IF(L186&gt;=80,5,0))))</f>
        <v/>
      </c>
      <c r="O186" s="32" t="n">
        <v>68.45</v>
      </c>
      <c r="P186" s="32" t="n">
        <v>53.1</v>
      </c>
      <c r="Q186" s="32" t="n">
        <v>1010.68</v>
      </c>
      <c r="R186" s="31" t="inlineStr">
        <is>
          <t>Earnings / Momentum Support</t>
        </is>
      </c>
      <c r="S186" s="31" t="inlineStr">
        <is>
          <t>Nifty Auto</t>
        </is>
      </c>
      <c r="T186" s="32" t="inlineStr"/>
      <c r="U186" s="32" t="inlineStr"/>
      <c r="V186" s="32" t="inlineStr"/>
      <c r="W186" s="32" t="inlineStr"/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IF(B187=0,"",RANK(B187,$B$2:$B$370,0))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YASHO</t>
        </is>
      </c>
      <c r="D187" s="31" t="inlineStr">
        <is>
          <t>Yasho Industries Ltd</t>
        </is>
      </c>
      <c r="E187" s="31" t="inlineStr">
        <is>
          <t>chemicals</t>
        </is>
      </c>
      <c r="F187" s="31" t="inlineStr">
        <is>
          <t>chemicals</t>
        </is>
      </c>
      <c r="G187" s="31" t="inlineStr">
        <is>
          <t>midcap</t>
        </is>
      </c>
      <c r="H187" s="32" t="n">
        <v>5194.8</v>
      </c>
      <c r="I187" s="32" t="n">
        <v>4200</v>
      </c>
      <c r="J187" s="32" t="n">
        <v>-2.52</v>
      </c>
      <c r="K187" s="32" t="n">
        <v>47800</v>
      </c>
      <c r="L187" s="31" t="n">
        <v>96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84.06999999999999</v>
      </c>
      <c r="P187" s="32" t="n">
        <v>72.58</v>
      </c>
      <c r="Q187" s="32" t="n">
        <v>3334.48</v>
      </c>
      <c r="R187" s="31" t="inlineStr">
        <is>
          <t>Near 52W High Breakout</t>
        </is>
      </c>
      <c r="S187" s="31" t="inlineStr">
        <is>
          <t>Nifty 50</t>
        </is>
      </c>
      <c r="T187" s="32" t="n">
        <v>-0.38</v>
      </c>
      <c r="U187" s="32" t="n">
        <v>131.46</v>
      </c>
      <c r="V187" s="32" t="n">
        <v>132.34</v>
      </c>
      <c r="W187" s="32" t="n">
        <v>44.78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Above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Blue sky scenario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More than 1.2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IF(B188=0,"",RANK(B188,$B$2:$B$370,0))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PTCIL</t>
        </is>
      </c>
      <c r="D188" s="31" t="inlineStr">
        <is>
          <t>PTC Industries Ltd</t>
        </is>
      </c>
      <c r="E188" s="31" t="inlineStr">
        <is>
          <t>industrials</t>
        </is>
      </c>
      <c r="F188" s="31" t="inlineStr">
        <is>
          <t>castings &amp; forgings</t>
        </is>
      </c>
      <c r="G188" s="31" t="inlineStr">
        <is>
          <t>largecap</t>
        </is>
      </c>
      <c r="H188" s="32" t="n">
        <v>32491.85</v>
      </c>
      <c r="I188" s="32" t="n">
        <v>21121</v>
      </c>
      <c r="J188" s="32" t="n">
        <v>-2.54</v>
      </c>
      <c r="K188" s="32" t="n">
        <v>32165</v>
      </c>
      <c r="L188" s="31" t="n">
        <v>62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70.77</v>
      </c>
      <c r="P188" s="32" t="n">
        <v>25.79</v>
      </c>
      <c r="Q188" s="32" t="n">
        <v>17266.69</v>
      </c>
      <c r="R188" s="31" t="inlineStr">
        <is>
          <t>Near 52W High Breakout</t>
        </is>
      </c>
      <c r="S188" s="31" t="inlineStr">
        <is>
          <t>Nifty 50</t>
        </is>
      </c>
      <c r="T188" s="32" t="n">
        <v>-0.38</v>
      </c>
      <c r="U188" s="32" t="n">
        <v>50.71</v>
      </c>
      <c r="V188" s="32" t="n">
        <v>51.28</v>
      </c>
      <c r="W188" s="32" t="n">
        <v>15.9</v>
      </c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IF(B189=0,"",RANK(B189,$B$2:$B$370,0))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3" t="inlineStr">
        <is>
          <t>DPABHUSHAN</t>
        </is>
      </c>
      <c r="D189" s="33" t="inlineStr">
        <is>
          <t>D.P. Abhushan Ltd</t>
        </is>
      </c>
      <c r="E189" s="31" t="inlineStr">
        <is>
          <t>consumer discretionary</t>
        </is>
      </c>
      <c r="F189" s="31" t="inlineStr">
        <is>
          <t>diamond cutting / jewellery</t>
        </is>
      </c>
      <c r="G189" s="31" t="inlineStr">
        <is>
          <t>smallcap</t>
        </is>
      </c>
      <c r="H189" s="32" t="n">
        <v>3500.21</v>
      </c>
      <c r="I189" s="32" t="n">
        <v>1459.5</v>
      </c>
      <c r="J189" s="32" t="n">
        <v>-4.81</v>
      </c>
      <c r="K189" s="32" t="n">
        <v>64267</v>
      </c>
      <c r="L189" s="31" t="n">
        <v>48</v>
      </c>
      <c r="M189" s="31" t="inlineStr">
        <is>
          <t>Underperforming</t>
        </is>
      </c>
      <c r="N189" s="32">
        <f>IF(M189="Underperforming",-5,IF(L189&gt;=95,15,IF(L189&gt;=90,10,IF(L189&gt;=80,5,0))))</f>
        <v/>
      </c>
      <c r="O189" s="32" t="n">
        <v>65.69</v>
      </c>
      <c r="P189" s="32" t="n">
        <v>36.46</v>
      </c>
      <c r="Q189" s="32" t="n">
        <v>1080.41</v>
      </c>
      <c r="R189" s="31" t="inlineStr">
        <is>
          <t>Earnings / Momentum Support</t>
        </is>
      </c>
      <c r="S189" s="31" t="inlineStr">
        <is>
          <t>Nifty 50</t>
        </is>
      </c>
      <c r="T189" s="32" t="n">
        <v>-0.38</v>
      </c>
      <c r="U189" s="32" t="n">
        <v>-7.09</v>
      </c>
      <c r="V189" s="32" t="n">
        <v>-6.74</v>
      </c>
      <c r="W189" s="32" t="n">
        <v>12.48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IF(B190=0,"",RANK(B190,$B$2:$B$370,0))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KRONOX</t>
        </is>
      </c>
      <c r="D190" s="31" t="inlineStr">
        <is>
          <t>Kronox Lab Sciences Ltd</t>
        </is>
      </c>
      <c r="E190" s="31" t="inlineStr">
        <is>
          <t>chemicals</t>
        </is>
      </c>
      <c r="F190" s="31" t="inlineStr">
        <is>
          <t>chemicals</t>
        </is>
      </c>
      <c r="G190" s="31" t="inlineStr">
        <is>
          <t>smallcap</t>
        </is>
      </c>
      <c r="H190" s="32" t="n">
        <v>761.97</v>
      </c>
      <c r="I190" s="32" t="n">
        <v>186.14</v>
      </c>
      <c r="J190" s="32" t="n">
        <v>-9.359999999999999</v>
      </c>
      <c r="K190" s="32" t="n">
        <v>1304528</v>
      </c>
      <c r="L190" s="31" t="n">
        <v>44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61.49</v>
      </c>
      <c r="P190" s="32" t="n">
        <v>34.13</v>
      </c>
      <c r="Q190" s="32" t="n">
        <v>151.23</v>
      </c>
      <c r="R190" s="31" t="inlineStr">
        <is>
          <t>Earnings / Momentum Support</t>
        </is>
      </c>
      <c r="S190" s="31" t="inlineStr">
        <is>
          <t>Nifty 50</t>
        </is>
      </c>
      <c r="T190" s="32" t="n">
        <v>-0.38</v>
      </c>
      <c r="U190" s="32" t="n">
        <v>15.24</v>
      </c>
      <c r="V190" s="32" t="n">
        <v>15.67</v>
      </c>
      <c r="W190" s="32" t="n">
        <v>11.26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Between 12 to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IF(B191=0,"",RANK(B191,$B$2:$B$370,0))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VIYASH</t>
        </is>
      </c>
      <c r="D191" s="31" t="inlineStr">
        <is>
          <t>Viyash Scientific Ltd</t>
        </is>
      </c>
      <c r="E191" s="31" t="inlineStr">
        <is>
          <t>healthcare</t>
        </is>
      </c>
      <c r="F191" s="31" t="inlineStr">
        <is>
          <t>pharmaceuticals - indian - bulk drugs &amp; formln</t>
        </is>
      </c>
      <c r="G191" s="31" t="inlineStr">
        <is>
          <t>midcap</t>
        </is>
      </c>
      <c r="H191" s="32" t="n">
        <v>11935.44</v>
      </c>
      <c r="I191" s="32" t="n">
        <v>278.35</v>
      </c>
      <c r="J191" s="32" t="n">
        <v>1.89</v>
      </c>
      <c r="K191" s="32" t="n">
        <v>9688162</v>
      </c>
      <c r="L191" s="31" t="n">
        <v>48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60.71</v>
      </c>
      <c r="P191" s="32" t="n">
        <v>46.56</v>
      </c>
      <c r="Q191" s="32" t="n">
        <v>226.07</v>
      </c>
      <c r="R191" s="31" t="inlineStr">
        <is>
          <t>Earnings / Momentum Support</t>
        </is>
      </c>
      <c r="S191" s="31" t="inlineStr">
        <is>
          <t>Nifty Pharma</t>
        </is>
      </c>
      <c r="T191" s="32" t="n">
        <v>21.83</v>
      </c>
      <c r="U191" s="32" t="n">
        <v>64.34</v>
      </c>
      <c r="V191" s="32" t="n">
        <v>34.9</v>
      </c>
      <c r="W191" s="32" t="n">
        <v>12.55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Yes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Annuity, Lower One Time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IF(B192=0,"",RANK(B192,$B$2:$B$370,0))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3" t="inlineStr">
        <is>
          <t>LINCOLN</t>
        </is>
      </c>
      <c r="D192" s="33" t="inlineStr">
        <is>
          <t>Lincoln Pharmaceuticals Limited</t>
        </is>
      </c>
      <c r="E192" s="31" t="inlineStr">
        <is>
          <t>healthcare</t>
        </is>
      </c>
      <c r="F192" s="31" t="inlineStr">
        <is>
          <t>pharmaceuticals - indian - formulations</t>
        </is>
      </c>
      <c r="G192" s="31" t="inlineStr">
        <is>
          <t>smallcap</t>
        </is>
      </c>
      <c r="H192" s="32" t="n">
        <v>1226.32</v>
      </c>
      <c r="I192" s="32" t="n">
        <v>618</v>
      </c>
      <c r="J192" s="32" t="n">
        <v>0.9399999999999999</v>
      </c>
      <c r="K192" s="32" t="n">
        <v>49969</v>
      </c>
      <c r="L192" s="31" t="n">
        <v>11</v>
      </c>
      <c r="M192" s="31" t="inlineStr">
        <is>
          <t>Underperforming</t>
        </is>
      </c>
      <c r="N192" s="32">
        <f>IF(M192="Underperforming",-5,IF(L192&gt;=95,15,IF(L192&gt;=90,10,IF(L192&gt;=80,5,0))))</f>
        <v/>
      </c>
      <c r="O192" s="32" t="n">
        <v>52.94</v>
      </c>
      <c r="P192" s="32" t="n">
        <v>31.09</v>
      </c>
      <c r="Q192" s="32" t="n">
        <v>489.87</v>
      </c>
      <c r="R192" s="31" t="inlineStr">
        <is>
          <t>Earnings / Momentum Support</t>
        </is>
      </c>
      <c r="S192" s="31" t="inlineStr">
        <is>
          <t>Nifty Pharma</t>
        </is>
      </c>
      <c r="T192" s="32" t="n">
        <v>21.83</v>
      </c>
      <c r="U192" s="32" t="n">
        <v>15.14</v>
      </c>
      <c r="V192" s="32" t="n">
        <v>-5.49</v>
      </c>
      <c r="W192" s="32" t="n">
        <v>2.85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Yes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Annuity, Lower One Time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IF(B193=0,"",RANK(B193,$B$2:$B$370,0))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3" t="inlineStr">
        <is>
          <t>SOLARA</t>
        </is>
      </c>
      <c r="D193" s="33" t="inlineStr">
        <is>
          <t>Solara Active Pharma Sciences Ltd</t>
        </is>
      </c>
      <c r="E193" s="31" t="inlineStr">
        <is>
          <t>healthcare</t>
        </is>
      </c>
      <c r="F193" s="31" t="inlineStr">
        <is>
          <t>pharmaceuticals - indian - bulk drugs &amp; formln</t>
        </is>
      </c>
      <c r="G193" s="31" t="inlineStr">
        <is>
          <t>smallcap</t>
        </is>
      </c>
      <c r="H193" s="32" t="n">
        <v>3035.16</v>
      </c>
      <c r="I193" s="32" t="n">
        <v>628.55</v>
      </c>
      <c r="J193" s="32" t="n">
        <v>-0.09</v>
      </c>
      <c r="K193" s="32" t="n">
        <v>469905</v>
      </c>
      <c r="L193" s="31" t="n">
        <v>18</v>
      </c>
      <c r="M193" s="31" t="inlineStr">
        <is>
          <t>Underperforming</t>
        </is>
      </c>
      <c r="N193" s="32">
        <f>IF(M193="Underperforming",-5,IF(L193&gt;=95,15,IF(L193&gt;=90,10,IF(L193&gt;=80,5,0))))</f>
        <v/>
      </c>
      <c r="O193" s="32" t="n">
        <v>61.87</v>
      </c>
      <c r="P193" s="32" t="n">
        <v>24.77</v>
      </c>
      <c r="Q193" s="32" t="n">
        <v>462.28</v>
      </c>
      <c r="R193" s="31" t="inlineStr">
        <is>
          <t>Earnings / Momentum Support</t>
        </is>
      </c>
      <c r="S193" s="31" t="inlineStr">
        <is>
          <t>Nifty Pharma</t>
        </is>
      </c>
      <c r="T193" s="32" t="n">
        <v>21.83</v>
      </c>
      <c r="U193" s="32" t="n">
        <v>2.55</v>
      </c>
      <c r="V193" s="32" t="n">
        <v>-15.83</v>
      </c>
      <c r="W193" s="32" t="n">
        <v>5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Yes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Annuity, Lower One Time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IF(B194=0,"",RANK(B194,$B$2:$B$370,0))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UNITDSPR</t>
        </is>
      </c>
      <c r="D194" s="31" t="inlineStr">
        <is>
          <t>United Spirits Ltd</t>
        </is>
      </c>
      <c r="E194" s="31" t="inlineStr">
        <is>
          <t>fmcg</t>
        </is>
      </c>
      <c r="F194" s="31" t="inlineStr">
        <is>
          <t>breweries &amp; distilleries</t>
        </is>
      </c>
      <c r="G194" s="31" t="inlineStr">
        <is>
          <t>largecap</t>
        </is>
      </c>
      <c r="H194" s="32" t="n">
        <v>113103.06</v>
      </c>
      <c r="I194" s="32" t="n">
        <v>1550</v>
      </c>
      <c r="J194" s="32" t="n">
        <v>-0.32</v>
      </c>
      <c r="K194" s="32" t="n">
        <v>215156</v>
      </c>
      <c r="L194" s="31" t="inlineStr"/>
      <c r="M194" s="31" t="inlineStr"/>
      <c r="N194" s="32">
        <f>IF(M194="Underperforming",-5,IF(L194&gt;=95,15,IF(L194&gt;=90,10,IF(L194&gt;=80,5,0))))</f>
        <v/>
      </c>
      <c r="O194" s="32" t="n">
        <v>69.18000000000001</v>
      </c>
      <c r="P194" s="32" t="n">
        <v>25.71</v>
      </c>
      <c r="Q194" s="32" t="n">
        <v>1365.84</v>
      </c>
      <c r="R194" s="31" t="inlineStr">
        <is>
          <t>Near 52W High Breakout</t>
        </is>
      </c>
      <c r="S194" s="31" t="inlineStr">
        <is>
          <t>Nifty FMCG</t>
        </is>
      </c>
      <c r="T194" s="32" t="inlineStr"/>
      <c r="U194" s="32" t="inlineStr"/>
      <c r="V194" s="32" t="inlineStr"/>
      <c r="W194" s="32" t="inlineStr"/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B2C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Annuity, Lower One Time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IF(B195=0,"",RANK(B195,$B$2:$B$370,0))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3" t="inlineStr">
        <is>
          <t>PPLPHARMA</t>
        </is>
      </c>
      <c r="D195" s="33" t="inlineStr">
        <is>
          <t>Piramal Pharma Ltd</t>
        </is>
      </c>
      <c r="E195" s="31" t="inlineStr">
        <is>
          <t>healthcare</t>
        </is>
      </c>
      <c r="F195" s="31" t="inlineStr">
        <is>
          <t>pharmaceuticals - indian - bulk drugs &amp; formln</t>
        </is>
      </c>
      <c r="G195" s="31" t="inlineStr">
        <is>
          <t>largecap</t>
        </is>
      </c>
      <c r="H195" s="32" t="n">
        <v>28111.42</v>
      </c>
      <c r="I195" s="32" t="n">
        <v>207.71</v>
      </c>
      <c r="J195" s="32" t="n">
        <v>-1.63</v>
      </c>
      <c r="K195" s="32" t="n">
        <v>1877305</v>
      </c>
      <c r="L195" s="31" t="n">
        <v>28</v>
      </c>
      <c r="M195" s="31" t="inlineStr">
        <is>
          <t>Underperforming</t>
        </is>
      </c>
      <c r="N195" s="32">
        <f>IF(M195="Underperforming",-5,IF(L195&gt;=95,15,IF(L195&gt;=90,10,IF(L195&gt;=80,5,0))))</f>
        <v/>
      </c>
      <c r="O195" s="32" t="n">
        <v>66.51000000000001</v>
      </c>
      <c r="P195" s="32" t="n">
        <v>28.77</v>
      </c>
      <c r="Q195" s="32" t="n">
        <v>170.21</v>
      </c>
      <c r="R195" s="31" t="inlineStr">
        <is>
          <t>Near 52W High Breakout</t>
        </is>
      </c>
      <c r="S195" s="31" t="inlineStr">
        <is>
          <t>Nifty Pharma</t>
        </is>
      </c>
      <c r="T195" s="32" t="n">
        <v>21.83</v>
      </c>
      <c r="U195" s="32" t="n">
        <v>13.23</v>
      </c>
      <c r="V195" s="32" t="n">
        <v>-7.06</v>
      </c>
      <c r="W195" s="32" t="n">
        <v>7.31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Yes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Annuity, Lower One Time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IF(B196=0,"",RANK(B196,$B$2:$B$370,0))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3" t="inlineStr">
        <is>
          <t>ALBERTDAVD</t>
        </is>
      </c>
      <c r="D196" s="33" t="inlineStr">
        <is>
          <t>Albert David Limited</t>
        </is>
      </c>
      <c r="E196" s="31" t="inlineStr">
        <is>
          <t>healthcare</t>
        </is>
      </c>
      <c r="F196" s="31" t="inlineStr">
        <is>
          <t>pharmaceuticals - indian - bulk drugs &amp; formln</t>
        </is>
      </c>
      <c r="G196" s="31" t="inlineStr">
        <is>
          <t>smallcap</t>
        </is>
      </c>
      <c r="H196" s="32" t="n">
        <v>507.2</v>
      </c>
      <c r="I196" s="32" t="n">
        <v>873.05</v>
      </c>
      <c r="J196" s="32" t="n">
        <v>-1.76</v>
      </c>
      <c r="K196" s="32" t="n">
        <v>11754</v>
      </c>
      <c r="L196" s="31" t="n">
        <v>27</v>
      </c>
      <c r="M196" s="31" t="inlineStr">
        <is>
          <t>Underperforming</t>
        </is>
      </c>
      <c r="N196" s="32">
        <f>IF(M196="Underperforming",-5,IF(L196&gt;=95,15,IF(L196&gt;=90,10,IF(L196&gt;=80,5,0))))</f>
        <v/>
      </c>
      <c r="O196" s="32" t="n">
        <v>67.97</v>
      </c>
      <c r="P196" s="32" t="n">
        <v>29.21</v>
      </c>
      <c r="Q196" s="32" t="n">
        <v>709.75</v>
      </c>
      <c r="R196" s="31" t="inlineStr">
        <is>
          <t>Near 52W High Breakout</t>
        </is>
      </c>
      <c r="S196" s="31" t="inlineStr">
        <is>
          <t>Nifty Pharma</t>
        </is>
      </c>
      <c r="T196" s="32" t="n">
        <v>21.83</v>
      </c>
      <c r="U196" s="32" t="n">
        <v>9.1</v>
      </c>
      <c r="V196" s="32" t="n">
        <v>-10.45</v>
      </c>
      <c r="W196" s="32" t="n">
        <v>7.01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Yes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Annuity, Lower One Time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IF(B197=0,"",RANK(B197,$B$2:$B$370,0))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BECTORFOOD</t>
        </is>
      </c>
      <c r="D197" s="31" t="inlineStr">
        <is>
          <t>Mrs Bectors Food Specialities Ltd</t>
        </is>
      </c>
      <c r="E197" s="31" t="inlineStr">
        <is>
          <t>fmcg</t>
        </is>
      </c>
      <c r="F197" s="31" t="inlineStr">
        <is>
          <t>food - processing - indian</t>
        </is>
      </c>
      <c r="G197" s="31" t="inlineStr">
        <is>
          <t>midcap</t>
        </is>
      </c>
      <c r="H197" s="32" t="n">
        <v>7898.56</v>
      </c>
      <c r="I197" s="32" t="n">
        <v>250.89</v>
      </c>
      <c r="J197" s="32" t="n">
        <v>-2.49</v>
      </c>
      <c r="K197" s="32" t="n">
        <v>850715</v>
      </c>
      <c r="L197" s="31" t="inlineStr"/>
      <c r="M197" s="31" t="inlineStr"/>
      <c r="N197" s="32">
        <f>IF(M197="Underperforming",-5,IF(L197&gt;=95,15,IF(L197&gt;=90,10,IF(L197&gt;=80,5,0))))</f>
        <v/>
      </c>
      <c r="O197" s="32" t="n">
        <v>67.15000000000001</v>
      </c>
      <c r="P197" s="32" t="n">
        <v>20.25</v>
      </c>
      <c r="Q197" s="32" t="n">
        <v>198.48</v>
      </c>
      <c r="R197" s="31" t="inlineStr">
        <is>
          <t>Earnings / Momentum Support</t>
        </is>
      </c>
      <c r="S197" s="31" t="inlineStr">
        <is>
          <t>Nifty FMCG</t>
        </is>
      </c>
      <c r="T197" s="32" t="inlineStr"/>
      <c r="U197" s="32" t="inlineStr"/>
      <c r="V197" s="32" t="inlineStr"/>
      <c r="W197" s="32" t="inlineStr"/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B2C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Annuity, Lower One Time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IF(B198=0,"",RANK(B198,$B$2:$B$370,0))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AVADHSUGAR</t>
        </is>
      </c>
      <c r="D198" s="31" t="inlineStr">
        <is>
          <t>Avadh Sugar &amp; Energy</t>
        </is>
      </c>
      <c r="E198" s="31" t="inlineStr">
        <is>
          <t>fmcg</t>
        </is>
      </c>
      <c r="F198" s="31" t="inlineStr">
        <is>
          <t>sugar</t>
        </is>
      </c>
      <c r="G198" s="31" t="inlineStr">
        <is>
          <t>smallcap</t>
        </is>
      </c>
      <c r="H198" s="32" t="n">
        <v>1665.93</v>
      </c>
      <c r="I198" s="32" t="n">
        <v>806.15</v>
      </c>
      <c r="J198" s="32" t="n">
        <v>-3.13</v>
      </c>
      <c r="K198" s="32" t="n">
        <v>456621</v>
      </c>
      <c r="L198" s="31" t="inlineStr"/>
      <c r="M198" s="31" t="inlineStr"/>
      <c r="N198" s="32">
        <f>IF(M198="Underperforming",-5,IF(L198&gt;=95,15,IF(L198&gt;=90,10,IF(L198&gt;=80,5,0))))</f>
        <v/>
      </c>
      <c r="O198" s="32" t="n">
        <v>80.62</v>
      </c>
      <c r="P198" s="32" t="n">
        <v>43.26</v>
      </c>
      <c r="Q198" s="32" t="n">
        <v>644.24</v>
      </c>
      <c r="R198" s="31" t="inlineStr">
        <is>
          <t>Near 52W High Breakout</t>
        </is>
      </c>
      <c r="S198" s="31" t="inlineStr">
        <is>
          <t>Nifty FMCG</t>
        </is>
      </c>
      <c r="T198" s="32" t="inlineStr"/>
      <c r="U198" s="32" t="inlineStr"/>
      <c r="V198" s="32" t="inlineStr"/>
      <c r="W198" s="32" t="inlineStr"/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B2C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Annuity, Lower One Time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Above 40</t>
        </is>
      </c>
      <c r="AY198" s="31">
        <f>IF(AX198="Above 40",20,IF(AX198="20 to 40",10,IF(AX198="0 to 20",-5,0)))</f>
        <v/>
      </c>
      <c r="AZ198" s="31" t="inlineStr">
        <is>
          <t>Above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Blue sky scenario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More than 1.2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IF(B199=0,"",RANK(B199,$B$2:$B$370,0))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PAYTM</t>
        </is>
      </c>
      <c r="D199" s="31" t="inlineStr">
        <is>
          <t>One 97 Communications Ltd</t>
        </is>
      </c>
      <c r="E199" s="31" t="inlineStr">
        <is>
          <t>i.t</t>
        </is>
      </c>
      <c r="F199" s="31" t="inlineStr">
        <is>
          <t>miscellaneous</t>
        </is>
      </c>
      <c r="G199" s="31" t="inlineStr">
        <is>
          <t>largecap</t>
        </is>
      </c>
      <c r="H199" s="32" t="n">
        <v>103958.71</v>
      </c>
      <c r="I199" s="32" t="n">
        <v>1718</v>
      </c>
      <c r="J199" s="32" t="n">
        <v>5.82</v>
      </c>
      <c r="K199" s="32" t="n">
        <v>10127654</v>
      </c>
      <c r="L199" s="31" t="n">
        <v>71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77</v>
      </c>
      <c r="P199" s="32" t="n">
        <v>23.48</v>
      </c>
      <c r="Q199" s="32" t="n">
        <v>1395.32</v>
      </c>
      <c r="R199" s="31" t="inlineStr">
        <is>
          <t>Near 52W High Breakout</t>
        </is>
      </c>
      <c r="S199" s="31" t="inlineStr">
        <is>
          <t>Nifty IT</t>
        </is>
      </c>
      <c r="T199" s="32" t="n">
        <v>-12.53</v>
      </c>
      <c r="U199" s="32" t="n">
        <v>42.34</v>
      </c>
      <c r="V199" s="32" t="n">
        <v>62.73</v>
      </c>
      <c r="W199" s="32" t="n">
        <v>20.31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Above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IF(B200=0,"",RANK(B200,$B$2:$B$370,0))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GANESHHOU</t>
        </is>
      </c>
      <c r="D200" s="31" t="inlineStr">
        <is>
          <t>Ganesh Housing Ltd</t>
        </is>
      </c>
      <c r="E200" s="31" t="inlineStr">
        <is>
          <t>realty</t>
        </is>
      </c>
      <c r="F200" s="31" t="inlineStr">
        <is>
          <t>construction</t>
        </is>
      </c>
      <c r="G200" s="31" t="inlineStr">
        <is>
          <t>midcap</t>
        </is>
      </c>
      <c r="H200" s="32" t="n">
        <v>6738.93</v>
      </c>
      <c r="I200" s="32" t="n">
        <v>839</v>
      </c>
      <c r="J200" s="32" t="n">
        <v>3.82</v>
      </c>
      <c r="K200" s="32" t="n">
        <v>126162</v>
      </c>
      <c r="L200" s="31" t="inlineStr"/>
      <c r="M200" s="31" t="inlineStr"/>
      <c r="N200" s="32">
        <f>IF(M200="Underperforming",-5,IF(L200&gt;=95,15,IF(L200&gt;=90,10,IF(L200&gt;=80,5,0))))</f>
        <v/>
      </c>
      <c r="O200" s="32" t="n">
        <v>58.57</v>
      </c>
      <c r="P200" s="32" t="n">
        <v>20.43</v>
      </c>
      <c r="Q200" s="32" t="n">
        <v>671.79</v>
      </c>
      <c r="R200" s="31" t="inlineStr">
        <is>
          <t>Near 52W High Breakout</t>
        </is>
      </c>
      <c r="S200" s="31" t="inlineStr">
        <is>
          <t>Nifty Realty</t>
        </is>
      </c>
      <c r="T200" s="32" t="inlineStr"/>
      <c r="U200" s="32" t="inlineStr"/>
      <c r="V200" s="32" t="inlineStr"/>
      <c r="W200" s="32" t="inlineStr"/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IF(B201=0,"",RANK(B201,$B$2:$B$370,0))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NIITLTD</t>
        </is>
      </c>
      <c r="D201" s="31" t="inlineStr">
        <is>
          <t>Niit Limited</t>
        </is>
      </c>
      <c r="E201" s="31" t="inlineStr">
        <is>
          <t>i.t</t>
        </is>
      </c>
      <c r="F201" s="31" t="inlineStr">
        <is>
          <t>computers - education</t>
        </is>
      </c>
      <c r="G201" s="31" t="inlineStr">
        <is>
          <t>smallcap</t>
        </is>
      </c>
      <c r="H201" s="32" t="n">
        <v>1354.24</v>
      </c>
      <c r="I201" s="32" t="n">
        <v>102.68</v>
      </c>
      <c r="J201" s="32" t="n">
        <v>3.61</v>
      </c>
      <c r="K201" s="32" t="n">
        <v>1783845</v>
      </c>
      <c r="L201" s="31" t="n">
        <v>51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62.97</v>
      </c>
      <c r="P201" s="32" t="n">
        <v>29.15</v>
      </c>
      <c r="Q201" s="32" t="n">
        <v>73.66</v>
      </c>
      <c r="R201" s="31" t="inlineStr">
        <is>
          <t>Earnings / Momentum Support</t>
        </is>
      </c>
      <c r="S201" s="31" t="inlineStr">
        <is>
          <t>Nifty IT</t>
        </is>
      </c>
      <c r="T201" s="32" t="n">
        <v>-12.53</v>
      </c>
      <c r="U201" s="32" t="n">
        <v>-2.39</v>
      </c>
      <c r="V201" s="32" t="n">
        <v>11.6</v>
      </c>
      <c r="W201" s="32" t="n">
        <v>13.07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Between 1.5 to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IF(B202=0,"",RANK(B202,$B$2:$B$370,0))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BEPL</t>
        </is>
      </c>
      <c r="D202" s="31" t="inlineStr">
        <is>
          <t>Bhansali Engineering Polymers Limited</t>
        </is>
      </c>
      <c r="E202" s="31" t="inlineStr">
        <is>
          <t>energy</t>
        </is>
      </c>
      <c r="F202" s="31" t="inlineStr">
        <is>
          <t>petrochemicals</t>
        </is>
      </c>
      <c r="G202" s="31" t="inlineStr">
        <is>
          <t>smallcap</t>
        </is>
      </c>
      <c r="H202" s="32" t="n">
        <v>3117.2</v>
      </c>
      <c r="I202" s="32" t="n">
        <v>129.62</v>
      </c>
      <c r="J202" s="32" t="n">
        <v>3.48</v>
      </c>
      <c r="K202" s="32" t="n">
        <v>5825644</v>
      </c>
      <c r="L202" s="31" t="inlineStr"/>
      <c r="M202" s="31" t="inlineStr"/>
      <c r="N202" s="32">
        <f>IF(M202="Underperforming",-5,IF(L202&gt;=95,15,IF(L202&gt;=90,10,IF(L202&gt;=80,5,0))))</f>
        <v/>
      </c>
      <c r="O202" s="32" t="n">
        <v>74.43000000000001</v>
      </c>
      <c r="P202" s="32" t="n">
        <v>52.77</v>
      </c>
      <c r="Q202" s="32" t="n">
        <v>102.72</v>
      </c>
      <c r="R202" s="31" t="inlineStr">
        <is>
          <t>Near 52W High Breakout</t>
        </is>
      </c>
      <c r="S202" s="31" t="inlineStr">
        <is>
          <t>Nifty Energy</t>
        </is>
      </c>
      <c r="T202" s="32" t="inlineStr"/>
      <c r="U202" s="32" t="inlineStr"/>
      <c r="V202" s="32" t="inlineStr"/>
      <c r="W202" s="32" t="inlineStr"/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Oligopoly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Yes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Cyclical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Volatile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Less than 1.5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IF(B203=0,"",RANK(B203,$B$2:$B$370,0))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KOLTEPATIL</t>
        </is>
      </c>
      <c r="D203" s="31" t="inlineStr">
        <is>
          <t>Kolte - Patil Developers Limited</t>
        </is>
      </c>
      <c r="E203" s="31" t="inlineStr">
        <is>
          <t>realty</t>
        </is>
      </c>
      <c r="F203" s="31" t="inlineStr">
        <is>
          <t>construction</t>
        </is>
      </c>
      <c r="G203" s="31" t="inlineStr">
        <is>
          <t>smallcap</t>
        </is>
      </c>
      <c r="H203" s="32" t="n">
        <v>4009.23</v>
      </c>
      <c r="I203" s="32" t="n">
        <v>460</v>
      </c>
      <c r="J203" s="32" t="n">
        <v>1.75</v>
      </c>
      <c r="K203" s="32" t="n">
        <v>218111</v>
      </c>
      <c r="L203" s="31" t="inlineStr"/>
      <c r="M203" s="31" t="inlineStr"/>
      <c r="N203" s="32">
        <f>IF(M203="Underperforming",-5,IF(L203&gt;=95,15,IF(L203&gt;=90,10,IF(L203&gt;=80,5,0))))</f>
        <v/>
      </c>
      <c r="O203" s="32" t="n">
        <v>66.38</v>
      </c>
      <c r="P203" s="32" t="n">
        <v>23.46</v>
      </c>
      <c r="Q203" s="32" t="n">
        <v>367.16</v>
      </c>
      <c r="R203" s="31" t="inlineStr">
        <is>
          <t>Near 52W High Breakout</t>
        </is>
      </c>
      <c r="S203" s="31" t="inlineStr">
        <is>
          <t>Nifty Realty</t>
        </is>
      </c>
      <c r="T203" s="32" t="inlineStr"/>
      <c r="U203" s="32" t="inlineStr"/>
      <c r="V203" s="32" t="inlineStr"/>
      <c r="W203" s="32" t="inlineStr"/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Blue sky scenario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IF(B204=0,"",RANK(B204,$B$2:$B$370,0))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TVSMOTOR</t>
        </is>
      </c>
      <c r="D204" s="31" t="inlineStr">
        <is>
          <t>Tvs Motor Company Limited</t>
        </is>
      </c>
      <c r="E204" s="31" t="inlineStr">
        <is>
          <t>auto</t>
        </is>
      </c>
      <c r="F204" s="31" t="inlineStr">
        <is>
          <t>automobiles - motorcycles / mopeds</t>
        </is>
      </c>
      <c r="G204" s="31" t="inlineStr">
        <is>
          <t>largecap</t>
        </is>
      </c>
      <c r="H204" s="32" t="n">
        <v>207304.26</v>
      </c>
      <c r="I204" s="32" t="n">
        <v>4420</v>
      </c>
      <c r="J204" s="32" t="n">
        <v>1.29</v>
      </c>
      <c r="K204" s="32" t="n">
        <v>524545</v>
      </c>
      <c r="L204" s="31" t="inlineStr"/>
      <c r="M204" s="31" t="inlineStr"/>
      <c r="N204" s="32">
        <f>IF(M204="Underperforming",-5,IF(L204&gt;=95,15,IF(L204&gt;=90,10,IF(L204&gt;=80,5,0))))</f>
        <v/>
      </c>
      <c r="O204" s="32" t="n">
        <v>69.38</v>
      </c>
      <c r="P204" s="32" t="n">
        <v>26.49</v>
      </c>
      <c r="Q204" s="32" t="n">
        <v>3795.2</v>
      </c>
      <c r="R204" s="31" t="inlineStr">
        <is>
          <t>Near 52W High Breakout</t>
        </is>
      </c>
      <c r="S204" s="31" t="inlineStr">
        <is>
          <t>Nifty Auto</t>
        </is>
      </c>
      <c r="T204" s="32" t="inlineStr"/>
      <c r="U204" s="32" t="inlineStr"/>
      <c r="V204" s="32" t="inlineStr"/>
      <c r="W204" s="32" t="inlineStr"/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More than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IF(B205=0,"",RANK(B205,$B$2:$B$370,0))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LUMAXIND</t>
        </is>
      </c>
      <c r="D205" s="31" t="inlineStr">
        <is>
          <t>Lumax Industries Limited</t>
        </is>
      </c>
      <c r="E205" s="31" t="inlineStr">
        <is>
          <t>auto</t>
        </is>
      </c>
      <c r="F205" s="31" t="inlineStr">
        <is>
          <t>auto ancillaries</t>
        </is>
      </c>
      <c r="G205" s="31" t="inlineStr">
        <is>
          <t>midcap</t>
        </is>
      </c>
      <c r="H205" s="32" t="n">
        <v>5429.63</v>
      </c>
      <c r="I205" s="32" t="n">
        <v>5882.5</v>
      </c>
      <c r="J205" s="32" t="n">
        <v>1.27</v>
      </c>
      <c r="K205" s="32" t="n">
        <v>13451</v>
      </c>
      <c r="L205" s="31" t="inlineStr"/>
      <c r="M205" s="31" t="inlineStr"/>
      <c r="N205" s="32">
        <f>IF(M205="Underperforming",-5,IF(L205&gt;=95,15,IF(L205&gt;=90,10,IF(L205&gt;=80,5,0))))</f>
        <v/>
      </c>
      <c r="O205" s="32" t="n">
        <v>61.1</v>
      </c>
      <c r="P205" s="32" t="n">
        <v>12.16</v>
      </c>
      <c r="Q205" s="32" t="n">
        <v>4545.62</v>
      </c>
      <c r="R205" s="31" t="inlineStr">
        <is>
          <t>Near 52W High Breakout</t>
        </is>
      </c>
      <c r="S205" s="31" t="inlineStr">
        <is>
          <t>Nifty Auto</t>
        </is>
      </c>
      <c r="T205" s="32" t="inlineStr"/>
      <c r="U205" s="32" t="inlineStr"/>
      <c r="V205" s="32" t="inlineStr"/>
      <c r="W205" s="32" t="inlineStr"/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0 to 20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Less than 1.5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Between 0.7 to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IF(B206=0,"",RANK(B206,$B$2:$B$370,0))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JSWINFRA</t>
        </is>
      </c>
      <c r="D206" s="31" t="inlineStr">
        <is>
          <t>JSW Infrastructure Ltd</t>
        </is>
      </c>
      <c r="E206" s="31" t="inlineStr">
        <is>
          <t>transportation</t>
        </is>
      </c>
      <c r="F206" s="31" t="inlineStr">
        <is>
          <t>miscellaneous</t>
        </is>
      </c>
      <c r="G206" s="31" t="inlineStr">
        <is>
          <t>largecap</t>
        </is>
      </c>
      <c r="H206" s="32" t="n">
        <v>79266.64999999999</v>
      </c>
      <c r="I206" s="32" t="n">
        <v>343.95</v>
      </c>
      <c r="J206" s="32" t="n">
        <v>1.1</v>
      </c>
      <c r="K206" s="32" t="n">
        <v>2904594</v>
      </c>
      <c r="L206" s="31" t="n">
        <v>35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65.52</v>
      </c>
      <c r="P206" s="32" t="n">
        <v>39.98</v>
      </c>
      <c r="Q206" s="32" t="n">
        <v>282</v>
      </c>
      <c r="R206" s="31" t="inlineStr">
        <is>
          <t>Near 52W High Breakout</t>
        </is>
      </c>
      <c r="S206" s="31" t="inlineStr">
        <is>
          <t>Nifty 50</t>
        </is>
      </c>
      <c r="T206" s="32" t="n">
        <v>-0.38</v>
      </c>
      <c r="U206" s="32" t="n">
        <v>16.55</v>
      </c>
      <c r="V206" s="32" t="n">
        <v>16.99</v>
      </c>
      <c r="W206" s="32" t="n">
        <v>8.85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IF(B207=0,"",RANK(B207,$B$2:$B$370,0))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TITAN</t>
        </is>
      </c>
      <c r="D207" s="31" t="inlineStr">
        <is>
          <t>Titan Company Limited</t>
        </is>
      </c>
      <c r="E207" s="31" t="inlineStr">
        <is>
          <t>consumer discretionary</t>
        </is>
      </c>
      <c r="F207" s="31" t="inlineStr">
        <is>
          <t>diamond cutting / jewellery</t>
        </is>
      </c>
      <c r="G207" s="31" t="inlineStr">
        <is>
          <t>largecap</t>
        </is>
      </c>
      <c r="H207" s="32" t="n">
        <v>450906.59</v>
      </c>
      <c r="I207" s="32" t="n">
        <v>5124.8</v>
      </c>
      <c r="J207" s="32" t="n">
        <v>0.9</v>
      </c>
      <c r="K207" s="32" t="n">
        <v>329602</v>
      </c>
      <c r="L207" s="31" t="n">
        <v>50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72.98999999999999</v>
      </c>
      <c r="P207" s="32" t="n">
        <v>30.81</v>
      </c>
      <c r="Q207" s="32" t="n">
        <v>4530.18</v>
      </c>
      <c r="R207" s="31" t="inlineStr">
        <is>
          <t>Near 52W High Breakout</t>
        </is>
      </c>
      <c r="S207" s="31" t="inlineStr">
        <is>
          <t>Nifty 50</t>
        </is>
      </c>
      <c r="T207" s="32" t="n">
        <v>-0.38</v>
      </c>
      <c r="U207" s="32" t="n">
        <v>41.69</v>
      </c>
      <c r="V207" s="32" t="n">
        <v>42.23</v>
      </c>
      <c r="W207" s="32" t="n">
        <v>12.99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Less than 1.5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More than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IF(B208=0,"",RANK(B208,$B$2:$B$370,0))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MOLDTECH</t>
        </is>
      </c>
      <c r="D208" s="31" t="inlineStr">
        <is>
          <t>Mold-tek Technologies Limited</t>
        </is>
      </c>
      <c r="E208" s="31" t="inlineStr">
        <is>
          <t>realty</t>
        </is>
      </c>
      <c r="F208" s="31" t="inlineStr">
        <is>
          <t>engineering - turnkey services</t>
        </is>
      </c>
      <c r="G208" s="31" t="inlineStr">
        <is>
          <t>smallcap</t>
        </is>
      </c>
      <c r="H208" s="32" t="n">
        <v>557.72</v>
      </c>
      <c r="I208" s="32" t="n">
        <v>195</v>
      </c>
      <c r="J208" s="32" t="n">
        <v>0.71</v>
      </c>
      <c r="K208" s="32" t="n">
        <v>138976</v>
      </c>
      <c r="L208" s="31" t="inlineStr"/>
      <c r="M208" s="31" t="inlineStr"/>
      <c r="N208" s="32">
        <f>IF(M208="Underperforming",-5,IF(L208&gt;=95,15,IF(L208&gt;=90,10,IF(L208&gt;=80,5,0))))</f>
        <v/>
      </c>
      <c r="O208" s="32" t="n">
        <v>70.52</v>
      </c>
      <c r="P208" s="32" t="n">
        <v>33.33</v>
      </c>
      <c r="Q208" s="32" t="n">
        <v>138.91</v>
      </c>
      <c r="R208" s="31" t="inlineStr">
        <is>
          <t>Earnings / Momentum Support</t>
        </is>
      </c>
      <c r="S208" s="31" t="inlineStr">
        <is>
          <t>Nifty Realty</t>
        </is>
      </c>
      <c r="T208" s="32" t="inlineStr"/>
      <c r="U208" s="32" t="inlineStr"/>
      <c r="V208" s="32" t="inlineStr"/>
      <c r="W208" s="32" t="inlineStr"/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IF(B209=0,"",RANK(B209,$B$2:$B$370,0))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ORIENTHOT</t>
        </is>
      </c>
      <c r="D209" s="31" t="inlineStr">
        <is>
          <t>Oriental Hotels Limited</t>
        </is>
      </c>
      <c r="E209" s="31" t="inlineStr">
        <is>
          <t>services</t>
        </is>
      </c>
      <c r="F209" s="31" t="inlineStr">
        <is>
          <t>hotels</t>
        </is>
      </c>
      <c r="G209" s="31" t="inlineStr">
        <is>
          <t>smallcap</t>
        </is>
      </c>
      <c r="H209" s="32" t="n">
        <v>2532.18</v>
      </c>
      <c r="I209" s="32" t="n">
        <v>141.59</v>
      </c>
      <c r="J209" s="32" t="n">
        <v>-0.13</v>
      </c>
      <c r="K209" s="32" t="n">
        <v>5266158</v>
      </c>
      <c r="L209" s="31" t="n">
        <v>49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63.88</v>
      </c>
      <c r="P209" s="32" t="n">
        <v>35.82</v>
      </c>
      <c r="Q209" s="32" t="n">
        <v>104.47</v>
      </c>
      <c r="R209" s="31" t="inlineStr">
        <is>
          <t>Near 52W High Breakout</t>
        </is>
      </c>
      <c r="S209" s="31" t="inlineStr">
        <is>
          <t>Nifty 50</t>
        </is>
      </c>
      <c r="T209" s="32" t="n">
        <v>-0.38</v>
      </c>
      <c r="U209" s="32" t="n">
        <v>3.7</v>
      </c>
      <c r="V209" s="32" t="n">
        <v>4.1</v>
      </c>
      <c r="W209" s="32" t="n">
        <v>12.8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IF(B210=0,"",RANK(B210,$B$2:$B$370,0))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ESABINDIA</t>
        </is>
      </c>
      <c r="D210" s="31" t="inlineStr">
        <is>
          <t>Esab India Limited</t>
        </is>
      </c>
      <c r="E210" s="31" t="inlineStr">
        <is>
          <t>industrials</t>
        </is>
      </c>
      <c r="F210" s="31" t="inlineStr">
        <is>
          <t>electrodes - welding equipment</t>
        </is>
      </c>
      <c r="G210" s="31" t="inlineStr">
        <is>
          <t>midcap</t>
        </is>
      </c>
      <c r="H210" s="32" t="n">
        <v>9581.389999999999</v>
      </c>
      <c r="I210" s="32" t="n">
        <v>6200</v>
      </c>
      <c r="J210" s="32" t="n">
        <v>-0.39</v>
      </c>
      <c r="K210" s="32" t="n">
        <v>4697</v>
      </c>
      <c r="L210" s="31" t="inlineStr"/>
      <c r="M210" s="31" t="inlineStr"/>
      <c r="N210" s="32">
        <f>IF(M210="Underperforming",-5,IF(L210&gt;=95,15,IF(L210&gt;=90,10,IF(L210&gt;=80,5,0))))</f>
        <v/>
      </c>
      <c r="O210" s="32" t="n">
        <v>56.76</v>
      </c>
      <c r="P210" s="32" t="n">
        <v>22.88</v>
      </c>
      <c r="Q210" s="32" t="n">
        <v>5377.48</v>
      </c>
      <c r="R210" s="31" t="inlineStr">
        <is>
          <t>Earnings / Momentum Support</t>
        </is>
      </c>
      <c r="S210" s="31" t="inlineStr">
        <is>
          <t>Nifty Infra</t>
        </is>
      </c>
      <c r="T210" s="32" t="inlineStr"/>
      <c r="U210" s="32" t="inlineStr"/>
      <c r="V210" s="32" t="inlineStr"/>
      <c r="W210" s="32" t="inlineStr"/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IF(B211=0,"",RANK(B211,$B$2:$B$370,0))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MATRIMONY</t>
        </is>
      </c>
      <c r="D211" s="31" t="inlineStr">
        <is>
          <t>Matrimony.com Ltd</t>
        </is>
      </c>
      <c r="E211" s="31" t="inlineStr">
        <is>
          <t>miscellaneous</t>
        </is>
      </c>
      <c r="F211" s="31" t="inlineStr">
        <is>
          <t>miscellaneous</t>
        </is>
      </c>
      <c r="G211" s="31" t="inlineStr">
        <is>
          <t>smallcap</t>
        </is>
      </c>
      <c r="H211" s="32" t="n">
        <v>1078.01</v>
      </c>
      <c r="I211" s="32" t="n">
        <v>518.8</v>
      </c>
      <c r="J211" s="32" t="n">
        <v>-0.51</v>
      </c>
      <c r="K211" s="32" t="n">
        <v>19475</v>
      </c>
      <c r="L211" s="31" t="n">
        <v>23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63.59</v>
      </c>
      <c r="P211" s="32" t="n">
        <v>27.52</v>
      </c>
      <c r="Q211" s="32" t="n">
        <v>422.95</v>
      </c>
      <c r="R211" s="31" t="inlineStr">
        <is>
          <t>Earnings / Momentum Support</t>
        </is>
      </c>
      <c r="S211" s="31" t="inlineStr">
        <is>
          <t>Nifty 50</t>
        </is>
      </c>
      <c r="T211" s="32" t="n">
        <v>-0.38</v>
      </c>
      <c r="U211" s="32" t="n">
        <v>3.2</v>
      </c>
      <c r="V211" s="32" t="n">
        <v>3.59</v>
      </c>
      <c r="W211" s="32" t="n">
        <v>6.38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IF(B212=0,"",RANK(B212,$B$2:$B$370,0))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SIEMENS</t>
        </is>
      </c>
      <c r="D212" s="31" t="inlineStr">
        <is>
          <t>Siemens Limited</t>
        </is>
      </c>
      <c r="E212" s="31" t="inlineStr">
        <is>
          <t>industrials</t>
        </is>
      </c>
      <c r="F212" s="31" t="inlineStr">
        <is>
          <t>electric equipment</t>
        </is>
      </c>
      <c r="G212" s="31" t="inlineStr">
        <is>
          <t>largecap</t>
        </is>
      </c>
      <c r="H212" s="32" t="n">
        <v>146507.98</v>
      </c>
      <c r="I212" s="32" t="n">
        <v>4090.5</v>
      </c>
      <c r="J212" s="32" t="n">
        <v>-0.57</v>
      </c>
      <c r="K212" s="32" t="n">
        <v>625702</v>
      </c>
      <c r="L212" s="31" t="n">
        <v>28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66.81999999999999</v>
      </c>
      <c r="P212" s="32" t="n">
        <v>27.08</v>
      </c>
      <c r="Q212" s="32" t="n">
        <v>3382.33</v>
      </c>
      <c r="R212" s="31" t="inlineStr">
        <is>
          <t>Near 52W High Breakout</t>
        </is>
      </c>
      <c r="S212" s="31" t="inlineStr">
        <is>
          <t>Nifty 50</t>
        </is>
      </c>
      <c r="T212" s="32" t="n">
        <v>-0.38</v>
      </c>
      <c r="U212" s="32" t="n">
        <v>34.17</v>
      </c>
      <c r="V212" s="32" t="n">
        <v>34.68</v>
      </c>
      <c r="W212" s="32" t="n">
        <v>7.52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IF(B213=0,"",RANK(B213,$B$2:$B$370,0))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AARTIIND</t>
        </is>
      </c>
      <c r="D213" s="31" t="inlineStr">
        <is>
          <t>Aarti Industries Limited</t>
        </is>
      </c>
      <c r="E213" s="31" t="inlineStr">
        <is>
          <t>chemicals</t>
        </is>
      </c>
      <c r="F213" s="31" t="inlineStr">
        <is>
          <t>chemicals</t>
        </is>
      </c>
      <c r="G213" s="31" t="inlineStr">
        <is>
          <t>midcap</t>
        </is>
      </c>
      <c r="H213" s="32" t="n">
        <v>19701.5</v>
      </c>
      <c r="I213" s="32" t="n">
        <v>538.9</v>
      </c>
      <c r="J213" s="32" t="n">
        <v>-0.78</v>
      </c>
      <c r="K213" s="32" t="n">
        <v>1525331</v>
      </c>
      <c r="L213" s="31" t="n">
        <v>40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66.03</v>
      </c>
      <c r="P213" s="32" t="n">
        <v>24.45</v>
      </c>
      <c r="Q213" s="32" t="n">
        <v>434.81</v>
      </c>
      <c r="R213" s="31" t="inlineStr">
        <is>
          <t>Near 52W High Breakout</t>
        </is>
      </c>
      <c r="S213" s="31" t="inlineStr">
        <is>
          <t>Nifty 50</t>
        </is>
      </c>
      <c r="T213" s="32" t="n">
        <v>-0.38</v>
      </c>
      <c r="U213" s="32" t="n">
        <v>43.29</v>
      </c>
      <c r="V213" s="32" t="n">
        <v>43.83</v>
      </c>
      <c r="W213" s="32" t="n">
        <v>10.35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Between 0.7 to 1.2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IF(B214=0,"",RANK(B214,$B$2:$B$370,0))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GANESHBE</t>
        </is>
      </c>
      <c r="D214" s="31" t="inlineStr">
        <is>
          <t>Ganesh Benzoplast Ltd</t>
        </is>
      </c>
      <c r="E214" s="31" t="inlineStr">
        <is>
          <t>miscellaneous</t>
        </is>
      </c>
      <c r="F214" s="31" t="inlineStr">
        <is>
          <t>miscellaneous</t>
        </is>
      </c>
      <c r="G214" s="31" t="inlineStr">
        <is>
          <t>smallcap</t>
        </is>
      </c>
      <c r="H214" s="32" t="n">
        <v>878.13</v>
      </c>
      <c r="I214" s="32" t="n">
        <v>121</v>
      </c>
      <c r="J214" s="32" t="n">
        <v>-0.8</v>
      </c>
      <c r="K214" s="32" t="n">
        <v>109580</v>
      </c>
      <c r="L214" s="31" t="inlineStr"/>
      <c r="M214" s="31" t="inlineStr"/>
      <c r="N214" s="32">
        <f>IF(M214="Underperforming",-5,IF(L214&gt;=95,15,IF(L214&gt;=90,10,IF(L214&gt;=80,5,0))))</f>
        <v/>
      </c>
      <c r="O214" s="32" t="n">
        <v>64.34</v>
      </c>
      <c r="P214" s="32" t="n">
        <v>31.87</v>
      </c>
      <c r="Q214" s="32" t="n">
        <v>90.73999999999999</v>
      </c>
      <c r="R214" s="31" t="inlineStr">
        <is>
          <t>Near 52W High Breakout</t>
        </is>
      </c>
      <c r="S214" s="31" t="inlineStr">
        <is>
          <t>Nifty Energy</t>
        </is>
      </c>
      <c r="T214" s="32" t="inlineStr"/>
      <c r="U214" s="32" t="inlineStr"/>
      <c r="V214" s="32" t="inlineStr"/>
      <c r="W214" s="32" t="inlineStr"/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IF(B215=0,"",RANK(B215,$B$2:$B$370,0))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MANINDS</t>
        </is>
      </c>
      <c r="D215" s="31" t="inlineStr">
        <is>
          <t>Man Industries (india) Limited</t>
        </is>
      </c>
      <c r="E215" s="31" t="inlineStr">
        <is>
          <t>metals &amp; mining</t>
        </is>
      </c>
      <c r="F215" s="31" t="inlineStr">
        <is>
          <t>steel - medium / small</t>
        </is>
      </c>
      <c r="G215" s="31" t="inlineStr">
        <is>
          <t>midcap</t>
        </is>
      </c>
      <c r="H215" s="32" t="n">
        <v>5386.44</v>
      </c>
      <c r="I215" s="32" t="n">
        <v>711.5</v>
      </c>
      <c r="J215" s="32" t="n">
        <v>-0.92</v>
      </c>
      <c r="K215" s="32" t="n">
        <v>558303</v>
      </c>
      <c r="L215" s="31" t="inlineStr"/>
      <c r="M215" s="31" t="inlineStr"/>
      <c r="N215" s="32">
        <f>IF(M215="Underperforming",-5,IF(L215&gt;=95,15,IF(L215&gt;=90,10,IF(L215&gt;=80,5,0))))</f>
        <v/>
      </c>
      <c r="O215" s="32" t="n">
        <v>71.42</v>
      </c>
      <c r="P215" s="32" t="n">
        <v>29.91</v>
      </c>
      <c r="Q215" s="32" t="n">
        <v>542.95</v>
      </c>
      <c r="R215" s="31" t="inlineStr">
        <is>
          <t>Near 52W High Breakout</t>
        </is>
      </c>
      <c r="S215" s="31" t="inlineStr">
        <is>
          <t>Nifty Metal</t>
        </is>
      </c>
      <c r="T215" s="32" t="inlineStr"/>
      <c r="U215" s="32" t="inlineStr"/>
      <c r="V215" s="32" t="inlineStr"/>
      <c r="W215" s="32" t="inlineStr"/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Cyclical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Volatile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Blue sky scenario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IF(B216=0,"",RANK(B216,$B$2:$B$370,0))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MANAKSTEEL</t>
        </is>
      </c>
      <c r="D216" s="31" t="inlineStr">
        <is>
          <t>Manaksia Steels Limited</t>
        </is>
      </c>
      <c r="E216" s="31" t="inlineStr">
        <is>
          <t>metals &amp; mining</t>
        </is>
      </c>
      <c r="F216" s="31" t="inlineStr">
        <is>
          <t>steel - medium / small</t>
        </is>
      </c>
      <c r="G216" s="31" t="inlineStr">
        <is>
          <t>smallcap</t>
        </is>
      </c>
      <c r="H216" s="32" t="n">
        <v>572.64</v>
      </c>
      <c r="I216" s="32" t="n">
        <v>86.33</v>
      </c>
      <c r="J216" s="32" t="n">
        <v>-1.2</v>
      </c>
      <c r="K216" s="32" t="n">
        <v>41227</v>
      </c>
      <c r="L216" s="31" t="inlineStr"/>
      <c r="M216" s="31" t="inlineStr"/>
      <c r="N216" s="32">
        <f>IF(M216="Underperforming",-5,IF(L216&gt;=95,15,IF(L216&gt;=90,10,IF(L216&gt;=80,5,0))))</f>
        <v/>
      </c>
      <c r="O216" s="32" t="n">
        <v>66.59999999999999</v>
      </c>
      <c r="P216" s="32" t="n">
        <v>40.19</v>
      </c>
      <c r="Q216" s="32" t="n">
        <v>62.66</v>
      </c>
      <c r="R216" s="31" t="inlineStr">
        <is>
          <t>Near 52W High Breakout</t>
        </is>
      </c>
      <c r="S216" s="31" t="inlineStr">
        <is>
          <t>Nifty Metal</t>
        </is>
      </c>
      <c r="T216" s="32" t="inlineStr"/>
      <c r="U216" s="32" t="inlineStr"/>
      <c r="V216" s="32" t="inlineStr"/>
      <c r="W216" s="32" t="inlineStr"/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Cyclical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Volatile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Above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Blue sky scenario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IF(B217=0,"",RANK(B217,$B$2:$B$370,0))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GALAXYSURF</t>
        </is>
      </c>
      <c r="D217" s="31" t="inlineStr">
        <is>
          <t>Galaxy Surfactants Ltd</t>
        </is>
      </c>
      <c r="E217" s="31" t="inlineStr">
        <is>
          <t>chemicals</t>
        </is>
      </c>
      <c r="F217" s="31" t="inlineStr">
        <is>
          <t>chemicals</t>
        </is>
      </c>
      <c r="G217" s="31" t="inlineStr">
        <is>
          <t>midcap</t>
        </is>
      </c>
      <c r="H217" s="32" t="n">
        <v>8212.74</v>
      </c>
      <c r="I217" s="32" t="n">
        <v>2284.2</v>
      </c>
      <c r="J217" s="32" t="n">
        <v>-1.39</v>
      </c>
      <c r="K217" s="32" t="n">
        <v>25497</v>
      </c>
      <c r="L217" s="31" t="n">
        <v>28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61.75</v>
      </c>
      <c r="P217" s="32" t="n">
        <v>22.32</v>
      </c>
      <c r="Q217" s="32" t="n">
        <v>2016.01</v>
      </c>
      <c r="R217" s="31" t="inlineStr">
        <is>
          <t>Earnings / Momentum Support</t>
        </is>
      </c>
      <c r="S217" s="31" t="inlineStr">
        <is>
          <t>Nifty 50</t>
        </is>
      </c>
      <c r="T217" s="32" t="n">
        <v>-0.38</v>
      </c>
      <c r="U217" s="32" t="n">
        <v>2.02</v>
      </c>
      <c r="V217" s="32" t="n">
        <v>2.4</v>
      </c>
      <c r="W217" s="32" t="n">
        <v>7.04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IF(B218=0,"",RANK(B218,$B$2:$B$370,0))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SAMBHV</t>
        </is>
      </c>
      <c r="D218" s="31" t="inlineStr">
        <is>
          <t>Sambhv Steel Tubes Ltd</t>
        </is>
      </c>
      <c r="E218" s="31" t="inlineStr">
        <is>
          <t>metals &amp; mining</t>
        </is>
      </c>
      <c r="F218" s="31" t="inlineStr">
        <is>
          <t>steel - medium / small</t>
        </is>
      </c>
      <c r="G218" s="31" t="inlineStr">
        <is>
          <t>smallcap</t>
        </is>
      </c>
      <c r="H218" s="32" t="n">
        <v>3865.5</v>
      </c>
      <c r="I218" s="32" t="n">
        <v>129</v>
      </c>
      <c r="J218" s="32" t="n">
        <v>-1.66</v>
      </c>
      <c r="K218" s="32" t="n">
        <v>941288</v>
      </c>
      <c r="L218" s="31" t="inlineStr"/>
      <c r="M218" s="31" t="inlineStr"/>
      <c r="N218" s="32">
        <f>IF(M218="Underperforming",-5,IF(L218&gt;=95,15,IF(L218&gt;=90,10,IF(L218&gt;=80,5,0))))</f>
        <v/>
      </c>
      <c r="O218" s="32" t="n">
        <v>65.76000000000001</v>
      </c>
      <c r="P218" s="32" t="n">
        <v>28.43</v>
      </c>
      <c r="Q218" s="32" t="n">
        <v>99.18000000000001</v>
      </c>
      <c r="R218" s="31" t="inlineStr">
        <is>
          <t>Near 52W High Breakout</t>
        </is>
      </c>
      <c r="S218" s="31" t="inlineStr">
        <is>
          <t>Nifty Metal</t>
        </is>
      </c>
      <c r="T218" s="32" t="inlineStr"/>
      <c r="U218" s="32" t="inlineStr"/>
      <c r="V218" s="32" t="inlineStr"/>
      <c r="W218" s="32" t="inlineStr"/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Cyclical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Volatile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Blue sky scenario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Less than 1.5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IF(B219=0,"",RANK(B219,$B$2:$B$370,0))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ENGINERSIN</t>
        </is>
      </c>
      <c r="D219" s="31" t="inlineStr">
        <is>
          <t>Engineers India Limited</t>
        </is>
      </c>
      <c r="E219" s="31" t="inlineStr">
        <is>
          <t>realty</t>
        </is>
      </c>
      <c r="F219" s="31" t="inlineStr">
        <is>
          <t>engineering - turnkey services</t>
        </is>
      </c>
      <c r="G219" s="31" t="inlineStr">
        <is>
          <t>midcap</t>
        </is>
      </c>
      <c r="H219" s="32" t="n">
        <v>14322.53</v>
      </c>
      <c r="I219" s="32" t="n">
        <v>250.38</v>
      </c>
      <c r="J219" s="32" t="n">
        <v>-1.75</v>
      </c>
      <c r="K219" s="32" t="n">
        <v>3213647</v>
      </c>
      <c r="L219" s="31" t="inlineStr"/>
      <c r="M219" s="31" t="inlineStr"/>
      <c r="N219" s="32">
        <f>IF(M219="Underperforming",-5,IF(L219&gt;=95,15,IF(L219&gt;=90,10,IF(L219&gt;=80,5,0))))</f>
        <v/>
      </c>
      <c r="O219" s="32" t="n">
        <v>59.59</v>
      </c>
      <c r="P219" s="32" t="n">
        <v>11.45</v>
      </c>
      <c r="Q219" s="32" t="n">
        <v>197.66</v>
      </c>
      <c r="R219" s="31" t="inlineStr">
        <is>
          <t>Near 52W High Breakout</t>
        </is>
      </c>
      <c r="S219" s="31" t="inlineStr">
        <is>
          <t>Nifty Realty</t>
        </is>
      </c>
      <c r="T219" s="32" t="inlineStr"/>
      <c r="U219" s="32" t="inlineStr"/>
      <c r="V219" s="32" t="inlineStr"/>
      <c r="W219" s="32" t="inlineStr"/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IF(B220=0,"",RANK(B220,$B$2:$B$370,0))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VSSL</t>
        </is>
      </c>
      <c r="D220" s="31" t="inlineStr">
        <is>
          <t>Vardhman Special Steels Limited</t>
        </is>
      </c>
      <c r="E220" s="31" t="inlineStr">
        <is>
          <t>metals &amp; mining</t>
        </is>
      </c>
      <c r="F220" s="31" t="inlineStr">
        <is>
          <t>steel - medium / small</t>
        </is>
      </c>
      <c r="G220" s="31" t="inlineStr">
        <is>
          <t>smallcap</t>
        </is>
      </c>
      <c r="H220" s="32" t="n">
        <v>3398.02</v>
      </c>
      <c r="I220" s="32" t="n">
        <v>343.8</v>
      </c>
      <c r="J220" s="32" t="n">
        <v>-2.18</v>
      </c>
      <c r="K220" s="32" t="n">
        <v>174162</v>
      </c>
      <c r="L220" s="31" t="inlineStr"/>
      <c r="M220" s="31" t="inlineStr"/>
      <c r="N220" s="32">
        <f>IF(M220="Underperforming",-5,IF(L220&gt;=95,15,IF(L220&gt;=90,10,IF(L220&gt;=80,5,0))))</f>
        <v/>
      </c>
      <c r="O220" s="32" t="n">
        <v>71.7</v>
      </c>
      <c r="P220" s="32" t="n">
        <v>31.22</v>
      </c>
      <c r="Q220" s="32" t="n">
        <v>283.91</v>
      </c>
      <c r="R220" s="31" t="inlineStr">
        <is>
          <t>Near 52W High Breakout</t>
        </is>
      </c>
      <c r="S220" s="31" t="inlineStr">
        <is>
          <t>Nifty Metal</t>
        </is>
      </c>
      <c r="T220" s="32" t="inlineStr"/>
      <c r="U220" s="32" t="inlineStr"/>
      <c r="V220" s="32" t="inlineStr"/>
      <c r="W220" s="32" t="inlineStr"/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Cyclical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Volatile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IF(B221=0,"",RANK(B221,$B$2:$B$370,0))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RPEL</t>
        </is>
      </c>
      <c r="D221" s="31" t="inlineStr">
        <is>
          <t>Raghav Productivity Enhancers Ltd</t>
        </is>
      </c>
      <c r="E221" s="31" t="inlineStr">
        <is>
          <t>building materials</t>
        </is>
      </c>
      <c r="F221" s="31" t="inlineStr">
        <is>
          <t>refractories / intermediates</t>
        </is>
      </c>
      <c r="G221" s="31" t="inlineStr">
        <is>
          <t>midcap</t>
        </is>
      </c>
      <c r="H221" s="32" t="n">
        <v>7634.07</v>
      </c>
      <c r="I221" s="32" t="n">
        <v>1611</v>
      </c>
      <c r="J221" s="32" t="n">
        <v>-3.09</v>
      </c>
      <c r="K221" s="32" t="n">
        <v>88356</v>
      </c>
      <c r="L221" s="31" t="inlineStr"/>
      <c r="M221" s="31" t="inlineStr"/>
      <c r="N221" s="32">
        <f>IF(M221="Underperforming",-5,IF(L221&gt;=95,15,IF(L221&gt;=90,10,IF(L221&gt;=80,5,0))))</f>
        <v/>
      </c>
      <c r="O221" s="32" t="n">
        <v>75.45999999999999</v>
      </c>
      <c r="P221" s="32" t="n">
        <v>59.27</v>
      </c>
      <c r="Q221" s="32" t="n">
        <v>1333.35</v>
      </c>
      <c r="R221" s="31" t="inlineStr">
        <is>
          <t>Earnings / Momentum Support</t>
        </is>
      </c>
      <c r="S221" s="31" t="inlineStr">
        <is>
          <t>Nifty Infra</t>
        </is>
      </c>
      <c r="T221" s="32" t="inlineStr"/>
      <c r="U221" s="32" t="inlineStr"/>
      <c r="V221" s="32" t="inlineStr"/>
      <c r="W221" s="32" t="inlineStr"/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Above 40</t>
        </is>
      </c>
      <c r="AY221" s="31">
        <f>IF(AX221="Above 40",20,IF(AX221="20 to 40",10,IF(AX221="0 to 20",-5,0)))</f>
        <v/>
      </c>
      <c r="AZ221" s="31" t="inlineStr">
        <is>
          <t>Above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Between 1.5 to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IF(B222=0,"",RANK(B222,$B$2:$B$370,0))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INDORAMA</t>
        </is>
      </c>
      <c r="D222" s="31" t="inlineStr">
        <is>
          <t>Indo Rama Synthetics (india) Limited</t>
        </is>
      </c>
      <c r="E222" s="31" t="inlineStr">
        <is>
          <t>textiles</t>
        </is>
      </c>
      <c r="F222" s="31" t="inlineStr">
        <is>
          <t>textiles - manmade</t>
        </is>
      </c>
      <c r="G222" s="31" t="inlineStr">
        <is>
          <t>smallcap</t>
        </is>
      </c>
      <c r="H222" s="32" t="n">
        <v>1634.83</v>
      </c>
      <c r="I222" s="32" t="n">
        <v>60.53</v>
      </c>
      <c r="J222" s="32" t="n">
        <v>-3.32</v>
      </c>
      <c r="K222" s="32" t="n">
        <v>220545</v>
      </c>
      <c r="L222" s="31" t="n">
        <v>63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66.36</v>
      </c>
      <c r="P222" s="32" t="n">
        <v>45.28</v>
      </c>
      <c r="Q222" s="32" t="n">
        <v>44.33</v>
      </c>
      <c r="R222" s="31" t="inlineStr">
        <is>
          <t>Earnings / Momentum Support</t>
        </is>
      </c>
      <c r="S222" s="31" t="inlineStr">
        <is>
          <t>Nifty 50</t>
        </is>
      </c>
      <c r="T222" s="32" t="n">
        <v>-0.38</v>
      </c>
      <c r="U222" s="32" t="n">
        <v>19.89</v>
      </c>
      <c r="V222" s="32" t="n">
        <v>20.34</v>
      </c>
      <c r="W222" s="32" t="n">
        <v>16.24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Above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More than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IF(B223=0,"",RANK(B223,$B$2:$B$370,0))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WHEELS</t>
        </is>
      </c>
      <c r="D223" s="31" t="inlineStr">
        <is>
          <t>Wheels India Limited</t>
        </is>
      </c>
      <c r="E223" s="31" t="inlineStr">
        <is>
          <t>auto</t>
        </is>
      </c>
      <c r="F223" s="31" t="inlineStr">
        <is>
          <t>auto ancillaries</t>
        </is>
      </c>
      <c r="G223" s="31" t="inlineStr">
        <is>
          <t>smallcap</t>
        </is>
      </c>
      <c r="H223" s="32" t="n">
        <v>3814.97</v>
      </c>
      <c r="I223" s="32" t="n">
        <v>1499.3</v>
      </c>
      <c r="J223" s="32" t="n">
        <v>-3.98</v>
      </c>
      <c r="K223" s="32" t="n">
        <v>166683</v>
      </c>
      <c r="L223" s="31" t="inlineStr"/>
      <c r="M223" s="31" t="inlineStr"/>
      <c r="N223" s="32">
        <f>IF(M223="Underperforming",-5,IF(L223&gt;=95,15,IF(L223&gt;=90,10,IF(L223&gt;=80,5,0))))</f>
        <v/>
      </c>
      <c r="O223" s="32" t="n">
        <v>59.75</v>
      </c>
      <c r="P223" s="32" t="n">
        <v>55.82</v>
      </c>
      <c r="Q223" s="32" t="n">
        <v>1278.12</v>
      </c>
      <c r="R223" s="31" t="inlineStr">
        <is>
          <t>Earnings / Momentum Support</t>
        </is>
      </c>
      <c r="S223" s="31" t="inlineStr">
        <is>
          <t>Nifty Auto</t>
        </is>
      </c>
      <c r="T223" s="32" t="inlineStr"/>
      <c r="U223" s="32" t="inlineStr"/>
      <c r="V223" s="32" t="inlineStr"/>
      <c r="W223" s="32" t="inlineStr"/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Above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IF(B224=0,"",RANK(B224,$B$2:$B$370,0))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SYNCOMF</t>
        </is>
      </c>
      <c r="D224" s="33" t="inlineStr">
        <is>
          <t>Syncom Formulations (India) Ltd</t>
        </is>
      </c>
      <c r="E224" s="31" t="inlineStr">
        <is>
          <t>healthcare</t>
        </is>
      </c>
      <c r="F224" s="31" t="inlineStr">
        <is>
          <t>pharmaceuticals - indian - bulk drugs &amp; formln</t>
        </is>
      </c>
      <c r="G224" s="31" t="inlineStr">
        <is>
          <t>smallcap</t>
        </is>
      </c>
      <c r="H224" s="32" t="n">
        <v>1614.92</v>
      </c>
      <c r="I224" s="32" t="n">
        <v>17.56</v>
      </c>
      <c r="J224" s="32" t="n">
        <v>2.21</v>
      </c>
      <c r="K224" s="32" t="n">
        <v>14633332</v>
      </c>
      <c r="L224" s="31" t="n">
        <v>19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68.95999999999999</v>
      </c>
      <c r="P224" s="32" t="n">
        <v>19.75</v>
      </c>
      <c r="Q224" s="32" t="n">
        <v>13.44</v>
      </c>
      <c r="R224" s="31" t="inlineStr">
        <is>
          <t>Near 52W High Breakout</t>
        </is>
      </c>
      <c r="S224" s="31" t="inlineStr">
        <is>
          <t>Nifty Pharma</t>
        </is>
      </c>
      <c r="T224" s="32" t="n">
        <v>21.83</v>
      </c>
      <c r="U224" s="32" t="n">
        <v>4.96</v>
      </c>
      <c r="V224" s="32" t="n">
        <v>-13.85</v>
      </c>
      <c r="W224" s="32" t="n">
        <v>5.32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Annuity, Lower One Time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0 to 20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IF(B225=0,"",RANK(B225,$B$2:$B$370,0))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YATHARTH</t>
        </is>
      </c>
      <c r="D225" s="31" t="inlineStr">
        <is>
          <t>Yatharth Hospital &amp; Trauma Care Services Ltd</t>
        </is>
      </c>
      <c r="E225" s="31" t="inlineStr">
        <is>
          <t>healthcare</t>
        </is>
      </c>
      <c r="F225" s="31" t="inlineStr">
        <is>
          <t>healthcare</t>
        </is>
      </c>
      <c r="G225" s="31" t="inlineStr">
        <is>
          <t>midcap</t>
        </is>
      </c>
      <c r="H225" s="32" t="n">
        <v>8744.639999999999</v>
      </c>
      <c r="I225" s="32" t="n">
        <v>923.05</v>
      </c>
      <c r="J225" s="32" t="n">
        <v>1.71</v>
      </c>
      <c r="K225" s="32" t="n">
        <v>1180205</v>
      </c>
      <c r="L225" s="31" t="n">
        <v>37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64.59</v>
      </c>
      <c r="P225" s="32" t="n">
        <v>35.93</v>
      </c>
      <c r="Q225" s="32" t="n">
        <v>737.45</v>
      </c>
      <c r="R225" s="31" t="inlineStr">
        <is>
          <t>Near 52W High Breakout</t>
        </is>
      </c>
      <c r="S225" s="31" t="inlineStr">
        <is>
          <t>Nifty Pharma</t>
        </is>
      </c>
      <c r="T225" s="32" t="n">
        <v>21.83</v>
      </c>
      <c r="U225" s="32" t="n">
        <v>32.88</v>
      </c>
      <c r="V225" s="32" t="n">
        <v>9.07</v>
      </c>
      <c r="W225" s="32" t="n">
        <v>9.25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Yes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IF(B226=0,"",RANK(B226,$B$2:$B$370,0))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SBCL</t>
        </is>
      </c>
      <c r="D226" s="31" t="inlineStr">
        <is>
          <t>Shivalik Bimetal Controls Ltd</t>
        </is>
      </c>
      <c r="E226" s="31" t="inlineStr">
        <is>
          <t>metals &amp; mining</t>
        </is>
      </c>
      <c r="F226" s="31" t="inlineStr">
        <is>
          <t>mining / minerals / metals</t>
        </is>
      </c>
      <c r="G226" s="31" t="inlineStr">
        <is>
          <t>midcap</t>
        </is>
      </c>
      <c r="H226" s="32" t="n">
        <v>5769.06</v>
      </c>
      <c r="I226" s="32" t="n">
        <v>1018.35</v>
      </c>
      <c r="J226" s="32" t="n">
        <v>1.68</v>
      </c>
      <c r="K226" s="32" t="n">
        <v>280525</v>
      </c>
      <c r="L226" s="31" t="inlineStr"/>
      <c r="M226" s="31" t="inlineStr"/>
      <c r="N226" s="32">
        <f>IF(M226="Underperforming",-5,IF(L226&gt;=95,15,IF(L226&gt;=90,10,IF(L226&gt;=80,5,0))))</f>
        <v/>
      </c>
      <c r="O226" s="32" t="n">
        <v>75.75</v>
      </c>
      <c r="P226" s="32" t="n">
        <v>49.99</v>
      </c>
      <c r="Q226" s="32" t="n">
        <v>803.25</v>
      </c>
      <c r="R226" s="31" t="inlineStr">
        <is>
          <t>Near 52W High Breakout</t>
        </is>
      </c>
      <c r="S226" s="31" t="inlineStr">
        <is>
          <t>Nifty Metal</t>
        </is>
      </c>
      <c r="T226" s="32" t="inlineStr"/>
      <c r="U226" s="32" t="inlineStr"/>
      <c r="V226" s="32" t="inlineStr"/>
      <c r="W226" s="32" t="inlineStr"/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Monopoly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Shallow Cyclical (2 to 3 Years Growth)</t>
        </is>
      </c>
      <c r="AG226" s="31">
        <f>IF(AF226="Structural (10 Years Consistency)",10,IF(AF226="Shallow Cyclical (2 to 3 years growth)",5,0))</f>
        <v/>
      </c>
      <c r="AH226" s="31" t="inlineStr">
        <is>
          <t>Yes due to Product Mix change or Operating Leverage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Fully One Time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Yes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Between 1.5 to 2</t>
        </is>
      </c>
      <c r="BU226" s="31">
        <f>IF(BT226="Above 2",0,IF(BT226="Between 1.5 to 2",5,IF(BT226="Less than 1.5",10,0)))</f>
        <v/>
      </c>
      <c r="BV226" s="31" t="inlineStr">
        <is>
          <t>Less than 50%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IF(B227=0,"",RANK(B227,$B$2:$B$370,0))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SAILIFE</t>
        </is>
      </c>
      <c r="D227" s="31" t="inlineStr">
        <is>
          <t>Sai Life Sciences Ltd</t>
        </is>
      </c>
      <c r="E227" s="31" t="inlineStr">
        <is>
          <t>healthcare</t>
        </is>
      </c>
      <c r="F227" s="31" t="inlineStr">
        <is>
          <t>pharmaceuticals - indian - bulk drugs &amp; formln</t>
        </is>
      </c>
      <c r="G227" s="31" t="inlineStr">
        <is>
          <t>largecap</t>
        </is>
      </c>
      <c r="H227" s="32" t="n">
        <v>30482.15</v>
      </c>
      <c r="I227" s="32" t="n">
        <v>1455.5</v>
      </c>
      <c r="J227" s="32" t="n">
        <v>1.37</v>
      </c>
      <c r="K227" s="32" t="n">
        <v>208320</v>
      </c>
      <c r="L227" s="31" t="n">
        <v>66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80.25</v>
      </c>
      <c r="P227" s="32" t="n">
        <v>37.47</v>
      </c>
      <c r="Q227" s="32" t="n">
        <v>1213.91</v>
      </c>
      <c r="R227" s="31" t="inlineStr">
        <is>
          <t>Near 52W High Breakout</t>
        </is>
      </c>
      <c r="S227" s="31" t="inlineStr">
        <is>
          <t>Nifty Pharma</t>
        </is>
      </c>
      <c r="T227" s="32" t="n">
        <v>21.83</v>
      </c>
      <c r="U227" s="32" t="n">
        <v>76.48999999999999</v>
      </c>
      <c r="V227" s="32" t="n">
        <v>44.86</v>
      </c>
      <c r="W227" s="32" t="n">
        <v>17.45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Above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IF(B228=0,"",RANK(B228,$B$2:$B$370,0))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GLENMARK</t>
        </is>
      </c>
      <c r="D228" s="31" t="inlineStr">
        <is>
          <t>Glenmark Pharmaceuticals Limited</t>
        </is>
      </c>
      <c r="E228" s="31" t="inlineStr">
        <is>
          <t>healthcare</t>
        </is>
      </c>
      <c r="F228" s="31" t="inlineStr">
        <is>
          <t>pharmaceuticals - indian - bulk drugs &amp; formln</t>
        </is>
      </c>
      <c r="G228" s="31" t="inlineStr">
        <is>
          <t>largecap</t>
        </is>
      </c>
      <c r="H228" s="32" t="n">
        <v>67465.75</v>
      </c>
      <c r="I228" s="32" t="n">
        <v>2400</v>
      </c>
      <c r="J228" s="32" t="n">
        <v>0.39</v>
      </c>
      <c r="K228" s="32" t="n">
        <v>682485</v>
      </c>
      <c r="L228" s="31" t="n">
        <v>21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64.53</v>
      </c>
      <c r="P228" s="32" t="n">
        <v>16.68</v>
      </c>
      <c r="Q228" s="32" t="n">
        <v>2028.48</v>
      </c>
      <c r="R228" s="31" t="inlineStr">
        <is>
          <t>Near 52W High Breakout</t>
        </is>
      </c>
      <c r="S228" s="31" t="inlineStr">
        <is>
          <t>Nifty Pharma</t>
        </is>
      </c>
      <c r="T228" s="32" t="n">
        <v>21.83</v>
      </c>
      <c r="U228" s="32" t="n">
        <v>25.05</v>
      </c>
      <c r="V228" s="32" t="n">
        <v>2.64</v>
      </c>
      <c r="W228" s="32" t="n">
        <v>5.73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Annuity, Lower One Time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Blue sky scenario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IF(B229=0,"",RANK(B229,$B$2:$B$370,0))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PVRINOX</t>
        </is>
      </c>
      <c r="D229" s="31" t="inlineStr">
        <is>
          <t>PVR Inox Ltd</t>
        </is>
      </c>
      <c r="E229" s="31" t="inlineStr">
        <is>
          <t>media</t>
        </is>
      </c>
      <c r="F229" s="31" t="inlineStr">
        <is>
          <t>entertainment / electronic media software</t>
        </is>
      </c>
      <c r="G229" s="31" t="inlineStr">
        <is>
          <t>midcap</t>
        </is>
      </c>
      <c r="H229" s="32" t="n">
        <v>12096.27</v>
      </c>
      <c r="I229" s="32" t="n">
        <v>1231</v>
      </c>
      <c r="J229" s="32" t="n">
        <v>-0.06</v>
      </c>
      <c r="K229" s="32" t="n">
        <v>2225810</v>
      </c>
      <c r="L229" s="31" t="n">
        <v>33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72.68000000000001</v>
      </c>
      <c r="P229" s="32" t="n">
        <v>21.68</v>
      </c>
      <c r="Q229" s="32" t="n">
        <v>1031.65</v>
      </c>
      <c r="R229" s="31" t="inlineStr">
        <is>
          <t>Volume Spike &amp; Near 52W High Breakout</t>
        </is>
      </c>
      <c r="S229" s="31" t="inlineStr">
        <is>
          <t>Nifty IT</t>
        </is>
      </c>
      <c r="T229" s="32" t="n">
        <v>-12.53</v>
      </c>
      <c r="U229" s="32" t="n">
        <v>9.92</v>
      </c>
      <c r="V229" s="32" t="n">
        <v>25.67</v>
      </c>
      <c r="W229" s="32" t="n">
        <v>8.199999999999999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Annuity, Lower One Time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Between 0.7 to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IF(B230=0,"",RANK(B230,$B$2:$B$370,0))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DWARKESH</t>
        </is>
      </c>
      <c r="D230" s="31" t="inlineStr">
        <is>
          <t>Dwarikesh Sugar Industries Limited</t>
        </is>
      </c>
      <c r="E230" s="31" t="inlineStr">
        <is>
          <t>fmcg</t>
        </is>
      </c>
      <c r="F230" s="31" t="inlineStr">
        <is>
          <t>sugar</t>
        </is>
      </c>
      <c r="G230" s="31" t="inlineStr">
        <is>
          <t>smallcap</t>
        </is>
      </c>
      <c r="H230" s="32" t="n">
        <v>1018.05</v>
      </c>
      <c r="I230" s="32" t="n">
        <v>53.94</v>
      </c>
      <c r="J230" s="32" t="n">
        <v>-1.82</v>
      </c>
      <c r="K230" s="32" t="n">
        <v>6854822</v>
      </c>
      <c r="L230" s="31" t="inlineStr"/>
      <c r="M230" s="31" t="inlineStr"/>
      <c r="N230" s="32">
        <f>IF(M230="Underperforming",-5,IF(L230&gt;=95,15,IF(L230&gt;=90,10,IF(L230&gt;=80,5,0))))</f>
        <v/>
      </c>
      <c r="O230" s="32" t="n">
        <v>66.03</v>
      </c>
      <c r="P230" s="32" t="n">
        <v>15.05</v>
      </c>
      <c r="Q230" s="32" t="n">
        <v>38.67</v>
      </c>
      <c r="R230" s="31" t="inlineStr">
        <is>
          <t>Volume Spike &amp; Near 52W High Breakout</t>
        </is>
      </c>
      <c r="S230" s="31" t="inlineStr">
        <is>
          <t>Nifty FMCG</t>
        </is>
      </c>
      <c r="T230" s="32" t="inlineStr"/>
      <c r="U230" s="32" t="inlineStr"/>
      <c r="V230" s="32" t="inlineStr"/>
      <c r="W230" s="32" t="inlineStr"/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B2C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Annuity, Lower One Time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IF(B231=0,"",RANK(B231,$B$2:$B$370,0))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DALMIASUG</t>
        </is>
      </c>
      <c r="D231" s="31" t="inlineStr">
        <is>
          <t>Dalmia Bharat Sugar And Industries Limited</t>
        </is>
      </c>
      <c r="E231" s="31" t="inlineStr">
        <is>
          <t>fmcg</t>
        </is>
      </c>
      <c r="F231" s="31" t="inlineStr">
        <is>
          <t>sugar</t>
        </is>
      </c>
      <c r="G231" s="31" t="inlineStr">
        <is>
          <t>smallcap</t>
        </is>
      </c>
      <c r="H231" s="32" t="n">
        <v>3891.16</v>
      </c>
      <c r="I231" s="32" t="n">
        <v>470.25</v>
      </c>
      <c r="J231" s="32" t="n">
        <v>-2.18</v>
      </c>
      <c r="K231" s="32" t="n">
        <v>647103</v>
      </c>
      <c r="L231" s="31" t="inlineStr"/>
      <c r="M231" s="31" t="inlineStr"/>
      <c r="N231" s="32">
        <f>IF(M231="Underperforming",-5,IF(L231&gt;=95,15,IF(L231&gt;=90,10,IF(L231&gt;=80,5,0))))</f>
        <v/>
      </c>
      <c r="O231" s="32" t="n">
        <v>69</v>
      </c>
      <c r="P231" s="32" t="n">
        <v>30.25</v>
      </c>
      <c r="Q231" s="32" t="n">
        <v>373.75</v>
      </c>
      <c r="R231" s="31" t="inlineStr">
        <is>
          <t>Earnings / Momentum Support</t>
        </is>
      </c>
      <c r="S231" s="31" t="inlineStr">
        <is>
          <t>Nifty FMCG</t>
        </is>
      </c>
      <c r="T231" s="32" t="inlineStr"/>
      <c r="U231" s="32" t="inlineStr"/>
      <c r="V231" s="32" t="inlineStr"/>
      <c r="W231" s="32" t="inlineStr"/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B2C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Annuity, Lower One Time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IF(B232=0,"",RANK(B232,$B$2:$B$370,0))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UGARSUGAR</t>
        </is>
      </c>
      <c r="D232" s="31" t="inlineStr">
        <is>
          <t>The Ugar Sugar Works Limited</t>
        </is>
      </c>
      <c r="E232" s="31" t="inlineStr">
        <is>
          <t>fmcg</t>
        </is>
      </c>
      <c r="F232" s="31" t="inlineStr">
        <is>
          <t>sugar</t>
        </is>
      </c>
      <c r="G232" s="31" t="inlineStr">
        <is>
          <t>smallcap</t>
        </is>
      </c>
      <c r="H232" s="32" t="n">
        <v>652.61</v>
      </c>
      <c r="I232" s="32" t="n">
        <v>55.66</v>
      </c>
      <c r="J232" s="32" t="n">
        <v>-4.05</v>
      </c>
      <c r="K232" s="32" t="n">
        <v>1307176</v>
      </c>
      <c r="L232" s="31" t="inlineStr"/>
      <c r="M232" s="31" t="inlineStr"/>
      <c r="N232" s="32">
        <f>IF(M232="Underperforming",-5,IF(L232&gt;=95,15,IF(L232&gt;=90,10,IF(L232&gt;=80,5,0))))</f>
        <v/>
      </c>
      <c r="O232" s="32" t="n">
        <v>77.47</v>
      </c>
      <c r="P232" s="32" t="n">
        <v>20.96</v>
      </c>
      <c r="Q232" s="32" t="n">
        <v>42.83</v>
      </c>
      <c r="R232" s="31" t="inlineStr">
        <is>
          <t>Near 52W High Breakout</t>
        </is>
      </c>
      <c r="S232" s="31" t="inlineStr">
        <is>
          <t>Nifty FMCG</t>
        </is>
      </c>
      <c r="T232" s="32" t="inlineStr"/>
      <c r="U232" s="32" t="inlineStr"/>
      <c r="V232" s="32" t="inlineStr"/>
      <c r="W232" s="32" t="inlineStr"/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B2C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Annuity, Lower One Time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Above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More than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IF(B233=0,"",RANK(B233,$B$2:$B$370,0))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MAWANASUG</t>
        </is>
      </c>
      <c r="D233" s="31" t="inlineStr">
        <is>
          <t>Mawana Sugars Limited</t>
        </is>
      </c>
      <c r="E233" s="31" t="inlineStr">
        <is>
          <t>fmcg</t>
        </is>
      </c>
      <c r="F233" s="31" t="inlineStr">
        <is>
          <t>sugar</t>
        </is>
      </c>
      <c r="G233" s="31" t="inlineStr">
        <is>
          <t>smallcap</t>
        </is>
      </c>
      <c r="H233" s="32" t="n">
        <v>589.92</v>
      </c>
      <c r="I233" s="32" t="n">
        <v>143.68</v>
      </c>
      <c r="J233" s="32" t="n">
        <v>-4.73</v>
      </c>
      <c r="K233" s="32" t="n">
        <v>1061848</v>
      </c>
      <c r="L233" s="31" t="inlineStr"/>
      <c r="M233" s="31" t="inlineStr"/>
      <c r="N233" s="32">
        <f>IF(M233="Underperforming",-5,IF(L233&gt;=95,15,IF(L233&gt;=90,10,IF(L233&gt;=80,5,0))))</f>
        <v/>
      </c>
      <c r="O233" s="32" t="n">
        <v>72.66</v>
      </c>
      <c r="P233" s="32" t="n">
        <v>36.03</v>
      </c>
      <c r="Q233" s="32" t="n">
        <v>117.54</v>
      </c>
      <c r="R233" s="31" t="inlineStr">
        <is>
          <t>Earnings / Momentum Support</t>
        </is>
      </c>
      <c r="S233" s="31" t="inlineStr">
        <is>
          <t>Nifty FMCG</t>
        </is>
      </c>
      <c r="T233" s="32" t="inlineStr"/>
      <c r="U233" s="32" t="inlineStr"/>
      <c r="V233" s="32" t="inlineStr"/>
      <c r="W233" s="32" t="inlineStr"/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B2C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Annuity, Lower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Between 0.7 to 1.2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IF(B234=0,"",RANK(B234,$B$2:$B$370,0))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VRLLOG</t>
        </is>
      </c>
      <c r="D234" s="31" t="inlineStr">
        <is>
          <t>Vrl Logistics Limited</t>
        </is>
      </c>
      <c r="E234" s="31" t="inlineStr">
        <is>
          <t>transportation</t>
        </is>
      </c>
      <c r="F234" s="31" t="inlineStr">
        <is>
          <t>miscellaneous</t>
        </is>
      </c>
      <c r="G234" s="31" t="inlineStr">
        <is>
          <t>midcap</t>
        </is>
      </c>
      <c r="H234" s="32" t="n">
        <v>5046.06</v>
      </c>
      <c r="I234" s="32" t="n">
        <v>289.95</v>
      </c>
      <c r="J234" s="32" t="n">
        <v>0.52</v>
      </c>
      <c r="K234" s="32" t="n">
        <v>347522</v>
      </c>
      <c r="L234" s="31" t="n">
        <v>31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63.33</v>
      </c>
      <c r="P234" s="32" t="n">
        <v>19.34</v>
      </c>
      <c r="Q234" s="32" t="n">
        <v>243.26</v>
      </c>
      <c r="R234" s="31" t="inlineStr">
        <is>
          <t>Near 52W High Breakout</t>
        </is>
      </c>
      <c r="S234" s="31" t="inlineStr">
        <is>
          <t>Nifty 50</t>
        </is>
      </c>
      <c r="T234" s="32" t="n">
        <v>-0.38</v>
      </c>
      <c r="U234" s="32" t="n">
        <v>11.62</v>
      </c>
      <c r="V234" s="32" t="n">
        <v>12.04</v>
      </c>
      <c r="W234" s="32" t="n">
        <v>7.81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Less than 1.5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Between 0.7 to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IF(B235=0,"",RANK(B235,$B$2:$B$370,0))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RGL</t>
        </is>
      </c>
      <c r="D235" s="31" t="inlineStr">
        <is>
          <t>Renaissance Global Ltd</t>
        </is>
      </c>
      <c r="E235" s="31" t="inlineStr">
        <is>
          <t>consumer discretionary</t>
        </is>
      </c>
      <c r="F235" s="31" t="inlineStr">
        <is>
          <t>diamond cutting / jewellery</t>
        </is>
      </c>
      <c r="G235" s="31" t="inlineStr">
        <is>
          <t>smallcap</t>
        </is>
      </c>
      <c r="H235" s="32" t="n">
        <v>1420.7</v>
      </c>
      <c r="I235" s="32" t="n">
        <v>132.87</v>
      </c>
      <c r="J235" s="32" t="n">
        <v>0.42</v>
      </c>
      <c r="K235" s="32" t="n">
        <v>282626</v>
      </c>
      <c r="L235" s="31" t="n">
        <v>40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64.45999999999999</v>
      </c>
      <c r="P235" s="32" t="n">
        <v>17.32</v>
      </c>
      <c r="Q235" s="32" t="n">
        <v>100.22</v>
      </c>
      <c r="R235" s="31" t="inlineStr">
        <is>
          <t>Near 52W High Breakout</t>
        </is>
      </c>
      <c r="S235" s="31" t="inlineStr">
        <is>
          <t>Nifty 50</t>
        </is>
      </c>
      <c r="T235" s="32" t="n">
        <v>-0.38</v>
      </c>
      <c r="U235" s="32" t="n">
        <v>19.58</v>
      </c>
      <c r="V235" s="32" t="n">
        <v>20.04</v>
      </c>
      <c r="W235" s="32" t="n">
        <v>10.23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IF(B236=0,"",RANK(B236,$B$2:$B$370,0))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VGUARD</t>
        </is>
      </c>
      <c r="D236" s="33" t="inlineStr">
        <is>
          <t>V-guard Industries Limited</t>
        </is>
      </c>
      <c r="E236" s="31" t="inlineStr">
        <is>
          <t>industrials</t>
        </is>
      </c>
      <c r="F236" s="31" t="inlineStr">
        <is>
          <t>electric equipment</t>
        </is>
      </c>
      <c r="G236" s="31" t="inlineStr">
        <is>
          <t>midcap</t>
        </is>
      </c>
      <c r="H236" s="32" t="n">
        <v>14485.12</v>
      </c>
      <c r="I236" s="32" t="n">
        <v>332.7</v>
      </c>
      <c r="J236" s="32" t="n">
        <v>0.35</v>
      </c>
      <c r="K236" s="32" t="n">
        <v>623797</v>
      </c>
      <c r="L236" s="31" t="n">
        <v>2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57.86</v>
      </c>
      <c r="P236" s="32" t="n">
        <v>21.02</v>
      </c>
      <c r="Q236" s="32" t="n">
        <v>275.39</v>
      </c>
      <c r="R236" s="31" t="inlineStr">
        <is>
          <t>Earnings / Momentum Support</t>
        </is>
      </c>
      <c r="S236" s="31" t="inlineStr">
        <is>
          <t>Nifty 50</t>
        </is>
      </c>
      <c r="T236" s="32" t="n">
        <v>-0.38</v>
      </c>
      <c r="U236" s="32" t="n">
        <v>-8</v>
      </c>
      <c r="V236" s="32" t="n">
        <v>-7.65</v>
      </c>
      <c r="W236" s="32" t="n">
        <v>0.32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IF(B237=0,"",RANK(B237,$B$2:$B$370,0))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MAHSEAMLES</t>
        </is>
      </c>
      <c r="D237" s="31" t="inlineStr">
        <is>
          <t>Maharashtra Seamless Limited</t>
        </is>
      </c>
      <c r="E237" s="31" t="inlineStr">
        <is>
          <t>industrials</t>
        </is>
      </c>
      <c r="F237" s="31" t="inlineStr">
        <is>
          <t>steel - large</t>
        </is>
      </c>
      <c r="G237" s="31" t="inlineStr">
        <is>
          <t>midcap</t>
        </is>
      </c>
      <c r="H237" s="32" t="n">
        <v>8505.6</v>
      </c>
      <c r="I237" s="32" t="n">
        <v>636.55</v>
      </c>
      <c r="J237" s="32" t="n">
        <v>0.28</v>
      </c>
      <c r="K237" s="32" t="n">
        <v>385643</v>
      </c>
      <c r="L237" s="31" t="inlineStr"/>
      <c r="M237" s="31" t="inlineStr"/>
      <c r="N237" s="32">
        <f>IF(M237="Underperforming",-5,IF(L237&gt;=95,15,IF(L237&gt;=90,10,IF(L237&gt;=80,5,0))))</f>
        <v/>
      </c>
      <c r="O237" s="32" t="n">
        <v>59.74</v>
      </c>
      <c r="P237" s="32" t="n">
        <v>17.17</v>
      </c>
      <c r="Q237" s="32" t="n">
        <v>531.91</v>
      </c>
      <c r="R237" s="31" t="inlineStr">
        <is>
          <t>Near 52W High Breakout</t>
        </is>
      </c>
      <c r="S237" s="31" t="inlineStr">
        <is>
          <t>Nifty Metal</t>
        </is>
      </c>
      <c r="T237" s="32" t="inlineStr"/>
      <c r="U237" s="32" t="inlineStr"/>
      <c r="V237" s="32" t="inlineStr"/>
      <c r="W237" s="32" t="inlineStr"/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Between 12 to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Less than 1.5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IF(B238=0,"",RANK(B238,$B$2:$B$370,0))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ETHOSLTD</t>
        </is>
      </c>
      <c r="D238" s="31" t="inlineStr">
        <is>
          <t>Ethos Ltd</t>
        </is>
      </c>
      <c r="E238" s="31" t="inlineStr">
        <is>
          <t>consumer discretionary</t>
        </is>
      </c>
      <c r="F238" s="31" t="inlineStr">
        <is>
          <t>trading</t>
        </is>
      </c>
      <c r="G238" s="31" t="inlineStr">
        <is>
          <t>midcap</t>
        </is>
      </c>
      <c r="H238" s="32" t="n">
        <v>7738.32</v>
      </c>
      <c r="I238" s="32" t="n">
        <v>2894</v>
      </c>
      <c r="J238" s="32" t="n">
        <v>0.07000000000000001</v>
      </c>
      <c r="K238" s="32" t="n">
        <v>53333</v>
      </c>
      <c r="L238" s="31" t="n">
        <v>44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64.2</v>
      </c>
      <c r="P238" s="32" t="n">
        <v>22.45</v>
      </c>
      <c r="Q238" s="32" t="n">
        <v>2228.46</v>
      </c>
      <c r="R238" s="31" t="inlineStr">
        <is>
          <t>Earnings / Momentum Support</t>
        </is>
      </c>
      <c r="S238" s="31" t="inlineStr">
        <is>
          <t>Nifty 50</t>
        </is>
      </c>
      <c r="T238" s="32" t="n">
        <v>-0.38</v>
      </c>
      <c r="U238" s="32" t="n">
        <v>27.98</v>
      </c>
      <c r="V238" s="32" t="n">
        <v>28.46</v>
      </c>
      <c r="W238" s="32" t="n">
        <v>11.13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IF(B239=0,"",RANK(B239,$B$2:$B$370,0))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INDIGOPNTS</t>
        </is>
      </c>
      <c r="D239" s="31" t="inlineStr">
        <is>
          <t>Indigo Paints Ltd</t>
        </is>
      </c>
      <c r="E239" s="31" t="inlineStr">
        <is>
          <t>building materials</t>
        </is>
      </c>
      <c r="F239" s="31" t="inlineStr">
        <is>
          <t>paints / varnishes</t>
        </is>
      </c>
      <c r="G239" s="31" t="inlineStr">
        <is>
          <t>midcap</t>
        </is>
      </c>
      <c r="H239" s="32" t="n">
        <v>5446.94</v>
      </c>
      <c r="I239" s="32" t="n">
        <v>1135.9</v>
      </c>
      <c r="J239" s="32" t="n">
        <v>-0.58</v>
      </c>
      <c r="K239" s="32" t="n">
        <v>47394</v>
      </c>
      <c r="L239" s="31" t="inlineStr"/>
      <c r="M239" s="31" t="inlineStr"/>
      <c r="N239" s="32">
        <f>IF(M239="Underperforming",-5,IF(L239&gt;=95,15,IF(L239&gt;=90,10,IF(L239&gt;=80,5,0))))</f>
        <v/>
      </c>
      <c r="O239" s="32" t="n">
        <v>62.65</v>
      </c>
      <c r="P239" s="32" t="n">
        <v>19.33</v>
      </c>
      <c r="Q239" s="32" t="n">
        <v>923.91</v>
      </c>
      <c r="R239" s="31" t="inlineStr">
        <is>
          <t>Earnings / Momentum Support</t>
        </is>
      </c>
      <c r="S239" s="31" t="inlineStr">
        <is>
          <t>Nifty Infra</t>
        </is>
      </c>
      <c r="T239" s="32" t="inlineStr"/>
      <c r="U239" s="32" t="inlineStr"/>
      <c r="V239" s="32" t="inlineStr"/>
      <c r="W239" s="32" t="inlineStr"/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IF(B240=0,"",RANK(B240,$B$2:$B$370,0))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ASAHIINDIA</t>
        </is>
      </c>
      <c r="D240" s="31" t="inlineStr">
        <is>
          <t>Asahi India Glass Limited</t>
        </is>
      </c>
      <c r="E240" s="31" t="inlineStr">
        <is>
          <t>building materials</t>
        </is>
      </c>
      <c r="F240" s="31" t="inlineStr">
        <is>
          <t>glass &amp; glass products</t>
        </is>
      </c>
      <c r="G240" s="31" t="inlineStr">
        <is>
          <t>largecap</t>
        </is>
      </c>
      <c r="H240" s="32" t="n">
        <v>24527.82</v>
      </c>
      <c r="I240" s="32" t="n">
        <v>955.9</v>
      </c>
      <c r="J240" s="32" t="n">
        <v>-0.65</v>
      </c>
      <c r="K240" s="32" t="n">
        <v>130807</v>
      </c>
      <c r="L240" s="31" t="inlineStr"/>
      <c r="M240" s="31" t="inlineStr"/>
      <c r="N240" s="32">
        <f>IF(M240="Underperforming",-5,IF(L240&gt;=95,15,IF(L240&gt;=90,10,IF(L240&gt;=80,5,0))))</f>
        <v/>
      </c>
      <c r="O240" s="32" t="n">
        <v>59.68</v>
      </c>
      <c r="P240" s="32" t="n">
        <v>25.35</v>
      </c>
      <c r="Q240" s="32" t="n">
        <v>788.05</v>
      </c>
      <c r="R240" s="31" t="inlineStr">
        <is>
          <t>Earnings / Momentum Support</t>
        </is>
      </c>
      <c r="S240" s="31" t="inlineStr">
        <is>
          <t>Nifty Infra</t>
        </is>
      </c>
      <c r="T240" s="32" t="inlineStr"/>
      <c r="U240" s="32" t="inlineStr"/>
      <c r="V240" s="32" t="inlineStr"/>
      <c r="W240" s="32" t="inlineStr"/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IF(B241=0,"",RANK(B241,$B$2:$B$370,0))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WINDMACHIN</t>
        </is>
      </c>
      <c r="D241" s="33" t="inlineStr">
        <is>
          <t>Windsor Machines Limited</t>
        </is>
      </c>
      <c r="E241" s="31" t="inlineStr">
        <is>
          <t>industrials</t>
        </is>
      </c>
      <c r="F241" s="31" t="inlineStr">
        <is>
          <t>engineering</t>
        </is>
      </c>
      <c r="G241" s="31" t="inlineStr">
        <is>
          <t>smallcap</t>
        </is>
      </c>
      <c r="H241" s="32" t="n">
        <v>3226.27</v>
      </c>
      <c r="I241" s="32" t="n">
        <v>315</v>
      </c>
      <c r="J241" s="32" t="n">
        <v>-0.68</v>
      </c>
      <c r="K241" s="32" t="n">
        <v>110497</v>
      </c>
      <c r="L241" s="31" t="n">
        <v>7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57.2</v>
      </c>
      <c r="P241" s="32" t="n">
        <v>23.11</v>
      </c>
      <c r="Q241" s="32" t="n">
        <v>241.57</v>
      </c>
      <c r="R241" s="31" t="inlineStr">
        <is>
          <t>Near 52W High Breakout</t>
        </is>
      </c>
      <c r="S241" s="31" t="inlineStr">
        <is>
          <t>Nifty 50</t>
        </is>
      </c>
      <c r="T241" s="32" t="n">
        <v>-0.38</v>
      </c>
      <c r="U241" s="32" t="n">
        <v>-3.04</v>
      </c>
      <c r="V241" s="32" t="n">
        <v>-2.67</v>
      </c>
      <c r="W241" s="32" t="n">
        <v>1.88</v>
      </c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IF(B242=0,"",RANK(B242,$B$2:$B$370,0))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CHENNPETRO</t>
        </is>
      </c>
      <c r="D242" s="31" t="inlineStr">
        <is>
          <t>Chennai Petroleum Corporation Limited</t>
        </is>
      </c>
      <c r="E242" s="31" t="inlineStr">
        <is>
          <t>energy</t>
        </is>
      </c>
      <c r="F242" s="31" t="inlineStr">
        <is>
          <t>refineries</t>
        </is>
      </c>
      <c r="G242" s="31" t="inlineStr">
        <is>
          <t>largecap</t>
        </is>
      </c>
      <c r="H242" s="32" t="n">
        <v>21027.78</v>
      </c>
      <c r="I242" s="32" t="n">
        <v>1401.2</v>
      </c>
      <c r="J242" s="32" t="n">
        <v>-0.77</v>
      </c>
      <c r="K242" s="32" t="n">
        <v>856951</v>
      </c>
      <c r="L242" s="31" t="inlineStr"/>
      <c r="M242" s="31" t="inlineStr"/>
      <c r="N242" s="32">
        <f>IF(M242="Underperforming",-5,IF(L242&gt;=95,15,IF(L242&gt;=90,10,IF(L242&gt;=80,5,0))))</f>
        <v/>
      </c>
      <c r="O242" s="32" t="n">
        <v>75.69</v>
      </c>
      <c r="P242" s="32" t="n">
        <v>54.21</v>
      </c>
      <c r="Q242" s="32" t="n">
        <v>1047</v>
      </c>
      <c r="R242" s="31" t="inlineStr">
        <is>
          <t>Near 52W High Breakout</t>
        </is>
      </c>
      <c r="S242" s="31" t="inlineStr">
        <is>
          <t>Nifty Energy</t>
        </is>
      </c>
      <c r="T242" s="32" t="inlineStr"/>
      <c r="U242" s="32" t="inlineStr"/>
      <c r="V242" s="32" t="inlineStr"/>
      <c r="W242" s="32" t="inlineStr"/>
      <c r="X242" s="31" t="inlineStr">
        <is>
          <t>Cyclical in an Upturn</t>
        </is>
      </c>
      <c r="Y242" s="31">
        <f>IF(X242="Growing Industry",10,IF(X242="Cyclical in an Upturn",5,0))</f>
        <v/>
      </c>
      <c r="Z242" s="31" t="inlineStr">
        <is>
          <t>Oligopoly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Yes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Cyclical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Volatile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Above 40</t>
        </is>
      </c>
      <c r="AY242" s="31">
        <f>IF(AX242="Above 40",20,IF(AX242="20 to 40",10,IF(AX242="0 to 20",-5,0)))</f>
        <v/>
      </c>
      <c r="AZ242" s="31" t="inlineStr">
        <is>
          <t>Above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Blue sky scenario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IF(B243=0,"",RANK(B243,$B$2:$B$370,0))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MMFL</t>
        </is>
      </c>
      <c r="D243" s="31" t="inlineStr">
        <is>
          <t>Mm Forgings Limited</t>
        </is>
      </c>
      <c r="E243" s="31" t="inlineStr">
        <is>
          <t>industrials</t>
        </is>
      </c>
      <c r="F243" s="31" t="inlineStr">
        <is>
          <t>castings &amp; forgings</t>
        </is>
      </c>
      <c r="G243" s="31" t="inlineStr">
        <is>
          <t>smallcap</t>
        </is>
      </c>
      <c r="H243" s="32" t="n">
        <v>3069.74</v>
      </c>
      <c r="I243" s="32" t="n">
        <v>629.95</v>
      </c>
      <c r="J243" s="32" t="n">
        <v>-0.92</v>
      </c>
      <c r="K243" s="32" t="n">
        <v>77164</v>
      </c>
      <c r="L243" s="31" t="n">
        <v>84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69.38</v>
      </c>
      <c r="P243" s="32" t="n">
        <v>28.41</v>
      </c>
      <c r="Q243" s="32" t="n">
        <v>497.25</v>
      </c>
      <c r="R243" s="31" t="inlineStr">
        <is>
          <t>Near 52W High Breakout</t>
        </is>
      </c>
      <c r="S243" s="31" t="inlineStr">
        <is>
          <t>Nifty 50</t>
        </is>
      </c>
      <c r="T243" s="32" t="n">
        <v>-0.38</v>
      </c>
      <c r="U243" s="32" t="n">
        <v>101.25</v>
      </c>
      <c r="V243" s="32" t="n">
        <v>102.02</v>
      </c>
      <c r="W243" s="32" t="n">
        <v>25.06</v>
      </c>
      <c r="X243" s="31" t="inlineStr">
        <is>
          <t>Cyclical in an Upturn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Blue sky scenario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More than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IF(B244=0,"",RANK(B244,$B$2:$B$370,0))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MANGLMCEM</t>
        </is>
      </c>
      <c r="D244" s="31" t="inlineStr">
        <is>
          <t>Mangalam Cement Limited</t>
        </is>
      </c>
      <c r="E244" s="31" t="inlineStr">
        <is>
          <t>building materials</t>
        </is>
      </c>
      <c r="F244" s="31" t="inlineStr">
        <is>
          <t>cement - north india</t>
        </is>
      </c>
      <c r="G244" s="31" t="inlineStr">
        <is>
          <t>smallcap</t>
        </is>
      </c>
      <c r="H244" s="32" t="n">
        <v>2874.57</v>
      </c>
      <c r="I244" s="32" t="n">
        <v>1032</v>
      </c>
      <c r="J244" s="32" t="n">
        <v>-1.28</v>
      </c>
      <c r="K244" s="32" t="n">
        <v>127953</v>
      </c>
      <c r="L244" s="31" t="inlineStr"/>
      <c r="M244" s="31" t="inlineStr"/>
      <c r="N244" s="32">
        <f>IF(M244="Underperforming",-5,IF(L244&gt;=95,15,IF(L244&gt;=90,10,IF(L244&gt;=80,5,0))))</f>
        <v/>
      </c>
      <c r="O244" s="32" t="n">
        <v>65.81999999999999</v>
      </c>
      <c r="P244" s="32" t="n">
        <v>23.62</v>
      </c>
      <c r="Q244" s="32" t="n">
        <v>835.58</v>
      </c>
      <c r="R244" s="31" t="inlineStr">
        <is>
          <t>Near 52W High Breakout</t>
        </is>
      </c>
      <c r="S244" s="31" t="inlineStr">
        <is>
          <t>Nifty Infra</t>
        </is>
      </c>
      <c r="T244" s="32" t="inlineStr"/>
      <c r="U244" s="32" t="inlineStr"/>
      <c r="V244" s="32" t="inlineStr"/>
      <c r="W244" s="32" t="inlineStr"/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Between 0.7 to 1.2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IF(B245=0,"",RANK(B245,$B$2:$B$370,0))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UNIVASTU</t>
        </is>
      </c>
      <c r="D245" s="31" t="inlineStr">
        <is>
          <t>Univastu India Ltd</t>
        </is>
      </c>
      <c r="E245" s="31" t="inlineStr">
        <is>
          <t>realty</t>
        </is>
      </c>
      <c r="F245" s="31" t="inlineStr">
        <is>
          <t>construction</t>
        </is>
      </c>
      <c r="G245" s="31" t="inlineStr">
        <is>
          <t>smallcap</t>
        </is>
      </c>
      <c r="H245" s="32" t="n">
        <v>621.53</v>
      </c>
      <c r="I245" s="32" t="n">
        <v>161.7</v>
      </c>
      <c r="J245" s="32" t="n">
        <v>-1.68</v>
      </c>
      <c r="K245" s="32" t="n">
        <v>234842</v>
      </c>
      <c r="L245" s="31" t="inlineStr"/>
      <c r="M245" s="31" t="inlineStr"/>
      <c r="N245" s="32">
        <f>IF(M245="Underperforming",-5,IF(L245&gt;=95,15,IF(L245&gt;=90,10,IF(L245&gt;=80,5,0))))</f>
        <v/>
      </c>
      <c r="O245" s="32" t="n">
        <v>80.28</v>
      </c>
      <c r="P245" s="32" t="n">
        <v>74.5</v>
      </c>
      <c r="Q245" s="32" t="n">
        <v>130.78</v>
      </c>
      <c r="R245" s="31" t="inlineStr">
        <is>
          <t>Earnings / Momentum Support</t>
        </is>
      </c>
      <c r="S245" s="31" t="inlineStr">
        <is>
          <t>Nifty Realty</t>
        </is>
      </c>
      <c r="T245" s="32" t="inlineStr"/>
      <c r="U245" s="32" t="inlineStr"/>
      <c r="V245" s="32" t="inlineStr"/>
      <c r="W245" s="32" t="inlineStr"/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Above 40</t>
        </is>
      </c>
      <c r="AY245" s="31">
        <f>IF(AX245="Above 40",20,IF(AX245="20 to 40",10,IF(AX245="0 to 20",-5,0)))</f>
        <v/>
      </c>
      <c r="AZ245" s="31" t="inlineStr">
        <is>
          <t>Above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IF(B246=0,"",RANK(B246,$B$2:$B$370,0))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AEROFLEX</t>
        </is>
      </c>
      <c r="D246" s="31" t="inlineStr">
        <is>
          <t>Aeroflex Industries Ltd</t>
        </is>
      </c>
      <c r="E246" s="31" t="inlineStr">
        <is>
          <t>metals &amp; mining</t>
        </is>
      </c>
      <c r="F246" s="31" t="inlineStr">
        <is>
          <t>steel - medium / small</t>
        </is>
      </c>
      <c r="G246" s="31" t="inlineStr">
        <is>
          <t>midcap</t>
        </is>
      </c>
      <c r="H246" s="32" t="n">
        <v>6672.78</v>
      </c>
      <c r="I246" s="32" t="n">
        <v>495.75</v>
      </c>
      <c r="J246" s="32" t="n">
        <v>-1.69</v>
      </c>
      <c r="K246" s="32" t="n">
        <v>1234960</v>
      </c>
      <c r="L246" s="31" t="inlineStr"/>
      <c r="M246" s="31" t="inlineStr"/>
      <c r="N246" s="32">
        <f>IF(M246="Underperforming",-5,IF(L246&gt;=95,15,IF(L246&gt;=90,10,IF(L246&gt;=80,5,0))))</f>
        <v/>
      </c>
      <c r="O246" s="32" t="n">
        <v>67.64</v>
      </c>
      <c r="P246" s="32" t="n">
        <v>62.79</v>
      </c>
      <c r="Q246" s="32" t="n">
        <v>362.95</v>
      </c>
      <c r="R246" s="31" t="inlineStr">
        <is>
          <t>Near 52W High Breakout</t>
        </is>
      </c>
      <c r="S246" s="31" t="inlineStr">
        <is>
          <t>Nifty Metal</t>
        </is>
      </c>
      <c r="T246" s="32" t="inlineStr"/>
      <c r="U246" s="32" t="inlineStr"/>
      <c r="V246" s="32" t="inlineStr"/>
      <c r="W246" s="32" t="inlineStr"/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Cyclical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Above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Blue sky scenario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IF(B247=0,"",RANK(B247,$B$2:$B$370,0))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FINEORG</t>
        </is>
      </c>
      <c r="D247" s="31" t="inlineStr">
        <is>
          <t>Fine Organic Industries Ltd</t>
        </is>
      </c>
      <c r="E247" s="31" t="inlineStr">
        <is>
          <t>chemicals</t>
        </is>
      </c>
      <c r="F247" s="31" t="inlineStr">
        <is>
          <t>chemicals</t>
        </is>
      </c>
      <c r="G247" s="31" t="inlineStr">
        <is>
          <t>midcap</t>
        </is>
      </c>
      <c r="H247" s="32" t="n">
        <v>16180.5</v>
      </c>
      <c r="I247" s="32" t="n">
        <v>5184</v>
      </c>
      <c r="J247" s="32" t="n">
        <v>-1.77</v>
      </c>
      <c r="K247" s="32" t="n">
        <v>20144</v>
      </c>
      <c r="L247" s="31" t="n">
        <v>16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60.79</v>
      </c>
      <c r="P247" s="32" t="n">
        <v>13.29</v>
      </c>
      <c r="Q247" s="32" t="n">
        <v>4272.26</v>
      </c>
      <c r="R247" s="31" t="inlineStr">
        <is>
          <t>Near 52W High Breakout</t>
        </is>
      </c>
      <c r="S247" s="31" t="inlineStr">
        <is>
          <t>Nifty 50</t>
        </is>
      </c>
      <c r="T247" s="32" t="n">
        <v>-0.38</v>
      </c>
      <c r="U247" s="32" t="n">
        <v>10.75</v>
      </c>
      <c r="V247" s="32" t="n">
        <v>11.17</v>
      </c>
      <c r="W247" s="32" t="n">
        <v>4.74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Blue sky scenario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Between 12 to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IF(B248=0,"",RANK(B248,$B$2:$B$370,0))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UFLEX</t>
        </is>
      </c>
      <c r="D248" s="31" t="inlineStr">
        <is>
          <t>Uflex Limited</t>
        </is>
      </c>
      <c r="E248" s="31" t="inlineStr">
        <is>
          <t>industrials</t>
        </is>
      </c>
      <c r="F248" s="31" t="inlineStr">
        <is>
          <t>packaging</t>
        </is>
      </c>
      <c r="G248" s="31" t="inlineStr">
        <is>
          <t>smallcap</t>
        </is>
      </c>
      <c r="H248" s="32" t="n">
        <v>4471.34</v>
      </c>
      <c r="I248" s="32" t="n">
        <v>606.75</v>
      </c>
      <c r="J248" s="32" t="n">
        <v>-2.01</v>
      </c>
      <c r="K248" s="32" t="n">
        <v>130086</v>
      </c>
      <c r="L248" s="31" t="n">
        <v>55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73.34999999999999</v>
      </c>
      <c r="P248" s="32" t="n">
        <v>22.21</v>
      </c>
      <c r="Q248" s="32" t="n">
        <v>491.14</v>
      </c>
      <c r="R248" s="31" t="inlineStr">
        <is>
          <t>Near 52W High Breakout</t>
        </is>
      </c>
      <c r="S248" s="31" t="inlineStr">
        <is>
          <t>Nifty 50</t>
        </is>
      </c>
      <c r="T248" s="32" t="n">
        <v>-0.38</v>
      </c>
      <c r="U248" s="32" t="n">
        <v>18.18</v>
      </c>
      <c r="V248" s="32" t="n">
        <v>18.63</v>
      </c>
      <c r="W248" s="32" t="n">
        <v>13.84</v>
      </c>
      <c r="X248" s="31" t="inlineStr">
        <is>
          <t>Cyclical in an Upturn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More than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IF(B249=0,"",RANK(B249,$B$2:$B$370,0))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NETWEB</t>
        </is>
      </c>
      <c r="D249" s="31" t="inlineStr">
        <is>
          <t>Netweb Technologies India Ltd</t>
        </is>
      </c>
      <c r="E249" s="31" t="inlineStr">
        <is>
          <t>i.t</t>
        </is>
      </c>
      <c r="F249" s="31" t="inlineStr">
        <is>
          <t>computers - hardware</t>
        </is>
      </c>
      <c r="G249" s="31" t="inlineStr">
        <is>
          <t>largecap</t>
        </is>
      </c>
      <c r="H249" s="32" t="n">
        <v>31058.3</v>
      </c>
      <c r="I249" s="32" t="n">
        <v>5273.5</v>
      </c>
      <c r="J249" s="32" t="n">
        <v>-3.32</v>
      </c>
      <c r="K249" s="32" t="n">
        <v>2444793</v>
      </c>
      <c r="L249" s="31" t="n">
        <v>78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63.62</v>
      </c>
      <c r="P249" s="32" t="n">
        <v>38.5</v>
      </c>
      <c r="Q249" s="32" t="n">
        <v>4164.61</v>
      </c>
      <c r="R249" s="31" t="inlineStr">
        <is>
          <t>Earnings / Momentum Support</t>
        </is>
      </c>
      <c r="S249" s="31" t="inlineStr">
        <is>
          <t>Nifty IT</t>
        </is>
      </c>
      <c r="T249" s="32" t="n">
        <v>-12.53</v>
      </c>
      <c r="U249" s="32" t="n">
        <v>139.03</v>
      </c>
      <c r="V249" s="32" t="n">
        <v>173.28</v>
      </c>
      <c r="W249" s="32" t="n">
        <v>22.66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IF(B250=0,"",RANK(B250,$B$2:$B$370,0))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BALUFORGE</t>
        </is>
      </c>
      <c r="D250" s="33" t="inlineStr">
        <is>
          <t>Balu Forge Industries Ltd</t>
        </is>
      </c>
      <c r="E250" s="31" t="inlineStr">
        <is>
          <t>industrials</t>
        </is>
      </c>
      <c r="F250" s="31" t="inlineStr">
        <is>
          <t>castings &amp; forgings</t>
        </is>
      </c>
      <c r="G250" s="31" t="inlineStr">
        <is>
          <t>midcap</t>
        </is>
      </c>
      <c r="H250" s="32" t="n">
        <v>7566.29</v>
      </c>
      <c r="I250" s="32" t="n">
        <v>609.6</v>
      </c>
      <c r="J250" s="32" t="n">
        <v>-3.57</v>
      </c>
      <c r="K250" s="32" t="n">
        <v>3220669</v>
      </c>
      <c r="L250" s="31" t="n">
        <v>25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67.51000000000001</v>
      </c>
      <c r="P250" s="32" t="n">
        <v>17.41</v>
      </c>
      <c r="Q250" s="32" t="n">
        <v>458.82</v>
      </c>
      <c r="R250" s="31" t="inlineStr">
        <is>
          <t>Volume Spike / Accumulation</t>
        </is>
      </c>
      <c r="S250" s="31" t="inlineStr">
        <is>
          <t>Nifty 50</t>
        </is>
      </c>
      <c r="T250" s="32" t="n">
        <v>-0.38</v>
      </c>
      <c r="U250" s="32" t="n">
        <v>-0.93</v>
      </c>
      <c r="V250" s="32" t="n">
        <v>-0.55</v>
      </c>
      <c r="W250" s="32" t="n">
        <v>6.72</v>
      </c>
      <c r="X250" s="31" t="inlineStr">
        <is>
          <t>Cyclical in an Upturn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IF(B251=0,"",RANK(B251,$B$2:$B$370,0))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GLAXO</t>
        </is>
      </c>
      <c r="D251" s="33" t="inlineStr">
        <is>
          <t>Glaxosmithkline Pharmaceuticals Limited</t>
        </is>
      </c>
      <c r="E251" s="31" t="inlineStr">
        <is>
          <t>healthcare</t>
        </is>
      </c>
      <c r="F251" s="31" t="inlineStr">
        <is>
          <t>pharmaceuticals - multinational</t>
        </is>
      </c>
      <c r="G251" s="31" t="inlineStr">
        <is>
          <t>largecap</t>
        </is>
      </c>
      <c r="H251" s="32" t="n">
        <v>49664.77</v>
      </c>
      <c r="I251" s="32" t="n">
        <v>3007.9</v>
      </c>
      <c r="J251" s="32" t="n">
        <v>2.6</v>
      </c>
      <c r="K251" s="32" t="n">
        <v>188162</v>
      </c>
      <c r="L251" s="31" t="n">
        <v>38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72.12</v>
      </c>
      <c r="P251" s="32" t="n">
        <v>24.78</v>
      </c>
      <c r="Q251" s="32" t="n">
        <v>2488.96</v>
      </c>
      <c r="R251" s="31" t="inlineStr">
        <is>
          <t>Near 52W High Breakout</t>
        </is>
      </c>
      <c r="S251" s="31" t="inlineStr">
        <is>
          <t>Nifty Pharma</t>
        </is>
      </c>
      <c r="T251" s="32" t="n">
        <v>21.83</v>
      </c>
      <c r="U251" s="32" t="n">
        <v>9.109999999999999</v>
      </c>
      <c r="V251" s="32" t="n">
        <v>-10.44</v>
      </c>
      <c r="W251" s="32" t="n">
        <v>9.73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Yes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Annuity, Lower One Time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Between 12 to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IF(B252=0,"",RANK(B252,$B$2:$B$370,0))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3" t="inlineStr">
        <is>
          <t>CONCORDBIO</t>
        </is>
      </c>
      <c r="D252" s="33" t="inlineStr">
        <is>
          <t>Concord Biotech Ltd</t>
        </is>
      </c>
      <c r="E252" s="31" t="inlineStr">
        <is>
          <t>healthcare</t>
        </is>
      </c>
      <c r="F252" s="31" t="inlineStr">
        <is>
          <t>pharmaceuticals - indian - bulk drugs &amp; formln</t>
        </is>
      </c>
      <c r="G252" s="31" t="inlineStr">
        <is>
          <t>midcap</t>
        </is>
      </c>
      <c r="H252" s="32" t="n">
        <v>16104.62</v>
      </c>
      <c r="I252" s="32" t="n">
        <v>1548</v>
      </c>
      <c r="J252" s="32" t="n">
        <v>0.5600000000000001</v>
      </c>
      <c r="K252" s="32" t="n">
        <v>100739</v>
      </c>
      <c r="L252" s="31" t="n">
        <v>41</v>
      </c>
      <c r="M252" s="31" t="inlineStr">
        <is>
          <t>Underperforming</t>
        </is>
      </c>
      <c r="N252" s="32">
        <f>IF(M252="Underperforming",-5,IF(L252&gt;=95,15,IF(L252&gt;=90,10,IF(L252&gt;=80,5,0))))</f>
        <v/>
      </c>
      <c r="O252" s="32" t="n">
        <v>62.85</v>
      </c>
      <c r="P252" s="32" t="n">
        <v>20.73</v>
      </c>
      <c r="Q252" s="32" t="n">
        <v>1218.83</v>
      </c>
      <c r="R252" s="31" t="inlineStr">
        <is>
          <t>Earnings / Momentum Support</t>
        </is>
      </c>
      <c r="S252" s="31" t="inlineStr">
        <is>
          <t>Nifty Pharma</t>
        </is>
      </c>
      <c r="T252" s="32" t="n">
        <v>21.83</v>
      </c>
      <c r="U252" s="32" t="n">
        <v>-6.81</v>
      </c>
      <c r="V252" s="32" t="n">
        <v>-23.51</v>
      </c>
      <c r="W252" s="32" t="n">
        <v>10.67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Yes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Annuity, Lower One Time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Between 1.5 to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IF(B253=0,"",RANK(B253,$B$2:$B$370,0))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WINDLAS</t>
        </is>
      </c>
      <c r="D253" s="33" t="inlineStr">
        <is>
          <t>Windlas Biotech Ltd</t>
        </is>
      </c>
      <c r="E253" s="31" t="inlineStr">
        <is>
          <t>healthcare</t>
        </is>
      </c>
      <c r="F253" s="31" t="inlineStr">
        <is>
          <t>pharmaceuticals - indian - formulations</t>
        </is>
      </c>
      <c r="G253" s="31" t="inlineStr">
        <is>
          <t>smallcap</t>
        </is>
      </c>
      <c r="H253" s="32" t="n">
        <v>2046.6</v>
      </c>
      <c r="I253" s="32" t="n">
        <v>990</v>
      </c>
      <c r="J253" s="32" t="n">
        <v>-0.18</v>
      </c>
      <c r="K253" s="32" t="n">
        <v>93402</v>
      </c>
      <c r="L253" s="31" t="n">
        <v>17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69.54000000000001</v>
      </c>
      <c r="P253" s="32" t="n">
        <v>21.93</v>
      </c>
      <c r="Q253" s="32" t="n">
        <v>791.11</v>
      </c>
      <c r="R253" s="31" t="inlineStr">
        <is>
          <t>Near 52W High Breakout</t>
        </is>
      </c>
      <c r="S253" s="31" t="inlineStr">
        <is>
          <t>Nifty Pharma</t>
        </is>
      </c>
      <c r="T253" s="32" t="n">
        <v>21.83</v>
      </c>
      <c r="U253" s="32" t="n">
        <v>0</v>
      </c>
      <c r="V253" s="32" t="n">
        <v>-17.92</v>
      </c>
      <c r="W253" s="32" t="n">
        <v>4.97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Yes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Annuity, Lower One Time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IF(B254=0,"",RANK(B254,$B$2:$B$370,0))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ANTHEM</t>
        </is>
      </c>
      <c r="D254" s="33" t="inlineStr">
        <is>
          <t>Anthem Biosciences Ltd</t>
        </is>
      </c>
      <c r="E254" s="31" t="inlineStr">
        <is>
          <t>healthcare</t>
        </is>
      </c>
      <c r="F254" s="31" t="inlineStr">
        <is>
          <t>pharmaceuticals - indian - bulk drugs &amp; formln</t>
        </is>
      </c>
      <c r="G254" s="31" t="inlineStr">
        <is>
          <t>largecap</t>
        </is>
      </c>
      <c r="H254" s="32" t="n">
        <v>49766.59</v>
      </c>
      <c r="I254" s="32" t="n">
        <v>874.7</v>
      </c>
      <c r="J254" s="32" t="n">
        <v>-0.98</v>
      </c>
      <c r="K254" s="32" t="n">
        <v>364937</v>
      </c>
      <c r="L254" s="31" t="n">
        <v>19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66.88</v>
      </c>
      <c r="P254" s="32" t="n">
        <v>39.76</v>
      </c>
      <c r="Q254" s="32" t="n">
        <v>751.87</v>
      </c>
      <c r="R254" s="31" t="inlineStr">
        <is>
          <t>Near 52W High Breakout</t>
        </is>
      </c>
      <c r="S254" s="31" t="inlineStr">
        <is>
          <t>Nifty Pharma</t>
        </is>
      </c>
      <c r="T254" s="32" t="n">
        <v>21.83</v>
      </c>
      <c r="U254" s="32" t="n">
        <v>7.2</v>
      </c>
      <c r="V254" s="32" t="n">
        <v>-12.01</v>
      </c>
      <c r="W254" s="32" t="n">
        <v>5.45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Yes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Annuity, Lower One Time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Blue sky scenario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IF(B255=0,"",RANK(B255,$B$2:$B$370,0))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THEMISMED</t>
        </is>
      </c>
      <c r="D255" s="33" t="inlineStr">
        <is>
          <t>Themis Medicare Limited</t>
        </is>
      </c>
      <c r="E255" s="31" t="inlineStr">
        <is>
          <t>healthcare</t>
        </is>
      </c>
      <c r="F255" s="31" t="inlineStr">
        <is>
          <t>pharmaceuticals - indian - bulk drugs &amp; formln</t>
        </is>
      </c>
      <c r="G255" s="31" t="inlineStr">
        <is>
          <t>smallcap</t>
        </is>
      </c>
      <c r="H255" s="32" t="n">
        <v>1112.66</v>
      </c>
      <c r="I255" s="32" t="n">
        <v>119.24</v>
      </c>
      <c r="J255" s="32" t="n">
        <v>-1.3</v>
      </c>
      <c r="K255" s="32" t="n">
        <v>664332</v>
      </c>
      <c r="L255" s="31" t="n">
        <v>26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61.12</v>
      </c>
      <c r="P255" s="32" t="n">
        <v>35.11</v>
      </c>
      <c r="Q255" s="32" t="n">
        <v>81.98</v>
      </c>
      <c r="R255" s="31" t="inlineStr">
        <is>
          <t>Earnings / Momentum Support</t>
        </is>
      </c>
      <c r="S255" s="31" t="inlineStr">
        <is>
          <t>Nifty Pharma</t>
        </is>
      </c>
      <c r="T255" s="32" t="n">
        <v>21.83</v>
      </c>
      <c r="U255" s="32" t="n">
        <v>20.93</v>
      </c>
      <c r="V255" s="32" t="n">
        <v>-0.74</v>
      </c>
      <c r="W255" s="32" t="n">
        <v>6.86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Yes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Annuity, Lower One Time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IF(B256=0,"",RANK(B256,$B$2:$B$370,0))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3" t="inlineStr">
        <is>
          <t>SURAKSHA</t>
        </is>
      </c>
      <c r="D256" s="33" t="inlineStr">
        <is>
          <t>Suraksha Diagnostic Ltd</t>
        </is>
      </c>
      <c r="E256" s="31" t="inlineStr">
        <is>
          <t>healthcare</t>
        </is>
      </c>
      <c r="F256" s="31" t="inlineStr">
        <is>
          <t>healthcare</t>
        </is>
      </c>
      <c r="G256" s="31" t="inlineStr">
        <is>
          <t>smallcap</t>
        </is>
      </c>
      <c r="H256" s="32" t="n">
        <v>1682.73</v>
      </c>
      <c r="I256" s="32" t="n">
        <v>318</v>
      </c>
      <c r="J256" s="32" t="n">
        <v>-1.58</v>
      </c>
      <c r="K256" s="32" t="n">
        <v>86882</v>
      </c>
      <c r="L256" s="31" t="n">
        <v>13</v>
      </c>
      <c r="M256" s="31" t="inlineStr">
        <is>
          <t>Underperforming</t>
        </is>
      </c>
      <c r="N256" s="32">
        <f>IF(M256="Underperforming",-5,IF(L256&gt;=95,15,IF(L256&gt;=90,10,IF(L256&gt;=80,5,0))))</f>
        <v/>
      </c>
      <c r="O256" s="32" t="n">
        <v>62.75</v>
      </c>
      <c r="P256" s="32" t="n">
        <v>15.89</v>
      </c>
      <c r="Q256" s="32" t="n">
        <v>255.97</v>
      </c>
      <c r="R256" s="31" t="inlineStr">
        <is>
          <t>Near 52W High Breakout</t>
        </is>
      </c>
      <c r="S256" s="31" t="inlineStr">
        <is>
          <t>Nifty Pharma</t>
        </is>
      </c>
      <c r="T256" s="32" t="n">
        <v>21.83</v>
      </c>
      <c r="U256" s="32" t="n">
        <v>6.55</v>
      </c>
      <c r="V256" s="32" t="n">
        <v>-12.54</v>
      </c>
      <c r="W256" s="32" t="n">
        <v>3.72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Yes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Annuity, Lower One Time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IF(B257=0,"",RANK(B257,$B$2:$B$370,0))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BAJAJHIND</t>
        </is>
      </c>
      <c r="D257" s="31" t="inlineStr">
        <is>
          <t>Bajaj Hindusthan Sugar Limited</t>
        </is>
      </c>
      <c r="E257" s="31" t="inlineStr">
        <is>
          <t>fmcg</t>
        </is>
      </c>
      <c r="F257" s="31" t="inlineStr">
        <is>
          <t>sugar</t>
        </is>
      </c>
      <c r="G257" s="31" t="inlineStr">
        <is>
          <t>midcap</t>
        </is>
      </c>
      <c r="H257" s="32" t="n">
        <v>5792.58</v>
      </c>
      <c r="I257" s="32" t="n">
        <v>22.81</v>
      </c>
      <c r="J257" s="32" t="n">
        <v>-5.86</v>
      </c>
      <c r="K257" s="32" t="n">
        <v>132793945</v>
      </c>
      <c r="L257" s="31" t="inlineStr"/>
      <c r="M257" s="31" t="inlineStr"/>
      <c r="N257" s="32">
        <f>IF(M257="Underperforming",-5,IF(L257&gt;=95,15,IF(L257&gt;=90,10,IF(L257&gt;=80,5,0))))</f>
        <v/>
      </c>
      <c r="O257" s="32" t="n">
        <v>66.97</v>
      </c>
      <c r="P257" s="32" t="n">
        <v>14.25</v>
      </c>
      <c r="Q257" s="32" t="n">
        <v>17.18</v>
      </c>
      <c r="R257" s="31" t="inlineStr">
        <is>
          <t>Volume Spike &amp; Near 52W High Breakout</t>
        </is>
      </c>
      <c r="S257" s="31" t="inlineStr">
        <is>
          <t>Nifty FMCG</t>
        </is>
      </c>
      <c r="T257" s="32" t="inlineStr"/>
      <c r="U257" s="32" t="inlineStr"/>
      <c r="V257" s="32" t="inlineStr"/>
      <c r="W257" s="32" t="inlineStr"/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B2C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Annuity, Lower One Time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Between 0.7 to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IF(B258=0,"",RANK(B258,$B$2:$B$370,0))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FOSECOIND</t>
        </is>
      </c>
      <c r="D258" s="33" t="inlineStr">
        <is>
          <t>Foseco India Limited</t>
        </is>
      </c>
      <c r="E258" s="31" t="inlineStr">
        <is>
          <t>chemicals</t>
        </is>
      </c>
      <c r="F258" s="31" t="inlineStr">
        <is>
          <t>chemicals</t>
        </is>
      </c>
      <c r="G258" s="31" t="inlineStr">
        <is>
          <t>smallcap</t>
        </is>
      </c>
      <c r="H258" s="32" t="n">
        <v>4038.46</v>
      </c>
      <c r="I258" s="32" t="n">
        <v>5615.5</v>
      </c>
      <c r="J258" s="32" t="n">
        <v>4.81</v>
      </c>
      <c r="K258" s="32" t="n">
        <v>28100</v>
      </c>
      <c r="L258" s="31" t="n">
        <v>4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60.82</v>
      </c>
      <c r="P258" s="32" t="n">
        <v>20.73</v>
      </c>
      <c r="Q258" s="32" t="n">
        <v>4462.11</v>
      </c>
      <c r="R258" s="31" t="inlineStr">
        <is>
          <t>Volume Spike / Accumulation</t>
        </is>
      </c>
      <c r="S258" s="31" t="inlineStr">
        <is>
          <t>Nifty 50</t>
        </is>
      </c>
      <c r="T258" s="32" t="n">
        <v>-0.38</v>
      </c>
      <c r="U258" s="32" t="n">
        <v>-9.460000000000001</v>
      </c>
      <c r="V258" s="32" t="n">
        <v>-9.109999999999999</v>
      </c>
      <c r="W258" s="32" t="n">
        <v>1.21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IF(B259=0,"",RANK(B259,$B$2:$B$370,0))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DIXON</t>
        </is>
      </c>
      <c r="D259" s="33" t="inlineStr">
        <is>
          <t>Dixon Technologies Ltd</t>
        </is>
      </c>
      <c r="E259" s="31" t="inlineStr">
        <is>
          <t>consumer discretionary</t>
        </is>
      </c>
      <c r="F259" s="31" t="inlineStr">
        <is>
          <t>electronics - consumer</t>
        </is>
      </c>
      <c r="G259" s="31" t="inlineStr">
        <is>
          <t>largecap</t>
        </is>
      </c>
      <c r="H259" s="32" t="n">
        <v>89002.19</v>
      </c>
      <c r="I259" s="32" t="n">
        <v>14990</v>
      </c>
      <c r="J259" s="32" t="n">
        <v>2.88</v>
      </c>
      <c r="K259" s="32" t="n">
        <v>742124</v>
      </c>
      <c r="L259" s="31" t="n">
        <v>21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68.06999999999999</v>
      </c>
      <c r="P259" s="32" t="n">
        <v>24.79</v>
      </c>
      <c r="Q259" s="32" t="n">
        <v>12112.01</v>
      </c>
      <c r="R259" s="31" t="inlineStr">
        <is>
          <t>Earnings / Momentum Support</t>
        </is>
      </c>
      <c r="S259" s="31" t="inlineStr">
        <is>
          <t>Nifty 50</t>
        </is>
      </c>
      <c r="T259" s="32" t="n">
        <v>-0.38</v>
      </c>
      <c r="U259" s="32" t="n">
        <v>-10.15</v>
      </c>
      <c r="V259" s="32" t="n">
        <v>-9.800000000000001</v>
      </c>
      <c r="W259" s="32" t="n">
        <v>5.85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IF(B260=0,"",RANK(B260,$B$2:$B$370,0))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MAZDOCK</t>
        </is>
      </c>
      <c r="D260" s="31" t="inlineStr">
        <is>
          <t>Mazagon Dock Shipbuilders Ltd</t>
        </is>
      </c>
      <c r="E260" s="31" t="inlineStr">
        <is>
          <t>aerospace &amp; defence</t>
        </is>
      </c>
      <c r="F260" s="31" t="inlineStr">
        <is>
          <t>miscellaneous</t>
        </is>
      </c>
      <c r="G260" s="31" t="inlineStr">
        <is>
          <t>largecap</t>
        </is>
      </c>
      <c r="H260" s="32" t="n">
        <v>102458.52</v>
      </c>
      <c r="I260" s="32" t="n">
        <v>2610</v>
      </c>
      <c r="J260" s="32" t="n">
        <v>2.76</v>
      </c>
      <c r="K260" s="32" t="n">
        <v>1597630</v>
      </c>
      <c r="L260" s="31" t="n">
        <v>7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56.2</v>
      </c>
      <c r="P260" s="32" t="n">
        <v>8.130000000000001</v>
      </c>
      <c r="Q260" s="32" t="n">
        <v>2154.57</v>
      </c>
      <c r="R260" s="31" t="inlineStr">
        <is>
          <t>Earnings / Momentum Support</t>
        </is>
      </c>
      <c r="S260" s="31" t="inlineStr">
        <is>
          <t>Nifty 50</t>
        </is>
      </c>
      <c r="T260" s="32" t="n">
        <v>-0.38</v>
      </c>
      <c r="U260" s="32" t="n">
        <v>1.07</v>
      </c>
      <c r="V260" s="32" t="n">
        <v>1.45</v>
      </c>
      <c r="W260" s="32" t="n">
        <v>1.97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Between 1.5 to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IF(B261=0,"",RANK(B261,$B$2:$B$370,0))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PITTIENG</t>
        </is>
      </c>
      <c r="D261" s="31" t="inlineStr">
        <is>
          <t>Pitti Engineering Ltd</t>
        </is>
      </c>
      <c r="E261" s="31" t="inlineStr">
        <is>
          <t>industrials</t>
        </is>
      </c>
      <c r="F261" s="31" t="inlineStr">
        <is>
          <t>engineering</t>
        </is>
      </c>
      <c r="G261" s="31" t="inlineStr">
        <is>
          <t>smallcap</t>
        </is>
      </c>
      <c r="H261" s="32" t="n">
        <v>4135.31</v>
      </c>
      <c r="I261" s="32" t="n">
        <v>1123.3</v>
      </c>
      <c r="J261" s="32" t="n">
        <v>2.28</v>
      </c>
      <c r="K261" s="32" t="n">
        <v>584067</v>
      </c>
      <c r="L261" s="31" t="inlineStr"/>
      <c r="M261" s="31" t="inlineStr"/>
      <c r="N261" s="32">
        <f>IF(M261="Underperforming",-5,IF(L261&gt;=95,15,IF(L261&gt;=90,10,IF(L261&gt;=80,5,0))))</f>
        <v/>
      </c>
      <c r="O261" s="32" t="n">
        <v>68.28</v>
      </c>
      <c r="P261" s="32" t="n">
        <v>11.58</v>
      </c>
      <c r="Q261" s="32" t="n">
        <v>888.22</v>
      </c>
      <c r="R261" s="31" t="inlineStr">
        <is>
          <t>Volume Spike &amp; Near 52W High Breakout</t>
        </is>
      </c>
      <c r="S261" s="31" t="inlineStr">
        <is>
          <t>Nifty Infra</t>
        </is>
      </c>
      <c r="T261" s="32" t="inlineStr"/>
      <c r="U261" s="32" t="inlineStr"/>
      <c r="V261" s="32" t="inlineStr"/>
      <c r="W261" s="32" t="inlineStr"/>
      <c r="X261" s="31" t="inlineStr">
        <is>
          <t>Cyclical in an Upturn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Less than 1.5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Between 0.7 to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IF(B262=0,"",RANK(B262,$B$2:$B$370,0))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ABB</t>
        </is>
      </c>
      <c r="D262" s="31" t="inlineStr">
        <is>
          <t>Abb India Limited</t>
        </is>
      </c>
      <c r="E262" s="31" t="inlineStr">
        <is>
          <t>industrials</t>
        </is>
      </c>
      <c r="F262" s="31" t="inlineStr">
        <is>
          <t>electric equipment</t>
        </is>
      </c>
      <c r="G262" s="31" t="inlineStr">
        <is>
          <t>largecap</t>
        </is>
      </c>
      <c r="H262" s="32" t="n">
        <v>159016.04</v>
      </c>
      <c r="I262" s="32" t="n">
        <v>7627</v>
      </c>
      <c r="J262" s="32" t="n">
        <v>1.64</v>
      </c>
      <c r="K262" s="32" t="n">
        <v>177041</v>
      </c>
      <c r="L262" s="31" t="n">
        <v>42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62.55</v>
      </c>
      <c r="P262" s="32" t="n">
        <v>30.57</v>
      </c>
      <c r="Q262" s="32" t="n">
        <v>6283.39</v>
      </c>
      <c r="R262" s="31" t="inlineStr">
        <is>
          <t>Near 52W High Breakout</t>
        </is>
      </c>
      <c r="S262" s="31" t="inlineStr">
        <is>
          <t>Nifty 50</t>
        </is>
      </c>
      <c r="T262" s="32" t="n">
        <v>-0.38</v>
      </c>
      <c r="U262" s="32" t="n">
        <v>55</v>
      </c>
      <c r="V262" s="32" t="n">
        <v>55.59</v>
      </c>
      <c r="W262" s="32" t="n">
        <v>10.72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Less than 12%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IF(B263=0,"",RANK(B263,$B$2:$B$370,0))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BOSCHLTD</t>
        </is>
      </c>
      <c r="D263" s="31" t="inlineStr">
        <is>
          <t>Bosch Limited</t>
        </is>
      </c>
      <c r="E263" s="31" t="inlineStr">
        <is>
          <t>auto</t>
        </is>
      </c>
      <c r="F263" s="31" t="inlineStr">
        <is>
          <t>auto ancillaries</t>
        </is>
      </c>
      <c r="G263" s="31" t="inlineStr">
        <is>
          <t>largecap</t>
        </is>
      </c>
      <c r="H263" s="32" t="n">
        <v>141876.24</v>
      </c>
      <c r="I263" s="32" t="n">
        <v>48680</v>
      </c>
      <c r="J263" s="32" t="n">
        <v>1.21</v>
      </c>
      <c r="K263" s="32" t="n">
        <v>27255</v>
      </c>
      <c r="L263" s="31" t="inlineStr"/>
      <c r="M263" s="31" t="inlineStr"/>
      <c r="N263" s="32">
        <f>IF(M263="Underperforming",-5,IF(L263&gt;=95,15,IF(L263&gt;=90,10,IF(L263&gt;=80,5,0))))</f>
        <v/>
      </c>
      <c r="O263" s="32" t="n">
        <v>75.63</v>
      </c>
      <c r="P263" s="32" t="n">
        <v>36.85</v>
      </c>
      <c r="Q263" s="32" t="n">
        <v>41719.61</v>
      </c>
      <c r="R263" s="31" t="inlineStr">
        <is>
          <t>Near 52W High Breakout</t>
        </is>
      </c>
      <c r="S263" s="31" t="inlineStr">
        <is>
          <t>Nifty Auto</t>
        </is>
      </c>
      <c r="T263" s="32" t="inlineStr"/>
      <c r="U263" s="32" t="inlineStr"/>
      <c r="V263" s="32" t="inlineStr"/>
      <c r="W263" s="32" t="inlineStr"/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Above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Blue sky scenario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Less than 12%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IF(B264=0,"",RANK(B264,$B$2:$B$370,0))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RAMRAT</t>
        </is>
      </c>
      <c r="D264" s="31" t="inlineStr">
        <is>
          <t>Ram Ratna Wires Ltd</t>
        </is>
      </c>
      <c r="E264" s="31" t="inlineStr">
        <is>
          <t>metals &amp; mining</t>
        </is>
      </c>
      <c r="F264" s="31" t="inlineStr">
        <is>
          <t>mining / minerals / metals</t>
        </is>
      </c>
      <c r="G264" s="31" t="inlineStr">
        <is>
          <t>smallcap</t>
        </is>
      </c>
      <c r="H264" s="32" t="n">
        <v>4535.36</v>
      </c>
      <c r="I264" s="32" t="n">
        <v>489.55</v>
      </c>
      <c r="J264" s="32" t="n">
        <v>0.76</v>
      </c>
      <c r="K264" s="32" t="n">
        <v>373442</v>
      </c>
      <c r="L264" s="31" t="inlineStr"/>
      <c r="M264" s="31" t="inlineStr"/>
      <c r="N264" s="32">
        <f>IF(M264="Underperforming",-5,IF(L264&gt;=95,15,IF(L264&gt;=90,10,IF(L264&gt;=80,5,0))))</f>
        <v/>
      </c>
      <c r="O264" s="32" t="n">
        <v>71.70999999999999</v>
      </c>
      <c r="P264" s="32" t="n">
        <v>42.54</v>
      </c>
      <c r="Q264" s="32" t="n">
        <v>373.44</v>
      </c>
      <c r="R264" s="31" t="inlineStr">
        <is>
          <t>Near 52W High Breakout</t>
        </is>
      </c>
      <c r="S264" s="31" t="inlineStr">
        <is>
          <t>Nifty Metal</t>
        </is>
      </c>
      <c r="T264" s="32" t="inlineStr"/>
      <c r="U264" s="32" t="inlineStr"/>
      <c r="V264" s="32" t="inlineStr"/>
      <c r="W264" s="32" t="inlineStr"/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Cyclical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Volatile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Above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Blue sky scenario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Between 0.7 to 1.2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IF(B265=0,"",RANK(B265,$B$2:$B$370,0))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TIIL</t>
        </is>
      </c>
      <c r="D265" s="31" t="inlineStr">
        <is>
          <t>Technocraft Industries (india) Limited</t>
        </is>
      </c>
      <c r="E265" s="31" t="inlineStr">
        <is>
          <t>metals &amp; mining</t>
        </is>
      </c>
      <c r="F265" s="31" t="inlineStr">
        <is>
          <t>steel - medium / small</t>
        </is>
      </c>
      <c r="G265" s="31" t="inlineStr">
        <is>
          <t>midcap</t>
        </is>
      </c>
      <c r="H265" s="32" t="n">
        <v>7802.39</v>
      </c>
      <c r="I265" s="32" t="n">
        <v>3454.9</v>
      </c>
      <c r="J265" s="32" t="n">
        <v>0.4</v>
      </c>
      <c r="K265" s="32" t="n">
        <v>102814</v>
      </c>
      <c r="L265" s="31" t="inlineStr"/>
      <c r="M265" s="31" t="inlineStr"/>
      <c r="N265" s="32">
        <f>IF(M265="Underperforming",-5,IF(L265&gt;=95,15,IF(L265&gt;=90,10,IF(L265&gt;=80,5,0))))</f>
        <v/>
      </c>
      <c r="O265" s="32" t="n">
        <v>78.51000000000001</v>
      </c>
      <c r="P265" s="32" t="n">
        <v>33.03</v>
      </c>
      <c r="Q265" s="32" t="n">
        <v>2771.04</v>
      </c>
      <c r="R265" s="31" t="inlineStr">
        <is>
          <t>Near 52W High Breakout</t>
        </is>
      </c>
      <c r="S265" s="31" t="inlineStr">
        <is>
          <t>Nifty Metal</t>
        </is>
      </c>
      <c r="T265" s="32" t="inlineStr"/>
      <c r="U265" s="32" t="inlineStr"/>
      <c r="V265" s="32" t="inlineStr"/>
      <c r="W265" s="32" t="inlineStr"/>
      <c r="X265" s="31" t="inlineStr">
        <is>
          <t>Cyclical in an Upturn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Cyclical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Volatile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Above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Blue sky scenario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Less than 1.5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IF(B266=0,"",RANK(B266,$B$2:$B$370,0))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VIDHIING</t>
        </is>
      </c>
      <c r="D266" s="33" t="inlineStr">
        <is>
          <t>Vidhi Specialty Food Ingredients</t>
        </is>
      </c>
      <c r="E266" s="31" t="inlineStr">
        <is>
          <t>chemicals</t>
        </is>
      </c>
      <c r="F266" s="31" t="inlineStr">
        <is>
          <t>dyes and pigments</t>
        </is>
      </c>
      <c r="G266" s="31" t="inlineStr">
        <is>
          <t>smallcap</t>
        </is>
      </c>
      <c r="H266" s="32" t="n">
        <v>1725.6</v>
      </c>
      <c r="I266" s="32" t="n">
        <v>346.85</v>
      </c>
      <c r="J266" s="32" t="n">
        <v>0.39</v>
      </c>
      <c r="K266" s="32" t="n">
        <v>83574</v>
      </c>
      <c r="L266" s="31" t="n">
        <v>6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62.03</v>
      </c>
      <c r="P266" s="32" t="n">
        <v>15</v>
      </c>
      <c r="Q266" s="32" t="n">
        <v>267.7</v>
      </c>
      <c r="R266" s="31" t="inlineStr">
        <is>
          <t>Earnings / Momentum Support</t>
        </is>
      </c>
      <c r="S266" s="31" t="inlineStr">
        <is>
          <t>Nifty 50</t>
        </is>
      </c>
      <c r="T266" s="32" t="n">
        <v>-0.38</v>
      </c>
      <c r="U266" s="32" t="n">
        <v>-7.73</v>
      </c>
      <c r="V266" s="32" t="n">
        <v>-7.38</v>
      </c>
      <c r="W266" s="32" t="n">
        <v>1.67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Less than 1.5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IF(B267=0,"",RANK(B267,$B$2:$B$370,0))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MBAPL</t>
        </is>
      </c>
      <c r="D267" s="31" t="inlineStr">
        <is>
          <t>Madhya Bharat Agro Products Ltd</t>
        </is>
      </c>
      <c r="E267" s="31" t="inlineStr">
        <is>
          <t>chemicals</t>
        </is>
      </c>
      <c r="F267" s="31" t="inlineStr">
        <is>
          <t>fertilizers</t>
        </is>
      </c>
      <c r="G267" s="31" t="inlineStr">
        <is>
          <t>smallcap</t>
        </is>
      </c>
      <c r="H267" s="32" t="n">
        <v>1480.11</v>
      </c>
      <c r="I267" s="32" t="n">
        <v>168.55</v>
      </c>
      <c r="J267" s="32" t="n">
        <v>-0.21</v>
      </c>
      <c r="K267" s="32" t="n">
        <v>804521</v>
      </c>
      <c r="L267" s="31" t="n">
        <v>89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85.36</v>
      </c>
      <c r="P267" s="32" t="n">
        <v>70.2</v>
      </c>
      <c r="Q267" s="32" t="n">
        <v>136.79</v>
      </c>
      <c r="R267" s="31" t="inlineStr">
        <is>
          <t>Near 52W High Breakout</t>
        </is>
      </c>
      <c r="S267" s="31" t="inlineStr">
        <is>
          <t>Nifty 50</t>
        </is>
      </c>
      <c r="T267" s="32" t="n">
        <v>-0.38</v>
      </c>
      <c r="U267" s="32" t="n">
        <v>100.67</v>
      </c>
      <c r="V267" s="32" t="n">
        <v>101.43</v>
      </c>
      <c r="W267" s="32" t="n">
        <v>28.77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Above 40</t>
        </is>
      </c>
      <c r="AY267" s="31">
        <f>IF(AX267="Above 40",20,IF(AX267="20 to 40",10,IF(AX267="0 to 20",-5,0)))</f>
        <v/>
      </c>
      <c r="AZ267" s="31" t="inlineStr">
        <is>
          <t>Above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Between 12 to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More than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IF(B268=0,"",RANK(B268,$B$2:$B$370,0))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STCINDIA</t>
        </is>
      </c>
      <c r="D268" s="31" t="inlineStr">
        <is>
          <t>The State Trading Corporation Of India Limited</t>
        </is>
      </c>
      <c r="E268" s="31" t="inlineStr">
        <is>
          <t>services</t>
        </is>
      </c>
      <c r="F268" s="31" t="inlineStr">
        <is>
          <t>trading</t>
        </is>
      </c>
      <c r="G268" s="31" t="inlineStr">
        <is>
          <t>smallcap</t>
        </is>
      </c>
      <c r="H268" s="32" t="n">
        <v>731.34</v>
      </c>
      <c r="I268" s="32" t="n">
        <v>121.6</v>
      </c>
      <c r="J268" s="32" t="n">
        <v>-0.24</v>
      </c>
      <c r="K268" s="32" t="n">
        <v>39525</v>
      </c>
      <c r="L268" s="31" t="n">
        <v>4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51.07</v>
      </c>
      <c r="P268" s="32" t="n">
        <v>32.24</v>
      </c>
      <c r="Q268" s="32" t="n">
        <v>105.98</v>
      </c>
      <c r="R268" s="31" t="inlineStr">
        <is>
          <t>Earnings / Momentum Support</t>
        </is>
      </c>
      <c r="S268" s="31" t="inlineStr">
        <is>
          <t>Nifty 50</t>
        </is>
      </c>
      <c r="T268" s="32" t="n">
        <v>-0.38</v>
      </c>
      <c r="U268" s="32" t="n">
        <v>4.47</v>
      </c>
      <c r="V268" s="32" t="n">
        <v>4.86</v>
      </c>
      <c r="W268" s="32" t="n">
        <v>1.12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1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IF(B269=0,"",RANK(B269,$B$2:$B$370,0))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GANDHAR</t>
        </is>
      </c>
      <c r="D269" s="31" t="inlineStr">
        <is>
          <t>Gandhar Oil Refinery (India) Ltd</t>
        </is>
      </c>
      <c r="E269" s="31" t="inlineStr">
        <is>
          <t>energy</t>
        </is>
      </c>
      <c r="F269" s="31" t="inlineStr">
        <is>
          <t>refineries</t>
        </is>
      </c>
      <c r="G269" s="31" t="inlineStr">
        <is>
          <t>smallcap</t>
        </is>
      </c>
      <c r="H269" s="32" t="n">
        <v>2511.78</v>
      </c>
      <c r="I269" s="32" t="n">
        <v>255.42</v>
      </c>
      <c r="J269" s="32" t="n">
        <v>-0.47</v>
      </c>
      <c r="K269" s="32" t="n">
        <v>801390</v>
      </c>
      <c r="L269" s="31" t="inlineStr"/>
      <c r="M269" s="31" t="inlineStr"/>
      <c r="N269" s="32">
        <f>IF(M269="Underperforming",-5,IF(L269&gt;=95,15,IF(L269&gt;=90,10,IF(L269&gt;=80,5,0))))</f>
        <v/>
      </c>
      <c r="O269" s="32" t="n">
        <v>67.93000000000001</v>
      </c>
      <c r="P269" s="32" t="n">
        <v>68.06999999999999</v>
      </c>
      <c r="Q269" s="32" t="n">
        <v>212.77</v>
      </c>
      <c r="R269" s="31" t="inlineStr">
        <is>
          <t>Earnings / Momentum Support</t>
        </is>
      </c>
      <c r="S269" s="31" t="inlineStr">
        <is>
          <t>Nifty Energy</t>
        </is>
      </c>
      <c r="T269" s="32" t="inlineStr"/>
      <c r="U269" s="32" t="inlineStr"/>
      <c r="V269" s="32" t="inlineStr"/>
      <c r="W269" s="32" t="inlineStr"/>
      <c r="X269" s="31" t="inlineStr">
        <is>
          <t>Cyclical in an Upturn</t>
        </is>
      </c>
      <c r="Y269" s="31">
        <f>IF(X269="Growing Industry",10,IF(X269="Cyclical in an Upturn",5,0))</f>
        <v/>
      </c>
      <c r="Z269" s="31" t="inlineStr">
        <is>
          <t>Oligopoly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Yes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Cyclical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Volatile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Above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Less than 1.5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IF(B270=0,"",RANK(B270,$B$2:$B$370,0))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GLOBAL</t>
        </is>
      </c>
      <c r="D270" s="31" t="inlineStr">
        <is>
          <t>Global Education Ltd</t>
        </is>
      </c>
      <c r="E270" s="31" t="inlineStr">
        <is>
          <t>services</t>
        </is>
      </c>
      <c r="F270" s="31" t="inlineStr">
        <is>
          <t>miscellaneous</t>
        </is>
      </c>
      <c r="G270" s="31" t="inlineStr">
        <is>
          <t>smallcap</t>
        </is>
      </c>
      <c r="H270" s="32" t="n">
        <v>547.1900000000001</v>
      </c>
      <c r="I270" s="32" t="n">
        <v>106.71</v>
      </c>
      <c r="J270" s="32" t="n">
        <v>-0.73</v>
      </c>
      <c r="K270" s="32" t="n">
        <v>386832</v>
      </c>
      <c r="L270" s="31" t="n">
        <v>46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57.27</v>
      </c>
      <c r="P270" s="32" t="n">
        <v>41.05</v>
      </c>
      <c r="Q270" s="32" t="n">
        <v>79.48</v>
      </c>
      <c r="R270" s="31" t="inlineStr">
        <is>
          <t>Earnings / Momentum Support</t>
        </is>
      </c>
      <c r="S270" s="31" t="inlineStr">
        <is>
          <t>Nifty 50</t>
        </is>
      </c>
      <c r="T270" s="32" t="n">
        <v>-0.38</v>
      </c>
      <c r="U270" s="32" t="n">
        <v>62.19</v>
      </c>
      <c r="V270" s="32" t="n">
        <v>62.81</v>
      </c>
      <c r="W270" s="32" t="n">
        <v>11.95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Above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Less than 50%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IF(B271=0,"",RANK(B271,$B$2:$B$370,0))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SUNDRMFAST</t>
        </is>
      </c>
      <c r="D271" s="31" t="inlineStr">
        <is>
          <t>Sundram Fasteners Limited</t>
        </is>
      </c>
      <c r="E271" s="31" t="inlineStr">
        <is>
          <t>auto</t>
        </is>
      </c>
      <c r="F271" s="31" t="inlineStr">
        <is>
          <t>auto ancillaries</t>
        </is>
      </c>
      <c r="G271" s="31" t="inlineStr">
        <is>
          <t>largecap</t>
        </is>
      </c>
      <c r="H271" s="32" t="n">
        <v>25619.9</v>
      </c>
      <c r="I271" s="32" t="n">
        <v>1208</v>
      </c>
      <c r="J271" s="32" t="n">
        <v>-0.92</v>
      </c>
      <c r="K271" s="32" t="n">
        <v>207904</v>
      </c>
      <c r="L271" s="31" t="inlineStr"/>
      <c r="M271" s="31" t="inlineStr"/>
      <c r="N271" s="32">
        <f>IF(M271="Underperforming",-5,IF(L271&gt;=95,15,IF(L271&gt;=90,10,IF(L271&gt;=80,5,0))))</f>
        <v/>
      </c>
      <c r="O271" s="32" t="n">
        <v>78.26000000000001</v>
      </c>
      <c r="P271" s="32" t="n">
        <v>31.05</v>
      </c>
      <c r="Q271" s="32" t="n">
        <v>1051.44</v>
      </c>
      <c r="R271" s="31" t="inlineStr">
        <is>
          <t>Near 52W High Breakout</t>
        </is>
      </c>
      <c r="S271" s="31" t="inlineStr">
        <is>
          <t>Nifty Auto</t>
        </is>
      </c>
      <c r="T271" s="32" t="inlineStr"/>
      <c r="U271" s="32" t="inlineStr"/>
      <c r="V271" s="32" t="inlineStr"/>
      <c r="W271" s="32" t="inlineStr"/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Above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Between 12 to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IF(B272=0,"",RANK(B272,$B$2:$B$370,0))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BOSCH-HCIL</t>
        </is>
      </c>
      <c r="D272" s="33" t="inlineStr">
        <is>
          <t>Bosch Home Comfort India Ltd</t>
        </is>
      </c>
      <c r="E272" s="31" t="inlineStr">
        <is>
          <t>consumer discretionary</t>
        </is>
      </c>
      <c r="F272" s="31" t="inlineStr">
        <is>
          <t>air-conditioners</t>
        </is>
      </c>
      <c r="G272" s="31" t="inlineStr">
        <is>
          <t>smallcap</t>
        </is>
      </c>
      <c r="H272" s="32" t="n">
        <v>4572.96</v>
      </c>
      <c r="I272" s="32" t="n">
        <v>1665</v>
      </c>
      <c r="J272" s="32" t="n">
        <v>-1</v>
      </c>
      <c r="K272" s="32" t="n">
        <v>41182</v>
      </c>
      <c r="L272" s="31" t="n">
        <v>12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64.14</v>
      </c>
      <c r="P272" s="32" t="n">
        <v>21.48</v>
      </c>
      <c r="Q272" s="32" t="n">
        <v>1390.81</v>
      </c>
      <c r="R272" s="31" t="inlineStr">
        <is>
          <t>Earnings / Momentum Support</t>
        </is>
      </c>
      <c r="S272" s="31" t="inlineStr">
        <is>
          <t>Nifty 50</t>
        </is>
      </c>
      <c r="T272" s="32" t="n">
        <v>-0.38</v>
      </c>
      <c r="U272" s="32" t="n">
        <v>-3.8</v>
      </c>
      <c r="V272" s="32" t="n">
        <v>-3.44</v>
      </c>
      <c r="W272" s="32" t="n">
        <v>3.63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IF(B273=0,"",RANK(B273,$B$2:$B$370,0))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DYNAMATECH</t>
        </is>
      </c>
      <c r="D273" s="31" t="inlineStr">
        <is>
          <t>Dynamatic Technologies Limited</t>
        </is>
      </c>
      <c r="E273" s="31" t="inlineStr">
        <is>
          <t>aerospace &amp; defence</t>
        </is>
      </c>
      <c r="F273" s="31" t="inlineStr">
        <is>
          <t>engineering</t>
        </is>
      </c>
      <c r="G273" s="31" t="inlineStr">
        <is>
          <t>midcap</t>
        </is>
      </c>
      <c r="H273" s="32" t="n">
        <v>7909.31</v>
      </c>
      <c r="I273" s="32" t="n">
        <v>11500</v>
      </c>
      <c r="J273" s="32" t="n">
        <v>-1.25</v>
      </c>
      <c r="K273" s="32" t="n">
        <v>15990</v>
      </c>
      <c r="L273" s="31" t="n">
        <v>56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58.37</v>
      </c>
      <c r="P273" s="32" t="n">
        <v>21.64</v>
      </c>
      <c r="Q273" s="32" t="n">
        <v>8495.290000000001</v>
      </c>
      <c r="R273" s="31" t="inlineStr">
        <is>
          <t>Earnings / Momentum Support</t>
        </is>
      </c>
      <c r="S273" s="31" t="inlineStr">
        <is>
          <t>Nifty 50</t>
        </is>
      </c>
      <c r="T273" s="32" t="n">
        <v>-0.38</v>
      </c>
      <c r="U273" s="32" t="n">
        <v>79.22</v>
      </c>
      <c r="V273" s="32" t="n">
        <v>79.90000000000001</v>
      </c>
      <c r="W273" s="32" t="n">
        <v>14.07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Between 1.5 to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Between 0.7 to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IF(B274=0,"",RANK(B274,$B$2:$B$370,0))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EMIL</t>
        </is>
      </c>
      <c r="D274" s="31" t="inlineStr">
        <is>
          <t>Electronics Mart India Ltd</t>
        </is>
      </c>
      <c r="E274" s="31" t="inlineStr">
        <is>
          <t>consumer discretionary</t>
        </is>
      </c>
      <c r="F274" s="31" t="inlineStr">
        <is>
          <t>trading</t>
        </is>
      </c>
      <c r="G274" s="31" t="inlineStr">
        <is>
          <t>midcap</t>
        </is>
      </c>
      <c r="H274" s="32" t="n">
        <v>7059.37</v>
      </c>
      <c r="I274" s="32" t="n">
        <v>180.5</v>
      </c>
      <c r="J274" s="32" t="n">
        <v>-1.62</v>
      </c>
      <c r="K274" s="32" t="n">
        <v>1519005</v>
      </c>
      <c r="L274" s="31" t="n">
        <v>76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71.48</v>
      </c>
      <c r="P274" s="32" t="n">
        <v>32.59</v>
      </c>
      <c r="Q274" s="32" t="n">
        <v>145.56</v>
      </c>
      <c r="R274" s="31" t="inlineStr">
        <is>
          <t>Near 52W High Breakout</t>
        </is>
      </c>
      <c r="S274" s="31" t="inlineStr">
        <is>
          <t>Nifty 50</t>
        </is>
      </c>
      <c r="T274" s="32" t="n">
        <v>-0.38</v>
      </c>
      <c r="U274" s="32" t="n">
        <v>44.11</v>
      </c>
      <c r="V274" s="32" t="n">
        <v>44.66</v>
      </c>
      <c r="W274" s="32" t="n">
        <v>21.94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More than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IF(B275=0,"",RANK(B275,$B$2:$B$370,0))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SMARTWORKS</t>
        </is>
      </c>
      <c r="D275" s="31" t="inlineStr">
        <is>
          <t>Smartworks Coworking Spaces Ltd</t>
        </is>
      </c>
      <c r="E275" s="31" t="inlineStr">
        <is>
          <t>co-working</t>
        </is>
      </c>
      <c r="F275" s="31" t="inlineStr">
        <is>
          <t>miscellaneous</t>
        </is>
      </c>
      <c r="G275" s="31" t="inlineStr">
        <is>
          <t>midcap</t>
        </is>
      </c>
      <c r="H275" s="32" t="n">
        <v>6290.13</v>
      </c>
      <c r="I275" s="32" t="n">
        <v>540.25</v>
      </c>
      <c r="J275" s="32" t="n">
        <v>-1.86</v>
      </c>
      <c r="K275" s="32" t="n">
        <v>607287</v>
      </c>
      <c r="L275" s="31" t="n">
        <v>29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63.99</v>
      </c>
      <c r="P275" s="32" t="n">
        <v>31.22</v>
      </c>
      <c r="Q275" s="32" t="n">
        <v>423.4</v>
      </c>
      <c r="R275" s="31" t="inlineStr">
        <is>
          <t>Earnings / Momentum Support</t>
        </is>
      </c>
      <c r="S275" s="31" t="inlineStr">
        <is>
          <t>Nifty 50</t>
        </is>
      </c>
      <c r="T275" s="32" t="n">
        <v>-0.38</v>
      </c>
      <c r="U275" s="32" t="n">
        <v>10.44</v>
      </c>
      <c r="V275" s="32" t="n">
        <v>10.85</v>
      </c>
      <c r="W275" s="32" t="n">
        <v>7.62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Less than 1.5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More than 1.2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IF(B276=0,"",RANK(B276,$B$2:$B$370,0))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VOLTAMP</t>
        </is>
      </c>
      <c r="D276" s="31" t="inlineStr">
        <is>
          <t>Voltamp Transformers Limited</t>
        </is>
      </c>
      <c r="E276" s="31" t="inlineStr">
        <is>
          <t>industrials</t>
        </is>
      </c>
      <c r="F276" s="31" t="inlineStr">
        <is>
          <t>electric equipment</t>
        </is>
      </c>
      <c r="G276" s="31" t="inlineStr">
        <is>
          <t>midcap</t>
        </is>
      </c>
      <c r="H276" s="32" t="n">
        <v>11424.25</v>
      </c>
      <c r="I276" s="32" t="n">
        <v>10987</v>
      </c>
      <c r="J276" s="32" t="n">
        <v>-2.7</v>
      </c>
      <c r="K276" s="32" t="n">
        <v>95586</v>
      </c>
      <c r="L276" s="31" t="n">
        <v>42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64.47</v>
      </c>
      <c r="P276" s="32" t="n">
        <v>28.34</v>
      </c>
      <c r="Q276" s="32" t="n">
        <v>8520.93</v>
      </c>
      <c r="R276" s="31" t="inlineStr">
        <is>
          <t>Earnings / Momentum Support</t>
        </is>
      </c>
      <c r="S276" s="31" t="inlineStr">
        <is>
          <t>Nifty 50</t>
        </is>
      </c>
      <c r="T276" s="32" t="n">
        <v>-0.38</v>
      </c>
      <c r="U276" s="32" t="n">
        <v>42.08</v>
      </c>
      <c r="V276" s="32" t="n">
        <v>42.61</v>
      </c>
      <c r="W276" s="32" t="n">
        <v>10.8</v>
      </c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Between 12 to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IF(B277=0,"",RANK(B277,$B$2:$B$370,0))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DIACABS</t>
        </is>
      </c>
      <c r="D277" s="31" t="inlineStr">
        <is>
          <t>Diamond Power Infrastructure Ltd</t>
        </is>
      </c>
      <c r="E277" s="31" t="inlineStr">
        <is>
          <t>industrials</t>
        </is>
      </c>
      <c r="F277" s="31" t="inlineStr">
        <is>
          <t>cables - power</t>
        </is>
      </c>
      <c r="G277" s="31" t="inlineStr">
        <is>
          <t>midcap</t>
        </is>
      </c>
      <c r="H277" s="32" t="n">
        <v>18612.62</v>
      </c>
      <c r="I277" s="32" t="n">
        <v>339.3</v>
      </c>
      <c r="J277" s="32" t="n">
        <v>-3.94</v>
      </c>
      <c r="K277" s="32" t="n">
        <v>2543790</v>
      </c>
      <c r="L277" s="31" t="inlineStr"/>
      <c r="M277" s="31" t="inlineStr"/>
      <c r="N277" s="32">
        <f>IF(M277="Underperforming",-5,IF(L277&gt;=95,15,IF(L277&gt;=90,10,IF(L277&gt;=80,5,0))))</f>
        <v/>
      </c>
      <c r="O277" s="32" t="n">
        <v>76.76000000000001</v>
      </c>
      <c r="P277" s="32" t="n">
        <v>65.51000000000001</v>
      </c>
      <c r="Q277" s="32" t="n">
        <v>285.56</v>
      </c>
      <c r="R277" s="31" t="inlineStr">
        <is>
          <t>Earnings / Momentum Support</t>
        </is>
      </c>
      <c r="S277" s="31" t="inlineStr">
        <is>
          <t>Nifty Energy</t>
        </is>
      </c>
      <c r="T277" s="32" t="inlineStr"/>
      <c r="U277" s="32" t="inlineStr"/>
      <c r="V277" s="32" t="inlineStr"/>
      <c r="W277" s="32" t="inlineStr"/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Above 40</t>
        </is>
      </c>
      <c r="AY277" s="31">
        <f>IF(AX277="Above 40",20,IF(AX277="20 to 40",10,IF(AX277="0 to 20",-5,0)))</f>
        <v/>
      </c>
      <c r="AZ277" s="31" t="inlineStr">
        <is>
          <t>Above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IF(B278=0,"",RANK(B278,$B$2:$B$370,0))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APOLLOPIPE</t>
        </is>
      </c>
      <c r="D278" s="31" t="inlineStr">
        <is>
          <t>Apollo Pipes Ltd</t>
        </is>
      </c>
      <c r="E278" s="31" t="inlineStr">
        <is>
          <t>plastic products</t>
        </is>
      </c>
      <c r="F278" s="31" t="inlineStr">
        <is>
          <t>plastics products</t>
        </is>
      </c>
      <c r="G278" s="31" t="inlineStr">
        <is>
          <t>smallcap</t>
        </is>
      </c>
      <c r="H278" s="32" t="n">
        <v>2683.64</v>
      </c>
      <c r="I278" s="32" t="n">
        <v>663.75</v>
      </c>
      <c r="J278" s="32" t="n">
        <v>8.949999999999999</v>
      </c>
      <c r="K278" s="32" t="n">
        <v>2852802</v>
      </c>
      <c r="L278" s="31" t="n">
        <v>69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80.44</v>
      </c>
      <c r="P278" s="32" t="n">
        <v>45.02</v>
      </c>
      <c r="Q278" s="32" t="n">
        <v>524.59</v>
      </c>
      <c r="R278" s="31" t="inlineStr">
        <is>
          <t>Volume Spike &amp; Near 52W High Breakout</t>
        </is>
      </c>
      <c r="S278" s="31" t="inlineStr">
        <is>
          <t>Nifty 50</t>
        </is>
      </c>
      <c r="T278" s="32" t="n">
        <v>-0.38</v>
      </c>
      <c r="U278" s="32" t="n">
        <v>64.3</v>
      </c>
      <c r="V278" s="32" t="n">
        <v>64.92</v>
      </c>
      <c r="W278" s="32" t="n">
        <v>19.38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Oligopoly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Cyclical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B2C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Fully One Time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Above 40</t>
        </is>
      </c>
      <c r="AY278" s="31">
        <f>IF(AX278="Above 40",20,IF(AX278="20 to 40",10,IF(AX278="0 to 20",-5,0)))</f>
        <v/>
      </c>
      <c r="AZ278" s="31" t="inlineStr">
        <is>
          <t>Above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Yes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Between 1.5 to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IF(B279=0,"",RANK(B279,$B$2:$B$370,0))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APLAPOLLO</t>
        </is>
      </c>
      <c r="D279" s="31" t="inlineStr">
        <is>
          <t>Apl Apollo Tubes Limited</t>
        </is>
      </c>
      <c r="E279" s="31" t="inlineStr">
        <is>
          <t>industrials</t>
        </is>
      </c>
      <c r="F279" s="31" t="inlineStr">
        <is>
          <t>steel - large</t>
        </is>
      </c>
      <c r="G279" s="31" t="inlineStr">
        <is>
          <t>largecap</t>
        </is>
      </c>
      <c r="H279" s="32" t="n">
        <v>59557.73</v>
      </c>
      <c r="I279" s="32" t="n">
        <v>2139.3</v>
      </c>
      <c r="J279" s="32" t="n">
        <v>-0.27</v>
      </c>
      <c r="K279" s="32" t="n">
        <v>606832</v>
      </c>
      <c r="L279" s="31" t="inlineStr"/>
      <c r="M279" s="31" t="inlineStr"/>
      <c r="N279" s="32">
        <f>IF(M279="Underperforming",-5,IF(L279&gt;=95,15,IF(L279&gt;=90,10,IF(L279&gt;=80,5,0))))</f>
        <v/>
      </c>
      <c r="O279" s="32" t="n">
        <v>64.67</v>
      </c>
      <c r="P279" s="32" t="n">
        <v>15.57</v>
      </c>
      <c r="Q279" s="32" t="n">
        <v>1823.29</v>
      </c>
      <c r="R279" s="31" t="inlineStr">
        <is>
          <t>Near 52W High Breakout</t>
        </is>
      </c>
      <c r="S279" s="31" t="inlineStr">
        <is>
          <t>Nifty Metal</t>
        </is>
      </c>
      <c r="T279" s="32" t="inlineStr"/>
      <c r="U279" s="32" t="inlineStr"/>
      <c r="V279" s="32" t="inlineStr"/>
      <c r="W279" s="32" t="inlineStr"/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Oligopoly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Cyclical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B2C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Fully One Time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Above 40</t>
        </is>
      </c>
      <c r="AY279" s="31">
        <f>IF(AX279="Above 40",20,IF(AX279="20 to 40",10,IF(AX279="0 to 20",-5,0)))</f>
        <v/>
      </c>
      <c r="AZ279" s="31" t="inlineStr">
        <is>
          <t>Above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Yes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Between 1.5 to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IF(B280=0,"",RANK(B280,$B$2:$B$370,0))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TI</t>
        </is>
      </c>
      <c r="D280" s="31" t="inlineStr">
        <is>
          <t>Tilaknagar Industries Limited</t>
        </is>
      </c>
      <c r="E280" s="31" t="inlineStr">
        <is>
          <t>fmcg</t>
        </is>
      </c>
      <c r="F280" s="31" t="inlineStr">
        <is>
          <t>breweries &amp; distilleries</t>
        </is>
      </c>
      <c r="G280" s="31" t="inlineStr">
        <is>
          <t>midcap</t>
        </is>
      </c>
      <c r="H280" s="32" t="n">
        <v>14318.84</v>
      </c>
      <c r="I280" s="32" t="n">
        <v>574.7</v>
      </c>
      <c r="J280" s="32" t="n">
        <v>-0.67</v>
      </c>
      <c r="K280" s="32" t="n">
        <v>1337194</v>
      </c>
      <c r="L280" s="31" t="inlineStr"/>
      <c r="M280" s="31" t="inlineStr"/>
      <c r="N280" s="32">
        <f>IF(M280="Underperforming",-5,IF(L280&gt;=95,15,IF(L280&gt;=90,10,IF(L280&gt;=80,5,0))))</f>
        <v/>
      </c>
      <c r="O280" s="32" t="n">
        <v>73.25</v>
      </c>
      <c r="P280" s="32" t="n">
        <v>16.62</v>
      </c>
      <c r="Q280" s="32" t="n">
        <v>469.76</v>
      </c>
      <c r="R280" s="31" t="inlineStr">
        <is>
          <t>Near 52W High Breakout</t>
        </is>
      </c>
      <c r="S280" s="31" t="inlineStr">
        <is>
          <t>Nifty FMCG</t>
        </is>
      </c>
      <c r="T280" s="32" t="inlineStr"/>
      <c r="U280" s="32" t="inlineStr"/>
      <c r="V280" s="32" t="inlineStr"/>
      <c r="W280" s="32" t="inlineStr"/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B2C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Annuity, Lower One Time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Blue sky scenario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Between 0.7 to 1.2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IF(B281=0,"",RANK(B281,$B$2:$B$370,0))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AARTIPHARM</t>
        </is>
      </c>
      <c r="D281" s="33" t="inlineStr">
        <is>
          <t>Aarti Pharmalabs Ltd</t>
        </is>
      </c>
      <c r="E281" s="31" t="inlineStr">
        <is>
          <t>healthcare</t>
        </is>
      </c>
      <c r="F281" s="31" t="inlineStr">
        <is>
          <t>pharmaceuticals - indian - bulk drugs &amp; formln</t>
        </is>
      </c>
      <c r="G281" s="31" t="inlineStr">
        <is>
          <t>midcap</t>
        </is>
      </c>
      <c r="H281" s="32" t="n">
        <v>7645.67</v>
      </c>
      <c r="I281" s="32" t="n">
        <v>834.95</v>
      </c>
      <c r="J281" s="32" t="n">
        <v>-0.97</v>
      </c>
      <c r="K281" s="32" t="n">
        <v>534948</v>
      </c>
      <c r="L281" s="31" t="n">
        <v>29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62.95</v>
      </c>
      <c r="P281" s="32" t="n">
        <v>16.09</v>
      </c>
      <c r="Q281" s="32" t="n">
        <v>646.14</v>
      </c>
      <c r="R281" s="31" t="inlineStr">
        <is>
          <t>Earnings / Momentum Support</t>
        </is>
      </c>
      <c r="S281" s="31" t="inlineStr">
        <is>
          <t>Nifty Pharma</t>
        </is>
      </c>
      <c r="T281" s="32" t="n">
        <v>21.83</v>
      </c>
      <c r="U281" s="32" t="n">
        <v>-0.28</v>
      </c>
      <c r="V281" s="32" t="n">
        <v>-18.15</v>
      </c>
      <c r="W281" s="32" t="n">
        <v>7.64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Yes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Annuity, Lower One Time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Less than 1.5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IF(B282=0,"",RANK(B282,$B$2:$B$370,0))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FMGOETZE</t>
        </is>
      </c>
      <c r="D282" s="31" t="inlineStr">
        <is>
          <t>Federal-mogul Goetze (india) Limited.</t>
        </is>
      </c>
      <c r="E282" s="31" t="inlineStr">
        <is>
          <t>auto</t>
        </is>
      </c>
      <c r="F282" s="31" t="inlineStr">
        <is>
          <t>auto ancillaries</t>
        </is>
      </c>
      <c r="G282" s="31" t="inlineStr">
        <is>
          <t>smallcap</t>
        </is>
      </c>
      <c r="H282" s="32" t="n">
        <v>2688.98</v>
      </c>
      <c r="I282" s="32" t="n">
        <v>534.1</v>
      </c>
      <c r="J282" s="32" t="n">
        <v>10.5</v>
      </c>
      <c r="K282" s="32" t="n">
        <v>22301628</v>
      </c>
      <c r="L282" s="31" t="inlineStr"/>
      <c r="M282" s="31" t="inlineStr"/>
      <c r="N282" s="32">
        <f>IF(M282="Underperforming",-5,IF(L282&gt;=95,15,IF(L282&gt;=90,10,IF(L282&gt;=80,5,0))))</f>
        <v/>
      </c>
      <c r="O282" s="32" t="n">
        <v>63.91</v>
      </c>
      <c r="P282" s="32" t="n">
        <v>16.44</v>
      </c>
      <c r="Q282" s="32" t="n">
        <v>413.41</v>
      </c>
      <c r="R282" s="31" t="inlineStr">
        <is>
          <t>Volume Spike / Accumulation</t>
        </is>
      </c>
      <c r="S282" s="31" t="inlineStr">
        <is>
          <t>Nifty Auto</t>
        </is>
      </c>
      <c r="T282" s="32" t="inlineStr"/>
      <c r="U282" s="32" t="inlineStr"/>
      <c r="V282" s="32" t="inlineStr"/>
      <c r="W282" s="32" t="inlineStr"/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IF(B283=0,"",RANK(B283,$B$2:$B$370,0))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PVP</t>
        </is>
      </c>
      <c r="D283" s="31" t="inlineStr">
        <is>
          <t>Pvp Ventures Limited</t>
        </is>
      </c>
      <c r="E283" s="31" t="inlineStr">
        <is>
          <t>realty</t>
        </is>
      </c>
      <c r="F283" s="31" t="inlineStr">
        <is>
          <t>construction</t>
        </is>
      </c>
      <c r="G283" s="31" t="inlineStr">
        <is>
          <t>smallcap</t>
        </is>
      </c>
      <c r="H283" s="32" t="n">
        <v>1265.3</v>
      </c>
      <c r="I283" s="32" t="n">
        <v>51.35</v>
      </c>
      <c r="J283" s="32" t="n">
        <v>5.68</v>
      </c>
      <c r="K283" s="32" t="n">
        <v>8889184</v>
      </c>
      <c r="L283" s="31" t="inlineStr"/>
      <c r="M283" s="31" t="inlineStr"/>
      <c r="N283" s="32">
        <f>IF(M283="Underperforming",-5,IF(L283&gt;=95,15,IF(L283&gt;=90,10,IF(L283&gt;=80,5,0))))</f>
        <v/>
      </c>
      <c r="O283" s="32" t="n">
        <v>76.17</v>
      </c>
      <c r="P283" s="32" t="n">
        <v>19.17</v>
      </c>
      <c r="Q283" s="32" t="n">
        <v>37.16</v>
      </c>
      <c r="R283" s="31" t="inlineStr">
        <is>
          <t>Volume Spike &amp; Near 52W High Breakout</t>
        </is>
      </c>
      <c r="S283" s="31" t="inlineStr">
        <is>
          <t>Nifty Realty</t>
        </is>
      </c>
      <c r="T283" s="32" t="inlineStr"/>
      <c r="U283" s="32" t="inlineStr"/>
      <c r="V283" s="32" t="inlineStr"/>
      <c r="W283" s="32" t="inlineStr"/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Above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IF(B284=0,"",RANK(B284,$B$2:$B$370,0))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HMT</t>
        </is>
      </c>
      <c r="D284" s="31" t="inlineStr">
        <is>
          <t>Hmt Limited</t>
        </is>
      </c>
      <c r="E284" s="31" t="inlineStr">
        <is>
          <t>consumer discretionary</t>
        </is>
      </c>
      <c r="F284" s="31" t="inlineStr">
        <is>
          <t>miscellaneous</t>
        </is>
      </c>
      <c r="G284" s="31" t="inlineStr">
        <is>
          <t>midcap</t>
        </is>
      </c>
      <c r="H284" s="32" t="n">
        <v>7341.35</v>
      </c>
      <c r="I284" s="32" t="n">
        <v>64.01000000000001</v>
      </c>
      <c r="J284" s="32" t="n">
        <v>4.99</v>
      </c>
      <c r="K284" s="32" t="n">
        <v>64021</v>
      </c>
      <c r="L284" s="31" t="n">
        <v>23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56.57</v>
      </c>
      <c r="P284" s="32" t="n">
        <v>15.54</v>
      </c>
      <c r="Q284" s="32" t="n">
        <v>53.11</v>
      </c>
      <c r="R284" s="31" t="inlineStr">
        <is>
          <t>Earnings / Momentum Support</t>
        </is>
      </c>
      <c r="S284" s="31" t="inlineStr">
        <is>
          <t>Nifty 50</t>
        </is>
      </c>
      <c r="T284" s="32" t="n">
        <v>-0.38</v>
      </c>
      <c r="U284" s="32" t="n">
        <v>13.94</v>
      </c>
      <c r="V284" s="32" t="n">
        <v>14.37</v>
      </c>
      <c r="W284" s="32" t="n">
        <v>6.59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IF(B285=0,"",RANK(B285,$B$2:$B$370,0))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MAHASTEEL</t>
        </is>
      </c>
      <c r="D285" s="31" t="inlineStr">
        <is>
          <t>Mahamaya Steel Industries Limited</t>
        </is>
      </c>
      <c r="E285" s="31" t="inlineStr">
        <is>
          <t>metals &amp; mining</t>
        </is>
      </c>
      <c r="F285" s="31" t="inlineStr">
        <is>
          <t>steel - medium / small</t>
        </is>
      </c>
      <c r="G285" s="31" t="inlineStr">
        <is>
          <t>smallcap</t>
        </is>
      </c>
      <c r="H285" s="32" t="n">
        <v>1932.19</v>
      </c>
      <c r="I285" s="32" t="n">
        <v>1202</v>
      </c>
      <c r="J285" s="32" t="n">
        <v>2.24</v>
      </c>
      <c r="K285" s="32" t="n">
        <v>38185</v>
      </c>
      <c r="L285" s="31" t="inlineStr"/>
      <c r="M285" s="31" t="inlineStr"/>
      <c r="N285" s="32">
        <f>IF(M285="Underperforming",-5,IF(L285&gt;=95,15,IF(L285&gt;=90,10,IF(L285&gt;=80,5,0))))</f>
        <v/>
      </c>
      <c r="O285" s="32" t="n">
        <v>70.63</v>
      </c>
      <c r="P285" s="32" t="n">
        <v>20.02</v>
      </c>
      <c r="Q285" s="32" t="n">
        <v>897.85</v>
      </c>
      <c r="R285" s="31" t="inlineStr">
        <is>
          <t>Near 52W High Breakout</t>
        </is>
      </c>
      <c r="S285" s="31" t="inlineStr">
        <is>
          <t>Nifty Metal</t>
        </is>
      </c>
      <c r="T285" s="32" t="inlineStr"/>
      <c r="U285" s="32" t="inlineStr"/>
      <c r="V285" s="32" t="inlineStr"/>
      <c r="W285" s="32" t="inlineStr"/>
      <c r="X285" s="31" t="inlineStr">
        <is>
          <t>Cyclical in an Upturn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Cyclical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Volatile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Blue sky scenario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IF(B286=0,"",RANK(B286,$B$2:$B$370,0))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MAXESTATES</t>
        </is>
      </c>
      <c r="D286" s="31" t="inlineStr">
        <is>
          <t>Max Estates Ltd</t>
        </is>
      </c>
      <c r="E286" s="31" t="inlineStr">
        <is>
          <t>realty</t>
        </is>
      </c>
      <c r="F286" s="31" t="inlineStr">
        <is>
          <t>construction</t>
        </is>
      </c>
      <c r="G286" s="31" t="inlineStr">
        <is>
          <t>midcap</t>
        </is>
      </c>
      <c r="H286" s="32" t="n">
        <v>8978.450000000001</v>
      </c>
      <c r="I286" s="32" t="n">
        <v>556.05</v>
      </c>
      <c r="J286" s="32" t="n">
        <v>1.26</v>
      </c>
      <c r="K286" s="32" t="n">
        <v>406668</v>
      </c>
      <c r="L286" s="31" t="inlineStr"/>
      <c r="M286" s="31" t="inlineStr"/>
      <c r="N286" s="32">
        <f>IF(M286="Underperforming",-5,IF(L286&gt;=95,15,IF(L286&gt;=90,10,IF(L286&gt;=80,5,0))))</f>
        <v/>
      </c>
      <c r="O286" s="32" t="n">
        <v>70.88</v>
      </c>
      <c r="P286" s="32" t="n">
        <v>21.5</v>
      </c>
      <c r="Q286" s="32" t="n">
        <v>434.19</v>
      </c>
      <c r="R286" s="31" t="inlineStr">
        <is>
          <t>Near 52W High Breakout</t>
        </is>
      </c>
      <c r="S286" s="31" t="inlineStr">
        <is>
          <t>Nifty Realty</t>
        </is>
      </c>
      <c r="T286" s="32" t="inlineStr"/>
      <c r="U286" s="32" t="inlineStr"/>
      <c r="V286" s="32" t="inlineStr"/>
      <c r="W286" s="32" t="inlineStr"/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Between 0.7 to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IF(B287=0,"",RANK(B287,$B$2:$B$370,0))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PRINCEPIPE</t>
        </is>
      </c>
      <c r="D287" s="31" t="inlineStr">
        <is>
          <t>Prince Pipes &amp; Fittings Ltd</t>
        </is>
      </c>
      <c r="E287" s="31" t="inlineStr">
        <is>
          <t>plastic products</t>
        </is>
      </c>
      <c r="F287" s="31" t="inlineStr">
        <is>
          <t>plastics products</t>
        </is>
      </c>
      <c r="G287" s="31" t="inlineStr">
        <is>
          <t>smallcap</t>
        </is>
      </c>
      <c r="H287" s="32" t="n">
        <v>3139.38</v>
      </c>
      <c r="I287" s="32" t="n">
        <v>287.1</v>
      </c>
      <c r="J287" s="32" t="n">
        <v>1.11</v>
      </c>
      <c r="K287" s="32" t="n">
        <v>196492</v>
      </c>
      <c r="L287" s="31" t="inlineStr"/>
      <c r="M287" s="31" t="inlineStr"/>
      <c r="N287" s="32">
        <f>IF(M287="Underperforming",-5,IF(L287&gt;=95,15,IF(L287&gt;=90,10,IF(L287&gt;=80,5,0))))</f>
        <v/>
      </c>
      <c r="O287" s="32" t="n">
        <v>58.78</v>
      </c>
      <c r="P287" s="32" t="n">
        <v>19</v>
      </c>
      <c r="Q287" s="32" t="n">
        <v>229.82</v>
      </c>
      <c r="R287" s="31" t="inlineStr">
        <is>
          <t>Earnings / Momentum Support</t>
        </is>
      </c>
      <c r="S287" s="31" t="inlineStr">
        <is>
          <t>Nifty Infra</t>
        </is>
      </c>
      <c r="T287" s="32" t="inlineStr"/>
      <c r="U287" s="32" t="inlineStr"/>
      <c r="V287" s="32" t="inlineStr"/>
      <c r="W287" s="32" t="inlineStr"/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IF(B288=0,"",RANK(B288,$B$2:$B$370,0))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YUKEN</t>
        </is>
      </c>
      <c r="D288" s="33" t="inlineStr">
        <is>
          <t>Yuken India Ltd</t>
        </is>
      </c>
      <c r="E288" s="31" t="inlineStr">
        <is>
          <t>industrials</t>
        </is>
      </c>
      <c r="F288" s="31" t="inlineStr">
        <is>
          <t>engineering</t>
        </is>
      </c>
      <c r="G288" s="31" t="inlineStr">
        <is>
          <t>smallcap</t>
        </is>
      </c>
      <c r="H288" s="32" t="n">
        <v>1267.52</v>
      </c>
      <c r="I288" s="32" t="n">
        <v>943</v>
      </c>
      <c r="J288" s="32" t="n">
        <v>1.06</v>
      </c>
      <c r="K288" s="32" t="n">
        <v>9275</v>
      </c>
      <c r="L288" s="31" t="n">
        <v>27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66.26000000000001</v>
      </c>
      <c r="P288" s="32" t="n">
        <v>20.56</v>
      </c>
      <c r="Q288" s="32" t="n">
        <v>764.71</v>
      </c>
      <c r="R288" s="31" t="inlineStr">
        <is>
          <t>Earnings / Momentum Support</t>
        </is>
      </c>
      <c r="S288" s="31" t="inlineStr">
        <is>
          <t>Nifty 50</t>
        </is>
      </c>
      <c r="T288" s="32" t="n">
        <v>-0.38</v>
      </c>
      <c r="U288" s="32" t="n">
        <v>-7.9</v>
      </c>
      <c r="V288" s="32" t="n">
        <v>-7.55</v>
      </c>
      <c r="W288" s="32" t="n">
        <v>6.98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IF(B289=0,"",RANK(B289,$B$2:$B$370,0))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BRIGADE</t>
        </is>
      </c>
      <c r="D289" s="31" t="inlineStr">
        <is>
          <t>Brigade Enterprises Limited</t>
        </is>
      </c>
      <c r="E289" s="31" t="inlineStr">
        <is>
          <t>realty</t>
        </is>
      </c>
      <c r="F289" s="31" t="inlineStr">
        <is>
          <t>construction</t>
        </is>
      </c>
      <c r="G289" s="31" t="inlineStr">
        <is>
          <t>largecap</t>
        </is>
      </c>
      <c r="H289" s="32" t="n">
        <v>21334.28</v>
      </c>
      <c r="I289" s="32" t="n">
        <v>660.9</v>
      </c>
      <c r="J289" s="32" t="n">
        <v>1.04</v>
      </c>
      <c r="K289" s="32" t="n">
        <v>1244674</v>
      </c>
      <c r="L289" s="31" t="inlineStr"/>
      <c r="M289" s="31" t="inlineStr"/>
      <c r="N289" s="32">
        <f>IF(M289="Underperforming",-5,IF(L289&gt;=95,15,IF(L289&gt;=90,10,IF(L289&gt;=80,5,0))))</f>
        <v/>
      </c>
      <c r="O289" s="32" t="n">
        <v>63.86</v>
      </c>
      <c r="P289" s="32" t="n">
        <v>16.02</v>
      </c>
      <c r="Q289" s="32" t="n">
        <v>520.8</v>
      </c>
      <c r="R289" s="31" t="inlineStr">
        <is>
          <t>Earnings / Momentum Support</t>
        </is>
      </c>
      <c r="S289" s="31" t="inlineStr">
        <is>
          <t>Nifty Realty</t>
        </is>
      </c>
      <c r="T289" s="32" t="inlineStr"/>
      <c r="U289" s="32" t="inlineStr"/>
      <c r="V289" s="32" t="inlineStr"/>
      <c r="W289" s="32" t="inlineStr"/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Less than 1.5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Between 0.7 to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IF(B290=0,"",RANK(B290,$B$2:$B$370,0))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UDS</t>
        </is>
      </c>
      <c r="D290" s="33" t="inlineStr">
        <is>
          <t>Updater Services Ltd</t>
        </is>
      </c>
      <c r="E290" s="31" t="inlineStr">
        <is>
          <t>miscellaneous</t>
        </is>
      </c>
      <c r="F290" s="31" t="inlineStr">
        <is>
          <t>miscellaneous</t>
        </is>
      </c>
      <c r="G290" s="31" t="inlineStr">
        <is>
          <t>smallcap</t>
        </is>
      </c>
      <c r="H290" s="32" t="n">
        <v>1480.34</v>
      </c>
      <c r="I290" s="32" t="n">
        <v>222.02</v>
      </c>
      <c r="J290" s="32" t="n">
        <v>0.42</v>
      </c>
      <c r="K290" s="32" t="n">
        <v>471344</v>
      </c>
      <c r="L290" s="31" t="n">
        <v>22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68.63</v>
      </c>
      <c r="P290" s="32" t="n">
        <v>36.1</v>
      </c>
      <c r="Q290" s="32" t="n">
        <v>173.97</v>
      </c>
      <c r="R290" s="31" t="inlineStr">
        <is>
          <t>Earnings / Momentum Support</t>
        </is>
      </c>
      <c r="S290" s="31" t="inlineStr">
        <is>
          <t>Nifty 50</t>
        </is>
      </c>
      <c r="T290" s="32" t="n">
        <v>-0.38</v>
      </c>
      <c r="U290" s="32" t="n">
        <v>-8.27</v>
      </c>
      <c r="V290" s="32" t="n">
        <v>-7.92</v>
      </c>
      <c r="W290" s="32" t="n">
        <v>5.94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IF(B291=0,"",RANK(B291,$B$2:$B$370,0))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UNOMINDA</t>
        </is>
      </c>
      <c r="D291" s="31" t="inlineStr">
        <is>
          <t>Uno Minda Ltd</t>
        </is>
      </c>
      <c r="E291" s="31" t="inlineStr">
        <is>
          <t>auto</t>
        </is>
      </c>
      <c r="F291" s="31" t="inlineStr">
        <is>
          <t>auto ancillaries</t>
        </is>
      </c>
      <c r="G291" s="31" t="inlineStr">
        <is>
          <t>largecap</t>
        </is>
      </c>
      <c r="H291" s="32" t="n">
        <v>72258.47</v>
      </c>
      <c r="I291" s="32" t="n">
        <v>1253.4</v>
      </c>
      <c r="J291" s="32" t="n">
        <v>0.17</v>
      </c>
      <c r="K291" s="32" t="n">
        <v>456700</v>
      </c>
      <c r="L291" s="31" t="inlineStr"/>
      <c r="M291" s="31" t="inlineStr"/>
      <c r="N291" s="32">
        <f>IF(M291="Underperforming",-5,IF(L291&gt;=95,15,IF(L291&gt;=90,10,IF(L291&gt;=80,5,0))))</f>
        <v/>
      </c>
      <c r="O291" s="32" t="n">
        <v>59.09</v>
      </c>
      <c r="P291" s="32" t="n">
        <v>18.93</v>
      </c>
      <c r="Q291" s="32" t="n">
        <v>1066.91</v>
      </c>
      <c r="R291" s="31" t="inlineStr">
        <is>
          <t>Near 52W High Breakout</t>
        </is>
      </c>
      <c r="S291" s="31" t="inlineStr">
        <is>
          <t>Nifty Auto</t>
        </is>
      </c>
      <c r="T291" s="32" t="inlineStr"/>
      <c r="U291" s="32" t="inlineStr"/>
      <c r="V291" s="32" t="inlineStr"/>
      <c r="W291" s="32" t="inlineStr"/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Blue sky scenario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IF(B292=0,"",RANK(B292,$B$2:$B$370,0))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ENDURANCE</t>
        </is>
      </c>
      <c r="D292" s="31" t="inlineStr">
        <is>
          <t>Endurance Technologies Limited</t>
        </is>
      </c>
      <c r="E292" s="31" t="inlineStr">
        <is>
          <t>auto</t>
        </is>
      </c>
      <c r="F292" s="31" t="inlineStr">
        <is>
          <t>auto ancillaries</t>
        </is>
      </c>
      <c r="G292" s="31" t="inlineStr">
        <is>
          <t>largecap</t>
        </is>
      </c>
      <c r="H292" s="32" t="n">
        <v>42032.87</v>
      </c>
      <c r="I292" s="32" t="n">
        <v>2988.6</v>
      </c>
      <c r="J292" s="32" t="n">
        <v>0.01</v>
      </c>
      <c r="K292" s="32" t="n">
        <v>124862</v>
      </c>
      <c r="L292" s="31" t="inlineStr"/>
      <c r="M292" s="31" t="inlineStr"/>
      <c r="N292" s="32">
        <f>IF(M292="Underperforming",-5,IF(L292&gt;=95,15,IF(L292&gt;=90,10,IF(L292&gt;=80,5,0))))</f>
        <v/>
      </c>
      <c r="O292" s="32" t="n">
        <v>64.73</v>
      </c>
      <c r="P292" s="32" t="n">
        <v>19.42</v>
      </c>
      <c r="Q292" s="32" t="n">
        <v>2498.99</v>
      </c>
      <c r="R292" s="31" t="inlineStr">
        <is>
          <t>Near 52W High Breakout</t>
        </is>
      </c>
      <c r="S292" s="31" t="inlineStr">
        <is>
          <t>Nifty Auto</t>
        </is>
      </c>
      <c r="T292" s="32" t="inlineStr"/>
      <c r="U292" s="32" t="inlineStr"/>
      <c r="V292" s="32" t="inlineStr"/>
      <c r="W292" s="32" t="inlineStr"/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Blue sky scenario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IF(B293=0,"",RANK(B293,$B$2:$B$370,0))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RBA</t>
        </is>
      </c>
      <c r="D293" s="31" t="inlineStr">
        <is>
          <t>Restaurant Brands Asia Ltd</t>
        </is>
      </c>
      <c r="E293" s="31" t="inlineStr">
        <is>
          <t>consumer discretionary</t>
        </is>
      </c>
      <c r="F293" s="31" t="inlineStr">
        <is>
          <t>hotels</t>
        </is>
      </c>
      <c r="G293" s="31" t="inlineStr">
        <is>
          <t>midcap</t>
        </is>
      </c>
      <c r="H293" s="32" t="n">
        <v>7576.25</v>
      </c>
      <c r="I293" s="32" t="n">
        <v>106.31</v>
      </c>
      <c r="J293" s="32" t="n">
        <v>-0.13</v>
      </c>
      <c r="K293" s="32" t="n">
        <v>4929469</v>
      </c>
      <c r="L293" s="31" t="n">
        <v>69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78.33</v>
      </c>
      <c r="P293" s="32" t="n">
        <v>35.24</v>
      </c>
      <c r="Q293" s="32" t="n">
        <v>84.91</v>
      </c>
      <c r="R293" s="31" t="inlineStr">
        <is>
          <t>Near 52W High Breakout</t>
        </is>
      </c>
      <c r="S293" s="31" t="inlineStr">
        <is>
          <t>Nifty 50</t>
        </is>
      </c>
      <c r="T293" s="32" t="n">
        <v>-0.38</v>
      </c>
      <c r="U293" s="32" t="n">
        <v>33.04</v>
      </c>
      <c r="V293" s="32" t="n">
        <v>33.54</v>
      </c>
      <c r="W293" s="32" t="n">
        <v>19.54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Above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Blue sky scenario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More than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IF(B294=0,"",RANK(B294,$B$2:$B$370,0))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MOLDTKPAC</t>
        </is>
      </c>
      <c r="D294" s="33" t="inlineStr">
        <is>
          <t>Mold-tek Packaging Limited</t>
        </is>
      </c>
      <c r="E294" s="31" t="inlineStr">
        <is>
          <t>industrials</t>
        </is>
      </c>
      <c r="F294" s="31" t="inlineStr">
        <is>
          <t>packaging</t>
        </is>
      </c>
      <c r="G294" s="31" t="inlineStr">
        <is>
          <t>smallcap</t>
        </is>
      </c>
      <c r="H294" s="32" t="n">
        <v>2380.02</v>
      </c>
      <c r="I294" s="32" t="n">
        <v>706.8</v>
      </c>
      <c r="J294" s="32" t="n">
        <v>-1.32</v>
      </c>
      <c r="K294" s="32" t="n">
        <v>99361</v>
      </c>
      <c r="L294" s="31" t="n">
        <v>1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57.57</v>
      </c>
      <c r="P294" s="32" t="n">
        <v>27.23</v>
      </c>
      <c r="Q294" s="32" t="n">
        <v>579.24</v>
      </c>
      <c r="R294" s="31" t="inlineStr">
        <is>
          <t>Earnings / Momentum Support</t>
        </is>
      </c>
      <c r="S294" s="31" t="inlineStr">
        <is>
          <t>Nifty 50</t>
        </is>
      </c>
      <c r="T294" s="32" t="n">
        <v>-0.38</v>
      </c>
      <c r="U294" s="32" t="n">
        <v>-9.369999999999999</v>
      </c>
      <c r="V294" s="32" t="n">
        <v>-9.029999999999999</v>
      </c>
      <c r="W294" s="32" t="n">
        <v>-0.82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Between 12 to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IF(B295=0,"",RANK(B295,$B$2:$B$370,0))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GENUSPOWER</t>
        </is>
      </c>
      <c r="D295" s="31" t="inlineStr">
        <is>
          <t>Genus Power Infrastructures Limited</t>
        </is>
      </c>
      <c r="E295" s="31" t="inlineStr">
        <is>
          <t>consumer discretionary</t>
        </is>
      </c>
      <c r="F295" s="31" t="inlineStr">
        <is>
          <t>electronics - components</t>
        </is>
      </c>
      <c r="G295" s="31" t="inlineStr">
        <is>
          <t>midcap</t>
        </is>
      </c>
      <c r="H295" s="32" t="n">
        <v>10332.08</v>
      </c>
      <c r="I295" s="32" t="n">
        <v>335.05</v>
      </c>
      <c r="J295" s="32" t="n">
        <v>-1.34</v>
      </c>
      <c r="K295" s="32" t="n">
        <v>4364981</v>
      </c>
      <c r="L295" s="31" t="n">
        <v>10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60.66</v>
      </c>
      <c r="P295" s="32" t="n">
        <v>9.01</v>
      </c>
      <c r="Q295" s="32" t="n">
        <v>259.05</v>
      </c>
      <c r="R295" s="31" t="inlineStr">
        <is>
          <t>Earnings / Momentum Support</t>
        </is>
      </c>
      <c r="S295" s="31" t="inlineStr">
        <is>
          <t>Nifty 50</t>
        </is>
      </c>
      <c r="T295" s="32" t="n">
        <v>-0.38</v>
      </c>
      <c r="U295" s="32" t="n">
        <v>3.03</v>
      </c>
      <c r="V295" s="32" t="n">
        <v>3.42</v>
      </c>
      <c r="W295" s="32" t="n">
        <v>2.69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Less than 1.5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Between 0.7 to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IF(B296=0,"",RANK(B296,$B$2:$B$370,0))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ZENTEC</t>
        </is>
      </c>
      <c r="D296" s="31" t="inlineStr">
        <is>
          <t>Zen Technologies Limited</t>
        </is>
      </c>
      <c r="E296" s="31" t="inlineStr">
        <is>
          <t>aerospace &amp; defence</t>
        </is>
      </c>
      <c r="F296" s="31" t="inlineStr">
        <is>
          <t>miscellaneous</t>
        </is>
      </c>
      <c r="G296" s="31" t="inlineStr">
        <is>
          <t>midcap</t>
        </is>
      </c>
      <c r="H296" s="32" t="n">
        <v>17184.96</v>
      </c>
      <c r="I296" s="32" t="n">
        <v>1877.7</v>
      </c>
      <c r="J296" s="32" t="n">
        <v>-1.35</v>
      </c>
      <c r="K296" s="32" t="n">
        <v>467851</v>
      </c>
      <c r="L296" s="31" t="n">
        <v>33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58.76</v>
      </c>
      <c r="P296" s="32" t="n">
        <v>36</v>
      </c>
      <c r="Q296" s="32" t="n">
        <v>1548.06</v>
      </c>
      <c r="R296" s="31" t="inlineStr">
        <is>
          <t>Earnings / Momentum Support</t>
        </is>
      </c>
      <c r="S296" s="31" t="inlineStr">
        <is>
          <t>Nifty 50</t>
        </is>
      </c>
      <c r="T296" s="32" t="n">
        <v>-0.38</v>
      </c>
      <c r="U296" s="32" t="n">
        <v>28.71</v>
      </c>
      <c r="V296" s="32" t="n">
        <v>29.2</v>
      </c>
      <c r="W296" s="32" t="n">
        <v>8.23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Less than 12%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IF(B297=0,"",RANK(B297,$B$2:$B$370,0))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NATIONALUM</t>
        </is>
      </c>
      <c r="D297" s="31" t="inlineStr">
        <is>
          <t>National Aluminium Company Limited</t>
        </is>
      </c>
      <c r="E297" s="31" t="inlineStr">
        <is>
          <t>metals &amp; mining</t>
        </is>
      </c>
      <c r="F297" s="31" t="inlineStr">
        <is>
          <t>aluminium and aluminium products</t>
        </is>
      </c>
      <c r="G297" s="31" t="inlineStr">
        <is>
          <t>largecap</t>
        </is>
      </c>
      <c r="H297" s="32" t="n">
        <v>74071.36</v>
      </c>
      <c r="I297" s="32" t="n">
        <v>397.8</v>
      </c>
      <c r="J297" s="32" t="n">
        <v>-1.36</v>
      </c>
      <c r="K297" s="32" t="n">
        <v>3826243</v>
      </c>
      <c r="L297" s="31" t="inlineStr"/>
      <c r="M297" s="31" t="inlineStr"/>
      <c r="N297" s="32">
        <f>IF(M297="Underperforming",-5,IF(L297&gt;=95,15,IF(L297&gt;=90,10,IF(L297&gt;=80,5,0))))</f>
        <v/>
      </c>
      <c r="O297" s="32" t="n">
        <v>59.31</v>
      </c>
      <c r="P297" s="32" t="n">
        <v>24.39</v>
      </c>
      <c r="Q297" s="32" t="n">
        <v>336.08</v>
      </c>
      <c r="R297" s="31" t="inlineStr">
        <is>
          <t>Earnings / Momentum Support</t>
        </is>
      </c>
      <c r="S297" s="31" t="inlineStr">
        <is>
          <t>Nifty Metal</t>
        </is>
      </c>
      <c r="T297" s="32" t="inlineStr"/>
      <c r="U297" s="32" t="inlineStr"/>
      <c r="V297" s="32" t="inlineStr"/>
      <c r="W297" s="32" t="inlineStr"/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Cyclical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Volatile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Less than 1.5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IF(B298=0,"",RANK(B298,$B$2:$B$370,0))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LUMAXTECH</t>
        </is>
      </c>
      <c r="D298" s="31" t="inlineStr">
        <is>
          <t>Lumax Auto Technologies Limited</t>
        </is>
      </c>
      <c r="E298" s="31" t="inlineStr">
        <is>
          <t>auto</t>
        </is>
      </c>
      <c r="F298" s="31" t="inlineStr">
        <is>
          <t>auto ancillaries</t>
        </is>
      </c>
      <c r="G298" s="31" t="inlineStr">
        <is>
          <t>midcap</t>
        </is>
      </c>
      <c r="H298" s="32" t="n">
        <v>13388.22</v>
      </c>
      <c r="I298" s="32" t="n">
        <v>1932.1</v>
      </c>
      <c r="J298" s="32" t="n">
        <v>-1.64</v>
      </c>
      <c r="K298" s="32" t="n">
        <v>215682</v>
      </c>
      <c r="L298" s="31" t="inlineStr"/>
      <c r="M298" s="31" t="inlineStr"/>
      <c r="N298" s="32">
        <f>IF(M298="Underperforming",-5,IF(L298&gt;=95,15,IF(L298&gt;=90,10,IF(L298&gt;=80,5,0))))</f>
        <v/>
      </c>
      <c r="O298" s="32" t="n">
        <v>62.66</v>
      </c>
      <c r="P298" s="32" t="n">
        <v>17.86</v>
      </c>
      <c r="Q298" s="32" t="n">
        <v>1542.46</v>
      </c>
      <c r="R298" s="31" t="inlineStr">
        <is>
          <t>Near 52W High Breakout</t>
        </is>
      </c>
      <c r="S298" s="31" t="inlineStr">
        <is>
          <t>Nifty Auto</t>
        </is>
      </c>
      <c r="T298" s="32" t="inlineStr"/>
      <c r="U298" s="32" t="inlineStr"/>
      <c r="V298" s="32" t="inlineStr"/>
      <c r="W298" s="32" t="inlineStr"/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Blue sky scenario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Between 0.7 to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IF(B299=0,"",RANK(B299,$B$2:$B$370,0))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EPL</t>
        </is>
      </c>
      <c r="D299" s="31" t="inlineStr">
        <is>
          <t>EPL Ltd</t>
        </is>
      </c>
      <c r="E299" s="31" t="inlineStr">
        <is>
          <t>industrials</t>
        </is>
      </c>
      <c r="F299" s="31" t="inlineStr">
        <is>
          <t>packaging</t>
        </is>
      </c>
      <c r="G299" s="31" t="inlineStr">
        <is>
          <t>midcap</t>
        </is>
      </c>
      <c r="H299" s="32" t="n">
        <v>8438.73</v>
      </c>
      <c r="I299" s="32" t="n">
        <v>258.32</v>
      </c>
      <c r="J299" s="32" t="n">
        <v>-1.96</v>
      </c>
      <c r="K299" s="32" t="n">
        <v>2213379</v>
      </c>
      <c r="L299" s="31" t="n">
        <v>32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63.58</v>
      </c>
      <c r="P299" s="32" t="n">
        <v>15.18</v>
      </c>
      <c r="Q299" s="32" t="n">
        <v>212.68</v>
      </c>
      <c r="R299" s="31" t="inlineStr">
        <is>
          <t>Near 52W High Breakout</t>
        </is>
      </c>
      <c r="S299" s="31" t="inlineStr">
        <is>
          <t>Nifty 50</t>
        </is>
      </c>
      <c r="T299" s="32" t="n">
        <v>-0.38</v>
      </c>
      <c r="U299" s="32" t="n">
        <v>17.63</v>
      </c>
      <c r="V299" s="32" t="n">
        <v>18.08</v>
      </c>
      <c r="W299" s="32" t="n">
        <v>7.91</v>
      </c>
      <c r="X299" s="31" t="inlineStr">
        <is>
          <t>Cyclical in an Upturn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Blue sky scenario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Less than 12%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IF(B300=0,"",RANK(B300,$B$2:$B$370,0))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ASIANENE</t>
        </is>
      </c>
      <c r="D300" s="31" t="inlineStr">
        <is>
          <t>Asian Energy Services Ltd</t>
        </is>
      </c>
      <c r="E300" s="31" t="inlineStr">
        <is>
          <t>energy</t>
        </is>
      </c>
      <c r="F300" s="31" t="inlineStr">
        <is>
          <t>oil drilling / allied services</t>
        </is>
      </c>
      <c r="G300" s="31" t="inlineStr">
        <is>
          <t>smallcap</t>
        </is>
      </c>
      <c r="H300" s="32" t="n">
        <v>2270.52</v>
      </c>
      <c r="I300" s="32" t="n">
        <v>451.5</v>
      </c>
      <c r="J300" s="32" t="n">
        <v>-3.3</v>
      </c>
      <c r="K300" s="32" t="n">
        <v>348412</v>
      </c>
      <c r="L300" s="31" t="inlineStr"/>
      <c r="M300" s="31" t="inlineStr"/>
      <c r="N300" s="32">
        <f>IF(M300="Underperforming",-5,IF(L300&gt;=95,15,IF(L300&gt;=90,10,IF(L300&gt;=80,5,0))))</f>
        <v/>
      </c>
      <c r="O300" s="32" t="n">
        <v>65.78</v>
      </c>
      <c r="P300" s="32" t="n">
        <v>20.07</v>
      </c>
      <c r="Q300" s="32" t="n">
        <v>345.3</v>
      </c>
      <c r="R300" s="31" t="inlineStr">
        <is>
          <t>Near 52W High Breakout</t>
        </is>
      </c>
      <c r="S300" s="31" t="inlineStr">
        <is>
          <t>Nifty Energy</t>
        </is>
      </c>
      <c r="T300" s="32" t="inlineStr"/>
      <c r="U300" s="32" t="inlineStr"/>
      <c r="V300" s="32" t="inlineStr"/>
      <c r="W300" s="32" t="inlineStr"/>
      <c r="X300" s="31" t="inlineStr">
        <is>
          <t>Cyclical in an Upturn</t>
        </is>
      </c>
      <c r="Y300" s="31">
        <f>IF(X300="Growing Industry",10,IF(X300="Cyclical in an Upturn",5,0))</f>
        <v/>
      </c>
      <c r="Z300" s="31" t="inlineStr">
        <is>
          <t>Oligopoly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Yes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Cyclical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Volatile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Blue sky scenario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IF(B301=0,"",RANK(B301,$B$2:$B$370,0))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HCG</t>
        </is>
      </c>
      <c r="D301" s="33" t="inlineStr">
        <is>
          <t>Healthcare Global Enterprises Limited</t>
        </is>
      </c>
      <c r="E301" s="31" t="inlineStr">
        <is>
          <t>healthcare</t>
        </is>
      </c>
      <c r="F301" s="31" t="inlineStr">
        <is>
          <t>healthcare</t>
        </is>
      </c>
      <c r="G301" s="31" t="inlineStr">
        <is>
          <t>midcap</t>
        </is>
      </c>
      <c r="H301" s="32" t="n">
        <v>10731.84</v>
      </c>
      <c r="I301" s="32" t="n">
        <v>724.85</v>
      </c>
      <c r="J301" s="32" t="n">
        <v>0.84</v>
      </c>
      <c r="K301" s="32" t="n">
        <v>69687</v>
      </c>
      <c r="L301" s="31" t="n">
        <v>18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69.91</v>
      </c>
      <c r="P301" s="32" t="n">
        <v>32.55</v>
      </c>
      <c r="Q301" s="32" t="n">
        <v>599.41</v>
      </c>
      <c r="R301" s="31" t="inlineStr">
        <is>
          <t>Near 52W High Breakout</t>
        </is>
      </c>
      <c r="S301" s="31" t="inlineStr">
        <is>
          <t>Nifty Pharma</t>
        </is>
      </c>
      <c r="T301" s="32" t="n">
        <v>21.83</v>
      </c>
      <c r="U301" s="32" t="n">
        <v>7.58</v>
      </c>
      <c r="V301" s="32" t="n">
        <v>-11.69</v>
      </c>
      <c r="W301" s="32" t="n">
        <v>5.12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Yes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Annuity, Lower One Time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20 to 40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Blue sky scenario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More than 1.2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IF(B302=0,"",RANK(B302,$B$2:$B$370,0))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MUKKA</t>
        </is>
      </c>
      <c r="D302" s="31" t="inlineStr">
        <is>
          <t>Mukka Proteins Ltd</t>
        </is>
      </c>
      <c r="E302" s="31" t="inlineStr">
        <is>
          <t>fmcg</t>
        </is>
      </c>
      <c r="F302" s="31" t="inlineStr">
        <is>
          <t>food - processing - indian</t>
        </is>
      </c>
      <c r="G302" s="31" t="inlineStr">
        <is>
          <t>smallcap</t>
        </is>
      </c>
      <c r="H302" s="32" t="n">
        <v>774</v>
      </c>
      <c r="I302" s="32" t="n">
        <v>25.85</v>
      </c>
      <c r="J302" s="32" t="n">
        <v>0.19</v>
      </c>
      <c r="K302" s="32" t="n">
        <v>415422</v>
      </c>
      <c r="L302" s="31" t="inlineStr"/>
      <c r="M302" s="31" t="inlineStr"/>
      <c r="N302" s="32">
        <f>IF(M302="Underperforming",-5,IF(L302&gt;=95,15,IF(L302&gt;=90,10,IF(L302&gt;=80,5,0))))</f>
        <v/>
      </c>
      <c r="O302" s="32" t="n">
        <v>58.68</v>
      </c>
      <c r="P302" s="32" t="n">
        <v>10.63</v>
      </c>
      <c r="Q302" s="32" t="n">
        <v>20.46</v>
      </c>
      <c r="R302" s="31" t="inlineStr">
        <is>
          <t>Earnings / Momentum Support</t>
        </is>
      </c>
      <c r="S302" s="31" t="inlineStr">
        <is>
          <t>Nifty FMCG</t>
        </is>
      </c>
      <c r="T302" s="32" t="inlineStr"/>
      <c r="U302" s="32" t="inlineStr"/>
      <c r="V302" s="32" t="inlineStr"/>
      <c r="W302" s="32" t="inlineStr"/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B2C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Annuity, Lower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Less than 1.5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More than 1.2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IF(B303=0,"",RANK(B303,$B$2:$B$370,0))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BCLIND</t>
        </is>
      </c>
      <c r="D303" s="31" t="inlineStr">
        <is>
          <t>BCL Industries Ltd</t>
        </is>
      </c>
      <c r="E303" s="31" t="inlineStr">
        <is>
          <t>fmcg</t>
        </is>
      </c>
      <c r="F303" s="31" t="inlineStr">
        <is>
          <t>breweries &amp; distilleries</t>
        </is>
      </c>
      <c r="G303" s="31" t="inlineStr">
        <is>
          <t>smallcap</t>
        </is>
      </c>
      <c r="H303" s="32" t="n">
        <v>1121.33</v>
      </c>
      <c r="I303" s="32" t="n">
        <v>37.8</v>
      </c>
      <c r="J303" s="32" t="n">
        <v>-0.5</v>
      </c>
      <c r="K303" s="32" t="n">
        <v>1042731</v>
      </c>
      <c r="L303" s="31" t="inlineStr"/>
      <c r="M303" s="31" t="inlineStr"/>
      <c r="N303" s="32">
        <f>IF(M303="Underperforming",-5,IF(L303&gt;=95,15,IF(L303&gt;=90,10,IF(L303&gt;=80,5,0))))</f>
        <v/>
      </c>
      <c r="O303" s="32" t="n">
        <v>57.64</v>
      </c>
      <c r="P303" s="32" t="n">
        <v>14.74</v>
      </c>
      <c r="Q303" s="32" t="n">
        <v>28.33</v>
      </c>
      <c r="R303" s="31" t="inlineStr">
        <is>
          <t>Earnings / Momentum Support</t>
        </is>
      </c>
      <c r="S303" s="31" t="inlineStr">
        <is>
          <t>Nifty FMCG</t>
        </is>
      </c>
      <c r="T303" s="32" t="inlineStr"/>
      <c r="U303" s="32" t="inlineStr"/>
      <c r="V303" s="32" t="inlineStr"/>
      <c r="W303" s="32" t="inlineStr"/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B2C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Annuity, Lower One Time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IF(B304=0,"",RANK(B304,$B$2:$B$370,0))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DHAMPURSUG</t>
        </is>
      </c>
      <c r="D304" s="31" t="inlineStr">
        <is>
          <t>Dhampur Sugar Mills Limited</t>
        </is>
      </c>
      <c r="E304" s="31" t="inlineStr">
        <is>
          <t>fmcg</t>
        </is>
      </c>
      <c r="F304" s="31" t="inlineStr">
        <is>
          <t>sugar</t>
        </is>
      </c>
      <c r="G304" s="31" t="inlineStr">
        <is>
          <t>smallcap</t>
        </is>
      </c>
      <c r="H304" s="32" t="n">
        <v>1162.6</v>
      </c>
      <c r="I304" s="32" t="n">
        <v>179.72</v>
      </c>
      <c r="J304" s="32" t="n">
        <v>-0.59</v>
      </c>
      <c r="K304" s="32" t="n">
        <v>1928080</v>
      </c>
      <c r="L304" s="31" t="inlineStr"/>
      <c r="M304" s="31" t="inlineStr"/>
      <c r="N304" s="32">
        <f>IF(M304="Underperforming",-5,IF(L304&gt;=95,15,IF(L304&gt;=90,10,IF(L304&gt;=80,5,0))))</f>
        <v/>
      </c>
      <c r="O304" s="32" t="n">
        <v>71.06999999999999</v>
      </c>
      <c r="P304" s="32" t="n">
        <v>18.52</v>
      </c>
      <c r="Q304" s="32" t="n">
        <v>142.34</v>
      </c>
      <c r="R304" s="31" t="inlineStr">
        <is>
          <t>Volume Spike &amp; Near 52W High Breakout</t>
        </is>
      </c>
      <c r="S304" s="31" t="inlineStr">
        <is>
          <t>Nifty FMCG</t>
        </is>
      </c>
      <c r="T304" s="32" t="inlineStr"/>
      <c r="U304" s="32" t="inlineStr"/>
      <c r="V304" s="32" t="inlineStr"/>
      <c r="W304" s="32" t="inlineStr"/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B2C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Annuity, Lower One Time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Less than 12%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Between 0.7 to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IF(B305=0,"",RANK(B305,$B$2:$B$370,0))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UTTAMSUGAR</t>
        </is>
      </c>
      <c r="D305" s="31" t="inlineStr">
        <is>
          <t>Uttam Sugar Mills Limited</t>
        </is>
      </c>
      <c r="E305" s="31" t="inlineStr">
        <is>
          <t>fmcg</t>
        </is>
      </c>
      <c r="F305" s="31" t="inlineStr">
        <is>
          <t>sugar</t>
        </is>
      </c>
      <c r="G305" s="31" t="inlineStr">
        <is>
          <t>smallcap</t>
        </is>
      </c>
      <c r="H305" s="32" t="n">
        <v>1274</v>
      </c>
      <c r="I305" s="32" t="n">
        <v>323.13</v>
      </c>
      <c r="J305" s="32" t="n">
        <v>-3.27</v>
      </c>
      <c r="K305" s="32" t="n">
        <v>527795</v>
      </c>
      <c r="L305" s="31" t="inlineStr"/>
      <c r="M305" s="31" t="inlineStr"/>
      <c r="N305" s="32">
        <f>IF(M305="Underperforming",-5,IF(L305&gt;=95,15,IF(L305&gt;=90,10,IF(L305&gt;=80,5,0))))</f>
        <v/>
      </c>
      <c r="O305" s="32" t="n">
        <v>72.22</v>
      </c>
      <c r="P305" s="32" t="n">
        <v>18.01</v>
      </c>
      <c r="Q305" s="32" t="n">
        <v>242.41</v>
      </c>
      <c r="R305" s="31" t="inlineStr">
        <is>
          <t>Near 52W High Breakout</t>
        </is>
      </c>
      <c r="S305" s="31" t="inlineStr">
        <is>
          <t>Nifty FMCG</t>
        </is>
      </c>
      <c r="T305" s="32" t="inlineStr"/>
      <c r="U305" s="32" t="inlineStr"/>
      <c r="V305" s="32" t="inlineStr"/>
      <c r="W305" s="32" t="inlineStr"/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B2C</t>
        </is>
      </c>
      <c r="AO305" s="31">
        <f>IF(AN305="B2C",10,IF(AN305="B2B",5,0))</f>
        <v/>
      </c>
      <c r="AP305" s="31" t="inlineStr">
        <is>
          <t>Yes</t>
        </is>
      </c>
      <c r="AQ305" s="31">
        <f>IF(AP305="Yes",10,0)</f>
        <v/>
      </c>
      <c r="AR305" s="31" t="inlineStr">
        <is>
          <t>Higher Annuity, Lower One Time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Less than 12%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Between 0.7 to 1.2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IF(B306=0,"",RANK(B306,$B$2:$B$370,0))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CHALET</t>
        </is>
      </c>
      <c r="D306" s="33" t="inlineStr">
        <is>
          <t>Chalet Hotels Ltd</t>
        </is>
      </c>
      <c r="E306" s="31" t="inlineStr">
        <is>
          <t>services</t>
        </is>
      </c>
      <c r="F306" s="31" t="inlineStr">
        <is>
          <t>hotels</t>
        </is>
      </c>
      <c r="G306" s="31" t="inlineStr">
        <is>
          <t>midcap</t>
        </is>
      </c>
      <c r="H306" s="32" t="n">
        <v>19042.63</v>
      </c>
      <c r="I306" s="32" t="n">
        <v>894.05</v>
      </c>
      <c r="J306" s="32" t="n">
        <v>2.82</v>
      </c>
      <c r="K306" s="32" t="n">
        <v>1187806</v>
      </c>
      <c r="L306" s="31" t="n">
        <v>3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59.83</v>
      </c>
      <c r="P306" s="32" t="n">
        <v>10.96</v>
      </c>
      <c r="Q306" s="32" t="n">
        <v>731.9</v>
      </c>
      <c r="R306" s="31" t="inlineStr">
        <is>
          <t>Volume Spike / Accumulation</t>
        </is>
      </c>
      <c r="S306" s="31" t="inlineStr">
        <is>
          <t>Nifty 50</t>
        </is>
      </c>
      <c r="T306" s="32" t="n">
        <v>-0.38</v>
      </c>
      <c r="U306" s="32" t="n">
        <v>-11.41</v>
      </c>
      <c r="V306" s="32" t="n">
        <v>-11.07</v>
      </c>
      <c r="W306" s="32" t="n">
        <v>0.8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Yes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Less than 12%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IF(B307=0,"",RANK(B307,$B$2:$B$370,0))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RITCO</t>
        </is>
      </c>
      <c r="D307" s="31" t="inlineStr">
        <is>
          <t>Ritco Logistics Ltd</t>
        </is>
      </c>
      <c r="E307" s="31" t="inlineStr">
        <is>
          <t>transportation</t>
        </is>
      </c>
      <c r="F307" s="31" t="inlineStr">
        <is>
          <t>miscellaneous</t>
        </is>
      </c>
      <c r="G307" s="31" t="inlineStr">
        <is>
          <t>smallcap</t>
        </is>
      </c>
      <c r="H307" s="32" t="n">
        <v>901.47</v>
      </c>
      <c r="I307" s="32" t="n">
        <v>317</v>
      </c>
      <c r="J307" s="32" t="n">
        <v>0.65</v>
      </c>
      <c r="K307" s="32" t="n">
        <v>103536</v>
      </c>
      <c r="L307" s="31" t="n">
        <v>24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67.14</v>
      </c>
      <c r="P307" s="32" t="n">
        <v>37.3</v>
      </c>
      <c r="Q307" s="32" t="n">
        <v>239.69</v>
      </c>
      <c r="R307" s="31" t="inlineStr">
        <is>
          <t>Near 52W High Breakout</t>
        </is>
      </c>
      <c r="S307" s="31" t="inlineStr">
        <is>
          <t>Nifty 50</t>
        </is>
      </c>
      <c r="T307" s="32" t="n">
        <v>-0.38</v>
      </c>
      <c r="U307" s="32" t="n">
        <v>12.15</v>
      </c>
      <c r="V307" s="32" t="n">
        <v>12.57</v>
      </c>
      <c r="W307" s="32" t="n">
        <v>6.65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Yes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More than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IF(B308=0,"",RANK(B308,$B$2:$B$370,0))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IMAGICAA</t>
        </is>
      </c>
      <c r="D308" s="31" t="inlineStr">
        <is>
          <t>Imagicaaworld Entertainment Ltd</t>
        </is>
      </c>
      <c r="E308" s="31" t="inlineStr">
        <is>
          <t>media</t>
        </is>
      </c>
      <c r="F308" s="31" t="inlineStr">
        <is>
          <t>recreation / amusement parks</t>
        </is>
      </c>
      <c r="G308" s="31" t="inlineStr">
        <is>
          <t>smallcap</t>
        </is>
      </c>
      <c r="H308" s="32" t="n">
        <v>2802.71</v>
      </c>
      <c r="I308" s="32" t="n">
        <v>49.79</v>
      </c>
      <c r="J308" s="32" t="n">
        <v>0.52</v>
      </c>
      <c r="K308" s="32" t="n">
        <v>687324</v>
      </c>
      <c r="L308" s="31" t="inlineStr"/>
      <c r="M308" s="31" t="inlineStr"/>
      <c r="N308" s="32">
        <f>IF(M308="Underperforming",-5,IF(L308&gt;=95,15,IF(L308&gt;=90,10,IF(L308&gt;=80,5,0))))</f>
        <v/>
      </c>
      <c r="O308" s="32" t="n">
        <v>54.57</v>
      </c>
      <c r="P308" s="32" t="n">
        <v>11.65</v>
      </c>
      <c r="Q308" s="32" t="n">
        <v>38.75</v>
      </c>
      <c r="R308" s="31" t="inlineStr">
        <is>
          <t>Earnings / Momentum Support</t>
        </is>
      </c>
      <c r="S308" s="31" t="inlineStr">
        <is>
          <t>Nifty Media</t>
        </is>
      </c>
      <c r="T308" s="32" t="inlineStr"/>
      <c r="U308" s="32" t="inlineStr"/>
      <c r="V308" s="32" t="inlineStr"/>
      <c r="W308" s="32" t="inlineStr"/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IF(B309=0,"",RANK(B309,$B$2:$B$370,0))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BEML</t>
        </is>
      </c>
      <c r="D309" s="31" t="inlineStr">
        <is>
          <t>Beml Limited</t>
        </is>
      </c>
      <c r="E309" s="31" t="inlineStr">
        <is>
          <t>aerospace &amp; defence</t>
        </is>
      </c>
      <c r="F309" s="31" t="inlineStr">
        <is>
          <t>engineering</t>
        </is>
      </c>
      <c r="G309" s="31" t="inlineStr">
        <is>
          <t>midcap</t>
        </is>
      </c>
      <c r="H309" s="32" t="n">
        <v>15949.84</v>
      </c>
      <c r="I309" s="32" t="n">
        <v>1923</v>
      </c>
      <c r="J309" s="32" t="n">
        <v>0.42</v>
      </c>
      <c r="K309" s="32" t="n">
        <v>407114</v>
      </c>
      <c r="L309" s="31" t="n">
        <v>9</v>
      </c>
      <c r="M309" s="31" t="inlineStr">
        <is>
          <t>Outperforming</t>
        </is>
      </c>
      <c r="N309" s="32">
        <f>IF(M309="Underperforming",-5,IF(L309&gt;=95,15,IF(L309&gt;=90,10,IF(L309&gt;=80,5,0))))</f>
        <v/>
      </c>
      <c r="O309" s="32" t="n">
        <v>58.14</v>
      </c>
      <c r="P309" s="32" t="n">
        <v>12.55</v>
      </c>
      <c r="Q309" s="32" t="n">
        <v>1530.2</v>
      </c>
      <c r="R309" s="31" t="inlineStr">
        <is>
          <t>Earnings / Momentum Support</t>
        </is>
      </c>
      <c r="S309" s="31" t="inlineStr">
        <is>
          <t>Nifty 50</t>
        </is>
      </c>
      <c r="T309" s="32" t="n">
        <v>-0.38</v>
      </c>
      <c r="U309" s="32" t="n">
        <v>0.48</v>
      </c>
      <c r="V309" s="32" t="n">
        <v>0.86</v>
      </c>
      <c r="W309" s="32" t="n">
        <v>2.68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Yes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IF(B310=0,"",RANK(B310,$B$2:$B$370,0))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NAVINFLUOR</t>
        </is>
      </c>
      <c r="D310" s="31" t="inlineStr">
        <is>
          <t>Navin Fluorine International Limited</t>
        </is>
      </c>
      <c r="E310" s="31" t="inlineStr">
        <is>
          <t>chemicals</t>
        </is>
      </c>
      <c r="F310" s="31" t="inlineStr">
        <is>
          <t>chemicals</t>
        </is>
      </c>
      <c r="G310" s="31" t="inlineStr">
        <is>
          <t>largecap</t>
        </is>
      </c>
      <c r="H310" s="32" t="n">
        <v>41992.07</v>
      </c>
      <c r="I310" s="32" t="n">
        <v>8210</v>
      </c>
      <c r="J310" s="32" t="n">
        <v>0.28</v>
      </c>
      <c r="K310" s="32" t="n">
        <v>97033</v>
      </c>
      <c r="L310" s="31" t="n">
        <v>60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74.51000000000001</v>
      </c>
      <c r="P310" s="32" t="n">
        <v>57.94</v>
      </c>
      <c r="Q310" s="32" t="n">
        <v>6939.32</v>
      </c>
      <c r="R310" s="31" t="inlineStr">
        <is>
          <t>Near 52W High Breakout</t>
        </is>
      </c>
      <c r="S310" s="31" t="inlineStr">
        <is>
          <t>Nifty 50</t>
        </is>
      </c>
      <c r="T310" s="32" t="n">
        <v>-0.38</v>
      </c>
      <c r="U310" s="32" t="n">
        <v>75.52</v>
      </c>
      <c r="V310" s="32" t="n">
        <v>76.19</v>
      </c>
      <c r="W310" s="32" t="n">
        <v>15.22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Oligopoly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Shallow Cyclical (2 to 3 Years Growth)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20 to 40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3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Between 50% to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IF(B311=0,"",RANK(B311,$B$2:$B$370,0))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ARIS</t>
        </is>
      </c>
      <c r="D311" s="33" t="inlineStr">
        <is>
          <t>Arisinfra Solutions Ltd</t>
        </is>
      </c>
      <c r="E311" s="31" t="inlineStr">
        <is>
          <t>services</t>
        </is>
      </c>
      <c r="F311" s="31" t="inlineStr">
        <is>
          <t>trading</t>
        </is>
      </c>
      <c r="G311" s="31" t="inlineStr">
        <is>
          <t>smallcap</t>
        </is>
      </c>
      <c r="H311" s="32" t="n">
        <v>1178.57</v>
      </c>
      <c r="I311" s="32" t="n">
        <v>144.26</v>
      </c>
      <c r="J311" s="32" t="n">
        <v>0.12</v>
      </c>
      <c r="K311" s="32" t="n">
        <v>1313056</v>
      </c>
      <c r="L311" s="31" t="n">
        <v>15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60.47</v>
      </c>
      <c r="P311" s="32" t="n">
        <v>8.960000000000001</v>
      </c>
      <c r="Q311" s="32" t="n">
        <v>104.98</v>
      </c>
      <c r="R311" s="31" t="inlineStr">
        <is>
          <t>Earnings / Momentum Support</t>
        </is>
      </c>
      <c r="S311" s="31" t="inlineStr">
        <is>
          <t>Nifty 50</t>
        </is>
      </c>
      <c r="T311" s="32" t="n">
        <v>-0.38</v>
      </c>
      <c r="U311" s="32" t="n">
        <v>-1.74</v>
      </c>
      <c r="V311" s="32" t="n">
        <v>-1.36</v>
      </c>
      <c r="W311" s="32" t="n">
        <v>4.65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IF(B312=0,"",RANK(B312,$B$2:$B$370,0))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MANALIPETC</t>
        </is>
      </c>
      <c r="D312" s="31" t="inlineStr">
        <is>
          <t>Manali Petrochemicals Limited</t>
        </is>
      </c>
      <c r="E312" s="31" t="inlineStr">
        <is>
          <t>energy</t>
        </is>
      </c>
      <c r="F312" s="31" t="inlineStr">
        <is>
          <t>petrochemicals</t>
        </is>
      </c>
      <c r="G312" s="31" t="inlineStr">
        <is>
          <t>smallcap</t>
        </is>
      </c>
      <c r="H312" s="32" t="n">
        <v>1288.45</v>
      </c>
      <c r="I312" s="32" t="n">
        <v>74.87</v>
      </c>
      <c r="J312" s="32" t="n">
        <v>-0.05</v>
      </c>
      <c r="K312" s="32" t="n">
        <v>1155751</v>
      </c>
      <c r="L312" s="31" t="inlineStr"/>
      <c r="M312" s="31" t="inlineStr"/>
      <c r="N312" s="32">
        <f>IF(M312="Underperforming",-5,IF(L312&gt;=95,15,IF(L312&gt;=90,10,IF(L312&gt;=80,5,0))))</f>
        <v/>
      </c>
      <c r="O312" s="32" t="n">
        <v>68.11</v>
      </c>
      <c r="P312" s="32" t="n">
        <v>35.88</v>
      </c>
      <c r="Q312" s="32" t="n">
        <v>56.18</v>
      </c>
      <c r="R312" s="31" t="inlineStr">
        <is>
          <t>Near 52W High Breakout</t>
        </is>
      </c>
      <c r="S312" s="31" t="inlineStr">
        <is>
          <t>Nifty Energy</t>
        </is>
      </c>
      <c r="T312" s="32" t="inlineStr"/>
      <c r="U312" s="32" t="inlineStr"/>
      <c r="V312" s="32" t="inlineStr"/>
      <c r="W312" s="32" t="inlineStr"/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Oligopoly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Yes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Cyclical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Volatile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IF(B313=0,"",RANK(B313,$B$2:$B$370,0))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QPOWER</t>
        </is>
      </c>
      <c r="D313" s="31" t="inlineStr">
        <is>
          <t>Quality Power Electrical Equipments Ltd</t>
        </is>
      </c>
      <c r="E313" s="31" t="inlineStr">
        <is>
          <t>industrials</t>
        </is>
      </c>
      <c r="F313" s="31" t="inlineStr">
        <is>
          <t>electric equipment</t>
        </is>
      </c>
      <c r="G313" s="31" t="inlineStr">
        <is>
          <t>midcap</t>
        </is>
      </c>
      <c r="H313" s="32" t="n">
        <v>10169.96</v>
      </c>
      <c r="I313" s="32" t="n">
        <v>1309.1</v>
      </c>
      <c r="J313" s="32" t="n">
        <v>-0.31</v>
      </c>
      <c r="K313" s="32" t="n">
        <v>224773</v>
      </c>
      <c r="L313" s="31" t="n">
        <v>62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61.15</v>
      </c>
      <c r="P313" s="32" t="n">
        <v>14.57</v>
      </c>
      <c r="Q313" s="32" t="n">
        <v>949.25</v>
      </c>
      <c r="R313" s="31" t="inlineStr">
        <is>
          <t>Earnings / Momentum Support</t>
        </is>
      </c>
      <c r="S313" s="31" t="inlineStr">
        <is>
          <t>Nifty 50</t>
        </is>
      </c>
      <c r="T313" s="32" t="n">
        <v>-0.38</v>
      </c>
      <c r="U313" s="32" t="n">
        <v>67.16</v>
      </c>
      <c r="V313" s="32" t="n">
        <v>67.79000000000001</v>
      </c>
      <c r="W313" s="32" t="n">
        <v>16.11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Between 1.5 to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IF(B314=0,"",RANK(B314,$B$2:$B$370,0))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JSWSTEEL</t>
        </is>
      </c>
      <c r="D314" s="31" t="inlineStr">
        <is>
          <t>Jsw Steel Limited</t>
        </is>
      </c>
      <c r="E314" s="31" t="inlineStr">
        <is>
          <t>metals &amp; mining</t>
        </is>
      </c>
      <c r="F314" s="31" t="inlineStr">
        <is>
          <t>steel - large</t>
        </is>
      </c>
      <c r="G314" s="31" t="inlineStr">
        <is>
          <t>largecap</t>
        </is>
      </c>
      <c r="H314" s="32" t="n">
        <v>324511.74</v>
      </c>
      <c r="I314" s="32" t="n">
        <v>1320.3</v>
      </c>
      <c r="J314" s="32" t="n">
        <v>-0.5</v>
      </c>
      <c r="K314" s="32" t="n">
        <v>1444919</v>
      </c>
      <c r="L314" s="31" t="inlineStr"/>
      <c r="M314" s="31" t="inlineStr"/>
      <c r="N314" s="32">
        <f>IF(M314="Underperforming",-5,IF(L314&gt;=95,15,IF(L314&gt;=90,10,IF(L314&gt;=80,5,0))))</f>
        <v/>
      </c>
      <c r="O314" s="32" t="n">
        <v>63.23</v>
      </c>
      <c r="P314" s="32" t="n">
        <v>28.69</v>
      </c>
      <c r="Q314" s="32" t="n">
        <v>1153.79</v>
      </c>
      <c r="R314" s="31" t="inlineStr">
        <is>
          <t>Near 52W High Breakout</t>
        </is>
      </c>
      <c r="S314" s="31" t="inlineStr">
        <is>
          <t>Nifty Metal</t>
        </is>
      </c>
      <c r="T314" s="32" t="inlineStr"/>
      <c r="U314" s="32" t="inlineStr"/>
      <c r="V314" s="32" t="inlineStr"/>
      <c r="W314" s="32" t="inlineStr"/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Cyclical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Volatile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20 to 40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Blue sky scenario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Between 0.7 to 1.2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IF(B315=0,"",RANK(B315,$B$2:$B$370,0))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DOLPHIN</t>
        </is>
      </c>
      <c r="D315" s="31" t="inlineStr">
        <is>
          <t>Dolphin Offshore Enterprises (India) Ltd</t>
        </is>
      </c>
      <c r="E315" s="31" t="inlineStr">
        <is>
          <t>energy</t>
        </is>
      </c>
      <c r="F315" s="31" t="inlineStr">
        <is>
          <t>oil drilling / allied services</t>
        </is>
      </c>
      <c r="G315" s="31" t="inlineStr">
        <is>
          <t>smallcap</t>
        </is>
      </c>
      <c r="H315" s="32" t="n">
        <v>2466.08</v>
      </c>
      <c r="I315" s="32" t="n">
        <v>610.8</v>
      </c>
      <c r="J315" s="32" t="n">
        <v>-0.92</v>
      </c>
      <c r="K315" s="32" t="n">
        <v>31289</v>
      </c>
      <c r="L315" s="31" t="inlineStr"/>
      <c r="M315" s="31" t="inlineStr"/>
      <c r="N315" s="32">
        <f>IF(M315="Underperforming",-5,IF(L315&gt;=95,15,IF(L315&gt;=90,10,IF(L315&gt;=80,5,0))))</f>
        <v/>
      </c>
      <c r="O315" s="32" t="n">
        <v>74.70999999999999</v>
      </c>
      <c r="P315" s="32" t="n">
        <v>32.73</v>
      </c>
      <c r="Q315" s="32" t="n">
        <v>490.68</v>
      </c>
      <c r="R315" s="31" t="inlineStr">
        <is>
          <t>Earnings / Momentum Support</t>
        </is>
      </c>
      <c r="S315" s="31" t="inlineStr">
        <is>
          <t>Nifty Energy</t>
        </is>
      </c>
      <c r="T315" s="32" t="inlineStr"/>
      <c r="U315" s="32" t="inlineStr"/>
      <c r="V315" s="32" t="inlineStr"/>
      <c r="W315" s="32" t="inlineStr"/>
      <c r="X315" s="31" t="inlineStr">
        <is>
          <t>Cyclical in an Upturn</t>
        </is>
      </c>
      <c r="Y315" s="31">
        <f>IF(X315="Growing Industry",10,IF(X315="Cyclical in an Upturn",5,0))</f>
        <v/>
      </c>
      <c r="Z315" s="31" t="inlineStr">
        <is>
          <t>Oligopoly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Yes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Cyclical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Volatile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Less than 1.5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IF(B316=0,"",RANK(B316,$B$2:$B$370,0))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RATNAVEER</t>
        </is>
      </c>
      <c r="D316" s="31" t="inlineStr">
        <is>
          <t>Ratnaveer Precision Engineering Ltd</t>
        </is>
      </c>
      <c r="E316" s="31" t="inlineStr">
        <is>
          <t>metals &amp; mining</t>
        </is>
      </c>
      <c r="F316" s="31" t="inlineStr">
        <is>
          <t>steel - medium / small</t>
        </is>
      </c>
      <c r="G316" s="31" t="inlineStr">
        <is>
          <t>smallcap</t>
        </is>
      </c>
      <c r="H316" s="32" t="n">
        <v>1937.95</v>
      </c>
      <c r="I316" s="32" t="n">
        <v>263.43</v>
      </c>
      <c r="J316" s="32" t="n">
        <v>-2.91</v>
      </c>
      <c r="K316" s="32" t="n">
        <v>8308322</v>
      </c>
      <c r="L316" s="31" t="inlineStr"/>
      <c r="M316" s="31" t="inlineStr"/>
      <c r="N316" s="32">
        <f>IF(M316="Underperforming",-5,IF(L316&gt;=95,15,IF(L316&gt;=90,10,IF(L316&gt;=80,5,0))))</f>
        <v/>
      </c>
      <c r="O316" s="32" t="n">
        <v>77.36</v>
      </c>
      <c r="P316" s="32" t="n">
        <v>51.94</v>
      </c>
      <c r="Q316" s="32" t="n">
        <v>196.05</v>
      </c>
      <c r="R316" s="31" t="inlineStr">
        <is>
          <t>Near 52W High Breakout</t>
        </is>
      </c>
      <c r="S316" s="31" t="inlineStr">
        <is>
          <t>Nifty Metal</t>
        </is>
      </c>
      <c r="T316" s="32" t="inlineStr"/>
      <c r="U316" s="32" t="inlineStr"/>
      <c r="V316" s="32" t="inlineStr"/>
      <c r="W316" s="32" t="inlineStr"/>
      <c r="X316" s="31" t="inlineStr">
        <is>
          <t>Cyclical in an Upturn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Cyclical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Volatile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Above 40</t>
        </is>
      </c>
      <c r="AY316" s="31">
        <f>IF(AX316="Above 40",20,IF(AX316="20 to 40",10,IF(AX316="0 to 20",-5,0)))</f>
        <v/>
      </c>
      <c r="AZ316" s="31" t="inlineStr">
        <is>
          <t>Above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Blue sky scenario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Less than 12%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IF(B317=0,"",RANK(B317,$B$2:$B$370,0))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DEEPINDS</t>
        </is>
      </c>
      <c r="D317" s="31" t="inlineStr">
        <is>
          <t>Deep Industries Ltd</t>
        </is>
      </c>
      <c r="E317" s="31" t="inlineStr">
        <is>
          <t>energy</t>
        </is>
      </c>
      <c r="F317" s="31" t="inlineStr">
        <is>
          <t>oil drilling / allied services</t>
        </is>
      </c>
      <c r="G317" s="31" t="inlineStr">
        <is>
          <t>smallcap</t>
        </is>
      </c>
      <c r="H317" s="32" t="n">
        <v>4339.52</v>
      </c>
      <c r="I317" s="32" t="n">
        <v>649.65</v>
      </c>
      <c r="J317" s="32" t="n">
        <v>-4.19</v>
      </c>
      <c r="K317" s="32" t="n">
        <v>322743</v>
      </c>
      <c r="L317" s="31" t="inlineStr"/>
      <c r="M317" s="31" t="inlineStr"/>
      <c r="N317" s="32">
        <f>IF(M317="Underperforming",-5,IF(L317&gt;=95,15,IF(L317&gt;=90,10,IF(L317&gt;=80,5,0))))</f>
        <v/>
      </c>
      <c r="O317" s="32" t="n">
        <v>68.97</v>
      </c>
      <c r="P317" s="32" t="n">
        <v>26.84</v>
      </c>
      <c r="Q317" s="32" t="n">
        <v>534.95</v>
      </c>
      <c r="R317" s="31" t="inlineStr">
        <is>
          <t>Earnings / Momentum Support</t>
        </is>
      </c>
      <c r="S317" s="31" t="inlineStr">
        <is>
          <t>Nifty Energy</t>
        </is>
      </c>
      <c r="T317" s="32" t="inlineStr"/>
      <c r="U317" s="32" t="inlineStr"/>
      <c r="V317" s="32" t="inlineStr"/>
      <c r="W317" s="32" t="inlineStr"/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Oligopoly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Yes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Cyclical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Volatile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Less than 1.5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IF(B318=0,"",RANK(B318,$B$2:$B$370,0))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3" t="inlineStr">
        <is>
          <t>VALIANTLAB</t>
        </is>
      </c>
      <c r="D318" s="33" t="inlineStr">
        <is>
          <t>Valiant Laboratories Ltd</t>
        </is>
      </c>
      <c r="E318" s="31" t="inlineStr">
        <is>
          <t>healthcare</t>
        </is>
      </c>
      <c r="F318" s="31" t="inlineStr">
        <is>
          <t>pharmaceuticals - indian - bulk drugs &amp; formln</t>
        </is>
      </c>
      <c r="G318" s="31" t="inlineStr">
        <is>
          <t>smallcap</t>
        </is>
      </c>
      <c r="H318" s="32" t="n">
        <v>545.95</v>
      </c>
      <c r="I318" s="32" t="n">
        <v>105.54</v>
      </c>
      <c r="J318" s="32" t="n">
        <v>4.99</v>
      </c>
      <c r="K318" s="32" t="n">
        <v>1042295</v>
      </c>
      <c r="L318" s="31" t="n">
        <v>56</v>
      </c>
      <c r="M318" s="31" t="inlineStr">
        <is>
          <t>Underperforming</t>
        </is>
      </c>
      <c r="N318" s="32">
        <f>IF(M318="Underperforming",-5,IF(L318&gt;=95,15,IF(L318&gt;=90,10,IF(L318&gt;=80,5,0))))</f>
        <v/>
      </c>
      <c r="O318" s="32" t="n">
        <v>75.36</v>
      </c>
      <c r="P318" s="32" t="n">
        <v>18.82</v>
      </c>
      <c r="Q318" s="32" t="n">
        <v>80.81999999999999</v>
      </c>
      <c r="R318" s="31" t="inlineStr">
        <is>
          <t>Volume Spike &amp; Near 52W High Breakout</t>
        </is>
      </c>
      <c r="S318" s="31" t="inlineStr">
        <is>
          <t>Nifty Pharma</t>
        </is>
      </c>
      <c r="T318" s="32" t="n">
        <v>21.83</v>
      </c>
      <c r="U318" s="32" t="n">
        <v>21.12</v>
      </c>
      <c r="V318" s="32" t="n">
        <v>-0.59</v>
      </c>
      <c r="W318" s="32" t="n">
        <v>14.03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Yes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Annuity, Lower One Time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Above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IF(B319=0,"",RANK(B319,$B$2:$B$370,0))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3" t="inlineStr">
        <is>
          <t>INDGN</t>
        </is>
      </c>
      <c r="D319" s="33" t="inlineStr">
        <is>
          <t>Indegene Ltd</t>
        </is>
      </c>
      <c r="E319" s="31" t="inlineStr">
        <is>
          <t>healthcare</t>
        </is>
      </c>
      <c r="F319" s="31" t="inlineStr">
        <is>
          <t>miscellaneous</t>
        </is>
      </c>
      <c r="G319" s="31" t="inlineStr">
        <is>
          <t>midcap</t>
        </is>
      </c>
      <c r="H319" s="32" t="n">
        <v>13653.68</v>
      </c>
      <c r="I319" s="32" t="n">
        <v>563.55</v>
      </c>
      <c r="J319" s="32" t="n">
        <v>-0.55</v>
      </c>
      <c r="K319" s="32" t="n">
        <v>217930</v>
      </c>
      <c r="L319" s="31" t="n">
        <v>10</v>
      </c>
      <c r="M319" s="31" t="inlineStr">
        <is>
          <t>Underperforming</t>
        </is>
      </c>
      <c r="N319" s="32">
        <f>IF(M319="Underperforming",-5,IF(L319&gt;=95,15,IF(L319&gt;=90,10,IF(L319&gt;=80,5,0))))</f>
        <v/>
      </c>
      <c r="O319" s="32" t="n">
        <v>63.13</v>
      </c>
      <c r="P319" s="32" t="n">
        <v>18.63</v>
      </c>
      <c r="Q319" s="32" t="n">
        <v>472.83</v>
      </c>
      <c r="R319" s="31" t="inlineStr">
        <is>
          <t>Near 52W High Breakout</t>
        </is>
      </c>
      <c r="S319" s="31" t="inlineStr">
        <is>
          <t>Nifty Pharma</t>
        </is>
      </c>
      <c r="T319" s="32" t="n">
        <v>21.83</v>
      </c>
      <c r="U319" s="32" t="n">
        <v>4.37</v>
      </c>
      <c r="V319" s="32" t="n">
        <v>-14.33</v>
      </c>
      <c r="W319" s="32" t="n">
        <v>2.71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Yes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Annuity, Lower One Time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IF(B320=0,"",RANK(B320,$B$2:$B$370,0))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FACT</t>
        </is>
      </c>
      <c r="D320" s="33" t="inlineStr">
        <is>
          <t>Fertilizers And Chemicals Travancore Limited</t>
        </is>
      </c>
      <c r="E320" s="31" t="inlineStr">
        <is>
          <t>chemicals</t>
        </is>
      </c>
      <c r="F320" s="31" t="inlineStr">
        <is>
          <t>fertilizers</t>
        </is>
      </c>
      <c r="G320" s="31" t="inlineStr">
        <is>
          <t>largecap</t>
        </is>
      </c>
      <c r="H320" s="32" t="n">
        <v>50746.62</v>
      </c>
      <c r="I320" s="32" t="n">
        <v>876.1</v>
      </c>
      <c r="J320" s="32" t="n">
        <v>11.71</v>
      </c>
      <c r="K320" s="32" t="n">
        <v>36380722</v>
      </c>
      <c r="L320" s="31" t="n">
        <v>2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53.78</v>
      </c>
      <c r="P320" s="32" t="n">
        <v>23.63</v>
      </c>
      <c r="Q320" s="32" t="n">
        <v>702.08</v>
      </c>
      <c r="R320" s="31" t="inlineStr">
        <is>
          <t>Volume Spike / Accumulation</t>
        </is>
      </c>
      <c r="S320" s="31" t="inlineStr">
        <is>
          <t>Nifty 50</t>
        </is>
      </c>
      <c r="T320" s="32" t="n">
        <v>-0.38</v>
      </c>
      <c r="U320" s="32" t="n">
        <v>-5.24</v>
      </c>
      <c r="V320" s="32" t="n">
        <v>-4.88</v>
      </c>
      <c r="W320" s="32" t="n">
        <v>-0.5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20 to 40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1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Less than 1.5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More than 1.2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IF(B321=0,"",RANK(B321,$B$2:$B$370,0))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ALEMBICLTD</t>
        </is>
      </c>
      <c r="D321" s="31" t="inlineStr">
        <is>
          <t>Alembic Limited</t>
        </is>
      </c>
      <c r="E321" s="31" t="inlineStr">
        <is>
          <t>realty</t>
        </is>
      </c>
      <c r="F321" s="31" t="inlineStr">
        <is>
          <t>construction</t>
        </is>
      </c>
      <c r="G321" s="31" t="inlineStr">
        <is>
          <t>smallcap</t>
        </is>
      </c>
      <c r="H321" s="32" t="n">
        <v>2353.15</v>
      </c>
      <c r="I321" s="32" t="n">
        <v>94.66</v>
      </c>
      <c r="J321" s="32" t="n">
        <v>3.3</v>
      </c>
      <c r="K321" s="32" t="n">
        <v>2297975</v>
      </c>
      <c r="L321" s="31" t="inlineStr"/>
      <c r="M321" s="31" t="inlineStr"/>
      <c r="N321" s="32">
        <f>IF(M321="Underperforming",-5,IF(L321&gt;=95,15,IF(L321&gt;=90,10,IF(L321&gt;=80,5,0))))</f>
        <v/>
      </c>
      <c r="O321" s="32" t="n">
        <v>58.81</v>
      </c>
      <c r="P321" s="32" t="n">
        <v>9.039999999999999</v>
      </c>
      <c r="Q321" s="32" t="n">
        <v>78.33</v>
      </c>
      <c r="R321" s="31" t="inlineStr">
        <is>
          <t>Volume Spike / Accumulation</t>
        </is>
      </c>
      <c r="S321" s="31" t="inlineStr">
        <is>
          <t>Nifty Realty</t>
        </is>
      </c>
      <c r="T321" s="32" t="inlineStr"/>
      <c r="U321" s="32" t="inlineStr"/>
      <c r="V321" s="32" t="inlineStr"/>
      <c r="W321" s="32" t="inlineStr"/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1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Less than 12%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Less than 1.5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IF(B322=0,"",RANK(B322,$B$2:$B$370,0))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SAIL</t>
        </is>
      </c>
      <c r="D322" s="31" t="inlineStr">
        <is>
          <t>Steel Authority Of India Limited</t>
        </is>
      </c>
      <c r="E322" s="31" t="inlineStr">
        <is>
          <t>metals &amp; mining</t>
        </is>
      </c>
      <c r="F322" s="31" t="inlineStr">
        <is>
          <t>steel - large</t>
        </is>
      </c>
      <c r="G322" s="31" t="inlineStr">
        <is>
          <t>largecap</t>
        </is>
      </c>
      <c r="H322" s="32" t="n">
        <v>74204.89</v>
      </c>
      <c r="I322" s="32" t="n">
        <v>184.59</v>
      </c>
      <c r="J322" s="32" t="n">
        <v>2.75</v>
      </c>
      <c r="K322" s="32" t="n">
        <v>69755176</v>
      </c>
      <c r="L322" s="31" t="inlineStr"/>
      <c r="M322" s="31" t="inlineStr"/>
      <c r="N322" s="32">
        <f>IF(M322="Underperforming",-5,IF(L322&gt;=95,15,IF(L322&gt;=90,10,IF(L322&gt;=80,5,0))))</f>
        <v/>
      </c>
      <c r="O322" s="32" t="n">
        <v>59.4</v>
      </c>
      <c r="P322" s="32" t="n">
        <v>23.4</v>
      </c>
      <c r="Q322" s="32" t="n">
        <v>165.32</v>
      </c>
      <c r="R322" s="31" t="inlineStr">
        <is>
          <t>Earnings / Momentum Support</t>
        </is>
      </c>
      <c r="S322" s="31" t="inlineStr">
        <is>
          <t>Nifty Metal</t>
        </is>
      </c>
      <c r="T322" s="32" t="inlineStr"/>
      <c r="U322" s="32" t="inlineStr"/>
      <c r="V322" s="32" t="inlineStr"/>
      <c r="W322" s="32" t="inlineStr"/>
      <c r="X322" s="31" t="inlineStr">
        <is>
          <t>Cyclical in an Upturn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Cyclical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Volatile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20 to 40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IF(B323=0,"",RANK(B323,$B$2:$B$370,0))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BHAGCHEM</t>
        </is>
      </c>
      <c r="D323" s="31" t="inlineStr">
        <is>
          <t>Bhagiradha Chemicals &amp; Industries Ltd</t>
        </is>
      </c>
      <c r="E323" s="31" t="inlineStr">
        <is>
          <t>chemicals</t>
        </is>
      </c>
      <c r="F323" s="31" t="inlineStr">
        <is>
          <t>pesticides / agrochemicals - indian</t>
        </is>
      </c>
      <c r="G323" s="31" t="inlineStr">
        <is>
          <t>smallcap</t>
        </is>
      </c>
      <c r="H323" s="32" t="n">
        <v>3668.34</v>
      </c>
      <c r="I323" s="32" t="n">
        <v>289.2</v>
      </c>
      <c r="J323" s="32" t="n">
        <v>2.23</v>
      </c>
      <c r="K323" s="32" t="n">
        <v>68895</v>
      </c>
      <c r="L323" s="31" t="n">
        <v>23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59.35</v>
      </c>
      <c r="P323" s="32" t="n">
        <v>28.63</v>
      </c>
      <c r="Q323" s="32" t="n">
        <v>221.38</v>
      </c>
      <c r="R323" s="31" t="inlineStr">
        <is>
          <t>Near 52W High Breakout</t>
        </is>
      </c>
      <c r="S323" s="31" t="inlineStr">
        <is>
          <t>Nifty IT</t>
        </is>
      </c>
      <c r="T323" s="32" t="n">
        <v>-12.53</v>
      </c>
      <c r="U323" s="32" t="n">
        <v>9.869999999999999</v>
      </c>
      <c r="V323" s="32" t="n">
        <v>25.61</v>
      </c>
      <c r="W323" s="32" t="n">
        <v>6.15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Yes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20 to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IF(B324=0,"",RANK(B324,$B$2:$B$370,0))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SHANTIGEAR</t>
        </is>
      </c>
      <c r="D324" s="31" t="inlineStr">
        <is>
          <t>Shanthi Gears Limited</t>
        </is>
      </c>
      <c r="E324" s="31" t="inlineStr">
        <is>
          <t>industrials</t>
        </is>
      </c>
      <c r="F324" s="31" t="inlineStr">
        <is>
          <t>engineering</t>
        </is>
      </c>
      <c r="G324" s="31" t="inlineStr">
        <is>
          <t>smallcap</t>
        </is>
      </c>
      <c r="H324" s="32" t="n">
        <v>4211.7</v>
      </c>
      <c r="I324" s="32" t="n">
        <v>557.9</v>
      </c>
      <c r="J324" s="32" t="n">
        <v>1.62</v>
      </c>
      <c r="K324" s="32" t="n">
        <v>2297181</v>
      </c>
      <c r="L324" s="31" t="inlineStr"/>
      <c r="M324" s="31" t="inlineStr"/>
      <c r="N324" s="32">
        <f>IF(M324="Underperforming",-5,IF(L324&gt;=95,15,IF(L324&gt;=90,10,IF(L324&gt;=80,5,0))))</f>
        <v/>
      </c>
      <c r="O324" s="32" t="n">
        <v>72.95999999999999</v>
      </c>
      <c r="P324" s="32" t="n">
        <v>18.55</v>
      </c>
      <c r="Q324" s="32" t="n">
        <v>456.07</v>
      </c>
      <c r="R324" s="31" t="inlineStr">
        <is>
          <t>Volume Spike &amp; Near 52W High Breakout</t>
        </is>
      </c>
      <c r="S324" s="31" t="inlineStr">
        <is>
          <t>Nifty Infra</t>
        </is>
      </c>
      <c r="T324" s="32" t="inlineStr"/>
      <c r="U324" s="32" t="inlineStr"/>
      <c r="V324" s="32" t="inlineStr"/>
      <c r="W324" s="32" t="inlineStr"/>
      <c r="X324" s="31" t="inlineStr">
        <is>
          <t>Cyclical in an Upturn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Yes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IF(B325=0,"",RANK(B325,$B$2:$B$370,0))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OPTIEMUS</t>
        </is>
      </c>
      <c r="D325" s="31" t="inlineStr">
        <is>
          <t>Optiemus Infracom Ltd</t>
        </is>
      </c>
      <c r="E325" s="31" t="inlineStr">
        <is>
          <t>telecom</t>
        </is>
      </c>
      <c r="F325" s="31" t="inlineStr">
        <is>
          <t>trading</t>
        </is>
      </c>
      <c r="G325" s="31" t="inlineStr">
        <is>
          <t>midcap</t>
        </is>
      </c>
      <c r="H325" s="32" t="n">
        <v>5281.05</v>
      </c>
      <c r="I325" s="32" t="n">
        <v>591.9</v>
      </c>
      <c r="J325" s="32" t="n">
        <v>1.06</v>
      </c>
      <c r="K325" s="32" t="n">
        <v>772385</v>
      </c>
      <c r="L325" s="31" t="n">
        <v>52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61.69</v>
      </c>
      <c r="P325" s="32" t="n">
        <v>31.3</v>
      </c>
      <c r="Q325" s="32" t="n">
        <v>479.77</v>
      </c>
      <c r="R325" s="31" t="inlineStr">
        <is>
          <t>Volume Spike / Accumulation</t>
        </is>
      </c>
      <c r="S325" s="31" t="inlineStr">
        <is>
          <t>Nifty 50</t>
        </is>
      </c>
      <c r="T325" s="32" t="n">
        <v>-0.38</v>
      </c>
      <c r="U325" s="32" t="n">
        <v>7.14</v>
      </c>
      <c r="V325" s="32" t="n">
        <v>7.55</v>
      </c>
      <c r="W325" s="32" t="n">
        <v>13.35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Oligopoly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Yes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20 to 40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Negative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Between 1.5 to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IF(B326=0,"",RANK(B326,$B$2:$B$370,0))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JYOTICNC</t>
        </is>
      </c>
      <c r="D326" s="31" t="inlineStr">
        <is>
          <t>Jyoti CNC Automation Ltd</t>
        </is>
      </c>
      <c r="E326" s="31" t="inlineStr">
        <is>
          <t>industrials</t>
        </is>
      </c>
      <c r="F326" s="31" t="inlineStr">
        <is>
          <t>engineering</t>
        </is>
      </c>
      <c r="G326" s="31" t="inlineStr">
        <is>
          <t>largecap</t>
        </is>
      </c>
      <c r="H326" s="32" t="n">
        <v>22293.15</v>
      </c>
      <c r="I326" s="32" t="n">
        <v>989.95</v>
      </c>
      <c r="J326" s="32" t="n">
        <v>0.99</v>
      </c>
      <c r="K326" s="32" t="n">
        <v>1048718</v>
      </c>
      <c r="L326" s="31" t="n">
        <v>69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67.63</v>
      </c>
      <c r="P326" s="32" t="n">
        <v>18.13</v>
      </c>
      <c r="Q326" s="32" t="n">
        <v>764.78</v>
      </c>
      <c r="R326" s="31" t="inlineStr">
        <is>
          <t>Near 52W High Breakout</t>
        </is>
      </c>
      <c r="S326" s="31" t="inlineStr">
        <is>
          <t>Nifty 50</t>
        </is>
      </c>
      <c r="T326" s="32" t="n">
        <v>-0.38</v>
      </c>
      <c r="U326" s="32" t="n">
        <v>8.640000000000001</v>
      </c>
      <c r="V326" s="32" t="n">
        <v>9.050000000000001</v>
      </c>
      <c r="W326" s="32" t="n">
        <v>19.38</v>
      </c>
      <c r="X326" s="31" t="inlineStr">
        <is>
          <t>Cyclical in an Upturn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Yes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Less than 0.7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IF(B327=0,"",RANK(B327,$B$2:$B$370,0))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M&amp;M</t>
        </is>
      </c>
      <c r="D327" s="31" t="inlineStr">
        <is>
          <t>Mahindra &amp; Mahindra Limited</t>
        </is>
      </c>
      <c r="E327" s="31" t="inlineStr">
        <is>
          <t>auto</t>
        </is>
      </c>
      <c r="F327" s="31" t="inlineStr">
        <is>
          <t>automobiles - passenger cars</t>
        </is>
      </c>
      <c r="G327" s="31" t="inlineStr">
        <is>
          <t>largecap</t>
        </is>
      </c>
      <c r="H327" s="32" t="n">
        <v>424553.18</v>
      </c>
      <c r="I327" s="32" t="n">
        <v>3443</v>
      </c>
      <c r="J327" s="32" t="n">
        <v>0.85</v>
      </c>
      <c r="K327" s="32" t="n">
        <v>1028933</v>
      </c>
      <c r="L327" s="31" t="inlineStr"/>
      <c r="M327" s="31" t="inlineStr"/>
      <c r="N327" s="32">
        <f>IF(M327="Underperforming",-5,IF(L327&gt;=95,15,IF(L327&gt;=90,10,IF(L327&gt;=80,5,0))))</f>
        <v/>
      </c>
      <c r="O327" s="32" t="n">
        <v>59.07</v>
      </c>
      <c r="P327" s="32" t="n">
        <v>16.04</v>
      </c>
      <c r="Q327" s="32" t="n">
        <v>3022.14</v>
      </c>
      <c r="R327" s="31" t="inlineStr">
        <is>
          <t>Earnings / Momentum Support</t>
        </is>
      </c>
      <c r="S327" s="31" t="inlineStr">
        <is>
          <t>Nifty Auto</t>
        </is>
      </c>
      <c r="T327" s="32" t="inlineStr"/>
      <c r="U327" s="32" t="inlineStr"/>
      <c r="V327" s="32" t="inlineStr"/>
      <c r="W327" s="32" t="inlineStr"/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Less than 1.5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More than 1.2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IF(B328=0,"",RANK(B328,$B$2:$B$370,0))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DICIND</t>
        </is>
      </c>
      <c r="D328" s="31" t="inlineStr">
        <is>
          <t>Dic India Limited</t>
        </is>
      </c>
      <c r="E328" s="31" t="inlineStr">
        <is>
          <t>chemicals</t>
        </is>
      </c>
      <c r="F328" s="31" t="inlineStr">
        <is>
          <t>chemicals</t>
        </is>
      </c>
      <c r="G328" s="31" t="inlineStr">
        <is>
          <t>smallcap</t>
        </is>
      </c>
      <c r="H328" s="32" t="n">
        <v>543.4400000000001</v>
      </c>
      <c r="I328" s="32" t="n">
        <v>595</v>
      </c>
      <c r="J328" s="32" t="n">
        <v>0.5</v>
      </c>
      <c r="K328" s="32" t="n">
        <v>3987</v>
      </c>
      <c r="L328" s="31" t="n">
        <v>15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67.41</v>
      </c>
      <c r="P328" s="32" t="n">
        <v>15.28</v>
      </c>
      <c r="Q328" s="32" t="n">
        <v>460.9</v>
      </c>
      <c r="R328" s="31" t="inlineStr">
        <is>
          <t>Near 52W High Breakout</t>
        </is>
      </c>
      <c r="S328" s="31" t="inlineStr">
        <is>
          <t>Nifty 50</t>
        </is>
      </c>
      <c r="T328" s="32" t="n">
        <v>-0.38</v>
      </c>
      <c r="U328" s="32" t="n">
        <v>2.04</v>
      </c>
      <c r="V328" s="32" t="n">
        <v>2.43</v>
      </c>
      <c r="W328" s="32" t="n">
        <v>4.66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Yes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More than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Negative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IF(B329=0,"",RANK(B329,$B$2:$B$370,0))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ASTRAL</t>
        </is>
      </c>
      <c r="D329" s="31" t="inlineStr">
        <is>
          <t>Astral Ltd</t>
        </is>
      </c>
      <c r="E329" s="31" t="inlineStr">
        <is>
          <t>plastic products</t>
        </is>
      </c>
      <c r="F329" s="31" t="inlineStr">
        <is>
          <t>plastics products</t>
        </is>
      </c>
      <c r="G329" s="31" t="inlineStr">
        <is>
          <t>largecap</t>
        </is>
      </c>
      <c r="H329" s="32" t="n">
        <v>41178.7</v>
      </c>
      <c r="I329" s="32" t="n">
        <v>1540</v>
      </c>
      <c r="J329" s="32" t="n">
        <v>0.47</v>
      </c>
      <c r="K329" s="32" t="n">
        <v>571822</v>
      </c>
      <c r="L329" s="31" t="n">
        <v>9</v>
      </c>
      <c r="M329" s="31" t="inlineStr">
        <is>
          <t>Outperforming</t>
        </is>
      </c>
      <c r="N329" s="32">
        <f>IF(M329="Underperforming",-5,IF(L329&gt;=95,15,IF(L329&gt;=90,10,IF(L329&gt;=80,5,0))))</f>
        <v/>
      </c>
      <c r="O329" s="32" t="n">
        <v>53.5</v>
      </c>
      <c r="P329" s="32" t="n">
        <v>20.97</v>
      </c>
      <c r="Q329" s="32" t="n">
        <v>1300.04</v>
      </c>
      <c r="R329" s="31" t="inlineStr">
        <is>
          <t>Earnings / Momentum Support</t>
        </is>
      </c>
      <c r="S329" s="31" t="inlineStr">
        <is>
          <t>Nifty 50</t>
        </is>
      </c>
      <c r="T329" s="32" t="n">
        <v>-0.38</v>
      </c>
      <c r="U329" s="32" t="n">
        <v>13.54</v>
      </c>
      <c r="V329" s="32" t="n">
        <v>13.97</v>
      </c>
      <c r="W329" s="32" t="n">
        <v>2.38</v>
      </c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Headwind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20 to 40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1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Less than 1.5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IF(B330=0,"",RANK(B330,$B$2:$B$370,0))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BLACKBUCK</t>
        </is>
      </c>
      <c r="D330" s="33" t="inlineStr">
        <is>
          <t>BlackBuck Ltd</t>
        </is>
      </c>
      <c r="E330" s="31" t="inlineStr">
        <is>
          <t>transportation</t>
        </is>
      </c>
      <c r="F330" s="31" t="inlineStr">
        <is>
          <t>miscellaneous</t>
        </is>
      </c>
      <c r="G330" s="31" t="inlineStr">
        <is>
          <t>midcap</t>
        </is>
      </c>
      <c r="H330" s="32" t="n">
        <v>11008.46</v>
      </c>
      <c r="I330" s="32" t="n">
        <v>603</v>
      </c>
      <c r="J330" s="32" t="n">
        <v>-0.23</v>
      </c>
      <c r="K330" s="32" t="n">
        <v>446026</v>
      </c>
      <c r="L330" s="31" t="n">
        <v>11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53.84</v>
      </c>
      <c r="P330" s="32" t="n">
        <v>9.199999999999999</v>
      </c>
      <c r="Q330" s="32" t="n">
        <v>483.56</v>
      </c>
      <c r="R330" s="31" t="inlineStr">
        <is>
          <t>Earnings / Momentum Support</t>
        </is>
      </c>
      <c r="S330" s="31" t="inlineStr">
        <is>
          <t>Nifty 50</t>
        </is>
      </c>
      <c r="T330" s="32" t="n">
        <v>-0.38</v>
      </c>
      <c r="U330" s="32" t="n">
        <v>-5.58</v>
      </c>
      <c r="V330" s="32" t="n">
        <v>-5.22</v>
      </c>
      <c r="W330" s="32" t="n">
        <v>3.06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IF(B331=0,"",RANK(B331,$B$2:$B$370,0))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HINDALCO</t>
        </is>
      </c>
      <c r="D331" s="31" t="inlineStr">
        <is>
          <t>Hindalco Industries Limited</t>
        </is>
      </c>
      <c r="E331" s="31" t="inlineStr">
        <is>
          <t>metals &amp; mining</t>
        </is>
      </c>
      <c r="F331" s="31" t="inlineStr">
        <is>
          <t>aluminium and aluminium products</t>
        </is>
      </c>
      <c r="G331" s="31" t="inlineStr">
        <is>
          <t>largecap</t>
        </is>
      </c>
      <c r="H331" s="32" t="n">
        <v>237868.93</v>
      </c>
      <c r="I331" s="32" t="n">
        <v>1051.05</v>
      </c>
      <c r="J331" s="32" t="n">
        <v>-0.7</v>
      </c>
      <c r="K331" s="32" t="n">
        <v>3388306</v>
      </c>
      <c r="L331" s="31" t="inlineStr"/>
      <c r="M331" s="31" t="inlineStr"/>
      <c r="N331" s="32">
        <f>IF(M331="Underperforming",-5,IF(L331&gt;=95,15,IF(L331&gt;=90,10,IF(L331&gt;=80,5,0))))</f>
        <v/>
      </c>
      <c r="O331" s="32" t="n">
        <v>59.36</v>
      </c>
      <c r="P331" s="32" t="n">
        <v>30.85</v>
      </c>
      <c r="Q331" s="32" t="n">
        <v>949.58</v>
      </c>
      <c r="R331" s="31" t="inlineStr">
        <is>
          <t>Earnings / Momentum Support</t>
        </is>
      </c>
      <c r="S331" s="31" t="inlineStr">
        <is>
          <t>Nifty Metal</t>
        </is>
      </c>
      <c r="T331" s="32" t="inlineStr"/>
      <c r="U331" s="32" t="inlineStr"/>
      <c r="V331" s="32" t="inlineStr"/>
      <c r="W331" s="32" t="inlineStr"/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Cyclical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Volatile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20 to 40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More than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Less than 1.5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Between 0.7 to 1.2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IF(B332=0,"",RANK(B332,$B$2:$B$370,0))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DLF</t>
        </is>
      </c>
      <c r="D332" s="31" t="inlineStr">
        <is>
          <t>Dlf Limited</t>
        </is>
      </c>
      <c r="E332" s="31" t="inlineStr">
        <is>
          <t>realty</t>
        </is>
      </c>
      <c r="F332" s="31" t="inlineStr">
        <is>
          <t>construction</t>
        </is>
      </c>
      <c r="G332" s="31" t="inlineStr">
        <is>
          <t>largecap</t>
        </is>
      </c>
      <c r="H332" s="32" t="n">
        <v>170548.98</v>
      </c>
      <c r="I332" s="32" t="n">
        <v>682.95</v>
      </c>
      <c r="J332" s="32" t="n">
        <v>-0.88</v>
      </c>
      <c r="K332" s="32" t="n">
        <v>2232717</v>
      </c>
      <c r="L332" s="31" t="inlineStr"/>
      <c r="M332" s="31" t="inlineStr"/>
      <c r="N332" s="32">
        <f>IF(M332="Underperforming",-5,IF(L332&gt;=95,15,IF(L332&gt;=90,10,IF(L332&gt;=80,5,0))))</f>
        <v/>
      </c>
      <c r="O332" s="32" t="n">
        <v>59.64</v>
      </c>
      <c r="P332" s="32" t="n">
        <v>13.05</v>
      </c>
      <c r="Q332" s="32" t="n">
        <v>570.11</v>
      </c>
      <c r="R332" s="31" t="inlineStr">
        <is>
          <t>Earnings / Momentum Support</t>
        </is>
      </c>
      <c r="S332" s="31" t="inlineStr">
        <is>
          <t>Nifty Realty</t>
        </is>
      </c>
      <c r="T332" s="32" t="inlineStr"/>
      <c r="U332" s="32" t="inlineStr"/>
      <c r="V332" s="32" t="inlineStr"/>
      <c r="W332" s="32" t="inlineStr"/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IF(B333=0,"",RANK(B333,$B$2:$B$370,0))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HEROMOTOCO</t>
        </is>
      </c>
      <c r="D333" s="31" t="inlineStr">
        <is>
          <t>Hero Motocorp Limited</t>
        </is>
      </c>
      <c r="E333" s="31" t="inlineStr">
        <is>
          <t>auto</t>
        </is>
      </c>
      <c r="F333" s="31" t="inlineStr">
        <is>
          <t>automobiles - motorcycles / mopeds</t>
        </is>
      </c>
      <c r="G333" s="31" t="inlineStr">
        <is>
          <t>largecap</t>
        </is>
      </c>
      <c r="H333" s="32" t="n">
        <v>113752.84</v>
      </c>
      <c r="I333" s="32" t="n">
        <v>5624.5</v>
      </c>
      <c r="J333" s="32" t="n">
        <v>-1.06</v>
      </c>
      <c r="K333" s="32" t="n">
        <v>411263</v>
      </c>
      <c r="L333" s="31" t="inlineStr"/>
      <c r="M333" s="31" t="inlineStr"/>
      <c r="N333" s="32">
        <f>IF(M333="Underperforming",-5,IF(L333&gt;=95,15,IF(L333&gt;=90,10,IF(L333&gt;=80,5,0))))</f>
        <v/>
      </c>
      <c r="O333" s="32" t="n">
        <v>60.39</v>
      </c>
      <c r="P333" s="32" t="n">
        <v>16.05</v>
      </c>
      <c r="Q333" s="32" t="n">
        <v>4971.53</v>
      </c>
      <c r="R333" s="31" t="inlineStr">
        <is>
          <t>Earnings / Momentum Support</t>
        </is>
      </c>
      <c r="S333" s="31" t="inlineStr">
        <is>
          <t>Nifty Auto</t>
        </is>
      </c>
      <c r="T333" s="32" t="inlineStr"/>
      <c r="U333" s="32" t="inlineStr"/>
      <c r="V333" s="32" t="inlineStr"/>
      <c r="W333" s="32" t="inlineStr"/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IF(B334=0,"",RANK(B334,$B$2:$B$370,0))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RKFORGE</t>
        </is>
      </c>
      <c r="D334" s="31" t="inlineStr">
        <is>
          <t>Ramkrishna Forgings Limited</t>
        </is>
      </c>
      <c r="E334" s="31" t="inlineStr">
        <is>
          <t>industrials</t>
        </is>
      </c>
      <c r="F334" s="31" t="inlineStr">
        <is>
          <t>castings &amp; forgings</t>
        </is>
      </c>
      <c r="G334" s="31" t="inlineStr">
        <is>
          <t>midcap</t>
        </is>
      </c>
      <c r="H334" s="32" t="n">
        <v>13271.09</v>
      </c>
      <c r="I334" s="32" t="n">
        <v>720.05</v>
      </c>
      <c r="J334" s="32" t="n">
        <v>-1.16</v>
      </c>
      <c r="K334" s="32" t="n">
        <v>866749</v>
      </c>
      <c r="L334" s="31" t="n">
        <v>43</v>
      </c>
      <c r="M334" s="31" t="inlineStr">
        <is>
          <t>Outperforming</t>
        </is>
      </c>
      <c r="N334" s="32">
        <f>IF(M334="Underperforming",-5,IF(L334&gt;=95,15,IF(L334&gt;=90,10,IF(L334&gt;=80,5,0))))</f>
        <v/>
      </c>
      <c r="O334" s="32" t="n">
        <v>69.12</v>
      </c>
      <c r="P334" s="32" t="n">
        <v>17.87</v>
      </c>
      <c r="Q334" s="32" t="n">
        <v>605.03</v>
      </c>
      <c r="R334" s="31" t="inlineStr">
        <is>
          <t>Near 52W High Breakout</t>
        </is>
      </c>
      <c r="S334" s="31" t="inlineStr">
        <is>
          <t>Nifty 50</t>
        </is>
      </c>
      <c r="T334" s="32" t="n">
        <v>-0.38</v>
      </c>
      <c r="U334" s="32" t="n">
        <v>27.48</v>
      </c>
      <c r="V334" s="32" t="n">
        <v>27.97</v>
      </c>
      <c r="W334" s="32" t="n">
        <v>10.97</v>
      </c>
      <c r="X334" s="31" t="inlineStr">
        <is>
          <t>Cyclical in an Upturn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Yes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Yes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Between 0.7 to 1.2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IF(B335=0,"",RANK(B335,$B$2:$B$370,0))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PRICOLLTD</t>
        </is>
      </c>
      <c r="D335" s="31" t="inlineStr">
        <is>
          <t>Pricol Ltd.</t>
        </is>
      </c>
      <c r="E335" s="31" t="inlineStr">
        <is>
          <t>auto</t>
        </is>
      </c>
      <c r="F335" s="31" t="inlineStr">
        <is>
          <t>auto ancillaries</t>
        </is>
      </c>
      <c r="G335" s="31" t="inlineStr">
        <is>
          <t>midcap</t>
        </is>
      </c>
      <c r="H335" s="32" t="n">
        <v>9639.610000000001</v>
      </c>
      <c r="I335" s="32" t="n">
        <v>790.5</v>
      </c>
      <c r="J335" s="32" t="n">
        <v>-0.05</v>
      </c>
      <c r="K335" s="32" t="n">
        <v>166572</v>
      </c>
      <c r="L335" s="31" t="inlineStr"/>
      <c r="M335" s="31" t="inlineStr"/>
      <c r="N335" s="32">
        <f>IF(M335="Underperforming",-5,IF(L335&gt;=95,15,IF(L335&gt;=90,10,IF(L335&gt;=80,5,0))))</f>
        <v/>
      </c>
      <c r="O335" s="32" t="n">
        <v>74.11</v>
      </c>
      <c r="P335" s="32" t="n">
        <v>31.44</v>
      </c>
      <c r="Q335" s="32" t="n">
        <v>648.72</v>
      </c>
      <c r="R335" s="31" t="inlineStr">
        <is>
          <t>Near 52W High Breakout</t>
        </is>
      </c>
      <c r="S335" s="31" t="inlineStr">
        <is>
          <t>Nifty Auto</t>
        </is>
      </c>
      <c r="T335" s="32" t="inlineStr"/>
      <c r="U335" s="32" t="inlineStr"/>
      <c r="V335" s="32" t="inlineStr"/>
      <c r="W335" s="32" t="inlineStr"/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Oligopoly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Shallow Cyclical (2 to 3 Years Growth)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Yes</t>
        </is>
      </c>
      <c r="AQ335" s="31">
        <f>IF(AP335="Yes",10,0)</f>
        <v/>
      </c>
      <c r="AR335" s="31" t="inlineStr">
        <is>
          <t>Fully One Time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Allocated capital in Non-core Areas</t>
        </is>
      </c>
      <c r="AU335" s="31">
        <f>IF(AT335="Good",10,0)</f>
        <v/>
      </c>
      <c r="AV335" s="31" t="inlineStr">
        <is>
          <t>Yes only for next 1 to 2 years</t>
        </is>
      </c>
      <c r="AW335" s="31">
        <f>IF(AV335="Yes for more than 2 years",10,IF(AV335="Yes only for next 1 to 2 years",5,0))</f>
        <v/>
      </c>
      <c r="AX335" s="31" t="inlineStr">
        <is>
          <t>20 to 40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Blue sky scenario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Between 12 to 20%</t>
        </is>
      </c>
      <c r="BO335" s="31">
        <f>IF(BN335="More than 20%",10,IF(BN335="Between 12 to 20%",5,IF(BN335="Less than 12%",0,0)))</f>
        <v/>
      </c>
      <c r="BP335" s="31" t="inlineStr">
        <is>
          <t>Yes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Between 1.5 to 2</t>
        </is>
      </c>
      <c r="BU335" s="31">
        <f>IF(BT335="Above 2",0,IF(BT335="Between 1.5 to 2",5,IF(BT335="Less than 1.5",10,0)))</f>
        <v/>
      </c>
      <c r="BV335" s="31" t="inlineStr">
        <is>
          <t>Between 50% to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IF(B336=0,"",RANK(B336,$B$2:$B$370,0))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1" t="inlineStr">
        <is>
          <t>PERSISTENT</t>
        </is>
      </c>
      <c r="D336" s="31" t="inlineStr">
        <is>
          <t>Persistent Systems Limited</t>
        </is>
      </c>
      <c r="E336" s="31" t="inlineStr">
        <is>
          <t>i.t</t>
        </is>
      </c>
      <c r="F336" s="31" t="inlineStr">
        <is>
          <t>computers - software - large</t>
        </is>
      </c>
      <c r="G336" s="31" t="inlineStr">
        <is>
          <t>largecap</t>
        </is>
      </c>
      <c r="H336" s="32" t="n">
        <v>89822.85000000001</v>
      </c>
      <c r="I336" s="32" t="n">
        <v>5655</v>
      </c>
      <c r="J336" s="32" t="n">
        <v>-0.68</v>
      </c>
      <c r="K336" s="32" t="n">
        <v>355250</v>
      </c>
      <c r="L336" s="31" t="n">
        <v>14</v>
      </c>
      <c r="M336" s="31" t="inlineStr">
        <is>
          <t>Outperforming</t>
        </is>
      </c>
      <c r="N336" s="32">
        <f>IF(M336="Underperforming",-5,IF(L336&gt;=95,15,IF(L336&gt;=90,10,IF(L336&gt;=80,5,0))))</f>
        <v/>
      </c>
      <c r="O336" s="32" t="n">
        <v>58.99</v>
      </c>
      <c r="P336" s="32" t="n">
        <v>10.36</v>
      </c>
      <c r="Q336" s="32" t="n">
        <v>4551</v>
      </c>
      <c r="R336" s="31" t="inlineStr">
        <is>
          <t>Earnings / Momentum Support</t>
        </is>
      </c>
      <c r="S336" s="31" t="inlineStr">
        <is>
          <t>Nifty IT</t>
        </is>
      </c>
      <c r="T336" s="32" t="n">
        <v>-12.53</v>
      </c>
      <c r="U336" s="32" t="n">
        <v>7.34</v>
      </c>
      <c r="V336" s="32" t="n">
        <v>22.72</v>
      </c>
      <c r="W336" s="32" t="n">
        <v>4.55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Annuity, Lower One Time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2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Between 12 to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Yes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Between 50% to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IF(B337=0,"",RANK(B337,$B$2:$B$370,0))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BIL</t>
        </is>
      </c>
      <c r="D337" s="31" t="inlineStr">
        <is>
          <t>Bhartiya International Limited</t>
        </is>
      </c>
      <c r="E337" s="31" t="inlineStr">
        <is>
          <t>consumer discretionary</t>
        </is>
      </c>
      <c r="F337" s="31" t="inlineStr">
        <is>
          <t>leather / leather products</t>
        </is>
      </c>
      <c r="G337" s="31" t="inlineStr">
        <is>
          <t>smallcap</t>
        </is>
      </c>
      <c r="H337" s="32" t="n">
        <v>1120.37</v>
      </c>
      <c r="I337" s="32" t="n">
        <v>850</v>
      </c>
      <c r="J337" s="32" t="n">
        <v>1.74</v>
      </c>
      <c r="K337" s="32" t="n">
        <v>36010</v>
      </c>
      <c r="L337" s="31" t="n">
        <v>8</v>
      </c>
      <c r="M337" s="31" t="inlineStr">
        <is>
          <t>Outperforming</t>
        </is>
      </c>
      <c r="N337" s="32">
        <f>IF(M337="Underperforming",-5,IF(L337&gt;=95,15,IF(L337&gt;=90,10,IF(L337&gt;=80,5,0))))</f>
        <v/>
      </c>
      <c r="O337" s="32" t="n">
        <v>59.65</v>
      </c>
      <c r="P337" s="32" t="n">
        <v>16.17</v>
      </c>
      <c r="Q337" s="32" t="n">
        <v>616.8099999999999</v>
      </c>
      <c r="R337" s="31" t="inlineStr">
        <is>
          <t>Earnings / Momentum Support</t>
        </is>
      </c>
      <c r="S337" s="31" t="inlineStr">
        <is>
          <t>Nifty 50</t>
        </is>
      </c>
      <c r="T337" s="32" t="n">
        <v>-0.38</v>
      </c>
      <c r="U337" s="32" t="n">
        <v>1.05</v>
      </c>
      <c r="V337" s="32" t="n">
        <v>1.43</v>
      </c>
      <c r="W337" s="32" t="n">
        <v>2.34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More than 20%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Between 0.7 to 1.2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IF(B338=0,"",RANK(B338,$B$2:$B$370,0))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LT</t>
        </is>
      </c>
      <c r="D338" s="31" t="inlineStr">
        <is>
          <t>Larsen &amp; Toubro Limited</t>
        </is>
      </c>
      <c r="E338" s="31" t="inlineStr">
        <is>
          <t>realty</t>
        </is>
      </c>
      <c r="F338" s="31" t="inlineStr">
        <is>
          <t>engineering - turnkey services</t>
        </is>
      </c>
      <c r="G338" s="31" t="inlineStr">
        <is>
          <t>largecap</t>
        </is>
      </c>
      <c r="H338" s="32" t="n">
        <v>562673.23</v>
      </c>
      <c r="I338" s="32" t="n">
        <v>4119</v>
      </c>
      <c r="J338" s="32" t="n">
        <v>0.71</v>
      </c>
      <c r="K338" s="32" t="n">
        <v>1314529</v>
      </c>
      <c r="L338" s="31" t="inlineStr"/>
      <c r="M338" s="31" t="inlineStr"/>
      <c r="N338" s="32">
        <f>IF(M338="Underperforming",-5,IF(L338&gt;=95,15,IF(L338&gt;=90,10,IF(L338&gt;=80,5,0))))</f>
        <v/>
      </c>
      <c r="O338" s="32" t="n">
        <v>56.26</v>
      </c>
      <c r="P338" s="32" t="n">
        <v>7.24</v>
      </c>
      <c r="Q338" s="32" t="n">
        <v>3695.85</v>
      </c>
      <c r="R338" s="31" t="inlineStr">
        <is>
          <t>Earnings / Momentum Support</t>
        </is>
      </c>
      <c r="S338" s="31" t="inlineStr">
        <is>
          <t>Nifty Realty</t>
        </is>
      </c>
      <c r="T338" s="32" t="inlineStr"/>
      <c r="U338" s="32" t="inlineStr"/>
      <c r="V338" s="32" t="inlineStr"/>
      <c r="W338" s="32" t="inlineStr"/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2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Between 12 to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Between 0.7 to 1.2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IF(B339=0,"",RANK(B339,$B$2:$B$370,0))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RATNAMANI</t>
        </is>
      </c>
      <c r="D339" s="31" t="inlineStr">
        <is>
          <t>Ratnamani Metals &amp; Tubes Limited</t>
        </is>
      </c>
      <c r="E339" s="31" t="inlineStr">
        <is>
          <t>industrials</t>
        </is>
      </c>
      <c r="F339" s="31" t="inlineStr">
        <is>
          <t>steel - medium / small</t>
        </is>
      </c>
      <c r="G339" s="31" t="inlineStr">
        <is>
          <t>midcap</t>
        </is>
      </c>
      <c r="H339" s="32" t="n">
        <v>18903.81</v>
      </c>
      <c r="I339" s="32" t="n">
        <v>2711.5</v>
      </c>
      <c r="J339" s="32" t="n">
        <v>0.54</v>
      </c>
      <c r="K339" s="32" t="n">
        <v>1151439</v>
      </c>
      <c r="L339" s="31" t="inlineStr"/>
      <c r="M339" s="31" t="inlineStr"/>
      <c r="N339" s="32">
        <f>IF(M339="Underperforming",-5,IF(L339&gt;=95,15,IF(L339&gt;=90,10,IF(L339&gt;=80,5,0))))</f>
        <v/>
      </c>
      <c r="O339" s="32" t="n">
        <v>57.29</v>
      </c>
      <c r="P339" s="32" t="n">
        <v>25.69</v>
      </c>
      <c r="Q339" s="32" t="n">
        <v>2079.95</v>
      </c>
      <c r="R339" s="31" t="inlineStr">
        <is>
          <t>Volume Spike / Accumulation</t>
        </is>
      </c>
      <c r="S339" s="31" t="inlineStr">
        <is>
          <t>Nifty Metal</t>
        </is>
      </c>
      <c r="T339" s="32" t="inlineStr"/>
      <c r="U339" s="32" t="inlineStr"/>
      <c r="V339" s="32" t="inlineStr"/>
      <c r="W339" s="32" t="inlineStr"/>
      <c r="X339" s="31" t="inlineStr">
        <is>
          <t>Cyclical in an Upturn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Yes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20 to 40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1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Less than 12%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IF(B340=0,"",RANK(B340,$B$2:$B$370,0))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JTLIND</t>
        </is>
      </c>
      <c r="D340" s="31" t="inlineStr">
        <is>
          <t>JTL Industries Ltd</t>
        </is>
      </c>
      <c r="E340" s="31" t="inlineStr">
        <is>
          <t>metals &amp; mining</t>
        </is>
      </c>
      <c r="F340" s="31" t="inlineStr">
        <is>
          <t>steel - medium / small</t>
        </is>
      </c>
      <c r="G340" s="31" t="inlineStr">
        <is>
          <t>smallcap</t>
        </is>
      </c>
      <c r="H340" s="32" t="n">
        <v>3125.79</v>
      </c>
      <c r="I340" s="32" t="n">
        <v>79</v>
      </c>
      <c r="J340" s="32" t="n">
        <v>-0.65</v>
      </c>
      <c r="K340" s="32" t="n">
        <v>1003406</v>
      </c>
      <c r="L340" s="31" t="inlineStr"/>
      <c r="M340" s="31" t="inlineStr"/>
      <c r="N340" s="32">
        <f>IF(M340="Underperforming",-5,IF(L340&gt;=95,15,IF(L340&gt;=90,10,IF(L340&gt;=80,5,0))))</f>
        <v/>
      </c>
      <c r="O340" s="32" t="n">
        <v>56.19</v>
      </c>
      <c r="P340" s="32" t="n">
        <v>9.9</v>
      </c>
      <c r="Q340" s="32" t="n">
        <v>59.36</v>
      </c>
      <c r="R340" s="31" t="inlineStr">
        <is>
          <t>Near 52W High Breakout</t>
        </is>
      </c>
      <c r="S340" s="31" t="inlineStr">
        <is>
          <t>Nifty Metal</t>
        </is>
      </c>
      <c r="T340" s="32" t="inlineStr"/>
      <c r="U340" s="32" t="inlineStr"/>
      <c r="V340" s="32" t="inlineStr"/>
      <c r="W340" s="32" t="inlineStr"/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Cyclical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Volatile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Yes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More than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IF(B341=0,"",RANK(B341,$B$2:$B$370,0))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TNPETRO</t>
        </is>
      </c>
      <c r="D341" s="31" t="inlineStr">
        <is>
          <t>Tamilnadu Petroproducts Limited</t>
        </is>
      </c>
      <c r="E341" s="31" t="inlineStr">
        <is>
          <t>energy</t>
        </is>
      </c>
      <c r="F341" s="31" t="inlineStr">
        <is>
          <t>petrochemicals</t>
        </is>
      </c>
      <c r="G341" s="31" t="inlineStr">
        <is>
          <t>smallcap</t>
        </is>
      </c>
      <c r="H341" s="32" t="n">
        <v>1046.73</v>
      </c>
      <c r="I341" s="32" t="n">
        <v>114.21</v>
      </c>
      <c r="J341" s="32" t="n">
        <v>-1.83</v>
      </c>
      <c r="K341" s="32" t="n">
        <v>388366</v>
      </c>
      <c r="L341" s="31" t="inlineStr"/>
      <c r="M341" s="31" t="inlineStr"/>
      <c r="N341" s="32">
        <f>IF(M341="Underperforming",-5,IF(L341&gt;=95,15,IF(L341&gt;=90,10,IF(L341&gt;=80,5,0))))</f>
        <v/>
      </c>
      <c r="O341" s="32" t="n">
        <v>71.39</v>
      </c>
      <c r="P341" s="32" t="n">
        <v>27.61</v>
      </c>
      <c r="Q341" s="32" t="n">
        <v>90.91</v>
      </c>
      <c r="R341" s="31" t="inlineStr">
        <is>
          <t>Earnings / Momentum Support</t>
        </is>
      </c>
      <c r="S341" s="31" t="inlineStr">
        <is>
          <t>Nifty Energy</t>
        </is>
      </c>
      <c r="T341" s="32" t="inlineStr"/>
      <c r="U341" s="32" t="inlineStr"/>
      <c r="V341" s="32" t="inlineStr"/>
      <c r="W341" s="32" t="inlineStr"/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Oligopoly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Yes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Cyclical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Volatile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More than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IF(B342=0,"",RANK(B342,$B$2:$B$370,0))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HATSUN</t>
        </is>
      </c>
      <c r="D342" s="31" t="inlineStr">
        <is>
          <t>Hatsun Agro Product Limited</t>
        </is>
      </c>
      <c r="E342" s="31" t="inlineStr">
        <is>
          <t>fmcg</t>
        </is>
      </c>
      <c r="F342" s="31" t="inlineStr">
        <is>
          <t>food - processing - indian</t>
        </is>
      </c>
      <c r="G342" s="31" t="inlineStr">
        <is>
          <t>largecap</t>
        </is>
      </c>
      <c r="H342" s="32" t="n">
        <v>23266.06</v>
      </c>
      <c r="I342" s="32" t="n">
        <v>1030.5</v>
      </c>
      <c r="J342" s="32" t="n">
        <v>-1.34</v>
      </c>
      <c r="K342" s="32" t="n">
        <v>46980</v>
      </c>
      <c r="L342" s="31" t="inlineStr"/>
      <c r="M342" s="31" t="inlineStr"/>
      <c r="N342" s="32">
        <f>IF(M342="Underperforming",-5,IF(L342&gt;=95,15,IF(L342&gt;=90,10,IF(L342&gt;=80,5,0))))</f>
        <v/>
      </c>
      <c r="O342" s="32" t="n">
        <v>65.20999999999999</v>
      </c>
      <c r="P342" s="32" t="n">
        <v>13.68</v>
      </c>
      <c r="Q342" s="32" t="n">
        <v>856.1799999999999</v>
      </c>
      <c r="R342" s="31" t="inlineStr">
        <is>
          <t>Earnings / Momentum Support</t>
        </is>
      </c>
      <c r="S342" s="31" t="inlineStr">
        <is>
          <t>Nifty FMCG</t>
        </is>
      </c>
      <c r="T342" s="32" t="inlineStr"/>
      <c r="U342" s="32" t="inlineStr"/>
      <c r="V342" s="32" t="inlineStr"/>
      <c r="W342" s="32" t="inlineStr"/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Tailwind</t>
        </is>
      </c>
      <c r="AE342" s="31">
        <f>IF(AD342="Tailwind",10,0)</f>
        <v/>
      </c>
      <c r="AF342" s="31" t="inlineStr">
        <is>
          <t>Structural (10 Years Consistency)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B2C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Annuity, Lower One Time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2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Less than 12%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Yes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Between 0.7 to 1.2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IF(B343=0,"",RANK(B343,$B$2:$B$370,0))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LOTUSDEV</t>
        </is>
      </c>
      <c r="D343" s="31" t="inlineStr">
        <is>
          <t>Sri Lotus Developers &amp; Realty Ltd</t>
        </is>
      </c>
      <c r="E343" s="31" t="inlineStr">
        <is>
          <t>realty</t>
        </is>
      </c>
      <c r="F343" s="31" t="inlineStr">
        <is>
          <t>construction</t>
        </is>
      </c>
      <c r="G343" s="31" t="inlineStr">
        <is>
          <t>midcap</t>
        </is>
      </c>
      <c r="H343" s="32" t="n">
        <v>8457.360000000001</v>
      </c>
      <c r="I343" s="32" t="n">
        <v>181.56</v>
      </c>
      <c r="J343" s="32" t="n">
        <v>4.92</v>
      </c>
      <c r="K343" s="32" t="n">
        <v>3120782</v>
      </c>
      <c r="L343" s="31" t="inlineStr"/>
      <c r="M343" s="31" t="inlineStr"/>
      <c r="N343" s="32">
        <f>IF(M343="Underperforming",-5,IF(L343&gt;=95,15,IF(L343&gt;=90,10,IF(L343&gt;=80,5,0))))</f>
        <v/>
      </c>
      <c r="O343" s="32" t="n">
        <v>57.56</v>
      </c>
      <c r="P343" s="32" t="n">
        <v>17.15</v>
      </c>
      <c r="Q343" s="32" t="n">
        <v>152.32</v>
      </c>
      <c r="R343" s="31" t="inlineStr">
        <is>
          <t>Earnings / Momentum Support</t>
        </is>
      </c>
      <c r="S343" s="31" t="inlineStr">
        <is>
          <t>Nifty Realty</t>
        </is>
      </c>
      <c r="T343" s="32" t="inlineStr"/>
      <c r="U343" s="32" t="inlineStr"/>
      <c r="V343" s="32" t="inlineStr"/>
      <c r="W343" s="32" t="inlineStr"/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Negative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Less than 1.5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IF(B344=0,"",RANK(B344,$B$2:$B$370,0))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GRAVITA</t>
        </is>
      </c>
      <c r="D344" s="31" t="inlineStr">
        <is>
          <t>Gravita India Limited</t>
        </is>
      </c>
      <c r="E344" s="31" t="inlineStr">
        <is>
          <t>metals &amp; mining</t>
        </is>
      </c>
      <c r="F344" s="31" t="inlineStr">
        <is>
          <t>mining / minerals / metals</t>
        </is>
      </c>
      <c r="G344" s="31" t="inlineStr">
        <is>
          <t>midcap</t>
        </is>
      </c>
      <c r="H344" s="32" t="n">
        <v>13343.09</v>
      </c>
      <c r="I344" s="32" t="n">
        <v>1800</v>
      </c>
      <c r="J344" s="32" t="n">
        <v>-0.43</v>
      </c>
      <c r="K344" s="32" t="n">
        <v>126611</v>
      </c>
      <c r="L344" s="31" t="inlineStr"/>
      <c r="M344" s="31" t="inlineStr"/>
      <c r="N344" s="32">
        <f>IF(M344="Underperforming",-5,IF(L344&gt;=95,15,IF(L344&gt;=90,10,IF(L344&gt;=80,5,0))))</f>
        <v/>
      </c>
      <c r="O344" s="32" t="n">
        <v>55.61</v>
      </c>
      <c r="P344" s="32" t="n">
        <v>14.97</v>
      </c>
      <c r="Q344" s="32" t="n">
        <v>1476.07</v>
      </c>
      <c r="R344" s="31" t="inlineStr">
        <is>
          <t>Near 52W High Breakout</t>
        </is>
      </c>
      <c r="S344" s="31" t="inlineStr">
        <is>
          <t>Nifty Metal</t>
        </is>
      </c>
      <c r="T344" s="32" t="inlineStr"/>
      <c r="U344" s="32" t="inlineStr"/>
      <c r="V344" s="32" t="inlineStr"/>
      <c r="W344" s="32" t="inlineStr"/>
      <c r="X344" s="31" t="inlineStr">
        <is>
          <t>Cyclical in an Upturn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Cyclical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Volatile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Yes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2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Between 12 to 20%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IF(B345=0,"",RANK(B345,$B$2:$B$370,0))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1" t="inlineStr">
        <is>
          <t>PETRONET</t>
        </is>
      </c>
      <c r="D345" s="31" t="inlineStr">
        <is>
          <t>Petronet Lng Limited</t>
        </is>
      </c>
      <c r="E345" s="31" t="inlineStr">
        <is>
          <t>energy</t>
        </is>
      </c>
      <c r="F345" s="31" t="inlineStr">
        <is>
          <t>miscellaneous</t>
        </is>
      </c>
      <c r="G345" s="31" t="inlineStr">
        <is>
          <t>largecap</t>
        </is>
      </c>
      <c r="H345" s="32" t="n">
        <v>44392.5</v>
      </c>
      <c r="I345" s="32" t="n">
        <v>292.5</v>
      </c>
      <c r="J345" s="32" t="n">
        <v>-1.17</v>
      </c>
      <c r="K345" s="32" t="n">
        <v>1715565</v>
      </c>
      <c r="L345" s="31" t="inlineStr"/>
      <c r="M345" s="31" t="inlineStr"/>
      <c r="N345" s="32">
        <f>IF(M345="Underperforming",-5,IF(L345&gt;=95,15,IF(L345&gt;=90,10,IF(L345&gt;=80,5,0))))</f>
        <v/>
      </c>
      <c r="O345" s="32" t="n">
        <v>58.59</v>
      </c>
      <c r="P345" s="32" t="n">
        <v>6.62</v>
      </c>
      <c r="Q345" s="32" t="n">
        <v>250.85</v>
      </c>
      <c r="R345" s="31" t="inlineStr">
        <is>
          <t>Earnings / Momentum Support</t>
        </is>
      </c>
      <c r="S345" s="31" t="inlineStr">
        <is>
          <t>Nifty Energy</t>
        </is>
      </c>
      <c r="T345" s="32" t="inlineStr"/>
      <c r="U345" s="32" t="inlineStr"/>
      <c r="V345" s="32" t="inlineStr"/>
      <c r="W345" s="32" t="inlineStr"/>
      <c r="X345" s="31" t="inlineStr">
        <is>
          <t>Cyclical in an Upturn</t>
        </is>
      </c>
      <c r="Y345" s="31">
        <f>IF(X345="Growing Industry",10,IF(X345="Cyclical in an Upturn",5,0))</f>
        <v/>
      </c>
      <c r="Z345" s="31" t="inlineStr">
        <is>
          <t>Oligopoly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Yes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Cyclical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2</t>
        </is>
      </c>
      <c r="BC345" s="31">
        <f>IF(BB345="Stage 2",20,IF(BB345="Stage 1",0,IF(BB345="Stage 3",5,IF(BB345="Stage 4",-5,0))))</f>
        <v/>
      </c>
      <c r="BD345" s="31" t="inlineStr">
        <is>
          <t>Positive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Less than 1.5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IF(B346=0,"",RANK(B346,$B$2:$B$370,0))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INDIANHUME</t>
        </is>
      </c>
      <c r="D346" s="31" t="inlineStr">
        <is>
          <t>Indian Hume Pipe Company Limited</t>
        </is>
      </c>
      <c r="E346" s="31" t="inlineStr">
        <is>
          <t>realty</t>
        </is>
      </c>
      <c r="F346" s="31" t="inlineStr">
        <is>
          <t>construction</t>
        </is>
      </c>
      <c r="G346" s="31" t="inlineStr">
        <is>
          <t>smallcap</t>
        </is>
      </c>
      <c r="H346" s="32" t="n">
        <v>2087.78</v>
      </c>
      <c r="I346" s="32" t="n">
        <v>389.6</v>
      </c>
      <c r="J346" s="32" t="n">
        <v>-1.69</v>
      </c>
      <c r="K346" s="32" t="n">
        <v>68291</v>
      </c>
      <c r="L346" s="31" t="inlineStr"/>
      <c r="M346" s="31" t="inlineStr"/>
      <c r="N346" s="32">
        <f>IF(M346="Underperforming",-5,IF(L346&gt;=95,15,IF(L346&gt;=90,10,IF(L346&gt;=80,5,0))))</f>
        <v/>
      </c>
      <c r="O346" s="32" t="n">
        <v>59.75</v>
      </c>
      <c r="P346" s="32" t="n">
        <v>25.37</v>
      </c>
      <c r="Q346" s="32" t="n">
        <v>297.74</v>
      </c>
      <c r="R346" s="31" t="inlineStr">
        <is>
          <t>Earnings / Momentum Support</t>
        </is>
      </c>
      <c r="S346" s="31" t="inlineStr">
        <is>
          <t>Nifty Realty</t>
        </is>
      </c>
      <c r="T346" s="32" t="inlineStr"/>
      <c r="U346" s="32" t="inlineStr"/>
      <c r="V346" s="32" t="inlineStr"/>
      <c r="W346" s="32" t="inlineStr"/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20 to 40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Negative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Less than 12%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Between 1.5 to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IF(B347=0,"",RANK(B347,$B$2:$B$370,0))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TVSSCS</t>
        </is>
      </c>
      <c r="D347" s="31" t="inlineStr">
        <is>
          <t>TVS Supply Chain Solutions Ltd</t>
        </is>
      </c>
      <c r="E347" s="31" t="inlineStr">
        <is>
          <t>transportation</t>
        </is>
      </c>
      <c r="F347" s="31" t="inlineStr">
        <is>
          <t>miscellaneous</t>
        </is>
      </c>
      <c r="G347" s="31" t="inlineStr">
        <is>
          <t>midcap</t>
        </is>
      </c>
      <c r="H347" s="32" t="n">
        <v>5867.25</v>
      </c>
      <c r="I347" s="32" t="n">
        <v>135.14</v>
      </c>
      <c r="J347" s="32" t="n">
        <v>1.62</v>
      </c>
      <c r="K347" s="32" t="n">
        <v>12092906</v>
      </c>
      <c r="L347" s="31" t="n">
        <v>19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56.02</v>
      </c>
      <c r="P347" s="32" t="n">
        <v>15.21</v>
      </c>
      <c r="Q347" s="32" t="n">
        <v>108.46</v>
      </c>
      <c r="R347" s="31" t="inlineStr">
        <is>
          <t>Volume Spike &amp; Near 52W High Breakout</t>
        </is>
      </c>
      <c r="S347" s="31" t="inlineStr">
        <is>
          <t>Nifty 50</t>
        </is>
      </c>
      <c r="T347" s="32" t="n">
        <v>-0.38</v>
      </c>
      <c r="U347" s="32" t="n">
        <v>10.26</v>
      </c>
      <c r="V347" s="32" t="n">
        <v>10.67</v>
      </c>
      <c r="W347" s="32" t="n">
        <v>5.39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Yes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2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Yes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More than 1.2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IF(B348=0,"",RANK(B348,$B$2:$B$370,0))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KCP</t>
        </is>
      </c>
      <c r="D348" s="31" t="inlineStr">
        <is>
          <t>Kcp Limited</t>
        </is>
      </c>
      <c r="E348" s="31" t="inlineStr">
        <is>
          <t>building materials</t>
        </is>
      </c>
      <c r="F348" s="31" t="inlineStr">
        <is>
          <t>cement - south india</t>
        </is>
      </c>
      <c r="G348" s="31" t="inlineStr">
        <is>
          <t>smallcap</t>
        </is>
      </c>
      <c r="H348" s="32" t="n">
        <v>2277.01</v>
      </c>
      <c r="I348" s="32" t="n">
        <v>176.35</v>
      </c>
      <c r="J348" s="32" t="n">
        <v>-0.15</v>
      </c>
      <c r="K348" s="32" t="n">
        <v>378217</v>
      </c>
      <c r="L348" s="31" t="inlineStr"/>
      <c r="M348" s="31" t="inlineStr"/>
      <c r="N348" s="32">
        <f>IF(M348="Underperforming",-5,IF(L348&gt;=95,15,IF(L348&gt;=90,10,IF(L348&gt;=80,5,0))))</f>
        <v/>
      </c>
      <c r="O348" s="32" t="n">
        <v>58.32</v>
      </c>
      <c r="P348" s="32" t="n">
        <v>5.59</v>
      </c>
      <c r="Q348" s="32" t="n">
        <v>138.72</v>
      </c>
      <c r="R348" s="31" t="inlineStr">
        <is>
          <t>Earnings / Momentum Support</t>
        </is>
      </c>
      <c r="S348" s="31" t="inlineStr">
        <is>
          <t>Nifty Infra</t>
        </is>
      </c>
      <c r="T348" s="32" t="inlineStr"/>
      <c r="U348" s="32" t="inlineStr"/>
      <c r="V348" s="32" t="inlineStr"/>
      <c r="W348" s="32" t="inlineStr"/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1</t>
        </is>
      </c>
      <c r="BC348" s="31">
        <f>IF(BB348="Stage 2",20,IF(BB348="Stage 1",0,IF(BB348="Stage 3",5,IF(BB348="Stage 4",-5,0))))</f>
        <v/>
      </c>
      <c r="BD348" s="31" t="inlineStr">
        <is>
          <t>Positive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More than 20%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Between 50% to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IF(B349=0,"",RANK(B349,$B$2:$B$370,0))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PFOCUS</t>
        </is>
      </c>
      <c r="D349" s="31" t="inlineStr">
        <is>
          <t>Prime Focus Limited</t>
        </is>
      </c>
      <c r="E349" s="31" t="inlineStr">
        <is>
          <t>realty</t>
        </is>
      </c>
      <c r="F349" s="31" t="inlineStr">
        <is>
          <t>miscellaneous</t>
        </is>
      </c>
      <c r="G349" s="31" t="inlineStr">
        <is>
          <t>largecap</t>
        </is>
      </c>
      <c r="H349" s="32" t="n">
        <v>23900.38</v>
      </c>
      <c r="I349" s="32" t="n">
        <v>302.75</v>
      </c>
      <c r="J349" s="32" t="n">
        <v>-1.64</v>
      </c>
      <c r="K349" s="32" t="n">
        <v>847170</v>
      </c>
      <c r="L349" s="31" t="inlineStr"/>
      <c r="M349" s="31" t="inlineStr"/>
      <c r="N349" s="32">
        <f>IF(M349="Underperforming",-5,IF(L349&gt;=95,15,IF(L349&gt;=90,10,IF(L349&gt;=80,5,0))))</f>
        <v/>
      </c>
      <c r="O349" s="32" t="n">
        <v>60.24</v>
      </c>
      <c r="P349" s="32" t="n">
        <v>12.86</v>
      </c>
      <c r="Q349" s="32" t="n">
        <v>210.82</v>
      </c>
      <c r="R349" s="31" t="inlineStr">
        <is>
          <t>Earnings / Momentum Support</t>
        </is>
      </c>
      <c r="S349" s="31" t="inlineStr">
        <is>
          <t>Nifty Realty</t>
        </is>
      </c>
      <c r="T349" s="32" t="inlineStr"/>
      <c r="U349" s="32" t="inlineStr"/>
      <c r="V349" s="32" t="inlineStr"/>
      <c r="W349" s="32" t="inlineStr"/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2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More than 20%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Yes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More than 1.2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IF(B350=0,"",RANK(B350,$B$2:$B$370,0))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HINDZINC</t>
        </is>
      </c>
      <c r="D350" s="31" t="inlineStr">
        <is>
          <t>Hindustan Zinc Limited</t>
        </is>
      </c>
      <c r="E350" s="31" t="inlineStr">
        <is>
          <t>metals &amp; mining</t>
        </is>
      </c>
      <c r="F350" s="31" t="inlineStr">
        <is>
          <t>mining / minerals / metals</t>
        </is>
      </c>
      <c r="G350" s="31" t="inlineStr">
        <is>
          <t>largecap</t>
        </is>
      </c>
      <c r="H350" s="32" t="n">
        <v>255209.27</v>
      </c>
      <c r="I350" s="32" t="n">
        <v>592.6</v>
      </c>
      <c r="J350" s="32" t="n">
        <v>-1.89</v>
      </c>
      <c r="K350" s="32" t="n">
        <v>9617571</v>
      </c>
      <c r="L350" s="31" t="inlineStr"/>
      <c r="M350" s="31" t="inlineStr"/>
      <c r="N350" s="32">
        <f>IF(M350="Underperforming",-5,IF(L350&gt;=95,15,IF(L350&gt;=90,10,IF(L350&gt;=80,5,0))))</f>
        <v/>
      </c>
      <c r="O350" s="32" t="n">
        <v>54.9</v>
      </c>
      <c r="P350" s="32" t="n">
        <v>11.21</v>
      </c>
      <c r="Q350" s="32" t="n">
        <v>509.05</v>
      </c>
      <c r="R350" s="31" t="inlineStr">
        <is>
          <t>Earnings / Momentum Support</t>
        </is>
      </c>
      <c r="S350" s="31" t="inlineStr">
        <is>
          <t>Nifty Metal</t>
        </is>
      </c>
      <c r="T350" s="32" t="inlineStr"/>
      <c r="U350" s="32" t="inlineStr"/>
      <c r="V350" s="32" t="inlineStr"/>
      <c r="W350" s="32" t="inlineStr"/>
      <c r="X350" s="31" t="inlineStr">
        <is>
          <t>Cyclical in an Upturn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Cyclical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Volatile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2</t>
        </is>
      </c>
      <c r="BC350" s="31">
        <f>IF(BB350="Stage 2",20,IF(BB350="Stage 1",0,IF(BB350="Stage 3",5,IF(BB350="Stage 4",-5,0))))</f>
        <v/>
      </c>
      <c r="BD350" s="31" t="inlineStr">
        <is>
          <t>Positive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IF(B351=0,"",RANK(B351,$B$2:$B$370,0))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1" t="inlineStr">
        <is>
          <t>20MICRONS</t>
        </is>
      </c>
      <c r="D351" s="31" t="inlineStr">
        <is>
          <t>20 Microns Limited</t>
        </is>
      </c>
      <c r="E351" s="31" t="inlineStr">
        <is>
          <t>metals &amp; mining</t>
        </is>
      </c>
      <c r="F351" s="31" t="inlineStr">
        <is>
          <t>mining / minerals / metals</t>
        </is>
      </c>
      <c r="G351" s="31" t="inlineStr">
        <is>
          <t>smallcap</t>
        </is>
      </c>
      <c r="H351" s="32" t="n">
        <v>752.52</v>
      </c>
      <c r="I351" s="32" t="n">
        <v>213</v>
      </c>
      <c r="J351" s="32" t="n">
        <v>-0.12</v>
      </c>
      <c r="K351" s="32" t="n">
        <v>334332</v>
      </c>
      <c r="L351" s="31" t="inlineStr"/>
      <c r="M351" s="31" t="inlineStr"/>
      <c r="N351" s="32">
        <f>IF(M351="Underperforming",-5,IF(L351&gt;=95,15,IF(L351&gt;=90,10,IF(L351&gt;=80,5,0))))</f>
        <v/>
      </c>
      <c r="O351" s="32" t="n">
        <v>60.39</v>
      </c>
      <c r="P351" s="32" t="n">
        <v>14.6</v>
      </c>
      <c r="Q351" s="32" t="n">
        <v>158.2</v>
      </c>
      <c r="R351" s="31" t="inlineStr">
        <is>
          <t>Earnings / Momentum Support</t>
        </is>
      </c>
      <c r="S351" s="31" t="inlineStr">
        <is>
          <t>Nifty Metal</t>
        </is>
      </c>
      <c r="T351" s="32" t="inlineStr"/>
      <c r="U351" s="32" t="inlineStr"/>
      <c r="V351" s="32" t="inlineStr"/>
      <c r="W351" s="32" t="inlineStr"/>
      <c r="X351" s="31" t="inlineStr">
        <is>
          <t>Cyclical in an Upturn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Tailwind</t>
        </is>
      </c>
      <c r="AE351" s="31">
        <f>IF(AD351="Tailwind",10,0)</f>
        <v/>
      </c>
      <c r="AF351" s="31" t="inlineStr">
        <is>
          <t>Cyclical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Volatile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2</t>
        </is>
      </c>
      <c r="BC351" s="31">
        <f>IF(BB351="Stage 2",20,IF(BB351="Stage 1",0,IF(BB351="Stage 3",5,IF(BB351="Stage 4",-5,0))))</f>
        <v/>
      </c>
      <c r="BD351" s="31" t="inlineStr">
        <is>
          <t>Positive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Less than 12%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No</t>
        </is>
      </c>
      <c r="BS351" s="31">
        <f>IF(BR351="NO",5,0)</f>
        <v/>
      </c>
      <c r="BT351" s="31" t="inlineStr">
        <is>
          <t>Between 1.5 to 2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IF(B352=0,"",RANK(B352,$B$2:$B$370,0))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3" t="inlineStr">
        <is>
          <t>BDL</t>
        </is>
      </c>
      <c r="D352" s="33" t="inlineStr">
        <is>
          <t>Bharat Dynamics Ltd</t>
        </is>
      </c>
      <c r="E352" s="31" t="inlineStr">
        <is>
          <t>aerospace &amp; defence</t>
        </is>
      </c>
      <c r="F352" s="31" t="inlineStr">
        <is>
          <t>engineering</t>
        </is>
      </c>
      <c r="G352" s="31" t="inlineStr">
        <is>
          <t>largecap</t>
        </is>
      </c>
      <c r="H352" s="32" t="n">
        <v>50145.75</v>
      </c>
      <c r="I352" s="32" t="n">
        <v>1359.9</v>
      </c>
      <c r="J352" s="32" t="n">
        <v>-0.59</v>
      </c>
      <c r="K352" s="32" t="n">
        <v>2163624</v>
      </c>
      <c r="L352" s="31" t="n">
        <v>8</v>
      </c>
      <c r="M352" s="31" t="inlineStr">
        <is>
          <t>Underperforming</t>
        </is>
      </c>
      <c r="N352" s="32">
        <f>IF(M352="Underperforming",-5,IF(L352&gt;=95,15,IF(L352&gt;=90,10,IF(L352&gt;=80,5,0))))</f>
        <v/>
      </c>
      <c r="O352" s="32" t="n">
        <v>51.94</v>
      </c>
      <c r="P352" s="32" t="n">
        <v>10.51</v>
      </c>
      <c r="Q352" s="32" t="n">
        <v>1093.59</v>
      </c>
      <c r="R352" s="31" t="inlineStr">
        <is>
          <t>Earnings / Momentum Support</t>
        </is>
      </c>
      <c r="S352" s="31" t="inlineStr">
        <is>
          <t>Nifty 50</t>
        </is>
      </c>
      <c r="T352" s="32" t="n">
        <v>-0.38</v>
      </c>
      <c r="U352" s="32" t="n">
        <v>-4.9</v>
      </c>
      <c r="V352" s="32" t="n">
        <v>-4.54</v>
      </c>
      <c r="W352" s="32" t="n">
        <v>2.07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Tailwind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1</t>
        </is>
      </c>
      <c r="BC352" s="31">
        <f>IF(BB352="Stage 2",20,IF(BB352="Stage 1",0,IF(BB352="Stage 3",5,IF(BB352="Stage 4",-5,0))))</f>
        <v/>
      </c>
      <c r="BD352" s="31" t="inlineStr">
        <is>
          <t>Positive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More than 20%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Yes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IF(B353=0,"",RANK(B353,$B$2:$B$370,0))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3" t="inlineStr">
        <is>
          <t>RAJRILTD</t>
        </is>
      </c>
      <c r="D353" s="33" t="inlineStr">
        <is>
          <t>Raj Rayon Industries Ltd</t>
        </is>
      </c>
      <c r="E353" s="31" t="inlineStr">
        <is>
          <t>textiles</t>
        </is>
      </c>
      <c r="F353" s="31" t="inlineStr">
        <is>
          <t>textiles - manmade</t>
        </is>
      </c>
      <c r="G353" s="31" t="inlineStr">
        <is>
          <t>smallcap</t>
        </is>
      </c>
      <c r="H353" s="32" t="n">
        <v>1267.31</v>
      </c>
      <c r="I353" s="32" t="n">
        <v>23.24</v>
      </c>
      <c r="J353" s="32" t="n">
        <v>1.97</v>
      </c>
      <c r="K353" s="32" t="n">
        <v>33063</v>
      </c>
      <c r="L353" s="31" t="n">
        <v>4</v>
      </c>
      <c r="M353" s="31" t="inlineStr">
        <is>
          <t>Underperforming</t>
        </is>
      </c>
      <c r="N353" s="32">
        <f>IF(M353="Underperforming",-5,IF(L353&gt;=95,15,IF(L353&gt;=90,10,IF(L353&gt;=80,5,0))))</f>
        <v/>
      </c>
      <c r="O353" s="32" t="n">
        <v>57.55</v>
      </c>
      <c r="P353" s="32" t="n">
        <v>10.54</v>
      </c>
      <c r="Q353" s="32" t="n">
        <v>19.06</v>
      </c>
      <c r="R353" s="31" t="inlineStr">
        <is>
          <t>Earnings / Momentum Support</t>
        </is>
      </c>
      <c r="S353" s="31" t="inlineStr">
        <is>
          <t>Nifty 50</t>
        </is>
      </c>
      <c r="T353" s="32" t="n">
        <v>-0.38</v>
      </c>
      <c r="U353" s="32" t="n">
        <v>-10.66</v>
      </c>
      <c r="V353" s="32" t="n">
        <v>-10.32</v>
      </c>
      <c r="W353" s="32" t="n">
        <v>1.01</v>
      </c>
      <c r="X353" s="31" t="inlineStr">
        <is>
          <t>Growing Industry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Tailwind</t>
        </is>
      </c>
      <c r="AE353" s="31">
        <f>IF(AD353="Tailwind",10,0)</f>
        <v/>
      </c>
      <c r="AF353" s="31" t="inlineStr">
        <is>
          <t>Structural (10 Years Consistency)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Stable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No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0 to 20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2</t>
        </is>
      </c>
      <c r="BC353" s="31">
        <f>IF(BB353="Stage 2",20,IF(BB353="Stage 1",0,IF(BB353="Stage 3",5,IF(BB353="Stage 4",-5,0))))</f>
        <v/>
      </c>
      <c r="BD353" s="31" t="inlineStr">
        <is>
          <t>Positive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Between 12 to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Yes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More than 1.2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IF(B354=0,"",RANK(B354,$B$2:$B$370,0))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ANURAS</t>
        </is>
      </c>
      <c r="D354" s="31" t="inlineStr">
        <is>
          <t>Anupam Rasayan India Ltd</t>
        </is>
      </c>
      <c r="E354" s="31" t="inlineStr">
        <is>
          <t>chemicals</t>
        </is>
      </c>
      <c r="F354" s="31" t="inlineStr">
        <is>
          <t>chemicals</t>
        </is>
      </c>
      <c r="G354" s="31" t="inlineStr">
        <is>
          <t>midcap</t>
        </is>
      </c>
      <c r="H354" s="32" t="n">
        <v>14293.66</v>
      </c>
      <c r="I354" s="32" t="n">
        <v>1264.6</v>
      </c>
      <c r="J354" s="32" t="n">
        <v>0.72</v>
      </c>
      <c r="K354" s="32" t="n">
        <v>460143</v>
      </c>
      <c r="L354" s="31" t="n">
        <v>7</v>
      </c>
      <c r="M354" s="31" t="inlineStr">
        <is>
          <t>Outperforming</t>
        </is>
      </c>
      <c r="N354" s="32">
        <f>IF(M354="Underperforming",-5,IF(L354&gt;=95,15,IF(L354&gt;=90,10,IF(L354&gt;=80,5,0))))</f>
        <v/>
      </c>
      <c r="O354" s="32" t="n">
        <v>50.95</v>
      </c>
      <c r="P354" s="32" t="n">
        <v>8.119999999999999</v>
      </c>
      <c r="Q354" s="32" t="n">
        <v>1144.23</v>
      </c>
      <c r="R354" s="31" t="inlineStr">
        <is>
          <t>Earnings / Momentum Support</t>
        </is>
      </c>
      <c r="S354" s="31" t="inlineStr">
        <is>
          <t>Nifty 50</t>
        </is>
      </c>
      <c r="T354" s="32" t="n">
        <v>-0.38</v>
      </c>
      <c r="U354" s="32" t="n">
        <v>11.93</v>
      </c>
      <c r="V354" s="32" t="n">
        <v>12.36</v>
      </c>
      <c r="W354" s="32" t="n">
        <v>1.89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Tailwind</t>
        </is>
      </c>
      <c r="AE354" s="31">
        <f>IF(AD354="Tailwind",10,0)</f>
        <v/>
      </c>
      <c r="AF354" s="31" t="inlineStr">
        <is>
          <t>Structural (10 Years Consistency)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Stable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No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1</t>
        </is>
      </c>
      <c r="BC354" s="31">
        <f>IF(BB354="Stage 2",20,IF(BB354="Stage 1",0,IF(BB354="Stage 3",5,IF(BB354="Stage 4",-5,0))))</f>
        <v/>
      </c>
      <c r="BD354" s="31" t="inlineStr">
        <is>
          <t>Positive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Less than 12%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Yes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Above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IF(B355=0,"",RANK(B355,$B$2:$B$370,0))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STYLEBAAZA</t>
        </is>
      </c>
      <c r="D355" s="31" t="inlineStr">
        <is>
          <t>Baazar Style Retail Ltd</t>
        </is>
      </c>
      <c r="E355" s="31" t="inlineStr">
        <is>
          <t>consumer discretionary</t>
        </is>
      </c>
      <c r="F355" s="31" t="inlineStr">
        <is>
          <t>trading</t>
        </is>
      </c>
      <c r="G355" s="31" t="inlineStr">
        <is>
          <t>smallcap</t>
        </is>
      </c>
      <c r="H355" s="32" t="n">
        <v>3020.34</v>
      </c>
      <c r="I355" s="32" t="n">
        <v>394.5</v>
      </c>
      <c r="J355" s="32" t="n">
        <v>-0.58</v>
      </c>
      <c r="K355" s="32" t="n">
        <v>4017803</v>
      </c>
      <c r="L355" s="31" t="n">
        <v>30</v>
      </c>
      <c r="M355" s="31" t="inlineStr">
        <is>
          <t>Outperforming</t>
        </is>
      </c>
      <c r="N355" s="32">
        <f>IF(M355="Underperforming",-5,IF(L355&gt;=95,15,IF(L355&gt;=90,10,IF(L355&gt;=80,5,0))))</f>
        <v/>
      </c>
      <c r="O355" s="32" t="n">
        <v>59.2</v>
      </c>
      <c r="P355" s="32" t="n">
        <v>13.44</v>
      </c>
      <c r="Q355" s="32" t="n">
        <v>284.99</v>
      </c>
      <c r="R355" s="31" t="inlineStr">
        <is>
          <t>Earnings / Momentum Support</t>
        </is>
      </c>
      <c r="S355" s="31" t="inlineStr">
        <is>
          <t>Nifty 50</t>
        </is>
      </c>
      <c r="T355" s="32" t="n">
        <v>-0.38</v>
      </c>
      <c r="U355" s="32" t="n">
        <v>21.57</v>
      </c>
      <c r="V355" s="32" t="n">
        <v>22.03</v>
      </c>
      <c r="W355" s="32" t="n">
        <v>7.71</v>
      </c>
      <c r="X355" s="31" t="inlineStr">
        <is>
          <t>Growing Industry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Tailwind</t>
        </is>
      </c>
      <c r="AE355" s="31">
        <f>IF(AD355="Tailwind",10,0)</f>
        <v/>
      </c>
      <c r="AF355" s="31" t="inlineStr">
        <is>
          <t>Structural (10 Years Consistency)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Stable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0 to 20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2</t>
        </is>
      </c>
      <c r="BC355" s="31">
        <f>IF(BB355="Stage 2",20,IF(BB355="Stage 1",0,IF(BB355="Stage 3",5,IF(BB355="Stage 4",-5,0))))</f>
        <v/>
      </c>
      <c r="BD355" s="31" t="inlineStr">
        <is>
          <t>Positive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Less than 12%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Yes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More than 1.2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IF(B356=0,"",RANK(B356,$B$2:$B$370,0))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SALSTEEL</t>
        </is>
      </c>
      <c r="D356" s="31" t="inlineStr">
        <is>
          <t>SAL Steel</t>
        </is>
      </c>
      <c r="E356" s="31" t="inlineStr">
        <is>
          <t>metals &amp; mining</t>
        </is>
      </c>
      <c r="F356" s="31" t="inlineStr">
        <is>
          <t>steel - sponge iron</t>
        </is>
      </c>
      <c r="G356" s="31" t="inlineStr">
        <is>
          <t>smallcap</t>
        </is>
      </c>
      <c r="H356" s="32" t="n">
        <v>1115.57</v>
      </c>
      <c r="I356" s="32" t="n">
        <v>74.79000000000001</v>
      </c>
      <c r="J356" s="32" t="n">
        <v>-2.95</v>
      </c>
      <c r="K356" s="32" t="n">
        <v>1572942</v>
      </c>
      <c r="L356" s="31" t="inlineStr"/>
      <c r="M356" s="31" t="inlineStr"/>
      <c r="N356" s="32">
        <f>IF(M356="Underperforming",-5,IF(L356&gt;=95,15,IF(L356&gt;=90,10,IF(L356&gt;=80,5,0))))</f>
        <v/>
      </c>
      <c r="O356" s="32" t="n">
        <v>70.34</v>
      </c>
      <c r="P356" s="32" t="n">
        <v>26.56</v>
      </c>
      <c r="Q356" s="32" t="n">
        <v>55.53</v>
      </c>
      <c r="R356" s="31" t="inlineStr">
        <is>
          <t>Earnings / Momentum Support</t>
        </is>
      </c>
      <c r="S356" s="31" t="inlineStr">
        <is>
          <t>Nifty Metal</t>
        </is>
      </c>
      <c r="T356" s="32" t="inlineStr"/>
      <c r="U356" s="32" t="inlineStr"/>
      <c r="V356" s="32" t="inlineStr"/>
      <c r="W356" s="32" t="inlineStr"/>
      <c r="X356" s="31" t="inlineStr">
        <is>
          <t>Cyclical in an Upturn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Tailwind</t>
        </is>
      </c>
      <c r="AE356" s="31">
        <f>IF(AD356="Tailwind",10,0)</f>
        <v/>
      </c>
      <c r="AF356" s="31" t="inlineStr">
        <is>
          <t>Cyclical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Volatile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20 to 40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2</t>
        </is>
      </c>
      <c r="BC356" s="31">
        <f>IF(BB356="Stage 2",20,IF(BB356="Stage 1",0,IF(BB356="Stage 3",5,IF(BB356="Stage 4",-5,0))))</f>
        <v/>
      </c>
      <c r="BD356" s="31" t="inlineStr">
        <is>
          <t>Positive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More than 20%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Yes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More than 1.2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IF(B357=0,"",RANK(B357,$B$2:$B$370,0))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JAYNECOIND</t>
        </is>
      </c>
      <c r="D357" s="31" t="inlineStr">
        <is>
          <t>Jayaswal Neco Industries Limited</t>
        </is>
      </c>
      <c r="E357" s="31" t="inlineStr">
        <is>
          <t>metals &amp; mining</t>
        </is>
      </c>
      <c r="F357" s="31" t="inlineStr">
        <is>
          <t>steel - large</t>
        </is>
      </c>
      <c r="G357" s="31" t="inlineStr">
        <is>
          <t>midcap</t>
        </is>
      </c>
      <c r="H357" s="32" t="n">
        <v>10119.74</v>
      </c>
      <c r="I357" s="32" t="n">
        <v>100.88</v>
      </c>
      <c r="J357" s="32" t="n">
        <v>-3.2</v>
      </c>
      <c r="K357" s="32" t="n">
        <v>5993254</v>
      </c>
      <c r="L357" s="31" t="inlineStr"/>
      <c r="M357" s="31" t="inlineStr"/>
      <c r="N357" s="32">
        <f>IF(M357="Underperforming",-5,IF(L357&gt;=95,15,IF(L357&gt;=90,10,IF(L357&gt;=80,5,0))))</f>
        <v/>
      </c>
      <c r="O357" s="32" t="n">
        <v>60.38</v>
      </c>
      <c r="P357" s="32" t="n">
        <v>8.1</v>
      </c>
      <c r="Q357" s="32" t="n">
        <v>77.22</v>
      </c>
      <c r="R357" s="31" t="inlineStr">
        <is>
          <t>Earnings / Momentum Support</t>
        </is>
      </c>
      <c r="S357" s="31" t="inlineStr">
        <is>
          <t>Nifty Metal</t>
        </is>
      </c>
      <c r="T357" s="32" t="inlineStr"/>
      <c r="U357" s="32" t="inlineStr"/>
      <c r="V357" s="32" t="inlineStr"/>
      <c r="W357" s="32" t="inlineStr"/>
      <c r="X357" s="31" t="inlineStr">
        <is>
          <t>Cyclical in an Upturn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Tailwind</t>
        </is>
      </c>
      <c r="AE357" s="31">
        <f>IF(AD357="Tailwind",10,0)</f>
        <v/>
      </c>
      <c r="AF357" s="31" t="inlineStr">
        <is>
          <t>Cyclical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Volatile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0 to 20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2</t>
        </is>
      </c>
      <c r="BC357" s="31">
        <f>IF(BB357="Stage 2",20,IF(BB357="Stage 1",0,IF(BB357="Stage 3",5,IF(BB357="Stage 4",-5,0))))</f>
        <v/>
      </c>
      <c r="BD357" s="31" t="inlineStr">
        <is>
          <t>Positive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More than 20%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Above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Between 0.7 to 1.2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IF(B358=0,"",RANK(B358,$B$2:$B$370,0))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ASHOKLEY</t>
        </is>
      </c>
      <c r="D358" s="31" t="inlineStr">
        <is>
          <t>Ashok Leyland Limited</t>
        </is>
      </c>
      <c r="E358" s="31" t="inlineStr">
        <is>
          <t>auto</t>
        </is>
      </c>
      <c r="F358" s="31" t="inlineStr">
        <is>
          <t>automobiles - lcvs / hcvs</t>
        </is>
      </c>
      <c r="G358" s="31" t="inlineStr">
        <is>
          <t>largecap</t>
        </is>
      </c>
      <c r="H358" s="32" t="n">
        <v>101788.03</v>
      </c>
      <c r="I358" s="32" t="n">
        <v>174.69</v>
      </c>
      <c r="J358" s="32" t="n">
        <v>0.8100000000000001</v>
      </c>
      <c r="K358" s="32" t="n">
        <v>8653915</v>
      </c>
      <c r="L358" s="31" t="inlineStr"/>
      <c r="M358" s="31" t="inlineStr"/>
      <c r="N358" s="32">
        <f>IF(M358="Underperforming",-5,IF(L358&gt;=95,15,IF(L358&gt;=90,10,IF(L358&gt;=80,5,0))))</f>
        <v/>
      </c>
      <c r="O358" s="32" t="n">
        <v>56.35</v>
      </c>
      <c r="P358" s="32" t="n">
        <v>14.23</v>
      </c>
      <c r="Q358" s="32" t="n">
        <v>143.28</v>
      </c>
      <c r="R358" s="31" t="inlineStr">
        <is>
          <t>Earnings / Momentum Support</t>
        </is>
      </c>
      <c r="S358" s="31" t="inlineStr">
        <is>
          <t>Nifty Auto</t>
        </is>
      </c>
      <c r="T358" s="32" t="inlineStr"/>
      <c r="U358" s="32" t="inlineStr"/>
      <c r="V358" s="32" t="inlineStr"/>
      <c r="W358" s="32" t="inlineStr"/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Headwind</t>
        </is>
      </c>
      <c r="AE358" s="31">
        <f>IF(AD358="Tailwind",10,0)</f>
        <v/>
      </c>
      <c r="AF358" s="31" t="inlineStr">
        <is>
          <t>Structural (10 Years Consistency)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Stable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2</t>
        </is>
      </c>
      <c r="BC358" s="31">
        <f>IF(BB358="Stage 2",20,IF(BB358="Stage 1",0,IF(BB358="Stage 3",5,IF(BB358="Stage 4",-5,0))))</f>
        <v/>
      </c>
      <c r="BD358" s="31" t="inlineStr">
        <is>
          <t>Positive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Less than 12%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No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More than 1.2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IF(B359=0,"",RANK(B359,$B$2:$B$370,0))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1" t="inlineStr">
        <is>
          <t>SMLMAH</t>
        </is>
      </c>
      <c r="D359" s="31" t="inlineStr">
        <is>
          <t>SML Mahindra Ltd</t>
        </is>
      </c>
      <c r="E359" s="31" t="inlineStr">
        <is>
          <t>auto</t>
        </is>
      </c>
      <c r="F359" s="31" t="inlineStr">
        <is>
          <t>automobiles - lcvs / hcvs</t>
        </is>
      </c>
      <c r="G359" s="31" t="inlineStr">
        <is>
          <t>midcap</t>
        </is>
      </c>
      <c r="H359" s="32" t="n">
        <v>7531.04</v>
      </c>
      <c r="I359" s="32" t="n">
        <v>5192</v>
      </c>
      <c r="J359" s="32" t="n">
        <v>-0.23</v>
      </c>
      <c r="K359" s="32" t="n">
        <v>36075</v>
      </c>
      <c r="L359" s="31" t="inlineStr"/>
      <c r="M359" s="31" t="inlineStr"/>
      <c r="N359" s="32">
        <f>IF(M359="Underperforming",-5,IF(L359&gt;=95,15,IF(L359&gt;=90,10,IF(L359&gt;=80,5,0))))</f>
        <v/>
      </c>
      <c r="O359" s="32" t="n">
        <v>61.65</v>
      </c>
      <c r="P359" s="32" t="n">
        <v>16.07</v>
      </c>
      <c r="Q359" s="32" t="n">
        <v>4146.21</v>
      </c>
      <c r="R359" s="31" t="inlineStr">
        <is>
          <t>Earnings / Momentum Support</t>
        </is>
      </c>
      <c r="S359" s="31" t="inlineStr">
        <is>
          <t>Nifty Auto</t>
        </is>
      </c>
      <c r="T359" s="32" t="inlineStr"/>
      <c r="U359" s="32" t="inlineStr"/>
      <c r="V359" s="32" t="inlineStr"/>
      <c r="W359" s="32" t="inlineStr"/>
      <c r="X359" s="31" t="inlineStr">
        <is>
          <t>Growing Industry</t>
        </is>
      </c>
      <c r="Y359" s="31">
        <f>IF(X359="Growing Industry",10,IF(X359="Cyclical in an Upturn",5,0))</f>
        <v/>
      </c>
      <c r="Z359" s="31" t="inlineStr">
        <is>
          <t>Too Many Players with High ROCE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Tailwind</t>
        </is>
      </c>
      <c r="AE359" s="31">
        <f>IF(AD359="Tailwind",10,0)</f>
        <v/>
      </c>
      <c r="AF359" s="31" t="inlineStr">
        <is>
          <t>Structural (10 Years Consistency)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Stable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2</t>
        </is>
      </c>
      <c r="BC359" s="31">
        <f>IF(BB359="Stage 2",20,IF(BB359="Stage 1",0,IF(BB359="Stage 3",5,IF(BB359="Stage 4",-5,0))))</f>
        <v/>
      </c>
      <c r="BD359" s="31" t="inlineStr">
        <is>
          <t>Negative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Less than 12%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Yes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IF(B360=0,"",RANK(B360,$B$2:$B$370,0))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1" t="inlineStr">
        <is>
          <t>BEL</t>
        </is>
      </c>
      <c r="D360" s="31" t="inlineStr">
        <is>
          <t>Bharat Electronics Limited</t>
        </is>
      </c>
      <c r="E360" s="31" t="inlineStr">
        <is>
          <t>aerospace &amp; defence</t>
        </is>
      </c>
      <c r="F360" s="31" t="inlineStr">
        <is>
          <t>electronics - components</t>
        </is>
      </c>
      <c r="G360" s="31" t="inlineStr">
        <is>
          <t>largecap</t>
        </is>
      </c>
      <c r="H360" s="32" t="n">
        <v>298969.95</v>
      </c>
      <c r="I360" s="32" t="n">
        <v>413.25</v>
      </c>
      <c r="J360" s="32" t="n">
        <v>1.04</v>
      </c>
      <c r="K360" s="32" t="n">
        <v>9972589</v>
      </c>
      <c r="L360" s="31" t="n">
        <v>10</v>
      </c>
      <c r="M360" s="31" t="inlineStr">
        <is>
          <t>Outperforming</t>
        </is>
      </c>
      <c r="N360" s="32">
        <f>IF(M360="Underperforming",-5,IF(L360&gt;=95,15,IF(L360&gt;=90,10,IF(L360&gt;=80,5,0))))</f>
        <v/>
      </c>
      <c r="O360" s="32" t="n">
        <v>49.81</v>
      </c>
      <c r="P360" s="32" t="n">
        <v>7.66</v>
      </c>
      <c r="Q360" s="32" t="n">
        <v>368.42</v>
      </c>
      <c r="R360" s="31" t="inlineStr">
        <is>
          <t>Earnings / Momentum Support</t>
        </is>
      </c>
      <c r="S360" s="31" t="inlineStr">
        <is>
          <t>Nifty 50</t>
        </is>
      </c>
      <c r="T360" s="32" t="n">
        <v>-0.38</v>
      </c>
      <c r="U360" s="32" t="n">
        <v>12.5</v>
      </c>
      <c r="V360" s="32" t="n">
        <v>12.93</v>
      </c>
      <c r="W360" s="32" t="n">
        <v>2.74</v>
      </c>
      <c r="X360" s="31" t="inlineStr">
        <is>
          <t>Growing Industry</t>
        </is>
      </c>
      <c r="Y360" s="31">
        <f>IF(X360="Growing Industry",10,IF(X360="Cyclical in an Upturn",5,0))</f>
        <v/>
      </c>
      <c r="Z360" s="31" t="inlineStr">
        <is>
          <t>Too Many Players with High ROCE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Headwind</t>
        </is>
      </c>
      <c r="AE360" s="31">
        <f>IF(AD360="Tailwind",10,0)</f>
        <v/>
      </c>
      <c r="AF360" s="31" t="inlineStr">
        <is>
          <t>Structural (10 Years Consistency)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Stable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No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0 to 20</t>
        </is>
      </c>
      <c r="AY360" s="31">
        <f>IF(AX360="Above 40",20,IF(AX360="20 to 40",10,IF(AX360="0 to 20",-5,0)))</f>
        <v/>
      </c>
      <c r="AZ360" s="31" t="inlineStr">
        <is>
          <t>Below 45</t>
        </is>
      </c>
      <c r="BA360" s="31">
        <f>IF(AZ360="Between 50 to 75",10,IF(AZ360="Above 75",0,0))</f>
        <v/>
      </c>
      <c r="BB360" s="31" t="inlineStr">
        <is>
          <t>Stage 3</t>
        </is>
      </c>
      <c r="BC360" s="31">
        <f>IF(BB360="Stage 2",20,IF(BB360="Stage 1",0,IF(BB360="Stage 3",5,IF(BB360="Stage 4",-5,0))))</f>
        <v/>
      </c>
      <c r="BD360" s="31" t="inlineStr">
        <is>
          <t>Positive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Less than 12%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Yes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IF(B361=0,"",RANK(B361,$B$2:$B$370,0))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BALAMINES</t>
        </is>
      </c>
      <c r="D361" s="31" t="inlineStr">
        <is>
          <t>Balaji Amines Limited</t>
        </is>
      </c>
      <c r="E361" s="31" t="inlineStr">
        <is>
          <t>chemicals</t>
        </is>
      </c>
      <c r="F361" s="31" t="inlineStr">
        <is>
          <t>chemicals</t>
        </is>
      </c>
      <c r="G361" s="31" t="inlineStr">
        <is>
          <t>midcap</t>
        </is>
      </c>
      <c r="H361" s="32" t="n">
        <v>7207.6</v>
      </c>
      <c r="I361" s="32" t="n">
        <v>2343.6</v>
      </c>
      <c r="J361" s="32" t="n">
        <v>5.35</v>
      </c>
      <c r="K361" s="32" t="n">
        <v>756675</v>
      </c>
      <c r="L361" s="31" t="n">
        <v>72</v>
      </c>
      <c r="M361" s="31" t="inlineStr">
        <is>
          <t>Outperforming</t>
        </is>
      </c>
      <c r="N361" s="32">
        <f>IF(M361="Underperforming",-5,IF(L361&gt;=95,15,IF(L361&gt;=90,10,IF(L361&gt;=80,5,0))))</f>
        <v/>
      </c>
      <c r="O361" s="32" t="n">
        <v>67.77</v>
      </c>
      <c r="P361" s="32" t="n">
        <v>59.31</v>
      </c>
      <c r="Q361" s="32" t="n">
        <v>1762.5</v>
      </c>
      <c r="R361" s="31" t="inlineStr">
        <is>
          <t>Near 52W High Breakout</t>
        </is>
      </c>
      <c r="S361" s="31" t="inlineStr">
        <is>
          <t>Nifty 50</t>
        </is>
      </c>
      <c r="T361" s="32" t="n">
        <v>-0.38</v>
      </c>
      <c r="U361" s="32" t="n">
        <v>61.65</v>
      </c>
      <c r="V361" s="32" t="n">
        <v>62.26</v>
      </c>
      <c r="W361" s="32" t="n">
        <v>20.4</v>
      </c>
      <c r="X361" s="31" t="inlineStr">
        <is>
          <t>Growing Industry</t>
        </is>
      </c>
      <c r="Y361" s="31">
        <f>IF(X361="Growing Industry",10,IF(X361="Cyclical in an Upturn",5,0))</f>
        <v/>
      </c>
      <c r="Z361" s="31" t="inlineStr">
        <is>
          <t>Duopoly That Cooperate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Headwind</t>
        </is>
      </c>
      <c r="AE361" s="31">
        <f>IF(AD361="Tailwind",10,0)</f>
        <v/>
      </c>
      <c r="AF361" s="31" t="inlineStr">
        <is>
          <t>Shallow Cyclical (2 to 3 Years Growth)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Stable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Yes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20 to 40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4</t>
        </is>
      </c>
      <c r="BC361" s="31">
        <f>IF(BB361="Stage 2",20,IF(BB361="Stage 1",0,IF(BB361="Stage 3",5,IF(BB361="Stage 4",-5,0))))</f>
        <v/>
      </c>
      <c r="BD361" s="31" t="inlineStr">
        <is>
          <t>Negative Trend</t>
        </is>
      </c>
      <c r="BE361" s="31">
        <f>IF(BD361="Positive Trend",20,IF(BD361="Negative Trend",-10,0))</f>
        <v/>
      </c>
      <c r="BF361" s="31" t="inlineStr">
        <is>
          <t>Downtrend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Overhead supply in last 2 years in last 2 years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No</t>
        </is>
      </c>
      <c r="BM361" s="31">
        <f>IF(BL361="Yes",10,0)</f>
        <v/>
      </c>
      <c r="BN361" s="31" t="inlineStr">
        <is>
          <t>More than 20%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No</t>
        </is>
      </c>
      <c r="BS361" s="31">
        <f>IF(BR361="NO",5,0)</f>
        <v/>
      </c>
      <c r="BT361" s="31" t="inlineStr">
        <is>
          <t>Less than 1.5</t>
        </is>
      </c>
      <c r="BU361" s="31">
        <f>IF(BT361="Above 2",0,IF(BT361="Between 1.5 to 2",5,IF(BT361="Less than 1.5",10,0)))</f>
        <v/>
      </c>
      <c r="BV361" s="31" t="inlineStr">
        <is>
          <t>Above 70%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Less than 0.7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IF(B362=0,"",RANK(B362,$B$2:$B$370,0))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GIPCL</t>
        </is>
      </c>
      <c r="D362" s="31" t="inlineStr">
        <is>
          <t>Gujarat Industries Power Company Limited</t>
        </is>
      </c>
      <c r="E362" s="31" t="inlineStr">
        <is>
          <t>power &amp; utilities</t>
        </is>
      </c>
      <c r="F362" s="31" t="inlineStr">
        <is>
          <t>power generation and supply</t>
        </is>
      </c>
      <c r="G362" s="31" t="inlineStr">
        <is>
          <t>smallcap</t>
        </is>
      </c>
      <c r="H362" s="32" t="n">
        <v>2768.9</v>
      </c>
      <c r="I362" s="32" t="n">
        <v>190.72</v>
      </c>
      <c r="J362" s="32" t="n">
        <v>6.91</v>
      </c>
      <c r="K362" s="32" t="n">
        <v>4136580</v>
      </c>
      <c r="L362" s="31" t="n">
        <v>20</v>
      </c>
      <c r="M362" s="31" t="inlineStr">
        <is>
          <t>Outperforming</t>
        </is>
      </c>
      <c r="N362" s="32">
        <f>IF(M362="Underperforming",-5,IF(L362&gt;=95,15,IF(L362&gt;=90,10,IF(L362&gt;=80,5,0))))</f>
        <v/>
      </c>
      <c r="O362" s="32" t="n">
        <v>67.62</v>
      </c>
      <c r="P362" s="32" t="n">
        <v>16</v>
      </c>
      <c r="Q362" s="32" t="n">
        <v>154.86</v>
      </c>
      <c r="R362" s="31" t="inlineStr">
        <is>
          <t>Volume Spike &amp; Near 52W High Breakout</t>
        </is>
      </c>
      <c r="S362" s="31" t="inlineStr">
        <is>
          <t>Nifty IT</t>
        </is>
      </c>
      <c r="T362" s="32" t="n">
        <v>-12.53</v>
      </c>
      <c r="U362" s="32" t="n">
        <v>9.52</v>
      </c>
      <c r="V362" s="32" t="n">
        <v>25.21</v>
      </c>
      <c r="W362" s="32" t="n">
        <v>5.63</v>
      </c>
      <c r="X362" s="31" t="inlineStr">
        <is>
          <t>Growing Industry</t>
        </is>
      </c>
      <c r="Y362" s="31">
        <f>IF(X362="Growing Industry",10,IF(X362="Cyclical in an Upturn",5,0))</f>
        <v/>
      </c>
      <c r="Z362" s="31" t="inlineStr">
        <is>
          <t>Oligopoly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No</t>
        </is>
      </c>
      <c r="AC362" s="31">
        <f>IF(AB362="No",5,0)</f>
        <v/>
      </c>
      <c r="AD362" s="31" t="inlineStr">
        <is>
          <t>Tailwind</t>
        </is>
      </c>
      <c r="AE362" s="31">
        <f>IF(AD362="Tailwind",10,0)</f>
        <v/>
      </c>
      <c r="AF362" s="31" t="inlineStr">
        <is>
          <t>Shallow Cyclical (2 to 3 Years Growth)</t>
        </is>
      </c>
      <c r="AG362" s="31">
        <f>IF(AF362="Structural (10 Years Consistency)",10,IF(AF362="Shallow Cyclical (2 to 3 years growth)",5,0))</f>
        <v/>
      </c>
      <c r="AH362" s="31" t="inlineStr">
        <is>
          <t>Yes due to Product Mix change or Operating Leverage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Volatile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Yes</t>
        </is>
      </c>
      <c r="AQ362" s="31">
        <f>IF(AP362="Yes",10,0)</f>
        <v/>
      </c>
      <c r="AR362" s="31" t="inlineStr">
        <is>
          <t>Higher One Time, Lower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Allocated capital in Non-core Areas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Above 40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3</t>
        </is>
      </c>
      <c r="BC362" s="31">
        <f>IF(BB362="Stage 2",20,IF(BB362="Stage 1",0,IF(BB362="Stage 3",5,IF(BB362="Stage 4",-5,0))))</f>
        <v/>
      </c>
      <c r="BD362" s="31" t="inlineStr">
        <is>
          <t>Negative Trend</t>
        </is>
      </c>
      <c r="BE362" s="31">
        <f>IF(BD362="Positive Trend",20,IF(BD362="Negative Trend",-10,0))</f>
        <v/>
      </c>
      <c r="BF362" s="31" t="inlineStr">
        <is>
          <t>Sideways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Overhead supply in last 2 years in last 2 years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More than 20%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No</t>
        </is>
      </c>
      <c r="BS362" s="31">
        <f>IF(BR362="NO",5,0)</f>
        <v/>
      </c>
      <c r="BT362" s="31" t="inlineStr">
        <is>
          <t>Less than 1.5</t>
        </is>
      </c>
      <c r="BU362" s="31">
        <f>IF(BT362="Above 2",0,IF(BT362="Between 1.5 to 2",5,IF(BT362="Less than 1.5",10,0)))</f>
        <v/>
      </c>
      <c r="BV362" s="31" t="inlineStr">
        <is>
          <t>Above 70%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Less than 0.7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More than 15%</t>
        </is>
      </c>
      <c r="CC362" s="31">
        <f>IF(CB362="More than 15%",-10,IF(CB362="Less than 15%",10,0))</f>
        <v/>
      </c>
      <c r="CD362" s="31" t="inlineStr">
        <is>
          <t>Yes Upto 10%</t>
        </is>
      </c>
      <c r="CE362" s="31">
        <f>IF(CD362="Yes, more than 10%",-10,IF(CD362="No",10,0))</f>
        <v/>
      </c>
    </row>
    <row r="363">
      <c r="A363" s="31">
        <f>IF(B363=0,"",RANK(B363,$B$2:$B$370,0))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1" t="inlineStr">
        <is>
          <t>GPPL</t>
        </is>
      </c>
      <c r="D363" s="31" t="inlineStr">
        <is>
          <t>Gujarat Pipavav Port Limited</t>
        </is>
      </c>
      <c r="E363" s="31" t="inlineStr">
        <is>
          <t>transportation</t>
        </is>
      </c>
      <c r="F363" s="31" t="inlineStr">
        <is>
          <t>miscellaneous</t>
        </is>
      </c>
      <c r="G363" s="31" t="inlineStr">
        <is>
          <t>midcap</t>
        </is>
      </c>
      <c r="H363" s="32" t="n">
        <v>7900.86</v>
      </c>
      <c r="I363" s="32" t="n">
        <v>164.51</v>
      </c>
      <c r="J363" s="32" t="n">
        <v>0.66</v>
      </c>
      <c r="K363" s="32" t="n">
        <v>1271085</v>
      </c>
      <c r="L363" s="31" t="n">
        <v>13</v>
      </c>
      <c r="M363" s="31" t="inlineStr">
        <is>
          <t>Outperforming</t>
        </is>
      </c>
      <c r="N363" s="32">
        <f>IF(M363="Underperforming",-5,IF(L363&gt;=95,15,IF(L363&gt;=90,10,IF(L363&gt;=80,5,0))))</f>
        <v/>
      </c>
      <c r="O363" s="32" t="n">
        <v>58.27</v>
      </c>
      <c r="P363" s="32" t="n">
        <v>7.09</v>
      </c>
      <c r="Q363" s="32" t="n">
        <v>140.16</v>
      </c>
      <c r="R363" s="31" t="inlineStr">
        <is>
          <t>Earnings / Momentum Support</t>
        </is>
      </c>
      <c r="S363" s="31" t="inlineStr">
        <is>
          <t>Nifty 50</t>
        </is>
      </c>
      <c r="T363" s="32" t="n">
        <v>-0.38</v>
      </c>
      <c r="U363" s="32" t="n">
        <v>13.75</v>
      </c>
      <c r="V363" s="32" t="n">
        <v>14.18</v>
      </c>
      <c r="W363" s="32" t="n">
        <v>4.12</v>
      </c>
      <c r="X363" s="31" t="inlineStr">
        <is>
          <t>Growing Industry</t>
        </is>
      </c>
      <c r="Y363" s="31">
        <f>IF(X363="Growing Industry",10,IF(X363="Cyclical in an Upturn",5,0))</f>
        <v/>
      </c>
      <c r="Z363" s="31" t="inlineStr">
        <is>
          <t>Oligopoly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No</t>
        </is>
      </c>
      <c r="AC363" s="31">
        <f>IF(AB363="No",5,0)</f>
        <v/>
      </c>
      <c r="AD363" s="31" t="inlineStr">
        <is>
          <t>Tailwind</t>
        </is>
      </c>
      <c r="AE363" s="31">
        <f>IF(AD363="Tailwind",10,0)</f>
        <v/>
      </c>
      <c r="AF363" s="31" t="inlineStr">
        <is>
          <t>Shallow Cyclical (2 to 3 Years Growth)</t>
        </is>
      </c>
      <c r="AG363" s="31">
        <f>IF(AF363="Structural (10 Years Consistency)",10,IF(AF363="Shallow Cyclical (2 to 3 years growth)",5,0))</f>
        <v/>
      </c>
      <c r="AH363" s="31" t="inlineStr">
        <is>
          <t>Yes due to Product Mix change or Operating Leverage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Volatile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Yes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Allocated capital in Non-core Areas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Above 40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3</t>
        </is>
      </c>
      <c r="BC363" s="31">
        <f>IF(BB363="Stage 2",20,IF(BB363="Stage 1",0,IF(BB363="Stage 3",5,IF(BB363="Stage 4",-5,0))))</f>
        <v/>
      </c>
      <c r="BD363" s="31" t="inlineStr">
        <is>
          <t>Negative Trend</t>
        </is>
      </c>
      <c r="BE363" s="31">
        <f>IF(BD363="Positive Trend",20,IF(BD363="Negative Trend",-10,0))</f>
        <v/>
      </c>
      <c r="BF363" s="31" t="inlineStr">
        <is>
          <t>Sideways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Overhead supply in last 2 years in last 2 years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More than 20%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No</t>
        </is>
      </c>
      <c r="BS363" s="31">
        <f>IF(BR363="NO",5,0)</f>
        <v/>
      </c>
      <c r="BT363" s="31" t="inlineStr">
        <is>
          <t>Less than 1.5</t>
        </is>
      </c>
      <c r="BU363" s="31">
        <f>IF(BT363="Above 2",0,IF(BT363="Between 1.5 to 2",5,IF(BT363="Less than 1.5",10,0)))</f>
        <v/>
      </c>
      <c r="BV363" s="31" t="inlineStr">
        <is>
          <t>Above 70%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Less than 0.7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More than 15%</t>
        </is>
      </c>
      <c r="CC363" s="31">
        <f>IF(CB363="More than 15%",-10,IF(CB363="Less than 15%",10,0))</f>
        <v/>
      </c>
      <c r="CD363" s="31" t="inlineStr">
        <is>
          <t>Yes Upto 10%</t>
        </is>
      </c>
      <c r="CE363" s="31">
        <f>IF(CD363="Yes, more than 10%",-10,IF(CD363="No",10,0))</f>
        <v/>
      </c>
    </row>
    <row r="364">
      <c r="A364" s="31">
        <f>IF(B364=0,"",RANK(B364,$B$2:$B$370,0))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1" t="inlineStr">
        <is>
          <t>GUJALKALI</t>
        </is>
      </c>
      <c r="D364" s="31" t="inlineStr">
        <is>
          <t>Gujarat Alkalies And Chemicals Limited</t>
        </is>
      </c>
      <c r="E364" s="31" t="inlineStr">
        <is>
          <t>chemicals</t>
        </is>
      </c>
      <c r="F364" s="31" t="inlineStr">
        <is>
          <t>chemicals</t>
        </is>
      </c>
      <c r="G364" s="31" t="inlineStr">
        <is>
          <t>midcap</t>
        </is>
      </c>
      <c r="H364" s="32" t="n">
        <v>5309.49</v>
      </c>
      <c r="I364" s="32" t="n">
        <v>726.7</v>
      </c>
      <c r="J364" s="32" t="n">
        <v>0.51</v>
      </c>
      <c r="K364" s="32" t="n">
        <v>312092</v>
      </c>
      <c r="L364" s="31" t="n">
        <v>34</v>
      </c>
      <c r="M364" s="31" t="inlineStr">
        <is>
          <t>Outperforming</t>
        </is>
      </c>
      <c r="N364" s="32">
        <f>IF(M364="Underperforming",-5,IF(L364&gt;=95,15,IF(L364&gt;=90,10,IF(L364&gt;=80,5,0))))</f>
        <v/>
      </c>
      <c r="O364" s="32" t="n">
        <v>63.55</v>
      </c>
      <c r="P364" s="32" t="n">
        <v>28.03</v>
      </c>
      <c r="Q364" s="32" t="n">
        <v>554.24</v>
      </c>
      <c r="R364" s="31" t="inlineStr">
        <is>
          <t>Earnings / Momentum Support</t>
        </is>
      </c>
      <c r="S364" s="31" t="inlineStr">
        <is>
          <t>Nifty 50</t>
        </is>
      </c>
      <c r="T364" s="32" t="n">
        <v>-0.38</v>
      </c>
      <c r="U364" s="32" t="n">
        <v>32.18</v>
      </c>
      <c r="V364" s="32" t="n">
        <v>32.68</v>
      </c>
      <c r="W364" s="32" t="n">
        <v>8.529999999999999</v>
      </c>
      <c r="X364" s="31" t="inlineStr">
        <is>
          <t>Growing Industry</t>
        </is>
      </c>
      <c r="Y364" s="31">
        <f>IF(X364="Growing Industry",10,IF(X364="Cyclical in an Upturn",5,0))</f>
        <v/>
      </c>
      <c r="Z364" s="31" t="inlineStr">
        <is>
          <t>Oligopoly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No</t>
        </is>
      </c>
      <c r="AC364" s="31">
        <f>IF(AB364="No",5,0)</f>
        <v/>
      </c>
      <c r="AD364" s="31" t="inlineStr">
        <is>
          <t>Tailwind</t>
        </is>
      </c>
      <c r="AE364" s="31">
        <f>IF(AD364="Tailwind",10,0)</f>
        <v/>
      </c>
      <c r="AF364" s="31" t="inlineStr">
        <is>
          <t>Shallow Cyclical (2 to 3 Years Growth)</t>
        </is>
      </c>
      <c r="AG364" s="31">
        <f>IF(AF364="Structural (10 Years Consistency)",10,IF(AF364="Shallow Cyclical (2 to 3 years growth)",5,0))</f>
        <v/>
      </c>
      <c r="AH364" s="31" t="inlineStr">
        <is>
          <t>Yes due to Product Mix change or Operating Leverage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Volatile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Yes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Allocated capital in Non-core Areas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Above 40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3</t>
        </is>
      </c>
      <c r="BC364" s="31">
        <f>IF(BB364="Stage 2",20,IF(BB364="Stage 1",0,IF(BB364="Stage 3",5,IF(BB364="Stage 4",-5,0))))</f>
        <v/>
      </c>
      <c r="BD364" s="31" t="inlineStr">
        <is>
          <t>Negative Trend</t>
        </is>
      </c>
      <c r="BE364" s="31">
        <f>IF(BD364="Positive Trend",20,IF(BD364="Negative Trend",-10,0))</f>
        <v/>
      </c>
      <c r="BF364" s="31" t="inlineStr">
        <is>
          <t>Sideways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Overhead supply in last 2 years in last 2 years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More than 20%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No</t>
        </is>
      </c>
      <c r="BS364" s="31">
        <f>IF(BR364="NO",5,0)</f>
        <v/>
      </c>
      <c r="BT364" s="31" t="inlineStr">
        <is>
          <t>Less than 1.5</t>
        </is>
      </c>
      <c r="BU364" s="31">
        <f>IF(BT364="Above 2",0,IF(BT364="Between 1.5 to 2",5,IF(BT364="Less than 1.5",10,0)))</f>
        <v/>
      </c>
      <c r="BV364" s="31" t="inlineStr">
        <is>
          <t>Above 70%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Less than 0.7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More than 15%</t>
        </is>
      </c>
      <c r="CC364" s="31">
        <f>IF(CB364="More than 15%",-10,IF(CB364="Less than 15%",10,0))</f>
        <v/>
      </c>
      <c r="CD364" s="31" t="inlineStr">
        <is>
          <t>Yes Upto 10%</t>
        </is>
      </c>
      <c r="CE364" s="31">
        <f>IF(CD364="Yes, more than 10%",-10,IF(CD364="No",10,0))</f>
        <v/>
      </c>
    </row>
    <row r="365">
      <c r="A365" s="31">
        <f>IF(B365=0,"",RANK(B365,$B$2:$B$370,0))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1" t="inlineStr">
        <is>
          <t>FLUOROCHEM</t>
        </is>
      </c>
      <c r="D365" s="31" t="inlineStr">
        <is>
          <t>Gujarat Fluorochemicals Ltd</t>
        </is>
      </c>
      <c r="E365" s="31" t="inlineStr">
        <is>
          <t>chemicals</t>
        </is>
      </c>
      <c r="F365" s="31" t="inlineStr">
        <is>
          <t>chemicals</t>
        </is>
      </c>
      <c r="G365" s="31" t="inlineStr">
        <is>
          <t>largecap</t>
        </is>
      </c>
      <c r="H365" s="32" t="n">
        <v>50779.26</v>
      </c>
      <c r="I365" s="32" t="n">
        <v>4606.2</v>
      </c>
      <c r="J365" s="32" t="n">
        <v>-0.35</v>
      </c>
      <c r="K365" s="32" t="n">
        <v>156441</v>
      </c>
      <c r="L365" s="31" t="n">
        <v>46</v>
      </c>
      <c r="M365" s="31" t="inlineStr">
        <is>
          <t>Outperforming</t>
        </is>
      </c>
      <c r="N365" s="32">
        <f>IF(M365="Underperforming",-5,IF(L365&gt;=95,15,IF(L365&gt;=90,10,IF(L365&gt;=80,5,0))))</f>
        <v/>
      </c>
      <c r="O365" s="32" t="n">
        <v>67.73999999999999</v>
      </c>
      <c r="P365" s="32" t="n">
        <v>35.8</v>
      </c>
      <c r="Q365" s="32" t="n">
        <v>3931.46</v>
      </c>
      <c r="R365" s="31" t="inlineStr">
        <is>
          <t>Near 52W High Breakout</t>
        </is>
      </c>
      <c r="S365" s="31" t="inlineStr">
        <is>
          <t>Nifty 500</t>
        </is>
      </c>
      <c r="T365" s="32" t="n">
        <v>5.11</v>
      </c>
      <c r="U365" s="32" t="n">
        <v>35.02</v>
      </c>
      <c r="V365" s="32" t="n">
        <v>28.45</v>
      </c>
      <c r="W365" s="32" t="n">
        <v>12.03</v>
      </c>
      <c r="X365" s="31" t="inlineStr">
        <is>
          <t>Growing Industry</t>
        </is>
      </c>
      <c r="Y365" s="31">
        <f>IF(X365="Growing Industry",10,IF(X365="Cyclical in an Upturn",5,0))</f>
        <v/>
      </c>
      <c r="Z365" s="31" t="inlineStr">
        <is>
          <t>Oligopoly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No</t>
        </is>
      </c>
      <c r="AC365" s="31">
        <f>IF(AB365="No",5,0)</f>
        <v/>
      </c>
      <c r="AD365" s="31" t="inlineStr">
        <is>
          <t>Tailwind</t>
        </is>
      </c>
      <c r="AE365" s="31">
        <f>IF(AD365="Tailwind",10,0)</f>
        <v/>
      </c>
      <c r="AF365" s="31" t="inlineStr">
        <is>
          <t>Shallow Cyclical (2 to 3 Years Growth)</t>
        </is>
      </c>
      <c r="AG365" s="31">
        <f>IF(AF365="Structural (10 Years Consistency)",10,IF(AF365="Shallow Cyclical (2 to 3 years growth)",5,0))</f>
        <v/>
      </c>
      <c r="AH365" s="31" t="inlineStr">
        <is>
          <t>Yes due to Product Mix change or Operating Leverage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Volatile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Yes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Allocated capital in Non-core Areas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Above 40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3</t>
        </is>
      </c>
      <c r="BC365" s="31">
        <f>IF(BB365="Stage 2",20,IF(BB365="Stage 1",0,IF(BB365="Stage 3",5,IF(BB365="Stage 4",-5,0))))</f>
        <v/>
      </c>
      <c r="BD365" s="31" t="inlineStr">
        <is>
          <t>Negative Trend</t>
        </is>
      </c>
      <c r="BE365" s="31">
        <f>IF(BD365="Positive Trend",20,IF(BD365="Negative Trend",-10,0))</f>
        <v/>
      </c>
      <c r="BF365" s="31" t="inlineStr">
        <is>
          <t>Sideways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Overhead supply in last 2 years in last 2 years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More than 20%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No</t>
        </is>
      </c>
      <c r="BS365" s="31">
        <f>IF(BR365="NO",5,0)</f>
        <v/>
      </c>
      <c r="BT365" s="31" t="inlineStr">
        <is>
          <t>Less than 1.5</t>
        </is>
      </c>
      <c r="BU365" s="31">
        <f>IF(BT365="Above 2",0,IF(BT365="Between 1.5 to 2",5,IF(BT365="Less than 1.5",10,0)))</f>
        <v/>
      </c>
      <c r="BV365" s="31" t="inlineStr">
        <is>
          <t>Above 70%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Less than 0.7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More than 15%</t>
        </is>
      </c>
      <c r="CC365" s="31">
        <f>IF(CB365="More than 15%",-10,IF(CB365="Less than 15%",10,0))</f>
        <v/>
      </c>
      <c r="CD365" s="31" t="inlineStr">
        <is>
          <t>Yes Upto 10%</t>
        </is>
      </c>
      <c r="CE365" s="31">
        <f>IF(CD365="Yes, more than 10%",-10,IF(CD365="No",10,0))</f>
        <v/>
      </c>
    </row>
    <row r="366">
      <c r="A366" s="31">
        <f>IF(B366=0,"",RANK(B366,$B$2:$B$370,0))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1" t="inlineStr">
        <is>
          <t>GNFC</t>
        </is>
      </c>
      <c r="D366" s="31" t="inlineStr">
        <is>
          <t>Gujarat Narmada Valley Fertilizers And Chemicals Limited</t>
        </is>
      </c>
      <c r="E366" s="31" t="inlineStr">
        <is>
          <t>chemicals</t>
        </is>
      </c>
      <c r="F366" s="31" t="inlineStr">
        <is>
          <t>chemicals</t>
        </is>
      </c>
      <c r="G366" s="31" t="inlineStr">
        <is>
          <t>midcap</t>
        </is>
      </c>
      <c r="H366" s="32" t="n">
        <v>8713.58</v>
      </c>
      <c r="I366" s="32" t="n">
        <v>588</v>
      </c>
      <c r="J366" s="32" t="n">
        <v>-0.84</v>
      </c>
      <c r="K366" s="32" t="n">
        <v>770629</v>
      </c>
      <c r="L366" s="31" t="n">
        <v>25</v>
      </c>
      <c r="M366" s="31" t="inlineStr">
        <is>
          <t>Outperforming</t>
        </is>
      </c>
      <c r="N366" s="32">
        <f>IF(M366="Underperforming",-5,IF(L366&gt;=95,15,IF(L366&gt;=90,10,IF(L366&gt;=80,5,0))))</f>
        <v/>
      </c>
      <c r="O366" s="32" t="n">
        <v>68.13</v>
      </c>
      <c r="P366" s="32" t="n">
        <v>35.46</v>
      </c>
      <c r="Q366" s="32" t="n">
        <v>479.33</v>
      </c>
      <c r="R366" s="31" t="inlineStr">
        <is>
          <t>Near 52W High Breakout</t>
        </is>
      </c>
      <c r="S366" s="31" t="inlineStr">
        <is>
          <t>Nifty 50</t>
        </is>
      </c>
      <c r="T366" s="32" t="n">
        <v>-0.38</v>
      </c>
      <c r="U366" s="32" t="n">
        <v>16.38</v>
      </c>
      <c r="V366" s="32" t="n">
        <v>16.82</v>
      </c>
      <c r="W366" s="32" t="n">
        <v>6.79</v>
      </c>
      <c r="X366" s="31" t="inlineStr">
        <is>
          <t>Growing Industry</t>
        </is>
      </c>
      <c r="Y366" s="31">
        <f>IF(X366="Growing Industry",10,IF(X366="Cyclical in an Upturn",5,0))</f>
        <v/>
      </c>
      <c r="Z366" s="31" t="inlineStr">
        <is>
          <t>Oligopoly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Tailwind</t>
        </is>
      </c>
      <c r="AE366" s="31">
        <f>IF(AD366="Tailwind",10,0)</f>
        <v/>
      </c>
      <c r="AF366" s="31" t="inlineStr">
        <is>
          <t>Shallow Cyclical (2 to 3 Years Growth)</t>
        </is>
      </c>
      <c r="AG366" s="31">
        <f>IF(AF366="Structural (10 Years Consistency)",10,IF(AF366="Shallow Cyclical (2 to 3 years growth)",5,0))</f>
        <v/>
      </c>
      <c r="AH366" s="31" t="inlineStr">
        <is>
          <t>Yes due to Product Mix change or Operating Leverage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Volatile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Yes</t>
        </is>
      </c>
      <c r="AQ366" s="31">
        <f>IF(AP366="Yes",10,0)</f>
        <v/>
      </c>
      <c r="AR366" s="31" t="inlineStr">
        <is>
          <t>Higher One Time, Lower Annuity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Allocated capital in Non-core Areas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Above 40</t>
        </is>
      </c>
      <c r="AY366" s="31">
        <f>IF(AX366="Above 40",20,IF(AX366="20 to 40",10,IF(AX366="0 to 20",-5,0)))</f>
        <v/>
      </c>
      <c r="AZ366" s="31" t="inlineStr">
        <is>
          <t>Between 50 to 75</t>
        </is>
      </c>
      <c r="BA366" s="31">
        <f>IF(AZ366="Between 50 to 75",10,IF(AZ366="Above 75",0,0))</f>
        <v/>
      </c>
      <c r="BB366" s="31" t="inlineStr">
        <is>
          <t>Stage 3</t>
        </is>
      </c>
      <c r="BC366" s="31">
        <f>IF(BB366="Stage 2",20,IF(BB366="Stage 1",0,IF(BB366="Stage 3",5,IF(BB366="Stage 4",-5,0))))</f>
        <v/>
      </c>
      <c r="BD366" s="31" t="inlineStr">
        <is>
          <t>Negative Trend</t>
        </is>
      </c>
      <c r="BE366" s="31">
        <f>IF(BD366="Positive Trend",20,IF(BD366="Negative Trend",-10,0))</f>
        <v/>
      </c>
      <c r="BF366" s="31" t="inlineStr">
        <is>
          <t>Sideways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Overhead supply in last 2 years in last 2 years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More than 20%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No</t>
        </is>
      </c>
      <c r="BS366" s="31">
        <f>IF(BR366="NO",5,0)</f>
        <v/>
      </c>
      <c r="BT366" s="31" t="inlineStr">
        <is>
          <t>Less than 1.5</t>
        </is>
      </c>
      <c r="BU366" s="31">
        <f>IF(BT366="Above 2",0,IF(BT366="Between 1.5 to 2",5,IF(BT366="Less than 1.5",10,0)))</f>
        <v/>
      </c>
      <c r="BV366" s="31" t="inlineStr">
        <is>
          <t>Above 70%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Less than 0.7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More than 15%</t>
        </is>
      </c>
      <c r="CC366" s="31">
        <f>IF(CB366="More than 15%",-10,IF(CB366="Less than 15%",10,0))</f>
        <v/>
      </c>
      <c r="CD366" s="31" t="inlineStr">
        <is>
          <t>Yes Upto 10%</t>
        </is>
      </c>
      <c r="CE366" s="31">
        <f>IF(CD366="Yes, more than 10%",-10,IF(CD366="No",10,0))</f>
        <v/>
      </c>
    </row>
    <row r="367">
      <c r="A367" s="31">
        <f>IF(B367=0,"",RANK(B367,$B$2:$B$370,0))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1" t="inlineStr">
        <is>
          <t>GAEL</t>
        </is>
      </c>
      <c r="D367" s="31" t="inlineStr">
        <is>
          <t>Gujarat Ambuja Exports Limited</t>
        </is>
      </c>
      <c r="E367" s="31" t="inlineStr">
        <is>
          <t>fmcg</t>
        </is>
      </c>
      <c r="F367" s="31" t="inlineStr">
        <is>
          <t>miscellaneous</t>
        </is>
      </c>
      <c r="G367" s="31" t="inlineStr">
        <is>
          <t>midcap</t>
        </is>
      </c>
      <c r="H367" s="32" t="n">
        <v>8283.59</v>
      </c>
      <c r="I367" s="32" t="n">
        <v>177.53</v>
      </c>
      <c r="J367" s="32" t="n">
        <v>-1.7</v>
      </c>
      <c r="K367" s="32" t="n">
        <v>1124764</v>
      </c>
      <c r="L367" s="31" t="inlineStr"/>
      <c r="M367" s="31" t="inlineStr"/>
      <c r="N367" s="32">
        <f>IF(M367="Underperforming",-5,IF(L367&gt;=95,15,IF(L367&gt;=90,10,IF(L367&gt;=80,5,0))))</f>
        <v/>
      </c>
      <c r="O367" s="32" t="n">
        <v>65.44</v>
      </c>
      <c r="P367" s="32" t="n">
        <v>34.69</v>
      </c>
      <c r="Q367" s="32" t="n">
        <v>141.63</v>
      </c>
      <c r="R367" s="31" t="inlineStr">
        <is>
          <t>Near 52W High Breakout</t>
        </is>
      </c>
      <c r="S367" s="31" t="inlineStr">
        <is>
          <t>Nifty FMCG</t>
        </is>
      </c>
      <c r="T367" s="32" t="inlineStr"/>
      <c r="U367" s="32" t="inlineStr"/>
      <c r="V367" s="32" t="inlineStr"/>
      <c r="W367" s="32" t="inlineStr"/>
      <c r="X367" s="31" t="inlineStr">
        <is>
          <t>Growing Industry</t>
        </is>
      </c>
      <c r="Y367" s="31">
        <f>IF(X367="Growing Industry",10,IF(X367="Cyclical in an Upturn",5,0))</f>
        <v/>
      </c>
      <c r="Z367" s="31" t="inlineStr">
        <is>
          <t>Oligopoly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Tailwind</t>
        </is>
      </c>
      <c r="AE367" s="31">
        <f>IF(AD367="Tailwind",10,0)</f>
        <v/>
      </c>
      <c r="AF367" s="31" t="inlineStr">
        <is>
          <t>Shallow Cyclical (2 to 3 Years Growth)</t>
        </is>
      </c>
      <c r="AG367" s="31">
        <f>IF(AF367="Structural (10 Years Consistency)",10,IF(AF367="Shallow Cyclical (2 to 3 years growth)",5,0))</f>
        <v/>
      </c>
      <c r="AH367" s="31" t="inlineStr">
        <is>
          <t>Yes due to Product Mix change or Operating Leverage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Volatile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Yes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Allocated capital in Non-core Areas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Above 40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3</t>
        </is>
      </c>
      <c r="BC367" s="31">
        <f>IF(BB367="Stage 2",20,IF(BB367="Stage 1",0,IF(BB367="Stage 3",5,IF(BB367="Stage 4",-5,0))))</f>
        <v/>
      </c>
      <c r="BD367" s="31" t="inlineStr">
        <is>
          <t>Negative Trend</t>
        </is>
      </c>
      <c r="BE367" s="31">
        <f>IF(BD367="Positive Trend",20,IF(BD367="Negative Trend",-10,0))</f>
        <v/>
      </c>
      <c r="BF367" s="31" t="inlineStr">
        <is>
          <t>Sideways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Overhead supply in last 2 years in last 2 years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Yes</t>
        </is>
      </c>
      <c r="BM367" s="31">
        <f>IF(BL367="Yes",10,0)</f>
        <v/>
      </c>
      <c r="BN367" s="31" t="inlineStr">
        <is>
          <t>More than 20%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No</t>
        </is>
      </c>
      <c r="BS367" s="31">
        <f>IF(BR367="NO",5,0)</f>
        <v/>
      </c>
      <c r="BT367" s="31" t="inlineStr">
        <is>
          <t>Less than 1.5</t>
        </is>
      </c>
      <c r="BU367" s="31">
        <f>IF(BT367="Above 2",0,IF(BT367="Between 1.5 to 2",5,IF(BT367="Less than 1.5",10,0)))</f>
        <v/>
      </c>
      <c r="BV367" s="31" t="inlineStr">
        <is>
          <t>Above 70%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Less than 0.7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More than 15%</t>
        </is>
      </c>
      <c r="CC367" s="31">
        <f>IF(CB367="More than 15%",-10,IF(CB367="Less than 15%",10,0))</f>
        <v/>
      </c>
      <c r="CD367" s="31" t="inlineStr">
        <is>
          <t>Yes Upto 10%</t>
        </is>
      </c>
      <c r="CE367" s="31">
        <f>IF(CD367="Yes, more than 10%",-10,IF(CD367="No",10,0))</f>
        <v/>
      </c>
    </row>
    <row r="368">
      <c r="A368" s="31">
        <f>IF(B368=0,"",RANK(B368,$B$2:$B$370,0))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1" t="inlineStr">
        <is>
          <t>POLICYBZR</t>
        </is>
      </c>
      <c r="D368" s="31" t="inlineStr">
        <is>
          <t>PB Fintech Ltd</t>
        </is>
      </c>
      <c r="E368" s="31" t="inlineStr">
        <is>
          <t>i.t</t>
        </is>
      </c>
      <c r="F368" s="31" t="inlineStr">
        <is>
          <t>miscellaneous</t>
        </is>
      </c>
      <c r="G368" s="31" t="inlineStr">
        <is>
          <t>largecap</t>
        </is>
      </c>
      <c r="H368" s="32" t="n">
        <v>82591.03</v>
      </c>
      <c r="I368" s="32" t="n">
        <v>1798.3</v>
      </c>
      <c r="J368" s="32" t="n">
        <v>0.75</v>
      </c>
      <c r="K368" s="32" t="n">
        <v>1326363</v>
      </c>
      <c r="L368" s="31" t="n">
        <v>8</v>
      </c>
      <c r="M368" s="31" t="inlineStr">
        <is>
          <t>Outperforming</t>
        </is>
      </c>
      <c r="N368" s="32">
        <f>IF(M368="Underperforming",-5,IF(L368&gt;=95,15,IF(L368&gt;=90,10,IF(L368&gt;=80,5,0))))</f>
        <v/>
      </c>
      <c r="O368" s="32" t="n">
        <v>61.57</v>
      </c>
      <c r="P368" s="32" t="n">
        <v>9.039999999999999</v>
      </c>
      <c r="Q368" s="32" t="n">
        <v>1472.7</v>
      </c>
      <c r="R368" s="31" t="inlineStr">
        <is>
          <t>Earnings / Momentum Support</t>
        </is>
      </c>
      <c r="S368" s="31" t="inlineStr">
        <is>
          <t>Nifty IT</t>
        </is>
      </c>
      <c r="T368" s="32" t="n">
        <v>-12.53</v>
      </c>
      <c r="U368" s="32" t="n">
        <v>1.55</v>
      </c>
      <c r="V368" s="32" t="n">
        <v>16.11</v>
      </c>
      <c r="W368" s="32" t="n">
        <v>2.07</v>
      </c>
      <c r="X368" s="31" t="inlineStr">
        <is>
          <t>Growing Industry</t>
        </is>
      </c>
      <c r="Y368" s="31">
        <f>IF(X368="Growing Industry",10,IF(X368="Cyclical in an Upturn",5,0))</f>
        <v/>
      </c>
      <c r="Z368" s="31" t="inlineStr">
        <is>
          <t>Monopoly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Yes</t>
        </is>
      </c>
      <c r="AC368" s="31">
        <f>IF(AB368="No",5,0)</f>
        <v/>
      </c>
      <c r="AD368" s="31" t="inlineStr">
        <is>
          <t>Tailwind</t>
        </is>
      </c>
      <c r="AE368" s="31">
        <f>IF(AD368="Tailwind",10,0)</f>
        <v/>
      </c>
      <c r="AF368" s="31" t="inlineStr">
        <is>
          <t>Structural (10 Years Consistency)</t>
        </is>
      </c>
      <c r="AG368" s="31">
        <f>IF(AF368="Structural (10 Years Consistency)",10,IF(AF368="Shallow Cyclical (2 to 3 years growth)",5,0))</f>
        <v/>
      </c>
      <c r="AH368" s="31" t="inlineStr">
        <is>
          <t>No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Volatile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B2C</t>
        </is>
      </c>
      <c r="AO368" s="31">
        <f>IF(AN368="B2C",10,IF(AN368="B2B",5,0))</f>
        <v/>
      </c>
      <c r="AP368" s="31" t="inlineStr">
        <is>
          <t>Yes</t>
        </is>
      </c>
      <c r="AQ368" s="31">
        <f>IF(AP368="Yes",10,0)</f>
        <v/>
      </c>
      <c r="AR368" s="31" t="inlineStr">
        <is>
          <t>Fully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Allocated capital in Non-core Areas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20 to 40</t>
        </is>
      </c>
      <c r="AY368" s="31">
        <f>IF(AX368="Above 40",20,IF(AX368="20 to 40",10,IF(AX368="0 to 20",-5,0)))</f>
        <v/>
      </c>
      <c r="AZ368" s="31" t="inlineStr">
        <is>
          <t>Below 45</t>
        </is>
      </c>
      <c r="BA368" s="31">
        <f>IF(AZ368="Between 50 to 75",10,IF(AZ368="Above 75",0,0))</f>
        <v/>
      </c>
      <c r="BB368" s="31" t="inlineStr">
        <is>
          <t>Stage 1</t>
        </is>
      </c>
      <c r="BC368" s="31">
        <f>IF(BB368="Stage 2",20,IF(BB368="Stage 1",0,IF(BB368="Stage 3",5,IF(BB368="Stage 4",-5,0))))</f>
        <v/>
      </c>
      <c r="BD368" s="31" t="inlineStr">
        <is>
          <t>Positive Trend</t>
        </is>
      </c>
      <c r="BE368" s="31">
        <f>IF(BD368="Positive Trend",20,IF(BD368="Negative Trend",-10,0))</f>
        <v/>
      </c>
      <c r="BF368" s="31" t="inlineStr">
        <is>
          <t>Downtrend</t>
        </is>
      </c>
      <c r="BG368" s="31">
        <f>IF(BF368="Uptrend",10,IF(BF368="Sideways",5,0))</f>
        <v/>
      </c>
      <c r="BH368" s="31" t="inlineStr">
        <is>
          <t>Downtrend</t>
        </is>
      </c>
      <c r="BI368" s="31">
        <f>IF(BH368="Uptrend",10,IF(BH368="Sideways",5,0))</f>
        <v/>
      </c>
      <c r="BJ368" s="31" t="inlineStr">
        <is>
          <t>Overhead supply in last 2 years in last 2 years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Less than 12%</t>
        </is>
      </c>
      <c r="BO368" s="31">
        <f>IF(BN368="More than 20%",10,IF(BN368="Between 12 to 20%",5,IF(BN368="Less than 12%",0,0)))</f>
        <v/>
      </c>
      <c r="BP368" s="31" t="inlineStr">
        <is>
          <t>Yes</t>
        </is>
      </c>
      <c r="BQ368" s="31">
        <f>IF(BP368="No",10,0)</f>
        <v/>
      </c>
      <c r="BR368" s="31" t="inlineStr">
        <is>
          <t>Yes</t>
        </is>
      </c>
      <c r="BS368" s="31">
        <f>IF(BR368="NO",5,0)</f>
        <v/>
      </c>
      <c r="BT368" s="31" t="inlineStr">
        <is>
          <t>Above 2</t>
        </is>
      </c>
      <c r="BU368" s="31">
        <f>IF(BT368="Above 2",0,IF(BT368="Between 1.5 to 2",5,IF(BT368="Less than 1.5",10,0)))</f>
        <v/>
      </c>
      <c r="BV368" s="31" t="inlineStr">
        <is>
          <t>Above 70%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Less than 0.7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Less than 15%</t>
        </is>
      </c>
      <c r="CC368" s="31">
        <f>IF(CB368="More than 15%",-10,IF(CB368="Less than 15%",10,0))</f>
        <v/>
      </c>
      <c r="CD368" s="31" t="inlineStr">
        <is>
          <t>No</t>
        </is>
      </c>
      <c r="CE368" s="31">
        <f>IF(CD368="Yes, more than 10%",-10,IF(CD368="No",10,0))</f>
        <v/>
      </c>
    </row>
    <row r="369">
      <c r="A369" s="31">
        <f>IF(B369=0,"",RANK(B369,$B$2:$B$370,0))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1" t="inlineStr">
        <is>
          <t>JINDALSTEL</t>
        </is>
      </c>
      <c r="D369" s="31" t="inlineStr">
        <is>
          <t>Jindal Steel Ltd</t>
        </is>
      </c>
      <c r="E369" s="31" t="inlineStr">
        <is>
          <t>metals &amp; mining</t>
        </is>
      </c>
      <c r="F369" s="31" t="inlineStr">
        <is>
          <t>steel - large</t>
        </is>
      </c>
      <c r="G369" s="31" t="inlineStr">
        <is>
          <t>largecap</t>
        </is>
      </c>
      <c r="H369" s="32" t="n">
        <v>117208.12</v>
      </c>
      <c r="I369" s="32" t="n">
        <v>1154.1</v>
      </c>
      <c r="J369" s="32" t="n">
        <v>0.44</v>
      </c>
      <c r="K369" s="32" t="n">
        <v>657917</v>
      </c>
      <c r="L369" s="31" t="inlineStr"/>
      <c r="M369" s="31" t="inlineStr"/>
      <c r="N369" s="32">
        <f>IF(M369="Underperforming",-5,IF(L369&gt;=95,15,IF(L369&gt;=90,10,IF(L369&gt;=80,5,0))))</f>
        <v/>
      </c>
      <c r="O369" s="32" t="n">
        <v>54.86</v>
      </c>
      <c r="P369" s="32" t="n">
        <v>14.19</v>
      </c>
      <c r="Q369" s="32" t="n">
        <v>1028.12</v>
      </c>
      <c r="R369" s="31" t="inlineStr">
        <is>
          <t>Earnings / Momentum Support</t>
        </is>
      </c>
      <c r="S369" s="31" t="inlineStr">
        <is>
          <t>Nifty Metal</t>
        </is>
      </c>
      <c r="T369" s="32" t="inlineStr"/>
      <c r="U369" s="32" t="inlineStr"/>
      <c r="V369" s="32" t="inlineStr"/>
      <c r="W369" s="32" t="inlineStr"/>
      <c r="X369" s="31" t="inlineStr">
        <is>
          <t>Cyclical in an Upturn</t>
        </is>
      </c>
      <c r="Y369" s="31">
        <f>IF(X369="Growing Industry",10,IF(X369="Cyclical in an Upturn",5,0))</f>
        <v/>
      </c>
      <c r="Z369" s="31" t="inlineStr">
        <is>
          <t>Too Many Players with High ROCE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No</t>
        </is>
      </c>
      <c r="AC369" s="31">
        <f>IF(AB369="No",5,0)</f>
        <v/>
      </c>
      <c r="AD369" s="31" t="inlineStr">
        <is>
          <t>Headwind</t>
        </is>
      </c>
      <c r="AE369" s="31">
        <f>IF(AD369="Tailwind",10,0)</f>
        <v/>
      </c>
      <c r="AF369" s="31" t="inlineStr">
        <is>
          <t>Cyclical</t>
        </is>
      </c>
      <c r="AG369" s="31">
        <f>IF(AF369="Structural (10 Years Consistency)",10,IF(AF369="Shallow Cyclical (2 to 3 years growth)",5,0))</f>
        <v/>
      </c>
      <c r="AH369" s="31" t="inlineStr">
        <is>
          <t>No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Volatile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No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Good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0 to 20</t>
        </is>
      </c>
      <c r="AY369" s="31">
        <f>IF(AX369="Above 40",20,IF(AX369="20 to 40",10,IF(AX369="0 to 20",-5,0)))</f>
        <v/>
      </c>
      <c r="AZ369" s="31" t="inlineStr">
        <is>
          <t>Between 50 to 75</t>
        </is>
      </c>
      <c r="BA369" s="31">
        <f>IF(AZ369="Between 50 to 75",10,IF(AZ369="Above 75",0,0))</f>
        <v/>
      </c>
      <c r="BB369" s="31" t="inlineStr">
        <is>
          <t>Stage 1</t>
        </is>
      </c>
      <c r="BC369" s="31">
        <f>IF(BB369="Stage 2",20,IF(BB369="Stage 1",0,IF(BB369="Stage 3",5,IF(BB369="Stage 4",-5,0))))</f>
        <v/>
      </c>
      <c r="BD369" s="31" t="inlineStr">
        <is>
          <t>Positive Trend</t>
        </is>
      </c>
      <c r="BE369" s="31">
        <f>IF(BD369="Positive Trend",20,IF(BD369="Negative Trend",-10,0))</f>
        <v/>
      </c>
      <c r="BF369" s="31" t="inlineStr">
        <is>
          <t>Uptrend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Close to 52 week high or retracement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Yes</t>
        </is>
      </c>
      <c r="BM369" s="31">
        <f>IF(BL369="Yes",10,0)</f>
        <v/>
      </c>
      <c r="BN369" s="31" t="inlineStr">
        <is>
          <t>Less than 12%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Yes</t>
        </is>
      </c>
      <c r="BS369" s="31">
        <f>IF(BR369="NO",5,0)</f>
        <v/>
      </c>
      <c r="BT369" s="31" t="inlineStr">
        <is>
          <t>Above 2</t>
        </is>
      </c>
      <c r="BU369" s="31">
        <f>IF(BT369="Above 2",0,IF(BT369="Between 1.5 to 2",5,IF(BT369="Less than 1.5",10,0)))</f>
        <v/>
      </c>
      <c r="BV369" s="31" t="inlineStr">
        <is>
          <t>Above 70%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Less than 0.7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Less than 15%</t>
        </is>
      </c>
      <c r="CC369" s="31">
        <f>IF(CB369="More than 15%",-10,IF(CB369="Less than 15%",10,0))</f>
        <v/>
      </c>
      <c r="CD369" s="31" t="inlineStr">
        <is>
          <t>No</t>
        </is>
      </c>
      <c r="CE369" s="31">
        <f>IF(CD369="Yes, more than 10%",-10,IF(CD369="No",10,0))</f>
        <v/>
      </c>
    </row>
    <row r="370">
      <c r="A370" s="31">
        <f>IF(B370=0,"",RANK(B370,$B$2:$B$370,0))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3" t="inlineStr">
        <is>
          <t>GUJTHEM</t>
        </is>
      </c>
      <c r="D370" s="33" t="inlineStr">
        <is>
          <t>Gujarat Themis Biosyn Ltd</t>
        </is>
      </c>
      <c r="E370" s="31" t="inlineStr">
        <is>
          <t>healthcare</t>
        </is>
      </c>
      <c r="F370" s="31" t="inlineStr">
        <is>
          <t>pharmaceuticals - indian - bulk drugs</t>
        </is>
      </c>
      <c r="G370" s="31" t="inlineStr">
        <is>
          <t>smallcap</t>
        </is>
      </c>
      <c r="H370" s="32" t="n">
        <v>4486.1</v>
      </c>
      <c r="I370" s="32" t="n">
        <v>404.7</v>
      </c>
      <c r="J370" s="32" t="n">
        <v>-1.7</v>
      </c>
      <c r="K370" s="32" t="n">
        <v>1046900</v>
      </c>
      <c r="L370" s="31" t="n">
        <v>11</v>
      </c>
      <c r="M370" s="31" t="inlineStr">
        <is>
          <t>Underperforming</t>
        </is>
      </c>
      <c r="N370" s="32">
        <f>IF(M370="Underperforming",-5,IF(L370&gt;=95,15,IF(L370&gt;=90,10,IF(L370&gt;=80,5,0))))</f>
        <v/>
      </c>
      <c r="O370" s="32" t="n">
        <v>59.93</v>
      </c>
      <c r="P370" s="32" t="n">
        <v>23.19</v>
      </c>
      <c r="Q370" s="32" t="n">
        <v>302.04</v>
      </c>
      <c r="R370" s="31" t="inlineStr">
        <is>
          <t>Volume Spike / Accumulation</t>
        </is>
      </c>
      <c r="S370" s="31" t="inlineStr">
        <is>
          <t>Nifty Pharma</t>
        </is>
      </c>
      <c r="T370" s="32" t="n">
        <v>21.83</v>
      </c>
      <c r="U370" s="32" t="n">
        <v>7.01</v>
      </c>
      <c r="V370" s="32" t="n">
        <v>-12.17</v>
      </c>
      <c r="W370" s="32" t="n">
        <v>2.95</v>
      </c>
      <c r="X370" s="31" t="inlineStr">
        <is>
          <t>Growing Industry</t>
        </is>
      </c>
      <c r="Y370" s="31">
        <f>IF(X370="Growing Industry",10,IF(X370="Cyclical in an Upturn",5,0))</f>
        <v/>
      </c>
      <c r="Z370" s="31" t="inlineStr">
        <is>
          <t>Oligopoly</t>
        </is>
      </c>
      <c r="AA370" s="31">
        <f>IF(Z370="Monopoly",10,IF(Z370="Oligopoly",5,IF(Z370="Duopoly that cooperate",10,IF(Z370="Duopoly that compete",5,IF(Z370="Too many players with High ROCE",5,0)))))</f>
        <v/>
      </c>
      <c r="AB370" s="31" t="inlineStr">
        <is>
          <t>No</t>
        </is>
      </c>
      <c r="AC370" s="31">
        <f>IF(AB370="No",5,0)</f>
        <v/>
      </c>
      <c r="AD370" s="31" t="inlineStr">
        <is>
          <t>Tailwind</t>
        </is>
      </c>
      <c r="AE370" s="31">
        <f>IF(AD370="Tailwind",10,0)</f>
        <v/>
      </c>
      <c r="AF370" s="31" t="inlineStr">
        <is>
          <t>Shallow Cyclical (2 to 3 Years Growth)</t>
        </is>
      </c>
      <c r="AG370" s="31">
        <f>IF(AF370="Structural (10 Years Consistency)",10,IF(AF370="Shallow Cyclical (2 to 3 years growth)",5,0))</f>
        <v/>
      </c>
      <c r="AH370" s="31" t="inlineStr">
        <is>
          <t>Yes due to Product Mix change or Operating Leverage</t>
        </is>
      </c>
      <c r="AI370" s="31">
        <f>IF(AH370="Yes due to Product Mix change or Operating Leverage",10,IF(AH370="Yes, these are peak margins",-5,IF(AH370="No",5,0)))</f>
        <v/>
      </c>
      <c r="AJ370" s="31" t="inlineStr">
        <is>
          <t>Volatile</t>
        </is>
      </c>
      <c r="AK370" s="31">
        <f>IF(AJ370="Stable",10,0)</f>
        <v/>
      </c>
      <c r="AL370" s="31" t="inlineStr">
        <is>
          <t>Yes</t>
        </is>
      </c>
      <c r="AM370" s="31">
        <f>IF(AL370="Yes",10,0)</f>
        <v/>
      </c>
      <c r="AN370" s="31" t="inlineStr">
        <is>
          <t>B2B</t>
        </is>
      </c>
      <c r="AO370" s="31">
        <f>IF(AN370="B2C",10,IF(AN370="B2B",5,0))</f>
        <v/>
      </c>
      <c r="AP370" s="31" t="inlineStr">
        <is>
          <t>Yes</t>
        </is>
      </c>
      <c r="AQ370" s="31">
        <f>IF(AP370="Yes",10,0)</f>
        <v/>
      </c>
      <c r="AR370" s="31" t="inlineStr">
        <is>
          <t>Higher One Time, Lower Annuity</t>
        </is>
      </c>
      <c r="AS370" s="31">
        <f>IF(AR370="Fully Annuity",10,IF(AR370="Higher Annuity, Lower One Time",5,IF(AR370="Higher One Time, Lower Annuity",3,0)))</f>
        <v/>
      </c>
      <c r="AT370" s="31" t="inlineStr">
        <is>
          <t>Allocated capital in Non-core Areas</t>
        </is>
      </c>
      <c r="AU370" s="31">
        <f>IF(AT370="Good",10,0)</f>
        <v/>
      </c>
      <c r="AV370" s="31" t="inlineStr">
        <is>
          <t>Yes for more than 2 years</t>
        </is>
      </c>
      <c r="AW370" s="31">
        <f>IF(AV370="Yes for more than 2 years",10,IF(AV370="Yes only for next 1 to 2 years",5,0))</f>
        <v/>
      </c>
      <c r="AX370" s="31" t="inlineStr">
        <is>
          <t>Above 40</t>
        </is>
      </c>
      <c r="AY370" s="31">
        <f>IF(AX370="Above 40",20,IF(AX370="20 to 40",10,IF(AX370="0 to 20",-5,0)))</f>
        <v/>
      </c>
      <c r="AZ370" s="31" t="inlineStr">
        <is>
          <t>Between 50 to 75</t>
        </is>
      </c>
      <c r="BA370" s="31">
        <f>IF(AZ370="Between 50 to 75",10,IF(AZ370="Above 75",0,0))</f>
        <v/>
      </c>
      <c r="BB370" s="31" t="inlineStr">
        <is>
          <t>Stage 3</t>
        </is>
      </c>
      <c r="BC370" s="31">
        <f>IF(BB370="Stage 2",20,IF(BB370="Stage 1",0,IF(BB370="Stage 3",5,IF(BB370="Stage 4",-5,0))))</f>
        <v/>
      </c>
      <c r="BD370" s="31" t="inlineStr">
        <is>
          <t>Negative Trend</t>
        </is>
      </c>
      <c r="BE370" s="31">
        <f>IF(BD370="Positive Trend",20,IF(BD370="Negative Trend",-10,0))</f>
        <v/>
      </c>
      <c r="BF370" s="31" t="inlineStr">
        <is>
          <t>Sideways</t>
        </is>
      </c>
      <c r="BG370" s="31">
        <f>IF(BF370="Uptrend",10,IF(BF370="Sideways",5,0))</f>
        <v/>
      </c>
      <c r="BH370" s="31" t="inlineStr">
        <is>
          <t>Uptrend</t>
        </is>
      </c>
      <c r="BI370" s="31">
        <f>IF(BH370="Uptrend",10,IF(BH370="Sideways",5,0))</f>
        <v/>
      </c>
      <c r="BJ370" s="31" t="inlineStr">
        <is>
          <t>Overhead supply in last 2 years in last 2 years</t>
        </is>
      </c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inlineStr">
        <is>
          <t>Yes</t>
        </is>
      </c>
      <c r="BM370" s="31">
        <f>IF(BL370="Yes",10,0)</f>
        <v/>
      </c>
      <c r="BN370" s="31" t="inlineStr">
        <is>
          <t>More than 20%</t>
        </is>
      </c>
      <c r="BO370" s="31">
        <f>IF(BN370="More than 20%",10,IF(BN370="Between 12 to 20%",5,IF(BN370="Less than 12%",0,0)))</f>
        <v/>
      </c>
      <c r="BP370" s="31" t="inlineStr">
        <is>
          <t>No</t>
        </is>
      </c>
      <c r="BQ370" s="31">
        <f>IF(BP370="No",10,0)</f>
        <v/>
      </c>
      <c r="BR370" s="31" t="inlineStr">
        <is>
          <t>No</t>
        </is>
      </c>
      <c r="BS370" s="31">
        <f>IF(BR370="NO",5,0)</f>
        <v/>
      </c>
      <c r="BT370" s="31" t="inlineStr">
        <is>
          <t>Less than 1.5</t>
        </is>
      </c>
      <c r="BU370" s="31">
        <f>IF(BT370="Above 2",0,IF(BT370="Between 1.5 to 2",5,IF(BT370="Less than 1.5",10,0)))</f>
        <v/>
      </c>
      <c r="BV370" s="31" t="inlineStr">
        <is>
          <t>Above 70%</t>
        </is>
      </c>
      <c r="BW370" s="31">
        <f>IF(BV370="Above 70%",10,IF(BV370="Between 50% to 70%",5,IF(BV370="Less than 50%",0,IF(BV370="Negative",-10,IF(BV370="Less than 50% and Borrowings are increasing",-5,0)))))</f>
        <v/>
      </c>
      <c r="BX370" s="31" t="inlineStr">
        <is>
          <t>Less than 0.7</t>
        </is>
      </c>
      <c r="BY370" s="31">
        <f>IF(BX370="More than 1.2",-10,IF(BX370="Between 0.7 to 1.2",0,IF(BX370="Less than 0.7",10,0)))</f>
        <v/>
      </c>
      <c r="BZ370" s="31" t="inlineStr">
        <is>
          <t>No</t>
        </is>
      </c>
      <c r="CA370" s="31">
        <f>IF(BZ370="Yes",-10,0)</f>
        <v/>
      </c>
      <c r="CB370" s="31" t="inlineStr">
        <is>
          <t>More than 15%</t>
        </is>
      </c>
      <c r="CC370" s="31">
        <f>IF(CB370="More than 15%",-10,IF(CB370="Less than 15%",10,0))</f>
        <v/>
      </c>
      <c r="CD370" s="31" t="inlineStr">
        <is>
          <t>Yes Upto 10%</t>
        </is>
      </c>
      <c r="CE370" s="31">
        <f>IF(CD370="Yes, more than 10%",-10,IF(CD370="No",10,0))</f>
        <v/>
      </c>
    </row>
  </sheetData>
  <autoFilter ref="A1:CE370"/>
  <conditionalFormatting sqref="B2:B37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70">
    <cfRule type="cellIs" priority="36" operator="equal" dxfId="3" stopIfTrue="1">
      <formula>"Underperforming"</formula>
    </cfRule>
  </conditionalFormatting>
  <conditionalFormatting sqref="N2:N370">
    <cfRule type="cellIs" priority="37" operator="equal" dxfId="3" stopIfTrue="1">
      <formula>-5</formula>
    </cfRule>
  </conditionalFormatting>
  <conditionalFormatting sqref="Q2:Q37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70" showDropDown="0" showInputMessage="0" showErrorMessage="0" allowBlank="1" type="list">
      <formula1>"Growing Industry,Stagnant Industry,Cyclical in an Upturn"</formula1>
    </dataValidation>
    <dataValidation sqref="Z2:Z37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70" showDropDown="0" showInputMessage="0" showErrorMessage="0" allowBlank="1" type="list">
      <formula1>"Yes,No"</formula1>
    </dataValidation>
    <dataValidation sqref="AD2:AD370" showDropDown="0" showInputMessage="0" showErrorMessage="0" allowBlank="1" type="list">
      <formula1>"Tailwind,Headwind"</formula1>
    </dataValidation>
    <dataValidation sqref="AF2:AF370" showDropDown="0" showInputMessage="0" showErrorMessage="0" allowBlank="1" type="list">
      <formula1>"Structural (10 Years Consistency),Shallow Cyclical (2 to 3 Years Growth),Cyclical"</formula1>
    </dataValidation>
    <dataValidation sqref="AH2:AH370" showDropDown="0" showInputMessage="0" showErrorMessage="0" allowBlank="1" type="list">
      <formula1>"Yes due to Product Mix change or Operating Leverage,Yes, these are peak margins,No"</formula1>
    </dataValidation>
    <dataValidation sqref="AJ2:AJ370" showDropDown="0" showInputMessage="0" showErrorMessage="0" allowBlank="1" type="list">
      <formula1>"Stable,Volatile"</formula1>
    </dataValidation>
    <dataValidation sqref="AL2:AL370" showDropDown="0" showInputMessage="0" showErrorMessage="0" allowBlank="1" type="list">
      <formula1>"Yes,No"</formula1>
    </dataValidation>
    <dataValidation sqref="AN2:AN370" showDropDown="0" showInputMessage="0" showErrorMessage="0" allowBlank="1" type="list">
      <formula1>"B2C,B2B,B2G"</formula1>
    </dataValidation>
    <dataValidation sqref="AP2:AP370" showDropDown="0" showInputMessage="0" showErrorMessage="0" allowBlank="1" type="list">
      <formula1>"Yes,No"</formula1>
    </dataValidation>
    <dataValidation sqref="AR2:AR370" showDropDown="0" showInputMessage="0" showErrorMessage="0" allowBlank="1" type="list">
      <formula1>"Fully Annuity,Higher Annuity, Lower One time,Higher One Time, Lower Annuity,Fully One Time"</formula1>
    </dataValidation>
    <dataValidation sqref="AT2:AT370" showDropDown="0" showInputMessage="0" showErrorMessage="0" allowBlank="1" type="list">
      <formula1>"Good,Allocated capital in Non-core Areas"</formula1>
    </dataValidation>
    <dataValidation sqref="AV2:AV370" showDropDown="0" showInputMessage="0" showErrorMessage="0" allowBlank="1" type="list">
      <formula1>"Yes for more than 2 years,Yes only for next 1 to 2 years,No"</formula1>
    </dataValidation>
    <dataValidation sqref="AX2:AX370" showDropDown="0" showInputMessage="0" showErrorMessage="0" allowBlank="1" type="list">
      <formula1>"Above 40,20 to 40,0 to 20"</formula1>
    </dataValidation>
    <dataValidation sqref="AZ2:AZ370" showDropDown="0" showInputMessage="0" showErrorMessage="0" allowBlank="1" type="list">
      <formula1>"Between 50 to 75,Above 75,Below 45"</formula1>
    </dataValidation>
    <dataValidation sqref="BB2:BB370" showDropDown="0" showInputMessage="0" showErrorMessage="0" allowBlank="1" type="list">
      <formula1>"Stage 1,Stage 2,Stage 3,Stage 4"</formula1>
    </dataValidation>
    <dataValidation sqref="BD2:BD370" showDropDown="0" showInputMessage="0" showErrorMessage="0" allowBlank="1" type="list">
      <formula1>"Positive Trend,Negative Trend"</formula1>
    </dataValidation>
    <dataValidation sqref="BF2:BF370" showDropDown="0" showInputMessage="0" showErrorMessage="0" allowBlank="1" type="list">
      <formula1>"Uptrend,Sideways,Downtrend"</formula1>
    </dataValidation>
    <dataValidation sqref="BH2:BH370" showDropDown="0" showInputMessage="0" showErrorMessage="0" allowBlank="1" type="list">
      <formula1>"Uptrend,Sideways,Downtrend"</formula1>
    </dataValidation>
    <dataValidation sqref="BJ2:BJ37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70" showDropDown="0" showInputMessage="0" showErrorMessage="0" allowBlank="1" type="list">
      <formula1>"Yes,No"</formula1>
    </dataValidation>
    <dataValidation sqref="BN2:BN370" showDropDown="0" showInputMessage="0" showErrorMessage="0" allowBlank="1" type="list">
      <formula1>"More than 20%,Between 12 to 20%,Less than 12%"</formula1>
    </dataValidation>
    <dataValidation sqref="BP2:BP370" showDropDown="0" showInputMessage="0" showErrorMessage="0" allowBlank="1" type="list">
      <formula1>"Yes,No"</formula1>
    </dataValidation>
    <dataValidation sqref="BR2:BR370" showDropDown="0" showInputMessage="0" showErrorMessage="0" allowBlank="1" type="list">
      <formula1>"Yes,No"</formula1>
    </dataValidation>
    <dataValidation sqref="BT2:BT370" showDropDown="0" showInputMessage="0" showErrorMessage="0" allowBlank="1" type="list">
      <formula1>"Above 2,Between 1.5 to 2,Less than 1.5"</formula1>
    </dataValidation>
    <dataValidation sqref="BV2:BV370" showDropDown="0" showInputMessage="0" showErrorMessage="0" allowBlank="1" type="list">
      <formula1>"Above 70%,Between 50% to 70%,Less than 50%,Less than 50% and Borrowings are increasing,Negative"</formula1>
    </dataValidation>
    <dataValidation sqref="BX2:BX370" showDropDown="0" showInputMessage="0" showErrorMessage="0" allowBlank="1" type="list">
      <formula1>"More than 1.2,Between 0.7 to 1.2,Less than 0.7"</formula1>
    </dataValidation>
    <dataValidation sqref="BZ2:BZ370" showDropDown="0" showInputMessage="0" showErrorMessage="0" allowBlank="1" type="list">
      <formula1>"Yes,No"</formula1>
    </dataValidation>
    <dataValidation sqref="CB2:CB370" showDropDown="0" showInputMessage="0" showErrorMessage="0" allowBlank="1" type="list">
      <formula1>"More than 15%,Less than 15%"</formula1>
    </dataValidation>
    <dataValidation sqref="CD2:CD37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IF(B2=0,"",RANK(B2,$B$2:$B$41,0))</f>
        <v/>
      </c>
      <c r="B2" s="32">
        <f>SUM(N2,Y2,AA2,AC2,AE2,AG2,AI2,AK2,AM2,AO2,AQ2,AS2,AU2,AW2,AY2,BA2,BC2,BE2,BG2,BI2,BK2,BM2,BO2,BQ2,BS2,BU2,BW2,BY2,CA2)</f>
        <v/>
      </c>
      <c r="C2" s="31" t="inlineStr">
        <is>
          <t>TMB</t>
        </is>
      </c>
      <c r="D2" s="31" t="inlineStr">
        <is>
          <t>Tamilnad Mercantile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13857.34</v>
      </c>
      <c r="I2" s="32" t="n">
        <v>873.5</v>
      </c>
      <c r="J2" s="32" t="n">
        <v>-0.18</v>
      </c>
      <c r="K2" s="32" t="n">
        <v>78644</v>
      </c>
      <c r="L2" s="31" t="n">
        <v>77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69.40000000000001</v>
      </c>
      <c r="P2" s="32" t="n">
        <v>40.25</v>
      </c>
      <c r="Q2" s="32" t="n">
        <v>713.5</v>
      </c>
      <c r="R2" s="31" t="inlineStr">
        <is>
          <t>Near 52W High Breakout</t>
        </is>
      </c>
      <c r="S2" s="31" t="inlineStr">
        <is>
          <t>Nifty Bank</t>
        </is>
      </c>
      <c r="T2" s="32" t="n">
        <v>7.19</v>
      </c>
      <c r="U2" s="32" t="n">
        <v>109.23</v>
      </c>
      <c r="V2" s="32" t="n">
        <v>95.19</v>
      </c>
      <c r="W2" s="32" t="n">
        <v>22.21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IF(B3=0,"",RANK(B3,$B$2:$B$41,0))</f>
        <v/>
      </c>
      <c r="B3" s="32">
        <f>SUM(N3,Y3,AA3,AC3,AE3,AG3,AI3,AK3,AM3,AO3,AQ3,AS3,AU3,AW3,AY3,BA3,BC3,BE3,BG3,BI3,BK3,BM3,BO3,BQ3,BS3,BU3,BW3,BY3,CA3)</f>
        <v/>
      </c>
      <c r="C3" s="31" t="inlineStr">
        <is>
          <t>TFCILTD</t>
        </is>
      </c>
      <c r="D3" s="31" t="inlineStr">
        <is>
          <t>Tourism Finance Corporation Of India Limited</t>
        </is>
      </c>
      <c r="E3" s="31" t="inlineStr">
        <is>
          <t>financials</t>
        </is>
      </c>
      <c r="F3" s="31" t="inlineStr">
        <is>
          <t>finance - term-lending institutions</t>
        </is>
      </c>
      <c r="G3" s="31" t="inlineStr">
        <is>
          <t>midcap</t>
        </is>
      </c>
      <c r="H3" s="32" t="n">
        <v>5998.33</v>
      </c>
      <c r="I3" s="32" t="n">
        <v>137.02</v>
      </c>
      <c r="J3" s="32" t="n">
        <v>5.76</v>
      </c>
      <c r="K3" s="32" t="n">
        <v>23133673</v>
      </c>
      <c r="L3" s="31" t="n">
        <v>95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84.83</v>
      </c>
      <c r="P3" s="32" t="n">
        <v>58.36</v>
      </c>
      <c r="Q3" s="32" t="n">
        <v>109.76</v>
      </c>
      <c r="R3" s="31" t="inlineStr">
        <is>
          <t>Near 52W High Breakout</t>
        </is>
      </c>
      <c r="S3" s="31" t="inlineStr">
        <is>
          <t>Nifty Bank</t>
        </is>
      </c>
      <c r="T3" s="32" t="n">
        <v>7.19</v>
      </c>
      <c r="U3" s="32" t="n">
        <v>128.76</v>
      </c>
      <c r="V3" s="32" t="n">
        <v>113.41</v>
      </c>
      <c r="W3" s="32" t="n">
        <v>39.7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IF(B4=0,"",RANK(B4,$B$2:$B$41,0))</f>
        <v/>
      </c>
      <c r="B4" s="32">
        <f>SUM(N4,Y4,AA4,AC4,AE4,AG4,AI4,AK4,AM4,AO4,AQ4,AS4,AU4,AW4,AY4,BA4,BC4,BE4,BG4,BI4,BK4,BM4,BO4,BQ4,BS4,BU4,BW4,BY4,CA4)</f>
        <v/>
      </c>
      <c r="C4" s="31" t="inlineStr">
        <is>
          <t>WELINV</t>
        </is>
      </c>
      <c r="D4" s="31" t="inlineStr">
        <is>
          <t>Welspun Investments And Commercials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775.88</v>
      </c>
      <c r="I4" s="32" t="n">
        <v>2229.2</v>
      </c>
      <c r="J4" s="32" t="n">
        <v>5</v>
      </c>
      <c r="K4" s="32" t="n">
        <v>802</v>
      </c>
      <c r="L4" s="31" t="n">
        <v>81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82.45</v>
      </c>
      <c r="P4" s="32" t="n">
        <v>54.99</v>
      </c>
      <c r="Q4" s="32" t="n">
        <v>1724.84</v>
      </c>
      <c r="R4" s="31" t="inlineStr">
        <is>
          <t>Near 52W High Breakout</t>
        </is>
      </c>
      <c r="S4" s="31" t="inlineStr">
        <is>
          <t>Nifty Bank</t>
        </is>
      </c>
      <c r="T4" s="32" t="n">
        <v>7.19</v>
      </c>
      <c r="U4" s="32" t="n">
        <v>137.38</v>
      </c>
      <c r="V4" s="32" t="n">
        <v>121.45</v>
      </c>
      <c r="W4" s="32" t="n">
        <v>24.04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IF(B5=0,"",RANK(B5,$B$2:$B$41,0))</f>
        <v/>
      </c>
      <c r="B5" s="32">
        <f>SUM(N5,Y5,AA5,AC5,AE5,AG5,AI5,AK5,AM5,AO5,AQ5,AS5,AU5,AW5,AY5,BA5,BC5,BE5,BG5,BI5,BK5,BM5,BO5,BQ5,BS5,BU5,BW5,BY5,CA5)</f>
        <v/>
      </c>
      <c r="C5" s="31" t="inlineStr">
        <is>
          <t>CUB</t>
        </is>
      </c>
      <c r="D5" s="31" t="inlineStr">
        <is>
          <t>City Union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largecap</t>
        </is>
      </c>
      <c r="H5" s="32" t="n">
        <v>21024.51</v>
      </c>
      <c r="I5" s="32" t="n">
        <v>221.6</v>
      </c>
      <c r="J5" s="32" t="n">
        <v>4.43</v>
      </c>
      <c r="K5" s="32" t="n">
        <v>4486291</v>
      </c>
      <c r="L5" s="31" t="n">
        <v>52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59.91</v>
      </c>
      <c r="P5" s="32" t="n">
        <v>32.61</v>
      </c>
      <c r="Q5" s="32" t="n">
        <v>176.81</v>
      </c>
      <c r="R5" s="31" t="inlineStr">
        <is>
          <t>Near 52W High Breakout</t>
        </is>
      </c>
      <c r="S5" s="31" t="inlineStr">
        <is>
          <t>Nifty Bank</t>
        </is>
      </c>
      <c r="T5" s="32" t="n">
        <v>7.19</v>
      </c>
      <c r="U5" s="32" t="n">
        <v>52.12</v>
      </c>
      <c r="V5" s="32" t="n">
        <v>41.92</v>
      </c>
      <c r="W5" s="32" t="n">
        <v>13.29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IF(B6=0,"",RANK(B6,$B$2:$B$41,0))</f>
        <v/>
      </c>
      <c r="B6" s="32">
        <f>SUM(N6,Y6,AA6,AC6,AE6,AG6,AI6,AK6,AM6,AO6,AQ6,AS6,AU6,AW6,AY6,BA6,BC6,BE6,BG6,BI6,BK6,BM6,BO6,BQ6,BS6,BU6,BW6,BY6,CA6)</f>
        <v/>
      </c>
      <c r="C6" s="31" t="inlineStr">
        <is>
          <t>DCBBANK</t>
        </is>
      </c>
      <c r="D6" s="31" t="inlineStr">
        <is>
          <t>Dcb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midcap</t>
        </is>
      </c>
      <c r="H6" s="32" t="n">
        <v>6433.17</v>
      </c>
      <c r="I6" s="32" t="n">
        <v>207.37</v>
      </c>
      <c r="J6" s="32" t="n">
        <v>3.82</v>
      </c>
      <c r="K6" s="32" t="n">
        <v>8949955</v>
      </c>
      <c r="L6" s="31" t="n">
        <v>65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66.26000000000001</v>
      </c>
      <c r="P6" s="32" t="n">
        <v>26.23</v>
      </c>
      <c r="Q6" s="32" t="n">
        <v>167.94</v>
      </c>
      <c r="R6" s="31" t="inlineStr">
        <is>
          <t>Near 52W High Breakout</t>
        </is>
      </c>
      <c r="S6" s="31" t="inlineStr">
        <is>
          <t>Nifty Bank</t>
        </is>
      </c>
      <c r="T6" s="32" t="n">
        <v>7.19</v>
      </c>
      <c r="U6" s="32" t="n">
        <v>70.88</v>
      </c>
      <c r="V6" s="32" t="n">
        <v>59.42</v>
      </c>
      <c r="W6" s="32" t="n">
        <v>16.82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IF(B7=0,"",RANK(B7,$B$2:$B$41,0))</f>
        <v/>
      </c>
      <c r="B7" s="32">
        <f>SUM(N7,Y7,AA7,AC7,AE7,AG7,AI7,AK7,AM7,AO7,AQ7,AS7,AU7,AW7,AY7,BA7,BC7,BE7,BG7,BI7,BK7,BM7,BO7,BQ7,BS7,BU7,BW7,BY7,CA7)</f>
        <v/>
      </c>
      <c r="C7" s="31" t="inlineStr">
        <is>
          <t>KARURVYSYA</t>
        </is>
      </c>
      <c r="D7" s="31" t="inlineStr">
        <is>
          <t>Karur Vysya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32687.91</v>
      </c>
      <c r="I7" s="32" t="n">
        <v>346</v>
      </c>
      <c r="J7" s="32" t="n">
        <v>2.32</v>
      </c>
      <c r="K7" s="32" t="n">
        <v>3255051</v>
      </c>
      <c r="L7" s="31" t="n">
        <v>61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68.69</v>
      </c>
      <c r="P7" s="32" t="n">
        <v>23.78</v>
      </c>
      <c r="Q7" s="32" t="n">
        <v>289.45</v>
      </c>
      <c r="R7" s="31" t="inlineStr">
        <is>
          <t>Near 52W High Breakout</t>
        </is>
      </c>
      <c r="S7" s="31" t="inlineStr">
        <is>
          <t>Nifty Bank</t>
        </is>
      </c>
      <c r="T7" s="32" t="n">
        <v>7.19</v>
      </c>
      <c r="U7" s="32" t="n">
        <v>62.9</v>
      </c>
      <c r="V7" s="32" t="n">
        <v>51.97</v>
      </c>
      <c r="W7" s="32" t="n">
        <v>15.49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IF(B8=0,"",RANK(B8,$B$2:$B$41,0))</f>
        <v/>
      </c>
      <c r="B8" s="32">
        <f>SUM(N8,Y8,AA8,AC8,AE8,AG8,AI8,AK8,AM8,AO8,AQ8,AS8,AU8,AW8,AY8,BA8,BC8,BE8,BG8,BI8,BK8,BM8,BO8,BQ8,BS8,BU8,BW8,BY8,CA8)</f>
        <v/>
      </c>
      <c r="C8" s="31" t="inlineStr">
        <is>
          <t>SGFIN</t>
        </is>
      </c>
      <c r="D8" s="31" t="inlineStr">
        <is>
          <t>SG Finserve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4542.47</v>
      </c>
      <c r="I8" s="32" t="n">
        <v>700.5</v>
      </c>
      <c r="J8" s="32" t="n">
        <v>1.62</v>
      </c>
      <c r="K8" s="32" t="n">
        <v>300645</v>
      </c>
      <c r="L8" s="31" t="n">
        <v>67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68.09</v>
      </c>
      <c r="P8" s="32" t="n">
        <v>51.35</v>
      </c>
      <c r="Q8" s="32" t="n">
        <v>531.88</v>
      </c>
      <c r="R8" s="31" t="inlineStr">
        <is>
          <t>Near 52W High Breakout</t>
        </is>
      </c>
      <c r="S8" s="31" t="inlineStr">
        <is>
          <t>Nifty Bank</t>
        </is>
      </c>
      <c r="T8" s="32" t="n">
        <v>7.19</v>
      </c>
      <c r="U8" s="32" t="n">
        <v>85.12</v>
      </c>
      <c r="V8" s="32" t="n">
        <v>72.7</v>
      </c>
      <c r="W8" s="32" t="n">
        <v>19.21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IF(B9=0,"",RANK(B9,$B$2:$B$41,0))</f>
        <v/>
      </c>
      <c r="B9" s="32">
        <f>SUM(N9,Y9,AA9,AC9,AE9,AG9,AI9,AK9,AM9,AO9,AQ9,AS9,AU9,AW9,AY9,BA9,BC9,BE9,BG9,BI9,BK9,BM9,BO9,BQ9,BS9,BU9,BW9,BY9,CA9)</f>
        <v/>
      </c>
      <c r="C9" s="31" t="inlineStr">
        <is>
          <t>KTKBANK</t>
        </is>
      </c>
      <c r="D9" s="31" t="inlineStr">
        <is>
          <t>The Karnataka Bank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12603.63</v>
      </c>
      <c r="I9" s="32" t="n">
        <v>334.6</v>
      </c>
      <c r="J9" s="32" t="n">
        <v>0.41</v>
      </c>
      <c r="K9" s="32" t="n">
        <v>3162141</v>
      </c>
      <c r="L9" s="31" t="n">
        <v>73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79.3</v>
      </c>
      <c r="P9" s="32" t="n">
        <v>48.05</v>
      </c>
      <c r="Q9" s="32" t="n">
        <v>278.12</v>
      </c>
      <c r="R9" s="31" t="inlineStr">
        <is>
          <t>Near 52W High Breakout</t>
        </is>
      </c>
      <c r="S9" s="31" t="inlineStr">
        <is>
          <t>Nifty Bank</t>
        </is>
      </c>
      <c r="T9" s="32" t="n">
        <v>7.19</v>
      </c>
      <c r="U9" s="32" t="n">
        <v>100.48</v>
      </c>
      <c r="V9" s="32" t="n">
        <v>87.03</v>
      </c>
      <c r="W9" s="32" t="n">
        <v>20.79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Above 40</t>
        </is>
      </c>
      <c r="BM9" s="31">
        <f>IF(BL9="Above 40",20,IF(BL9="20 to 40",10,IF(BL9="0 to 20",-5,0)))</f>
        <v/>
      </c>
      <c r="BN9" s="31" t="inlineStr">
        <is>
          <t>Above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IF(B10=0,"",RANK(B10,$B$2:$B$41,0))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FEDFINA</t>
        </is>
      </c>
      <c r="D10" s="31" t="inlineStr">
        <is>
          <t>Fedbank Financial Services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midcap</t>
        </is>
      </c>
      <c r="H10" s="32" t="n">
        <v>5962.88</v>
      </c>
      <c r="I10" s="32" t="n">
        <v>159.02</v>
      </c>
      <c r="J10" s="32" t="n">
        <v>-0.02</v>
      </c>
      <c r="K10" s="32" t="n">
        <v>706724</v>
      </c>
      <c r="L10" s="31" t="n">
        <v>12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58.03</v>
      </c>
      <c r="P10" s="32" t="n">
        <v>28.22</v>
      </c>
      <c r="Q10" s="32" t="n">
        <v>127.51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7.19</v>
      </c>
      <c r="U10" s="32" t="n">
        <v>17.22</v>
      </c>
      <c r="V10" s="32" t="n">
        <v>9.359999999999999</v>
      </c>
      <c r="W10" s="32" t="n">
        <v>3.52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IF(B11=0,"",RANK(B11,$B$2:$B$41,0))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IIFL</t>
        </is>
      </c>
      <c r="D11" s="31" t="inlineStr">
        <is>
          <t>IIFL Finance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largecap</t>
        </is>
      </c>
      <c r="H11" s="32" t="n">
        <v>29619.63</v>
      </c>
      <c r="I11" s="32" t="n">
        <v>666.25</v>
      </c>
      <c r="J11" s="32" t="n">
        <v>-4.33</v>
      </c>
      <c r="K11" s="32" t="n">
        <v>10081732</v>
      </c>
      <c r="L11" s="31" t="n">
        <v>70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72.42</v>
      </c>
      <c r="P11" s="32" t="n">
        <v>25.29</v>
      </c>
      <c r="Q11" s="32" t="n">
        <v>545.55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7.19</v>
      </c>
      <c r="U11" s="32" t="n">
        <v>56.96</v>
      </c>
      <c r="V11" s="32" t="n">
        <v>46.43</v>
      </c>
      <c r="W11" s="32" t="n">
        <v>20.24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IF(B12=0,"",RANK(B12,$B$2:$B$41,0))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IFCI</t>
        </is>
      </c>
      <c r="D12" s="31" t="inlineStr">
        <is>
          <t>Ifci Limited</t>
        </is>
      </c>
      <c r="E12" s="31" t="inlineStr">
        <is>
          <t>financials</t>
        </is>
      </c>
      <c r="F12" s="31" t="inlineStr">
        <is>
          <t>finance - term-lending institutions</t>
        </is>
      </c>
      <c r="G12" s="31" t="inlineStr">
        <is>
          <t>largecap</t>
        </is>
      </c>
      <c r="H12" s="32" t="n">
        <v>22222.7</v>
      </c>
      <c r="I12" s="32" t="n">
        <v>83.25</v>
      </c>
      <c r="J12" s="32" t="n">
        <v>0.93</v>
      </c>
      <c r="K12" s="32" t="n">
        <v>56116737</v>
      </c>
      <c r="L12" s="31" t="n">
        <v>59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63.59</v>
      </c>
      <c r="P12" s="32" t="n">
        <v>44.93</v>
      </c>
      <c r="Q12" s="32" t="n">
        <v>64.23999999999999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7.19</v>
      </c>
      <c r="U12" s="32" t="n">
        <v>62.98</v>
      </c>
      <c r="V12" s="32" t="n">
        <v>52.05</v>
      </c>
      <c r="W12" s="32" t="n">
        <v>14.94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IF(B13=0,"",RANK(B13,$B$2:$B$41,0))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ESAFSFB</t>
        </is>
      </c>
      <c r="D13" s="31" t="inlineStr">
        <is>
          <t>ESAF Small Finance Bank Ltd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smallcap</t>
        </is>
      </c>
      <c r="H13" s="32" t="n">
        <v>2245.42</v>
      </c>
      <c r="I13" s="32" t="n">
        <v>43.49</v>
      </c>
      <c r="J13" s="32" t="n">
        <v>-0.07000000000000001</v>
      </c>
      <c r="K13" s="32" t="n">
        <v>796765</v>
      </c>
      <c r="L13" s="31" t="n">
        <v>72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68.69</v>
      </c>
      <c r="P13" s="32" t="n">
        <v>36.36</v>
      </c>
      <c r="Q13" s="32" t="n">
        <v>33.01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7.19</v>
      </c>
      <c r="U13" s="32" t="n">
        <v>50.92</v>
      </c>
      <c r="V13" s="32" t="n">
        <v>40.8</v>
      </c>
      <c r="W13" s="32" t="n">
        <v>20.56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IF(B14=0,"",RANK(B14,$B$2:$B$41,0))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SHRIRAMFIN</t>
        </is>
      </c>
      <c r="D14" s="31" t="inlineStr">
        <is>
          <t>Shriram Finance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largecap</t>
        </is>
      </c>
      <c r="H14" s="32" t="n">
        <v>263291.2</v>
      </c>
      <c r="I14" s="32" t="n">
        <v>1138.5</v>
      </c>
      <c r="J14" s="32" t="n">
        <v>1.74</v>
      </c>
      <c r="K14" s="32" t="n">
        <v>2911692</v>
      </c>
      <c r="L14" s="31" t="n">
        <v>73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66.40000000000001</v>
      </c>
      <c r="P14" s="32" t="n">
        <v>20.22</v>
      </c>
      <c r="Q14" s="32" t="n">
        <v>944.41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7.19</v>
      </c>
      <c r="U14" s="32" t="n">
        <v>98.52</v>
      </c>
      <c r="V14" s="32" t="n">
        <v>85.2</v>
      </c>
      <c r="W14" s="32" t="n">
        <v>20.78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IF(B15=0,"",RANK(B15,$B$2:$B$41,0))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AUBANK</t>
        </is>
      </c>
      <c r="D15" s="31" t="inlineStr">
        <is>
          <t>AU Small Finance Bank Ltd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largecap</t>
        </is>
      </c>
      <c r="H15" s="32" t="n">
        <v>83435.48</v>
      </c>
      <c r="I15" s="32" t="n">
        <v>1128.6</v>
      </c>
      <c r="J15" s="32" t="n">
        <v>1.31</v>
      </c>
      <c r="K15" s="32" t="n">
        <v>5658151</v>
      </c>
      <c r="L15" s="31" t="n">
        <v>51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65.7</v>
      </c>
      <c r="P15" s="32" t="n">
        <v>25.05</v>
      </c>
      <c r="Q15" s="32" t="n">
        <v>952.4299999999999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7.19</v>
      </c>
      <c r="U15" s="32" t="n">
        <v>57.33</v>
      </c>
      <c r="V15" s="32" t="n">
        <v>46.77</v>
      </c>
      <c r="W15" s="32" t="n">
        <v>13.11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IF(B16=0,"",RANK(B16,$B$2:$B$41,0))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LTF</t>
        </is>
      </c>
      <c r="D16" s="31" t="inlineStr">
        <is>
          <t>L&amp;T Finance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79136.41</v>
      </c>
      <c r="I16" s="32" t="n">
        <v>319.5</v>
      </c>
      <c r="J16" s="32" t="n">
        <v>1.16</v>
      </c>
      <c r="K16" s="32" t="n">
        <v>3718278</v>
      </c>
      <c r="L16" s="31" t="n">
        <v>45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59.68</v>
      </c>
      <c r="P16" s="32" t="n">
        <v>27.46</v>
      </c>
      <c r="Q16" s="32" t="n">
        <v>267.64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7.19</v>
      </c>
      <c r="U16" s="32" t="n">
        <v>48.64</v>
      </c>
      <c r="V16" s="32" t="n">
        <v>38.67</v>
      </c>
      <c r="W16" s="32" t="n">
        <v>11.93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IF(B17=0,"",RANK(B17,$B$2:$B$41,0))</f>
        <v/>
      </c>
      <c r="B17" s="32">
        <f>SUM(N17,Y17,AA17,AC17,AE17,AG17,AI17,AK17,AM17,AO17,AQ17,AS17,AU17,AW17,AY17,BA17,BC17,BE17,BG17,BI17,BK17,BM17,BO17,BQ17,BS17,BU17,BW17,BY17,CA17)</f>
        <v/>
      </c>
      <c r="C17" s="33" t="inlineStr">
        <is>
          <t>GEECEE</t>
        </is>
      </c>
      <c r="D17" s="33" t="inlineStr">
        <is>
          <t>Geecee Ventures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771.02</v>
      </c>
      <c r="I17" s="32" t="n">
        <v>368.15</v>
      </c>
      <c r="J17" s="32" t="n">
        <v>-0.15</v>
      </c>
      <c r="K17" s="32" t="n">
        <v>5220</v>
      </c>
      <c r="L17" s="31" t="n">
        <v>18</v>
      </c>
      <c r="M17" s="31" t="inlineStr">
        <is>
          <t>Underperforming</t>
        </is>
      </c>
      <c r="N17" s="32">
        <f>IF(M17="Underperforming",-5,IF(L17&gt;=95,15,IF(L17&gt;=90,10,IF(L17&gt;=80,5,0))))</f>
        <v/>
      </c>
      <c r="O17" s="32" t="n">
        <v>61.28</v>
      </c>
      <c r="P17" s="32" t="n">
        <v>35.36</v>
      </c>
      <c r="Q17" s="32" t="n">
        <v>289.62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7.19</v>
      </c>
      <c r="U17" s="32" t="n">
        <v>4.99</v>
      </c>
      <c r="V17" s="32" t="n">
        <v>-2.06</v>
      </c>
      <c r="W17" s="32" t="n">
        <v>5.17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IF(B18=0,"",RANK(B18,$B$2:$B$41,0))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MUFIN</t>
        </is>
      </c>
      <c r="D18" s="31" t="inlineStr">
        <is>
          <t>Mufin Green Finance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2746.73</v>
      </c>
      <c r="I18" s="32" t="n">
        <v>138.02</v>
      </c>
      <c r="J18" s="32" t="n">
        <v>-0.43</v>
      </c>
      <c r="K18" s="32" t="n">
        <v>2076294</v>
      </c>
      <c r="L18" s="31" t="n">
        <v>50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64.08</v>
      </c>
      <c r="P18" s="32" t="n">
        <v>37.78</v>
      </c>
      <c r="Q18" s="32" t="n">
        <v>115.32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7.19</v>
      </c>
      <c r="U18" s="32" t="n">
        <v>61.16</v>
      </c>
      <c r="V18" s="32" t="n">
        <v>50.35</v>
      </c>
      <c r="W18" s="32" t="n">
        <v>12.88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IF(B19=0,"",RANK(B19,$B$2:$B$41,0))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UNIONBANK</t>
        </is>
      </c>
      <c r="D19" s="31" t="inlineStr">
        <is>
          <t>Union Bank Of India Ltd</t>
        </is>
      </c>
      <c r="E19" s="31" t="inlineStr">
        <is>
          <t>bank</t>
        </is>
      </c>
      <c r="F19" s="31" t="inlineStr">
        <is>
          <t>banks - public sector</t>
        </is>
      </c>
      <c r="G19" s="31" t="inlineStr">
        <is>
          <t>largecap</t>
        </is>
      </c>
      <c r="H19" s="32" t="n">
        <v>140153</v>
      </c>
      <c r="I19" s="32" t="n">
        <v>186.98</v>
      </c>
      <c r="J19" s="32" t="n">
        <v>1.84</v>
      </c>
      <c r="K19" s="32" t="n">
        <v>11289193</v>
      </c>
      <c r="L19" s="31" t="n">
        <v>53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63.59</v>
      </c>
      <c r="P19" s="32" t="n">
        <v>20.49</v>
      </c>
      <c r="Q19" s="32" t="n">
        <v>156.16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7.19</v>
      </c>
      <c r="U19" s="32" t="n">
        <v>54.22</v>
      </c>
      <c r="V19" s="32" t="n">
        <v>43.88</v>
      </c>
      <c r="W19" s="32" t="n">
        <v>13.42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IF(B20=0,"",RANK(B20,$B$2:$B$41,0))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PNBHOUSING</t>
        </is>
      </c>
      <c r="D20" s="31" t="inlineStr">
        <is>
          <t>Pnb Housing Finance Limited</t>
        </is>
      </c>
      <c r="E20" s="31" t="inlineStr">
        <is>
          <t>financials</t>
        </is>
      </c>
      <c r="F20" s="31" t="inlineStr">
        <is>
          <t>finance - housing</t>
        </is>
      </c>
      <c r="G20" s="31" t="inlineStr">
        <is>
          <t>largecap</t>
        </is>
      </c>
      <c r="H20" s="32" t="n">
        <v>30358.73</v>
      </c>
      <c r="I20" s="32" t="n">
        <v>1182</v>
      </c>
      <c r="J20" s="32" t="n">
        <v>1.46</v>
      </c>
      <c r="K20" s="32" t="n">
        <v>664475</v>
      </c>
      <c r="L20" s="31" t="n">
        <v>54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70.06</v>
      </c>
      <c r="P20" s="32" t="n">
        <v>34.45</v>
      </c>
      <c r="Q20" s="32" t="n">
        <v>987.4299999999999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7.19</v>
      </c>
      <c r="U20" s="32" t="n">
        <v>58.07</v>
      </c>
      <c r="V20" s="32" t="n">
        <v>47.47</v>
      </c>
      <c r="W20" s="32" t="n">
        <v>13.47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IF(B21=0,"",RANK(B21,$B$2:$B$41,0))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ANANDRATHI</t>
        </is>
      </c>
      <c r="D21" s="31" t="inlineStr">
        <is>
          <t>Anand Rathi Wealth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35996.09</v>
      </c>
      <c r="I21" s="32" t="n">
        <v>2164.4</v>
      </c>
      <c r="J21" s="32" t="n">
        <v>-0.16</v>
      </c>
      <c r="K21" s="32" t="n">
        <v>153819</v>
      </c>
      <c r="L21" s="31" t="n">
        <v>58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72.83</v>
      </c>
      <c r="P21" s="32" t="n">
        <v>54.63</v>
      </c>
      <c r="Q21" s="32" t="n">
        <v>1894.9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7.19</v>
      </c>
      <c r="U21" s="32" t="n">
        <v>55.54</v>
      </c>
      <c r="V21" s="32" t="n">
        <v>45.11</v>
      </c>
      <c r="W21" s="32" t="n">
        <v>14.67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Above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IF(B22=0,"",RANK(B22,$B$2:$B$41,0))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STEL</t>
        </is>
      </c>
      <c r="D22" s="31" t="inlineStr">
        <is>
          <t>Stel Holdings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1139.81</v>
      </c>
      <c r="I22" s="32" t="n">
        <v>613</v>
      </c>
      <c r="J22" s="32" t="n">
        <v>-0.74</v>
      </c>
      <c r="K22" s="32" t="n">
        <v>1648</v>
      </c>
      <c r="L22" s="31" t="n">
        <v>58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65.26000000000001</v>
      </c>
      <c r="P22" s="32" t="n">
        <v>21.88</v>
      </c>
      <c r="Q22" s="32" t="n">
        <v>464.76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7.19</v>
      </c>
      <c r="U22" s="32" t="n">
        <v>33.04</v>
      </c>
      <c r="V22" s="32" t="n">
        <v>24.12</v>
      </c>
      <c r="W22" s="32" t="n">
        <v>14.84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IF(B23=0,"",RANK(B23,$B$2:$B$41,0))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OFSS</t>
        </is>
      </c>
      <c r="D23" s="31" t="inlineStr">
        <is>
          <t>Oracle Financial Services Software Limited</t>
        </is>
      </c>
      <c r="E23" s="31" t="inlineStr">
        <is>
          <t>i.t</t>
        </is>
      </c>
      <c r="F23" s="31" t="inlineStr">
        <is>
          <t>computers - software - large</t>
        </is>
      </c>
      <c r="G23" s="31" t="inlineStr">
        <is>
          <t>largecap</t>
        </is>
      </c>
      <c r="H23" s="32" t="n">
        <v>100289.69</v>
      </c>
      <c r="I23" s="32" t="n">
        <v>11729</v>
      </c>
      <c r="J23" s="32" t="n">
        <v>1.83</v>
      </c>
      <c r="K23" s="32" t="n">
        <v>193205</v>
      </c>
      <c r="L23" s="31" t="n">
        <v>54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67.93000000000001</v>
      </c>
      <c r="P23" s="32" t="n">
        <v>29.24</v>
      </c>
      <c r="Q23" s="32" t="n">
        <v>9536.379999999999</v>
      </c>
      <c r="R23" s="31" t="inlineStr">
        <is>
          <t>Near 52W High Breakout</t>
        </is>
      </c>
      <c r="S23" s="31" t="inlineStr">
        <is>
          <t>Nifty IT</t>
        </is>
      </c>
      <c r="T23" s="32" t="n">
        <v>-12.53</v>
      </c>
      <c r="U23" s="32" t="n">
        <v>47.73</v>
      </c>
      <c r="V23" s="32" t="n">
        <v>68.90000000000001</v>
      </c>
      <c r="W23" s="32" t="n">
        <v>13.61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above 5x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IF(B24=0,"",RANK(B24,$B$2:$B$41,0))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CGCL</t>
        </is>
      </c>
      <c r="D24" s="31" t="inlineStr">
        <is>
          <t>Capri Global Capital Limited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22545.19</v>
      </c>
      <c r="I24" s="32" t="n">
        <v>239.67</v>
      </c>
      <c r="J24" s="32" t="n">
        <v>2.28</v>
      </c>
      <c r="K24" s="32" t="n">
        <v>12643435</v>
      </c>
      <c r="L24" s="31" t="n">
        <v>41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63.95</v>
      </c>
      <c r="P24" s="32" t="n">
        <v>37.55</v>
      </c>
      <c r="Q24" s="32" t="n">
        <v>204.95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7.19</v>
      </c>
      <c r="U24" s="32" t="n">
        <v>29.44</v>
      </c>
      <c r="V24" s="32" t="n">
        <v>20.75</v>
      </c>
      <c r="W24" s="32" t="n">
        <v>10.47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IF(B25=0,"",RANK(B25,$B$2:$B$41,0))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MCX</t>
        </is>
      </c>
      <c r="D25" s="31" t="inlineStr">
        <is>
          <t>Multi Commodity Exchange Of India Limited</t>
        </is>
      </c>
      <c r="E25" s="31" t="inlineStr">
        <is>
          <t>financials</t>
        </is>
      </c>
      <c r="F25" s="31" t="inlineStr">
        <is>
          <t>miscellaneous</t>
        </is>
      </c>
      <c r="G25" s="31" t="inlineStr">
        <is>
          <t>largecap</t>
        </is>
      </c>
      <c r="H25" s="32" t="n">
        <v>83331.33</v>
      </c>
      <c r="I25" s="32" t="n">
        <v>3280</v>
      </c>
      <c r="J25" s="32" t="n">
        <v>0.37</v>
      </c>
      <c r="K25" s="32" t="n">
        <v>2020964</v>
      </c>
      <c r="L25" s="31" t="n">
        <v>70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68.56</v>
      </c>
      <c r="P25" s="32" t="n">
        <v>20.87</v>
      </c>
      <c r="Q25" s="32" t="n">
        <v>2617.94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7.19</v>
      </c>
      <c r="U25" s="32" t="n">
        <v>121.92</v>
      </c>
      <c r="V25" s="32" t="n">
        <v>107.03</v>
      </c>
      <c r="W25" s="32" t="n">
        <v>20.11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above 5x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IF(B26=0,"",RANK(B26,$B$2:$B$41,0))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NAM-INDIA</t>
        </is>
      </c>
      <c r="D26" s="31" t="inlineStr">
        <is>
          <t>Nippon Life India Asset Management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79771.34</v>
      </c>
      <c r="I26" s="32" t="n">
        <v>1224.4</v>
      </c>
      <c r="J26" s="32" t="n">
        <v>-1.88</v>
      </c>
      <c r="K26" s="32" t="n">
        <v>1170352</v>
      </c>
      <c r="L26" s="31" t="n">
        <v>47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64.06</v>
      </c>
      <c r="P26" s="32" t="n">
        <v>39.78</v>
      </c>
      <c r="Q26" s="32" t="n">
        <v>1020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7.19</v>
      </c>
      <c r="U26" s="32" t="n">
        <v>59.35</v>
      </c>
      <c r="V26" s="32" t="n">
        <v>48.66</v>
      </c>
      <c r="W26" s="32" t="n">
        <v>12.45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above 5x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IF(B27=0,"",RANK(B27,$B$2:$B$41,0))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EDELWEISS</t>
        </is>
      </c>
      <c r="D27" s="31" t="inlineStr">
        <is>
          <t>Edelweiss Financial Services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midcap</t>
        </is>
      </c>
      <c r="H27" s="32" t="n">
        <v>11870.45</v>
      </c>
      <c r="I27" s="32" t="n">
        <v>128.15</v>
      </c>
      <c r="J27" s="32" t="n">
        <v>2.18</v>
      </c>
      <c r="K27" s="32" t="n">
        <v>11166878</v>
      </c>
      <c r="L27" s="31" t="n">
        <v>25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60.16</v>
      </c>
      <c r="P27" s="32" t="n">
        <v>12.46</v>
      </c>
      <c r="Q27" s="32" t="n">
        <v>98.20999999999999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7.19</v>
      </c>
      <c r="U27" s="32" t="n">
        <v>21.17</v>
      </c>
      <c r="V27" s="32" t="n">
        <v>13.04</v>
      </c>
      <c r="W27" s="32" t="n">
        <v>6.76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between 2.5x to 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IF(B28=0,"",RANK(B28,$B$2:$B$41,0))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MANAPPURAM</t>
        </is>
      </c>
      <c r="D28" s="31" t="inlineStr">
        <is>
          <t>Manappuram Finance Limited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largecap</t>
        </is>
      </c>
      <c r="H28" s="32" t="n">
        <v>34290.46</v>
      </c>
      <c r="I28" s="32" t="n">
        <v>367.45</v>
      </c>
      <c r="J28" s="32" t="n">
        <v>0.66</v>
      </c>
      <c r="K28" s="32" t="n">
        <v>4816195</v>
      </c>
      <c r="L28" s="31" t="n">
        <v>40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64.66</v>
      </c>
      <c r="P28" s="32" t="n">
        <v>20.45</v>
      </c>
      <c r="Q28" s="32" t="n">
        <v>302.86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7.19</v>
      </c>
      <c r="U28" s="32" t="n">
        <v>41.67</v>
      </c>
      <c r="V28" s="32" t="n">
        <v>32.16</v>
      </c>
      <c r="W28" s="32" t="n">
        <v>10.06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Negative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Blue sky scenario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IF(B29=0,"",RANK(B29,$B$2:$B$41,0))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PRUDENT</t>
        </is>
      </c>
      <c r="D29" s="31" t="inlineStr">
        <is>
          <t>Prudent Corporate Advisory Services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midcap</t>
        </is>
      </c>
      <c r="H29" s="32" t="n">
        <v>13816.58</v>
      </c>
      <c r="I29" s="32" t="n">
        <v>3321.5</v>
      </c>
      <c r="J29" s="32" t="n">
        <v>-0.46</v>
      </c>
      <c r="K29" s="32" t="n">
        <v>14066</v>
      </c>
      <c r="L29" s="31" t="n">
        <v>36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66.59</v>
      </c>
      <c r="P29" s="32" t="n">
        <v>31.57</v>
      </c>
      <c r="Q29" s="32" t="n">
        <v>2742.1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7.19</v>
      </c>
      <c r="U29" s="32" t="n">
        <v>19.16</v>
      </c>
      <c r="V29" s="32" t="n">
        <v>11.17</v>
      </c>
      <c r="W29" s="32" t="n">
        <v>8.92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above 5x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IF(B30=0,"",RANK(B30,$B$2:$B$41,0))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JSFB</t>
        </is>
      </c>
      <c r="D30" s="31" t="inlineStr">
        <is>
          <t>Jana Small Finance Bank Ltd</t>
        </is>
      </c>
      <c r="E30" s="31" t="inlineStr">
        <is>
          <t>bank</t>
        </is>
      </c>
      <c r="F30" s="31" t="inlineStr">
        <is>
          <t>banks - private sector</t>
        </is>
      </c>
      <c r="G30" s="31" t="inlineStr">
        <is>
          <t>midcap</t>
        </is>
      </c>
      <c r="H30" s="32" t="n">
        <v>6126.11</v>
      </c>
      <c r="I30" s="32" t="n">
        <v>570.65</v>
      </c>
      <c r="J30" s="32" t="n">
        <v>-1.87</v>
      </c>
      <c r="K30" s="32" t="n">
        <v>2110189</v>
      </c>
      <c r="L30" s="31" t="n">
        <v>29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66.20999999999999</v>
      </c>
      <c r="P30" s="32" t="n">
        <v>38.83</v>
      </c>
      <c r="Q30" s="32" t="n">
        <v>445.26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7.19</v>
      </c>
      <c r="U30" s="32" t="n">
        <v>16.3</v>
      </c>
      <c r="V30" s="32" t="n">
        <v>8.5</v>
      </c>
      <c r="W30" s="32" t="n">
        <v>7.64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Blue sky scenario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IF(B31=0,"",RANK(B31,$B$2:$B$41,0))</f>
        <v/>
      </c>
      <c r="B31" s="32">
        <f>SUM(N31,Y31,AA31,AC31,AE31,AG31,AI31,AK31,AM31,AO31,AQ31,AS31,AU31,AW31,AY31,BA31,BC31,BE31,BG31,BI31,BK31,BM31,BO31,BQ31,BS31,BU31,BW31,BY31,CA31)</f>
        <v/>
      </c>
      <c r="C31" s="33" t="inlineStr">
        <is>
          <t>NIACL</t>
        </is>
      </c>
      <c r="D31" s="33" t="inlineStr">
        <is>
          <t>New India Assurance Company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30336.38</v>
      </c>
      <c r="I31" s="32" t="n">
        <v>187.29</v>
      </c>
      <c r="J31" s="32" t="n">
        <v>1.74</v>
      </c>
      <c r="K31" s="32" t="n">
        <v>2996300</v>
      </c>
      <c r="L31" s="31" t="n">
        <v>17</v>
      </c>
      <c r="M31" s="31" t="inlineStr">
        <is>
          <t>Underperforming</t>
        </is>
      </c>
      <c r="N31" s="32">
        <f>IF(M31="Underperforming",-5,IF(L31&gt;=95,15,IF(L31&gt;=90,10,IF(L31&gt;=80,5,0))))</f>
        <v/>
      </c>
      <c r="O31" s="32" t="n">
        <v>60.78</v>
      </c>
      <c r="P31" s="32" t="n">
        <v>26.49</v>
      </c>
      <c r="Q31" s="32" t="n">
        <v>156.71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7.19</v>
      </c>
      <c r="U31" s="32" t="n">
        <v>1.22</v>
      </c>
      <c r="V31" s="32" t="n">
        <v>-5.58</v>
      </c>
      <c r="W31" s="32" t="n">
        <v>4.91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IF(B32=0,"",RANK(B32,$B$2:$B$41,0))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MOTILALOFS</t>
        </is>
      </c>
      <c r="D32" s="31" t="inlineStr">
        <is>
          <t>Motilal Oswal Financial Services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59612.52</v>
      </c>
      <c r="I32" s="32" t="n">
        <v>1011.5</v>
      </c>
      <c r="J32" s="32" t="n">
        <v>2.17</v>
      </c>
      <c r="K32" s="32" t="n">
        <v>1852098</v>
      </c>
      <c r="L32" s="31" t="n">
        <v>31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63.93</v>
      </c>
      <c r="P32" s="32" t="n">
        <v>16.58</v>
      </c>
      <c r="Q32" s="32" t="n">
        <v>823.73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7.19</v>
      </c>
      <c r="U32" s="32" t="n">
        <v>18.94</v>
      </c>
      <c r="V32" s="32" t="n">
        <v>10.96</v>
      </c>
      <c r="W32" s="32" t="n">
        <v>7.88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IF(B33=0,"",RANK(B33,$B$2:$B$41,0))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INDIANB</t>
        </is>
      </c>
      <c r="D33" s="31" t="inlineStr">
        <is>
          <t>Indian Bank Ltd</t>
        </is>
      </c>
      <c r="E33" s="31" t="inlineStr">
        <is>
          <t>bank</t>
        </is>
      </c>
      <c r="F33" s="31" t="inlineStr">
        <is>
          <t>banks - public sector</t>
        </is>
      </c>
      <c r="G33" s="31" t="inlineStr">
        <is>
          <t>largecap</t>
        </is>
      </c>
      <c r="H33" s="32" t="n">
        <v>117246.48</v>
      </c>
      <c r="I33" s="32" t="n">
        <v>878</v>
      </c>
      <c r="J33" s="32" t="n">
        <v>0.87</v>
      </c>
      <c r="K33" s="32" t="n">
        <v>1375292</v>
      </c>
      <c r="L33" s="31" t="n">
        <v>37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54.48</v>
      </c>
      <c r="P33" s="32" t="n">
        <v>10.79</v>
      </c>
      <c r="Q33" s="32" t="n">
        <v>740.88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7.19</v>
      </c>
      <c r="U33" s="32" t="n">
        <v>37.3</v>
      </c>
      <c r="V33" s="32" t="n">
        <v>28.09</v>
      </c>
      <c r="W33" s="32" t="n">
        <v>9.289999999999999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IF(B34=0,"",RANK(B34,$B$2:$B$41,0))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360ONE</t>
        </is>
      </c>
      <c r="D34" s="31" t="inlineStr">
        <is>
          <t>360 ONE WAM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48387.38</v>
      </c>
      <c r="I34" s="32" t="n">
        <v>1210</v>
      </c>
      <c r="J34" s="32" t="n">
        <v>1.7</v>
      </c>
      <c r="K34" s="32" t="n">
        <v>531995</v>
      </c>
      <c r="L34" s="31" t="n">
        <v>22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61.76</v>
      </c>
      <c r="P34" s="32" t="n">
        <v>16.39</v>
      </c>
      <c r="Q34" s="32" t="n">
        <v>1003.48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7.19</v>
      </c>
      <c r="U34" s="32" t="n">
        <v>20.15</v>
      </c>
      <c r="V34" s="32" t="n">
        <v>12.09</v>
      </c>
      <c r="W34" s="32" t="n">
        <v>5.97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between 2.5x to 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IF(B35=0,"",RANK(B35,$B$2:$B$41,0))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PNB</t>
        </is>
      </c>
      <c r="D35" s="31" t="inlineStr">
        <is>
          <t>Punjab National Bank Ltd</t>
        </is>
      </c>
      <c r="E35" s="31" t="inlineStr">
        <is>
          <t>bank</t>
        </is>
      </c>
      <c r="F35" s="31" t="inlineStr">
        <is>
          <t>banks - public sector</t>
        </is>
      </c>
      <c r="G35" s="31" t="inlineStr">
        <is>
          <t>largecap</t>
        </is>
      </c>
      <c r="H35" s="32" t="n">
        <v>133157.24</v>
      </c>
      <c r="I35" s="32" t="n">
        <v>115.93</v>
      </c>
      <c r="J35" s="32" t="n">
        <v>0.06</v>
      </c>
      <c r="K35" s="32" t="n">
        <v>13025614</v>
      </c>
      <c r="L35" s="31" t="n">
        <v>26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58.13</v>
      </c>
      <c r="P35" s="32" t="n">
        <v>9.49</v>
      </c>
      <c r="Q35" s="32" t="n">
        <v>102.21</v>
      </c>
      <c r="R35" s="31" t="inlineStr">
        <is>
          <t>Earnings / Momentum Support</t>
        </is>
      </c>
      <c r="S35" s="31" t="inlineStr">
        <is>
          <t>Nifty Bank</t>
        </is>
      </c>
      <c r="T35" s="32" t="n">
        <v>7.19</v>
      </c>
      <c r="U35" s="32" t="n">
        <v>18.26</v>
      </c>
      <c r="V35" s="32" t="n">
        <v>10.33</v>
      </c>
      <c r="W35" s="32" t="n">
        <v>6.86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IF(B36=0,"",RANK(B36,$B$2:$B$41,0))</f>
        <v/>
      </c>
      <c r="B36" s="32">
        <f>SUM(N36,Y36,AA36,AC36,AE36,AG36,AI36,AK36,AM36,AO36,AQ36,AS36,AU36,AW36,AY36,BA36,BC36,BE36,BG36,BI36,BK36,BM36,BO36,BQ36,BS36,BU36,BW36,BY36,CA36)</f>
        <v/>
      </c>
      <c r="C36" s="33" t="inlineStr">
        <is>
          <t>KOTAKBANK</t>
        </is>
      </c>
      <c r="D36" s="33" t="inlineStr">
        <is>
          <t>Kotak Mahindra Bank Limited</t>
        </is>
      </c>
      <c r="E36" s="31" t="inlineStr">
        <is>
          <t>bank</t>
        </is>
      </c>
      <c r="F36" s="31" t="inlineStr">
        <is>
          <t>banks - private sector</t>
        </is>
      </c>
      <c r="G36" s="31" t="inlineStr">
        <is>
          <t>largecap</t>
        </is>
      </c>
      <c r="H36" s="32" t="n">
        <v>399310.64</v>
      </c>
      <c r="I36" s="32" t="n">
        <v>401.6</v>
      </c>
      <c r="J36" s="32" t="n">
        <v>0.04</v>
      </c>
      <c r="K36" s="32" t="n">
        <v>9728860</v>
      </c>
      <c r="L36" s="31" t="n">
        <v>6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53.95</v>
      </c>
      <c r="P36" s="32" t="n">
        <v>8.970000000000001</v>
      </c>
      <c r="Q36" s="32" t="n">
        <v>360.04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7.19</v>
      </c>
      <c r="U36" s="32" t="n">
        <v>2.61</v>
      </c>
      <c r="V36" s="32" t="n">
        <v>-4.27</v>
      </c>
      <c r="W36" s="32" t="n">
        <v>1.61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more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1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IF(B37=0,"",RANK(B37,$B$2:$B$41,0))</f>
        <v/>
      </c>
      <c r="B37" s="32">
        <f>SUM(N37,Y37,AA37,AC37,AE37,AG37,AI37,AK37,AM37,AO37,AQ37,AS37,AU37,AW37,AY37,BA37,BC37,BE37,BG37,BI37,BK37,BM37,BO37,BQ37,BS37,BU37,BW37,BY37,CA37)</f>
        <v/>
      </c>
      <c r="C37" s="33" t="inlineStr">
        <is>
          <t>CRISIL</t>
        </is>
      </c>
      <c r="D37" s="33" t="inlineStr">
        <is>
          <t>Crisil Limited</t>
        </is>
      </c>
      <c r="E37" s="31" t="inlineStr">
        <is>
          <t>financials</t>
        </is>
      </c>
      <c r="F37" s="31" t="inlineStr">
        <is>
          <t>miscellaneous</t>
        </is>
      </c>
      <c r="G37" s="31" t="inlineStr">
        <is>
          <t>largecap</t>
        </is>
      </c>
      <c r="H37" s="32" t="n">
        <v>32749.08</v>
      </c>
      <c r="I37" s="32" t="n">
        <v>4519.7</v>
      </c>
      <c r="J37" s="32" t="n">
        <v>0.93</v>
      </c>
      <c r="K37" s="32" t="n">
        <v>28786</v>
      </c>
      <c r="L37" s="31" t="n">
        <v>5</v>
      </c>
      <c r="M37" s="31" t="inlineStr">
        <is>
          <t>Underperforming</t>
        </is>
      </c>
      <c r="N37" s="32">
        <f>IF(M37="Underperforming",-5,IF(L37&gt;=95,15,IF(L37&gt;=90,10,IF(L37&gt;=80,5,0))))</f>
        <v/>
      </c>
      <c r="O37" s="32" t="n">
        <v>56.66</v>
      </c>
      <c r="P37" s="32" t="n">
        <v>13.72</v>
      </c>
      <c r="Q37" s="32" t="n">
        <v>3878.91</v>
      </c>
      <c r="R37" s="31" t="inlineStr">
        <is>
          <t>Earnings / Momentum Support</t>
        </is>
      </c>
      <c r="S37" s="31" t="inlineStr">
        <is>
          <t>Nifty Bank</t>
        </is>
      </c>
      <c r="T37" s="32" t="n">
        <v>7.19</v>
      </c>
      <c r="U37" s="32" t="n">
        <v>-8.789999999999999</v>
      </c>
      <c r="V37" s="32" t="n">
        <v>-14.91</v>
      </c>
      <c r="W37" s="32" t="n">
        <v>1.29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above 5x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IF(B38=0,"",RANK(B38,$B$2:$B$41,0))</f>
        <v/>
      </c>
      <c r="B38" s="32">
        <f>SUM(N38,Y38,AA38,AC38,AE38,AG38,AI38,AK38,AM38,AO38,AQ38,AS38,AU38,AW38,AY38,BA38,BC38,BE38,BG38,BI38,BK38,BM38,BO38,BQ38,BS38,BU38,BW38,BY38,CA38)</f>
        <v/>
      </c>
      <c r="C38" s="33" t="inlineStr">
        <is>
          <t>CDSL</t>
        </is>
      </c>
      <c r="D38" s="33" t="inlineStr">
        <is>
          <t>Central Depository Services Ltd</t>
        </is>
      </c>
      <c r="E38" s="31" t="inlineStr">
        <is>
          <t>financials</t>
        </is>
      </c>
      <c r="F38" s="31" t="inlineStr">
        <is>
          <t>miscellaneous</t>
        </is>
      </c>
      <c r="G38" s="31" t="inlineStr">
        <is>
          <t>largecap</t>
        </is>
      </c>
      <c r="H38" s="32" t="n">
        <v>28948.59</v>
      </c>
      <c r="I38" s="32" t="n">
        <v>1394.8</v>
      </c>
      <c r="J38" s="32" t="n">
        <v>0.7</v>
      </c>
      <c r="K38" s="32" t="n">
        <v>1003754</v>
      </c>
      <c r="L38" s="31" t="n">
        <v>12</v>
      </c>
      <c r="M38" s="31" t="inlineStr">
        <is>
          <t>Underperforming</t>
        </is>
      </c>
      <c r="N38" s="32">
        <f>IF(M38="Underperforming",-5,IF(L38&gt;=95,15,IF(L38&gt;=90,10,IF(L38&gt;=80,5,0))))</f>
        <v/>
      </c>
      <c r="O38" s="32" t="n">
        <v>56.08</v>
      </c>
      <c r="P38" s="32" t="n">
        <v>11.25</v>
      </c>
      <c r="Q38" s="32" t="n">
        <v>1178.13</v>
      </c>
      <c r="R38" s="31" t="inlineStr">
        <is>
          <t>Earnings / Momentum Support</t>
        </is>
      </c>
      <c r="S38" s="31" t="inlineStr">
        <is>
          <t>Nifty Bank</t>
        </is>
      </c>
      <c r="T38" s="32" t="n">
        <v>7.19</v>
      </c>
      <c r="U38" s="32" t="n">
        <v>-1.18</v>
      </c>
      <c r="V38" s="32" t="n">
        <v>-7.81</v>
      </c>
      <c r="W38" s="32" t="n">
        <v>3.24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above 5x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IF(B39=0,"",RANK(B39,$B$2:$B$41,0))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HDFCAMC</t>
        </is>
      </c>
      <c r="D39" s="33" t="inlineStr">
        <is>
          <t>HDFC Asset Management Company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largecap</t>
        </is>
      </c>
      <c r="H39" s="32" t="n">
        <v>112221.42</v>
      </c>
      <c r="I39" s="32" t="n">
        <v>2698</v>
      </c>
      <c r="J39" s="32" t="n">
        <v>3.06</v>
      </c>
      <c r="K39" s="32" t="n">
        <v>1125357</v>
      </c>
      <c r="L39" s="31" t="n">
        <v>3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53.78</v>
      </c>
      <c r="P39" s="32" t="n">
        <v>7.63</v>
      </c>
      <c r="Q39" s="32" t="n">
        <v>2310.83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7.19</v>
      </c>
      <c r="U39" s="32" t="n">
        <v>0.93</v>
      </c>
      <c r="V39" s="32" t="n">
        <v>-5.84</v>
      </c>
      <c r="W39" s="32" t="n">
        <v>0.82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above 5x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1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IF(B40=0,"",RANK(B40,$B$2:$B$41,0))</f>
        <v/>
      </c>
      <c r="B40" s="32">
        <f>SUM(N40,Y40,AA40,AC40,AE40,AG40,AI40,AK40,AM40,AO40,AQ40,AS40,AU40,AW40,AY40,BA40,BC40,BE40,BG40,BI40,BK40,BM40,BO40,BQ40,BS40,BU40,BW40,BY40,CA40)</f>
        <v/>
      </c>
      <c r="C40" s="33" t="inlineStr">
        <is>
          <t>LICI</t>
        </is>
      </c>
      <c r="D40" s="33" t="inlineStr">
        <is>
          <t>Life Insurance Corporation of India Ltd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largecap</t>
        </is>
      </c>
      <c r="H40" s="32" t="n">
        <v>533640.0600000001</v>
      </c>
      <c r="I40" s="32" t="n">
        <v>424</v>
      </c>
      <c r="J40" s="32" t="n">
        <v>0.51</v>
      </c>
      <c r="K40" s="32" t="n">
        <v>13003212</v>
      </c>
      <c r="L40" s="31" t="n">
        <v>6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53.62</v>
      </c>
      <c r="P40" s="32" t="n">
        <v>15.76</v>
      </c>
      <c r="Q40" s="32" t="n">
        <v>377.95</v>
      </c>
      <c r="R40" s="31" t="inlineStr">
        <is>
          <t>Earnings / Momentum Support</t>
        </is>
      </c>
      <c r="S40" s="31" t="inlineStr">
        <is>
          <t>Nifty Bank</t>
        </is>
      </c>
      <c r="T40" s="32" t="n">
        <v>7.19</v>
      </c>
      <c r="U40" s="32" t="n">
        <v>1.85</v>
      </c>
      <c r="V40" s="32" t="n">
        <v>-4.99</v>
      </c>
      <c r="W40" s="32" t="n">
        <v>1.55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between 2.5x to 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1</t>
        </is>
      </c>
      <c r="BQ40" s="31">
        <f>IF(BP40="Stage 2",20,IF(BP40="Stage 1",0,IF(BP40="Stage 3",5,IF(BP40="Stage 4",-5,0))))</f>
        <v/>
      </c>
      <c r="BR40" s="31" t="inlineStr">
        <is>
          <t>Negative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IF(B41=0,"",RANK(B41,$B$2:$B$41,0))</f>
        <v/>
      </c>
      <c r="B41" s="32">
        <f>SUM(N41,Y41,AA41,AC41,AE41,AG41,AI41,AK41,AM41,AO41,AQ41,AS41,AU41,AW41,AY41,BA41,BC41,BE41,BG41,BI41,BK41,BM41,BO41,BQ41,BS41,BU41,BW41,BY41,CA41)</f>
        <v/>
      </c>
      <c r="C41" s="33" t="inlineStr">
        <is>
          <t>MFSL</t>
        </is>
      </c>
      <c r="D41" s="33" t="inlineStr">
        <is>
          <t>Max Financial Services Limited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largecap</t>
        </is>
      </c>
      <c r="H41" s="32" t="n">
        <v>54176.12</v>
      </c>
      <c r="I41" s="32" t="n">
        <v>1592.5</v>
      </c>
      <c r="J41" s="32" t="n">
        <v>1.45</v>
      </c>
      <c r="K41" s="32" t="n">
        <v>935547</v>
      </c>
      <c r="L41" s="31" t="n">
        <v>1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49.84</v>
      </c>
      <c r="P41" s="32" t="n">
        <v>4.76</v>
      </c>
      <c r="Q41" s="32" t="n">
        <v>1403.29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7.19</v>
      </c>
      <c r="U41" s="32" t="n">
        <v>-0.61</v>
      </c>
      <c r="V41" s="32" t="n">
        <v>-7.27</v>
      </c>
      <c r="W41" s="32" t="n">
        <v>-0.93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above 5x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Below 45</t>
        </is>
      </c>
      <c r="BO41" s="31">
        <f>IF(BN41="Between 50 to 75",10,IF(BN41="Above 75",0,0))</f>
        <v/>
      </c>
      <c r="BP41" s="31" t="inlineStr">
        <is>
          <t>Stage 4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</sheetData>
  <autoFilter ref="A1:CA41"/>
  <conditionalFormatting sqref="B2:B4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1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1">
    <cfRule type="cellIs" priority="34" operator="equal" dxfId="3" stopIfTrue="1">
      <formula>"Underperforming"</formula>
    </cfRule>
  </conditionalFormatting>
  <conditionalFormatting sqref="N2:N41">
    <cfRule type="cellIs" priority="35" operator="equal" dxfId="3" stopIfTrue="1">
      <formula>-5</formula>
    </cfRule>
  </conditionalFormatting>
  <conditionalFormatting sqref="Q2:Q41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1" showDropDown="0" showInputMessage="0" showErrorMessage="0" allowBlank="1" type="list">
      <formula1>"Growing Industry,Stagnant Industry,Cyclical in an Upturn"</formula1>
    </dataValidation>
    <dataValidation sqref="Z2:Z41" showDropDown="0" showInputMessage="0" showErrorMessage="0" allowBlank="1" type="list">
      <formula1>"Fragmented with Low ROE,Fragmented with High ROE,Highly Cyclical"</formula1>
    </dataValidation>
    <dataValidation sqref="AB2:AB41" showDropDown="0" showInputMessage="0" showErrorMessage="0" allowBlank="1" type="list">
      <formula1>"Yes,No"</formula1>
    </dataValidation>
    <dataValidation sqref="AD2:AD41" showDropDown="0" showInputMessage="0" showErrorMessage="0" allowBlank="1" type="list">
      <formula1>"Tailwind,Headwind"</formula1>
    </dataValidation>
    <dataValidation sqref="AF2:AF41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1" showDropDown="0" showInputMessage="0" showErrorMessage="0" allowBlank="1" type="list">
      <formula1>"Yes,No"</formula1>
    </dataValidation>
    <dataValidation sqref="AJ2:AJ41" showDropDown="0" showInputMessage="0" showErrorMessage="0" allowBlank="1" type="list">
      <formula1>"Yes,No,Not Applicable"</formula1>
    </dataValidation>
    <dataValidation sqref="AL2:AL41" showDropDown="0" showInputMessage="0" showErrorMessage="0" allowBlank="1" type="list">
      <formula1>"Yes,No"</formula1>
    </dataValidation>
    <dataValidation sqref="AN2:AN41" showDropDown="0" showInputMessage="0" showErrorMessage="0" allowBlank="1" type="list">
      <formula1>"Yes,No"</formula1>
    </dataValidation>
    <dataValidation sqref="AP2:AP41" showDropDown="0" showInputMessage="0" showErrorMessage="0" allowBlank="1" type="list">
      <formula1>"Yes,No"</formula1>
    </dataValidation>
    <dataValidation sqref="AR2:AR41" showDropDown="0" showInputMessage="0" showErrorMessage="0" allowBlank="1" type="list">
      <formula1>"Yes,No"</formula1>
    </dataValidation>
    <dataValidation sqref="AT2:AT41" showDropDown="0" showInputMessage="0" showErrorMessage="0" allowBlank="1" type="list">
      <formula1>"No,Yes"</formula1>
    </dataValidation>
    <dataValidation sqref="AV2:AV41" showDropDown="0" showInputMessage="0" showErrorMessage="0" allowBlank="1" type="list">
      <formula1>"No,Yes"</formula1>
    </dataValidation>
    <dataValidation sqref="AX2:AX41" showDropDown="0" showInputMessage="0" showErrorMessage="0" allowBlank="1" type="list">
      <formula1>"No,Yes CEO Resignation,Yes CEO Retirement"</formula1>
    </dataValidation>
    <dataValidation sqref="AZ2:AZ41" showDropDown="0" showInputMessage="0" showErrorMessage="0" allowBlank="1" type="list">
      <formula1>"No,Yes"</formula1>
    </dataValidation>
    <dataValidation sqref="BB2:BB41" showDropDown="0" showInputMessage="0" showErrorMessage="0" allowBlank="1" type="list">
      <formula1>"No,Yes"</formula1>
    </dataValidation>
    <dataValidation sqref="BD2:BD41" showDropDown="0" showInputMessage="0" showErrorMessage="0" allowBlank="1" type="list">
      <formula1>"Yes,No"</formula1>
    </dataValidation>
    <dataValidation sqref="BF2:BF41" showDropDown="0" showInputMessage="0" showErrorMessage="0" allowBlank="1" type="list">
      <formula1>"Yes,No"</formula1>
    </dataValidation>
    <dataValidation sqref="BH2:BH41" showDropDown="0" showInputMessage="0" showErrorMessage="0" allowBlank="1" type="list">
      <formula1>"Yes,No"</formula1>
    </dataValidation>
    <dataValidation sqref="BJ2:BJ41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1" showDropDown="0" showInputMessage="0" showErrorMessage="0" allowBlank="1" type="list">
      <formula1>"Above 40,20 to 40,0 to 20"</formula1>
    </dataValidation>
    <dataValidation sqref="BN2:BN41" showDropDown="0" showInputMessage="0" showErrorMessage="0" allowBlank="1" type="list">
      <formula1>"Between 50 to 75,Above 75,Below 45"</formula1>
    </dataValidation>
    <dataValidation sqref="BP2:BP41" showDropDown="0" showInputMessage="0" showErrorMessage="0" allowBlank="1" type="list">
      <formula1>"Stage 1,Stage 2,Stage 3,Stage 4"</formula1>
    </dataValidation>
    <dataValidation sqref="BR2:BR41" showDropDown="0" showInputMessage="0" showErrorMessage="0" allowBlank="1" type="list">
      <formula1>"Positive Trend,Negative Trend"</formula1>
    </dataValidation>
    <dataValidation sqref="BT2:BT41" showDropDown="0" showInputMessage="0" showErrorMessage="0" allowBlank="1" type="list">
      <formula1>"Uptrend,Sideways,Downtrend"</formula1>
    </dataValidation>
    <dataValidation sqref="BV2:BV41" showDropDown="0" showInputMessage="0" showErrorMessage="0" allowBlank="1" type="list">
      <formula1>"Uptrend,Sideways,Downtrend"</formula1>
    </dataValidation>
    <dataValidation sqref="BX2:BX4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7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IF(B2=0,"",RANK(B2,$B$2:$B$17,0))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138.5</v>
      </c>
      <c r="E2" s="32" t="inlineStr">
        <is>
          <t>5%</t>
        </is>
      </c>
      <c r="F2" s="32" t="n">
        <v>50000</v>
      </c>
      <c r="G2" s="32" t="n">
        <v>25</v>
      </c>
      <c r="H2" s="31" t="inlineStr">
        <is>
          <t>IPCALAB</t>
        </is>
      </c>
      <c r="I2" s="31" t="inlineStr">
        <is>
          <t>Ipca Laboratories Limited</t>
        </is>
      </c>
      <c r="J2" s="31" t="inlineStr">
        <is>
          <t>healthcare</t>
        </is>
      </c>
      <c r="K2" s="31" t="inlineStr">
        <is>
          <t>pharmaceuticals - indian - bulk drugs &amp; formln</t>
        </is>
      </c>
      <c r="L2" s="31" t="inlineStr">
        <is>
          <t>largecap</t>
        </is>
      </c>
      <c r="M2" s="32" t="n">
        <v>48721.36</v>
      </c>
      <c r="N2" s="32" t="n">
        <v>1928.5</v>
      </c>
      <c r="O2" s="32" t="n">
        <v>0.42</v>
      </c>
      <c r="P2" s="32" t="n">
        <v>531499</v>
      </c>
      <c r="Q2" s="31" t="n">
        <v>49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67.91</v>
      </c>
      <c r="U2" s="32" t="n">
        <v>38.04</v>
      </c>
      <c r="V2" s="32" t="n">
        <v>1552.98</v>
      </c>
      <c r="W2" s="31" t="inlineStr">
        <is>
          <t>Near 52W High Breakout</t>
        </is>
      </c>
      <c r="X2" s="31" t="inlineStr">
        <is>
          <t>Nifty Pharma</t>
        </is>
      </c>
      <c r="Y2" s="32" t="n">
        <v>21.83</v>
      </c>
      <c r="Z2" s="32" t="n">
        <v>39.79</v>
      </c>
      <c r="AA2" s="32" t="n">
        <v>14.74</v>
      </c>
      <c r="AB2" s="32" t="n">
        <v>12.76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20 to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IF(B3=0,"",RANK(B3,$B$2:$B$17,0))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138.5</v>
      </c>
      <c r="E3" s="32" t="inlineStr">
        <is>
          <t>5%</t>
        </is>
      </c>
      <c r="F3" s="32" t="n">
        <v>50000</v>
      </c>
      <c r="G3" s="32" t="n">
        <v>19</v>
      </c>
      <c r="H3" s="31" t="inlineStr">
        <is>
          <t>SJS</t>
        </is>
      </c>
      <c r="I3" s="31" t="inlineStr">
        <is>
          <t>S J S Enterprises Ltd</t>
        </is>
      </c>
      <c r="J3" s="31" t="inlineStr">
        <is>
          <t>auto</t>
        </is>
      </c>
      <c r="K3" s="31" t="inlineStr">
        <is>
          <t>plastics products</t>
        </is>
      </c>
      <c r="L3" s="31" t="inlineStr">
        <is>
          <t>midcap</t>
        </is>
      </c>
      <c r="M3" s="32" t="n">
        <v>8198.76</v>
      </c>
      <c r="N3" s="32" t="n">
        <v>2535</v>
      </c>
      <c r="O3" s="32" t="n">
        <v>-1.04</v>
      </c>
      <c r="P3" s="32" t="n">
        <v>162303</v>
      </c>
      <c r="Q3" s="31" t="inlineStr"/>
      <c r="R3" s="31" t="inlineStr"/>
      <c r="S3" s="32">
        <f>IF(R3="Underperforming",-5,IF(Q3&gt;=95,15,IF(Q3&gt;=90,10,IF(Q3&gt;=80,5,0))))</f>
        <v/>
      </c>
      <c r="T3" s="32" t="n">
        <v>72.93000000000001</v>
      </c>
      <c r="U3" s="32" t="n">
        <v>46.97</v>
      </c>
      <c r="V3" s="32" t="n">
        <v>2071.86</v>
      </c>
      <c r="W3" s="31" t="inlineStr">
        <is>
          <t>Near 52W High Breakout</t>
        </is>
      </c>
      <c r="X3" s="31" t="inlineStr">
        <is>
          <t>Nifty Auto</t>
        </is>
      </c>
      <c r="Y3" s="32" t="inlineStr"/>
      <c r="Z3" s="32" t="inlineStr"/>
      <c r="AA3" s="32" t="inlineStr"/>
      <c r="AB3" s="32" t="inlineStr"/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IF(B4=0,"",RANK(B4,$B$2:$B$17,0))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137.6</v>
      </c>
      <c r="E4" s="32" t="inlineStr">
        <is>
          <t>5%</t>
        </is>
      </c>
      <c r="F4" s="32" t="n">
        <v>50000</v>
      </c>
      <c r="G4" s="32" t="n">
        <v>158</v>
      </c>
      <c r="H4" s="31" t="inlineStr">
        <is>
          <t>SETL</t>
        </is>
      </c>
      <c r="I4" s="31" t="inlineStr">
        <is>
          <t>Standard Enginnering Technology Ltd</t>
        </is>
      </c>
      <c r="J4" s="31" t="inlineStr">
        <is>
          <t>industrials</t>
        </is>
      </c>
      <c r="K4" s="31" t="inlineStr">
        <is>
          <t>engineering</t>
        </is>
      </c>
      <c r="L4" s="31" t="inlineStr">
        <is>
          <t>midcap</t>
        </is>
      </c>
      <c r="M4" s="32" t="n">
        <v>6231.12</v>
      </c>
      <c r="N4" s="32" t="n">
        <v>314.75</v>
      </c>
      <c r="O4" s="32" t="n">
        <v>0.77</v>
      </c>
      <c r="P4" s="32" t="n">
        <v>1839780</v>
      </c>
      <c r="Q4" s="31" t="n">
        <v>98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83.04000000000001</v>
      </c>
      <c r="U4" s="32" t="n">
        <v>57.01</v>
      </c>
      <c r="V4" s="32" t="n">
        <v>240.56</v>
      </c>
      <c r="W4" s="31" t="inlineStr">
        <is>
          <t>Near 52W High Breakout</t>
        </is>
      </c>
      <c r="X4" s="31" t="inlineStr">
        <is>
          <t>Nifty 50</t>
        </is>
      </c>
      <c r="Y4" s="32" t="n">
        <v>-0.38</v>
      </c>
      <c r="Z4" s="32" t="n">
        <v>76.23</v>
      </c>
      <c r="AA4" s="32" t="n">
        <v>76.90000000000001</v>
      </c>
      <c r="AB4" s="32" t="n">
        <v>49.28</v>
      </c>
      <c r="AC4" s="31" t="inlineStr">
        <is>
          <t>Cyclical in an Upturn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IF(B5=0,"",RANK(B5,$B$2:$B$17,0))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139.1</v>
      </c>
      <c r="E5" s="32" t="inlineStr">
        <is>
          <t>5%</t>
        </is>
      </c>
      <c r="F5" s="32" t="n">
        <v>50000</v>
      </c>
      <c r="G5" s="32" t="n">
        <v>58</v>
      </c>
      <c r="H5" s="31" t="inlineStr">
        <is>
          <t>SHILPAMED</t>
        </is>
      </c>
      <c r="I5" s="31" t="inlineStr">
        <is>
          <t>Shilpa Medicare Limited</t>
        </is>
      </c>
      <c r="J5" s="31" t="inlineStr">
        <is>
          <t>healthcare</t>
        </is>
      </c>
      <c r="K5" s="31" t="inlineStr">
        <is>
          <t>pharmaceuticals - indian - formulations</t>
        </is>
      </c>
      <c r="L5" s="31" t="inlineStr">
        <is>
          <t>midcap</t>
        </is>
      </c>
      <c r="M5" s="32" t="n">
        <v>16737.89</v>
      </c>
      <c r="N5" s="32" t="n">
        <v>861.55</v>
      </c>
      <c r="O5" s="32" t="n">
        <v>0.67</v>
      </c>
      <c r="P5" s="32" t="n">
        <v>1438091</v>
      </c>
      <c r="Q5" s="31" t="n">
        <v>93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89.17</v>
      </c>
      <c r="U5" s="32" t="n">
        <v>76.16</v>
      </c>
      <c r="V5" s="32" t="n">
        <v>705.5</v>
      </c>
      <c r="W5" s="31" t="inlineStr">
        <is>
          <t>Near 52W High Breakout</t>
        </is>
      </c>
      <c r="X5" s="31" t="inlineStr">
        <is>
          <t>Nifty Pharma</t>
        </is>
      </c>
      <c r="Y5" s="32" t="n">
        <v>21.83</v>
      </c>
      <c r="Z5" s="32" t="n">
        <v>103.86</v>
      </c>
      <c r="AA5" s="32" t="n">
        <v>67.33</v>
      </c>
      <c r="AB5" s="32" t="n">
        <v>34.59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IF(B6=0,"",RANK(B6,$B$2:$B$17,0))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139.1</v>
      </c>
      <c r="E6" s="32" t="inlineStr">
        <is>
          <t>5%</t>
        </is>
      </c>
      <c r="F6" s="32" t="n">
        <v>50000</v>
      </c>
      <c r="G6" s="32" t="n">
        <v>59</v>
      </c>
      <c r="H6" s="31" t="inlineStr">
        <is>
          <t>SKYGOLD</t>
        </is>
      </c>
      <c r="I6" s="31" t="inlineStr">
        <is>
          <t>Sky Gold Ltd</t>
        </is>
      </c>
      <c r="J6" s="31" t="inlineStr">
        <is>
          <t>consumer discretionary</t>
        </is>
      </c>
      <c r="K6" s="31" t="inlineStr">
        <is>
          <t>diamond cutting / jewellery</t>
        </is>
      </c>
      <c r="L6" s="31" t="inlineStr">
        <is>
          <t>midcap</t>
        </is>
      </c>
      <c r="M6" s="32" t="n">
        <v>12358.94</v>
      </c>
      <c r="N6" s="32" t="n">
        <v>842.3</v>
      </c>
      <c r="O6" s="32" t="n">
        <v>5.55</v>
      </c>
      <c r="P6" s="32" t="n">
        <v>1863960</v>
      </c>
      <c r="Q6" s="31" t="n">
        <v>94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83.05</v>
      </c>
      <c r="U6" s="32" t="n">
        <v>65.67</v>
      </c>
      <c r="V6" s="32" t="n">
        <v>655.99</v>
      </c>
      <c r="W6" s="31" t="inlineStr">
        <is>
          <t>Near 52W High Breakout</t>
        </is>
      </c>
      <c r="X6" s="31" t="inlineStr">
        <is>
          <t>Nifty 50</t>
        </is>
      </c>
      <c r="Y6" s="32" t="n">
        <v>-0.38</v>
      </c>
      <c r="Z6" s="32" t="n">
        <v>192.57</v>
      </c>
      <c r="AA6" s="32" t="n">
        <v>193.68</v>
      </c>
      <c r="AB6" s="32" t="n">
        <v>38.33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Between 0.7 to 1.2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IF(B7=0,"",RANK(B7,$B$2:$B$17,0))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</v>
      </c>
      <c r="E7" s="32" t="inlineStr">
        <is>
          <t>5%</t>
        </is>
      </c>
      <c r="F7" s="32" t="n">
        <v>50000</v>
      </c>
      <c r="G7" s="32" t="n">
        <v>30</v>
      </c>
      <c r="H7" s="31" t="inlineStr">
        <is>
          <t>ENTERO</t>
        </is>
      </c>
      <c r="I7" s="31" t="inlineStr">
        <is>
          <t>Entero Healthcare Solutions Ltd</t>
        </is>
      </c>
      <c r="J7" s="31" t="inlineStr">
        <is>
          <t>healthcare</t>
        </is>
      </c>
      <c r="K7" s="31" t="inlineStr">
        <is>
          <t>trading</t>
        </is>
      </c>
      <c r="L7" s="31" t="inlineStr">
        <is>
          <t>midcap</t>
        </is>
      </c>
      <c r="M7" s="32" t="n">
        <v>6658.16</v>
      </c>
      <c r="N7" s="32" t="n">
        <v>1633</v>
      </c>
      <c r="O7" s="32" t="n">
        <v>6.75</v>
      </c>
      <c r="P7" s="32" t="n">
        <v>2519389</v>
      </c>
      <c r="Q7" s="31" t="n">
        <v>59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73.51000000000001</v>
      </c>
      <c r="U7" s="32" t="n">
        <v>29.18</v>
      </c>
      <c r="V7" s="32" t="n">
        <v>1283.92</v>
      </c>
      <c r="W7" s="31" t="inlineStr">
        <is>
          <t>Volume Spike &amp; Near 52W High Breakout</t>
        </is>
      </c>
      <c r="X7" s="31" t="inlineStr">
        <is>
          <t>Nifty Pharma</t>
        </is>
      </c>
      <c r="Y7" s="32" t="n">
        <v>21.83</v>
      </c>
      <c r="Z7" s="32" t="n">
        <v>38.16</v>
      </c>
      <c r="AA7" s="32" t="n">
        <v>13.4</v>
      </c>
      <c r="AB7" s="32" t="n">
        <v>15.2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Between 1.5 to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IF(B8=0,"",RANK(B8,$B$2:$B$17,0))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138.5</v>
      </c>
      <c r="E8" s="32" t="inlineStr">
        <is>
          <t>5%</t>
        </is>
      </c>
      <c r="F8" s="32" t="n">
        <v>50000</v>
      </c>
      <c r="G8" s="32" t="n">
        <v>247</v>
      </c>
      <c r="H8" s="31" t="inlineStr">
        <is>
          <t>KRISHANA</t>
        </is>
      </c>
      <c r="I8" s="31" t="inlineStr">
        <is>
          <t>Krishana Phoschem Ltd</t>
        </is>
      </c>
      <c r="J8" s="31" t="inlineStr">
        <is>
          <t>chemicals</t>
        </is>
      </c>
      <c r="K8" s="31" t="inlineStr">
        <is>
          <t>fertilizers</t>
        </is>
      </c>
      <c r="L8" s="31" t="inlineStr">
        <is>
          <t>smallcap</t>
        </is>
      </c>
      <c r="M8" s="32" t="n">
        <v>1234.57</v>
      </c>
      <c r="N8" s="32" t="n">
        <v>201</v>
      </c>
      <c r="O8" s="32" t="n">
        <v>0.66</v>
      </c>
      <c r="P8" s="32" t="n">
        <v>1711948</v>
      </c>
      <c r="Q8" s="31" t="n">
        <v>83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80.20999999999999</v>
      </c>
      <c r="U8" s="32" t="n">
        <v>50.32</v>
      </c>
      <c r="V8" s="32" t="n">
        <v>159.76</v>
      </c>
      <c r="W8" s="31" t="inlineStr">
        <is>
          <t>Near 52W High Breakout</t>
        </is>
      </c>
      <c r="X8" s="31" t="inlineStr">
        <is>
          <t>Nifty 50</t>
        </is>
      </c>
      <c r="Y8" s="32" t="n">
        <v>-0.38</v>
      </c>
      <c r="Z8" s="32" t="n">
        <v>74.73</v>
      </c>
      <c r="AA8" s="32" t="n">
        <v>75.40000000000001</v>
      </c>
      <c r="AB8" s="32" t="n">
        <v>24.7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More than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IF(B9=0,"",RANK(B9,$B$2:$B$17,0))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137.9</v>
      </c>
      <c r="E9" s="32" t="inlineStr">
        <is>
          <t>5%</t>
        </is>
      </c>
      <c r="F9" s="32" t="n">
        <v>50000</v>
      </c>
      <c r="G9" s="32" t="n">
        <v>180</v>
      </c>
      <c r="H9" s="31" t="inlineStr">
        <is>
          <t>KANPRPLA</t>
        </is>
      </c>
      <c r="I9" s="31" t="inlineStr">
        <is>
          <t>Kanpur Plastipack Ltd</t>
        </is>
      </c>
      <c r="J9" s="31" t="inlineStr">
        <is>
          <t>industrials</t>
        </is>
      </c>
      <c r="K9" s="31" t="inlineStr">
        <is>
          <t>packaging</t>
        </is>
      </c>
      <c r="L9" s="31" t="inlineStr">
        <is>
          <t>smallcap</t>
        </is>
      </c>
      <c r="M9" s="32" t="n">
        <v>675.52</v>
      </c>
      <c r="N9" s="32" t="n">
        <v>277.19</v>
      </c>
      <c r="O9" s="32" t="n">
        <v>0.45</v>
      </c>
      <c r="P9" s="32" t="n">
        <v>92324</v>
      </c>
      <c r="Q9" s="31" t="n">
        <v>63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73.97</v>
      </c>
      <c r="U9" s="32" t="n">
        <v>22.71</v>
      </c>
      <c r="V9" s="32" t="n">
        <v>198.47</v>
      </c>
      <c r="W9" s="31" t="inlineStr">
        <is>
          <t>Near 52W High Breakout</t>
        </is>
      </c>
      <c r="X9" s="31" t="inlineStr">
        <is>
          <t>Nifty 50</t>
        </is>
      </c>
      <c r="Y9" s="32" t="n">
        <v>-0.38</v>
      </c>
      <c r="Z9" s="32" t="n">
        <v>41.27</v>
      </c>
      <c r="AA9" s="32" t="n">
        <v>41.8</v>
      </c>
      <c r="AB9" s="32" t="n">
        <v>16.38</v>
      </c>
      <c r="AC9" s="31" t="inlineStr">
        <is>
          <t>Cyclical in an Upturn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20 to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IF(B10=0,"",RANK(B10,$B$2:$B$17,0))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140</v>
      </c>
      <c r="E10" s="32" t="inlineStr">
        <is>
          <t>5%</t>
        </is>
      </c>
      <c r="F10" s="32" t="n">
        <v>50000</v>
      </c>
      <c r="G10" s="32" t="n">
        <v>5</v>
      </c>
      <c r="H10" s="31" t="inlineStr">
        <is>
          <t>DIVISLAB</t>
        </is>
      </c>
      <c r="I10" s="31" t="inlineStr">
        <is>
          <t>Divi's Laboratories Limited</t>
        </is>
      </c>
      <c r="J10" s="31" t="inlineStr">
        <is>
          <t>healthcare</t>
        </is>
      </c>
      <c r="K10" s="31" t="inlineStr">
        <is>
          <t>pharmaceuticals - indian - bulk drugs</t>
        </is>
      </c>
      <c r="L10" s="31" t="inlineStr">
        <is>
          <t>largecap</t>
        </is>
      </c>
      <c r="M10" s="32" t="n">
        <v>225542.11</v>
      </c>
      <c r="N10" s="32" t="n">
        <v>8744.5</v>
      </c>
      <c r="O10" s="32" t="n">
        <v>2.92</v>
      </c>
      <c r="P10" s="32" t="n">
        <v>565541</v>
      </c>
      <c r="Q10" s="31" t="n">
        <v>57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85.39</v>
      </c>
      <c r="U10" s="32" t="n">
        <v>36.85</v>
      </c>
      <c r="V10" s="32" t="n">
        <v>7696.82</v>
      </c>
      <c r="W10" s="31" t="inlineStr">
        <is>
          <t>Near 52W High Breakout</t>
        </is>
      </c>
      <c r="X10" s="31" t="inlineStr">
        <is>
          <t>Nifty Pharma</t>
        </is>
      </c>
      <c r="Y10" s="32" t="n">
        <v>21.83</v>
      </c>
      <c r="Z10" s="32" t="n">
        <v>43.2</v>
      </c>
      <c r="AA10" s="32" t="n">
        <v>17.54</v>
      </c>
      <c r="AB10" s="32" t="n">
        <v>14.4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IF(B11=0,"",RANK(B11,$B$2:$B$17,0))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139.1</v>
      </c>
      <c r="E11" s="32" t="inlineStr">
        <is>
          <t>5%</t>
        </is>
      </c>
      <c r="F11" s="32" t="n">
        <v>50000</v>
      </c>
      <c r="G11" s="32" t="n">
        <v>574</v>
      </c>
      <c r="H11" s="31" t="inlineStr">
        <is>
          <t>BODALCHEM</t>
        </is>
      </c>
      <c r="I11" s="31" t="inlineStr">
        <is>
          <t>Bodal Chemicals Limited</t>
        </is>
      </c>
      <c r="J11" s="31" t="inlineStr">
        <is>
          <t>chemicals</t>
        </is>
      </c>
      <c r="K11" s="31" t="inlineStr">
        <is>
          <t>dyes and pigments</t>
        </is>
      </c>
      <c r="L11" s="31" t="inlineStr">
        <is>
          <t>smallcap</t>
        </is>
      </c>
      <c r="M11" s="32" t="n">
        <v>1044.2</v>
      </c>
      <c r="N11" s="32" t="n">
        <v>87.05</v>
      </c>
      <c r="O11" s="32" t="n">
        <v>4.99</v>
      </c>
      <c r="P11" s="32" t="n">
        <v>1544129</v>
      </c>
      <c r="Q11" s="31" t="n">
        <v>53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69.88</v>
      </c>
      <c r="U11" s="32" t="n">
        <v>34.13</v>
      </c>
      <c r="V11" s="32" t="n">
        <v>66.28</v>
      </c>
      <c r="W11" s="31" t="inlineStr">
        <is>
          <t>Volume Spike &amp; Near 52W High Breakout</t>
        </is>
      </c>
      <c r="X11" s="31" t="inlineStr">
        <is>
          <t>Nifty IT</t>
        </is>
      </c>
      <c r="Y11" s="32" t="n">
        <v>-12.53</v>
      </c>
      <c r="Z11" s="32" t="n">
        <v>34.61</v>
      </c>
      <c r="AA11" s="32" t="n">
        <v>53.89</v>
      </c>
      <c r="AB11" s="32" t="n">
        <v>13.42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Between 0.7 to 1.2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IF(B12=0,"",RANK(B12,$B$2:$B$17,0))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138.7</v>
      </c>
      <c r="E12" s="32" t="inlineStr">
        <is>
          <t>5%</t>
        </is>
      </c>
      <c r="F12" s="32" t="n">
        <v>50000</v>
      </c>
      <c r="G12" s="32" t="n">
        <v>75</v>
      </c>
      <c r="H12" s="31" t="inlineStr">
        <is>
          <t>WELENT</t>
        </is>
      </c>
      <c r="I12" s="31" t="inlineStr">
        <is>
          <t>Welspun Enterprises Limited</t>
        </is>
      </c>
      <c r="J12" s="31" t="inlineStr">
        <is>
          <t>realty</t>
        </is>
      </c>
      <c r="K12" s="31" t="inlineStr">
        <is>
          <t>construction</t>
        </is>
      </c>
      <c r="L12" s="31" t="inlineStr">
        <is>
          <t>midcap</t>
        </is>
      </c>
      <c r="M12" s="32" t="n">
        <v>8967.83</v>
      </c>
      <c r="N12" s="32" t="n">
        <v>661</v>
      </c>
      <c r="O12" s="32" t="n">
        <v>2.02</v>
      </c>
      <c r="P12" s="32" t="n">
        <v>1128974</v>
      </c>
      <c r="Q12" s="31" t="inlineStr"/>
      <c r="R12" s="31" t="inlineStr"/>
      <c r="S12" s="32">
        <f>IF(R12="Underperforming",-5,IF(Q12&gt;=95,15,IF(Q12&gt;=90,10,IF(Q12&gt;=80,5,0))))</f>
        <v/>
      </c>
      <c r="T12" s="32" t="n">
        <v>69.61</v>
      </c>
      <c r="U12" s="32" t="n">
        <v>22.99</v>
      </c>
      <c r="V12" s="32" t="n">
        <v>529.9400000000001</v>
      </c>
      <c r="W12" s="31" t="inlineStr">
        <is>
          <t>Near 52W High Breakout</t>
        </is>
      </c>
      <c r="X12" s="31" t="inlineStr">
        <is>
          <t>Nifty Realty</t>
        </is>
      </c>
      <c r="Y12" s="32" t="inlineStr"/>
      <c r="Z12" s="32" t="inlineStr"/>
      <c r="AA12" s="32" t="inlineStr"/>
      <c r="AB12" s="32" t="inlineStr"/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IF(B13=0,"",RANK(B13,$B$2:$B$17,0))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140</v>
      </c>
      <c r="E13" s="32" t="inlineStr">
        <is>
          <t>5%</t>
        </is>
      </c>
      <c r="F13" s="32" t="n">
        <v>50000</v>
      </c>
      <c r="G13" s="32" t="n">
        <v>29</v>
      </c>
      <c r="H13" s="31" t="inlineStr">
        <is>
          <t>PAYTM</t>
        </is>
      </c>
      <c r="I13" s="31" t="inlineStr">
        <is>
          <t>One 97 Communications Ltd</t>
        </is>
      </c>
      <c r="J13" s="31" t="inlineStr">
        <is>
          <t>i.t</t>
        </is>
      </c>
      <c r="K13" s="31" t="inlineStr">
        <is>
          <t>miscellaneous</t>
        </is>
      </c>
      <c r="L13" s="31" t="inlineStr">
        <is>
          <t>largecap</t>
        </is>
      </c>
      <c r="M13" s="32" t="n">
        <v>103958.71</v>
      </c>
      <c r="N13" s="32" t="n">
        <v>1718</v>
      </c>
      <c r="O13" s="32" t="n">
        <v>5.82</v>
      </c>
      <c r="P13" s="32" t="n">
        <v>10127654</v>
      </c>
      <c r="Q13" s="31" t="n">
        <v>71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77</v>
      </c>
      <c r="U13" s="32" t="n">
        <v>23.48</v>
      </c>
      <c r="V13" s="32" t="n">
        <v>1395.32</v>
      </c>
      <c r="W13" s="31" t="inlineStr">
        <is>
          <t>Near 52W High Breakout</t>
        </is>
      </c>
      <c r="X13" s="31" t="inlineStr">
        <is>
          <t>Nifty IT</t>
        </is>
      </c>
      <c r="Y13" s="32" t="n">
        <v>-12.53</v>
      </c>
      <c r="Z13" s="32" t="n">
        <v>42.34</v>
      </c>
      <c r="AA13" s="32" t="n">
        <v>62.73</v>
      </c>
      <c r="AB13" s="32" t="n">
        <v>20.31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IF(B14=0,"",RANK(B14,$B$2:$B$17,0))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138.3</v>
      </c>
      <c r="E14" s="32" t="inlineStr">
        <is>
          <t>5%</t>
        </is>
      </c>
      <c r="F14" s="32" t="n">
        <v>50000</v>
      </c>
      <c r="G14" s="32" t="n">
        <v>54</v>
      </c>
      <c r="H14" s="31" t="inlineStr">
        <is>
          <t>YATHARTH</t>
        </is>
      </c>
      <c r="I14" s="31" t="inlineStr">
        <is>
          <t>Yatharth Hospital &amp; Trauma Care Services Ltd</t>
        </is>
      </c>
      <c r="J14" s="31" t="inlineStr">
        <is>
          <t>healthcare</t>
        </is>
      </c>
      <c r="K14" s="31" t="inlineStr">
        <is>
          <t>healthcare</t>
        </is>
      </c>
      <c r="L14" s="31" t="inlineStr">
        <is>
          <t>midcap</t>
        </is>
      </c>
      <c r="M14" s="32" t="n">
        <v>8744.639999999999</v>
      </c>
      <c r="N14" s="32" t="n">
        <v>923.05</v>
      </c>
      <c r="O14" s="32" t="n">
        <v>1.71</v>
      </c>
      <c r="P14" s="32" t="n">
        <v>1180205</v>
      </c>
      <c r="Q14" s="31" t="n">
        <v>37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64.59</v>
      </c>
      <c r="U14" s="32" t="n">
        <v>35.93</v>
      </c>
      <c r="V14" s="32" t="n">
        <v>737.45</v>
      </c>
      <c r="W14" s="31" t="inlineStr">
        <is>
          <t>Near 52W High Breakout</t>
        </is>
      </c>
      <c r="X14" s="31" t="inlineStr">
        <is>
          <t>Nifty Pharma</t>
        </is>
      </c>
      <c r="Y14" s="32" t="n">
        <v>21.83</v>
      </c>
      <c r="Z14" s="32" t="n">
        <v>32.88</v>
      </c>
      <c r="AA14" s="32" t="n">
        <v>9.07</v>
      </c>
      <c r="AB14" s="32" t="n">
        <v>9.25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IF(B15=0,"",RANK(B15,$B$2:$B$17,0))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138.3</v>
      </c>
      <c r="E15" s="32" t="inlineStr">
        <is>
          <t>5%</t>
        </is>
      </c>
      <c r="F15" s="32" t="n">
        <v>50000</v>
      </c>
      <c r="G15" s="32" t="n">
        <v>75</v>
      </c>
      <c r="H15" s="31" t="inlineStr">
        <is>
          <t>APOLLOPIPE</t>
        </is>
      </c>
      <c r="I15" s="31" t="inlineStr">
        <is>
          <t>Apollo Pipes Ltd</t>
        </is>
      </c>
      <c r="J15" s="31" t="inlineStr">
        <is>
          <t>plastic products</t>
        </is>
      </c>
      <c r="K15" s="31" t="inlineStr">
        <is>
          <t>plastics products</t>
        </is>
      </c>
      <c r="L15" s="31" t="inlineStr">
        <is>
          <t>smallcap</t>
        </is>
      </c>
      <c r="M15" s="32" t="n">
        <v>2683.64</v>
      </c>
      <c r="N15" s="32" t="n">
        <v>663.75</v>
      </c>
      <c r="O15" s="32" t="n">
        <v>8.949999999999999</v>
      </c>
      <c r="P15" s="32" t="n">
        <v>2852802</v>
      </c>
      <c r="Q15" s="31" t="n">
        <v>69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80.44</v>
      </c>
      <c r="U15" s="32" t="n">
        <v>45.02</v>
      </c>
      <c r="V15" s="32" t="n">
        <v>524.59</v>
      </c>
      <c r="W15" s="31" t="inlineStr">
        <is>
          <t>Volume Spike &amp; Near 52W High Breakout</t>
        </is>
      </c>
      <c r="X15" s="31" t="inlineStr">
        <is>
          <t>Nifty 50</t>
        </is>
      </c>
      <c r="Y15" s="32" t="n">
        <v>-0.38</v>
      </c>
      <c r="Z15" s="32" t="n">
        <v>64.3</v>
      </c>
      <c r="AA15" s="32" t="n">
        <v>64.92</v>
      </c>
      <c r="AB15" s="32" t="n">
        <v>19.38</v>
      </c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Oligopoly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Cyclical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B2C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Fully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Yes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Between 1.5 to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IF(B16=0,"",RANK(B16,$B$2:$B$17,0))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139.8</v>
      </c>
      <c r="E16" s="32" t="inlineStr">
        <is>
          <t>5%</t>
        </is>
      </c>
      <c r="F16" s="32" t="n">
        <v>50000</v>
      </c>
      <c r="G16" s="32" t="n">
        <v>41</v>
      </c>
      <c r="H16" s="31" t="inlineStr">
        <is>
          <t>MAHASTEEL</t>
        </is>
      </c>
      <c r="I16" s="31" t="inlineStr">
        <is>
          <t>Mahamaya Steel Industries Limited</t>
        </is>
      </c>
      <c r="J16" s="31" t="inlineStr">
        <is>
          <t>metals &amp; mining</t>
        </is>
      </c>
      <c r="K16" s="31" t="inlineStr">
        <is>
          <t>steel - medium / small</t>
        </is>
      </c>
      <c r="L16" s="31" t="inlineStr">
        <is>
          <t>smallcap</t>
        </is>
      </c>
      <c r="M16" s="32" t="n">
        <v>1932.19</v>
      </c>
      <c r="N16" s="32" t="n">
        <v>1202</v>
      </c>
      <c r="O16" s="32" t="n">
        <v>2.24</v>
      </c>
      <c r="P16" s="32" t="n">
        <v>38185</v>
      </c>
      <c r="Q16" s="31" t="inlineStr"/>
      <c r="R16" s="31" t="inlineStr"/>
      <c r="S16" s="32">
        <f>IF(R16="Underperforming",-5,IF(Q16&gt;=95,15,IF(Q16&gt;=90,10,IF(Q16&gt;=80,5,0))))</f>
        <v/>
      </c>
      <c r="T16" s="32" t="n">
        <v>70.63</v>
      </c>
      <c r="U16" s="32" t="n">
        <v>20.02</v>
      </c>
      <c r="V16" s="32" t="n">
        <v>897.85</v>
      </c>
      <c r="W16" s="31" t="inlineStr">
        <is>
          <t>Near 52W High Breakout</t>
        </is>
      </c>
      <c r="X16" s="31" t="inlineStr">
        <is>
          <t>Nifty Metal</t>
        </is>
      </c>
      <c r="Y16" s="32" t="inlineStr"/>
      <c r="Z16" s="32" t="inlineStr"/>
      <c r="AA16" s="32" t="inlineStr"/>
      <c r="AB16" s="32" t="inlineStr"/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Cyclical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Volatile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IF(B17=0,"",RANK(B17,$B$2:$B$17,0))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EMA Crossover</t>
        </is>
      </c>
      <c r="D17" s="32" t="n">
        <v>147.4</v>
      </c>
      <c r="E17" s="32" t="inlineStr">
        <is>
          <t>7%</t>
        </is>
      </c>
      <c r="F17" s="32" t="n">
        <v>70000</v>
      </c>
      <c r="G17" s="32" t="n">
        <v>169</v>
      </c>
      <c r="H17" s="31" t="inlineStr">
        <is>
          <t>BEL</t>
        </is>
      </c>
      <c r="I17" s="31" t="inlineStr">
        <is>
          <t>Bharat Electronics Limited</t>
        </is>
      </c>
      <c r="J17" s="31" t="inlineStr">
        <is>
          <t>aerospace &amp; defence</t>
        </is>
      </c>
      <c r="K17" s="31" t="inlineStr">
        <is>
          <t>electronics - components</t>
        </is>
      </c>
      <c r="L17" s="31" t="inlineStr">
        <is>
          <t>largecap</t>
        </is>
      </c>
      <c r="M17" s="32" t="n">
        <v>298969.95</v>
      </c>
      <c r="N17" s="32" t="n">
        <v>413.25</v>
      </c>
      <c r="O17" s="32" t="n">
        <v>1.04</v>
      </c>
      <c r="P17" s="32" t="n">
        <v>9972589</v>
      </c>
      <c r="Q17" s="31" t="n">
        <v>10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49.81</v>
      </c>
      <c r="U17" s="32" t="n">
        <v>7.66</v>
      </c>
      <c r="V17" s="32" t="n">
        <v>368.42</v>
      </c>
      <c r="W17" s="31" t="inlineStr">
        <is>
          <t>Earnings / Momentum Support</t>
        </is>
      </c>
      <c r="X17" s="31" t="inlineStr">
        <is>
          <t>Nifty 50</t>
        </is>
      </c>
      <c r="Y17" s="32" t="n">
        <v>-0.38</v>
      </c>
      <c r="Z17" s="32" t="n">
        <v>12.5</v>
      </c>
      <c r="AA17" s="32" t="n">
        <v>12.93</v>
      </c>
      <c r="AB17" s="32" t="n">
        <v>2.74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No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0 to 20</t>
        </is>
      </c>
      <c r="BD17" s="31">
        <f>IF(BC17="Above 40",20,IF(BC17="20 to 40",10,IF(BC17="0 to 20",-5,0)))</f>
        <v/>
      </c>
      <c r="BE17" s="31" t="inlineStr">
        <is>
          <t>Below 45</t>
        </is>
      </c>
      <c r="BF17" s="31">
        <f>IF(BE17="Between 50 to 75",10,IF(BE17="Above 75",0,0))</f>
        <v/>
      </c>
      <c r="BG17" s="31" t="inlineStr">
        <is>
          <t>Stage 3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</sheetData>
  <autoFilter ref="A1:CJ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7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7">
    <cfRule type="cellIs" priority="36" operator="equal" dxfId="3" stopIfTrue="1">
      <formula>"Underperforming"</formula>
    </cfRule>
  </conditionalFormatting>
  <conditionalFormatting sqref="S2:S17">
    <cfRule type="cellIs" priority="37" operator="equal" dxfId="3" stopIfTrue="1">
      <formula>-5</formula>
    </cfRule>
  </conditionalFormatting>
  <conditionalFormatting sqref="V2:V17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7" showDropDown="0" showInputMessage="0" showErrorMessage="0" allowBlank="1" type="list">
      <formula1>"Growing Industry,Stagnant Industry,Cyclical in an Upturn"</formula1>
    </dataValidation>
    <dataValidation sqref="AE2:AE1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7" showDropDown="0" showInputMessage="0" showErrorMessage="0" allowBlank="1" type="list">
      <formula1>"Yes,No"</formula1>
    </dataValidation>
    <dataValidation sqref="AI2:AI17" showDropDown="0" showInputMessage="0" showErrorMessage="0" allowBlank="1" type="list">
      <formula1>"Tailwind,Headwind"</formula1>
    </dataValidation>
    <dataValidation sqref="AK2:AK17" showDropDown="0" showInputMessage="0" showErrorMessage="0" allowBlank="1" type="list">
      <formula1>"Structural (10 Years Consistency),Shallow Cyclical (2 to 3 Years Growth),Cyclical"</formula1>
    </dataValidation>
    <dataValidation sqref="AM2:AM17" showDropDown="0" showInputMessage="0" showErrorMessage="0" allowBlank="1" type="list">
      <formula1>"Yes due to Product Mix change or Operating Leverage,Yes, these are peak margins,No"</formula1>
    </dataValidation>
    <dataValidation sqref="AO2:AO17" showDropDown="0" showInputMessage="0" showErrorMessage="0" allowBlank="1" type="list">
      <formula1>"Stable,Volatile"</formula1>
    </dataValidation>
    <dataValidation sqref="AQ2:AQ17" showDropDown="0" showInputMessage="0" showErrorMessage="0" allowBlank="1" type="list">
      <formula1>"Yes,No"</formula1>
    </dataValidation>
    <dataValidation sqref="AS2:AS17" showDropDown="0" showInputMessage="0" showErrorMessage="0" allowBlank="1" type="list">
      <formula1>"B2C,B2B,B2G"</formula1>
    </dataValidation>
    <dataValidation sqref="AU2:AU17" showDropDown="0" showInputMessage="0" showErrorMessage="0" allowBlank="1" type="list">
      <formula1>"Yes,No"</formula1>
    </dataValidation>
    <dataValidation sqref="AW2:AW17" showDropDown="0" showInputMessage="0" showErrorMessage="0" allowBlank="1" type="list">
      <formula1>"Fully Annuity,Higher Annuity, Lower One time,Higher One Time, Lower Annuity,Fully One Time"</formula1>
    </dataValidation>
    <dataValidation sqref="AY2:AY17" showDropDown="0" showInputMessage="0" showErrorMessage="0" allowBlank="1" type="list">
      <formula1>"Good,Allocated capital in Non-core Areas"</formula1>
    </dataValidation>
    <dataValidation sqref="BA2:BA17" showDropDown="0" showInputMessage="0" showErrorMessage="0" allowBlank="1" type="list">
      <formula1>"Yes for more than 2 years,Yes only for next 1 to 2 years,No"</formula1>
    </dataValidation>
    <dataValidation sqref="BC2:BC17" showDropDown="0" showInputMessage="0" showErrorMessage="0" allowBlank="1" type="list">
      <formula1>"Above 40,20 to 40,0 to 20"</formula1>
    </dataValidation>
    <dataValidation sqref="BE2:BE17" showDropDown="0" showInputMessage="0" showErrorMessage="0" allowBlank="1" type="list">
      <formula1>"Between 50 to 75,Above 75,Below 45"</formula1>
    </dataValidation>
    <dataValidation sqref="BG2:BG17" showDropDown="0" showInputMessage="0" showErrorMessage="0" allowBlank="1" type="list">
      <formula1>"Stage 1,Stage 2,Stage 3,Stage 4"</formula1>
    </dataValidation>
    <dataValidation sqref="BI2:BI17" showDropDown="0" showInputMessage="0" showErrorMessage="0" allowBlank="1" type="list">
      <formula1>"Positive Trend,Negative Trend"</formula1>
    </dataValidation>
    <dataValidation sqref="BK2:BK17" showDropDown="0" showInputMessage="0" showErrorMessage="0" allowBlank="1" type="list">
      <formula1>"Uptrend,Sideways,Downtrend"</formula1>
    </dataValidation>
    <dataValidation sqref="BM2:BM17" showDropDown="0" showInputMessage="0" showErrorMessage="0" allowBlank="1" type="list">
      <formula1>"Uptrend,Sideways,Downtrend"</formula1>
    </dataValidation>
    <dataValidation sqref="BO2:BO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7" showDropDown="0" showInputMessage="0" showErrorMessage="0" allowBlank="1" type="list">
      <formula1>"Yes,No"</formula1>
    </dataValidation>
    <dataValidation sqref="BS2:BS17" showDropDown="0" showInputMessage="0" showErrorMessage="0" allowBlank="1" type="list">
      <formula1>"More than 20%,Between 12 to 20%,Less than 12%"</formula1>
    </dataValidation>
    <dataValidation sqref="BU2:BU17" showDropDown="0" showInputMessage="0" showErrorMessage="0" allowBlank="1" type="list">
      <formula1>"Yes,No"</formula1>
    </dataValidation>
    <dataValidation sqref="BW2:BW17" showDropDown="0" showInputMessage="0" showErrorMessage="0" allowBlank="1" type="list">
      <formula1>"Yes,No"</formula1>
    </dataValidation>
    <dataValidation sqref="BY2:BY17" showDropDown="0" showInputMessage="0" showErrorMessage="0" allowBlank="1" type="list">
      <formula1>"Above 2,Between 1.5 to 2,Less than 1.5"</formula1>
    </dataValidation>
    <dataValidation sqref="CA2:CA17" showDropDown="0" showInputMessage="0" showErrorMessage="0" allowBlank="1" type="list">
      <formula1>"Above 70%,Between 50% to 70%,Less than 50%,Less than 50% and Borrowings are increasing,Negative"</formula1>
    </dataValidation>
    <dataValidation sqref="CC2:CC17" showDropDown="0" showInputMessage="0" showErrorMessage="0" allowBlank="1" type="list">
      <formula1>"More than 1.2,Between 0.7 to 1.2,Less than 0.7"</formula1>
    </dataValidation>
    <dataValidation sqref="CE2:CE17" showDropDown="0" showInputMessage="0" showErrorMessage="0" allowBlank="1" type="list">
      <formula1>"Yes,No"</formula1>
    </dataValidation>
    <dataValidation sqref="CG2:CG17" showDropDown="0" showInputMessage="0" showErrorMessage="0" allowBlank="1" type="list">
      <formula1>"More than 15%,Less than 15%"</formula1>
    </dataValidation>
    <dataValidation sqref="CI2:CI1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7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IF(B2=0,"",RANK(B2,$B$2:$B$7,0))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22</v>
      </c>
      <c r="H2" s="31" t="inlineStr">
        <is>
          <t>WELINV</t>
        </is>
      </c>
      <c r="I2" s="31" t="inlineStr">
        <is>
          <t>Welspun Investments And Commercials Limited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775.88</v>
      </c>
      <c r="N2" s="32" t="n">
        <v>2229.2</v>
      </c>
      <c r="O2" s="32" t="n">
        <v>5</v>
      </c>
      <c r="P2" s="32" t="n">
        <v>802</v>
      </c>
      <c r="Q2" s="31" t="n">
        <v>81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82.45</v>
      </c>
      <c r="U2" s="32" t="n">
        <v>54.99</v>
      </c>
      <c r="V2" s="32" t="n">
        <v>1724.84</v>
      </c>
      <c r="W2" s="31" t="inlineStr">
        <is>
          <t>Near 52W High Breakout</t>
        </is>
      </c>
      <c r="X2" s="31" t="inlineStr">
        <is>
          <t>Nifty Bank</t>
        </is>
      </c>
      <c r="Y2" s="32" t="n">
        <v>7.19</v>
      </c>
      <c r="Z2" s="32" t="n">
        <v>137.38</v>
      </c>
      <c r="AA2" s="32" t="n">
        <v>121.45</v>
      </c>
      <c r="AB2" s="32" t="n">
        <v>24.04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IF(B3=0,"",RANK(B3,$B$2:$B$7,0))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139.3</v>
      </c>
      <c r="E3" s="32" t="inlineStr">
        <is>
          <t>5%</t>
        </is>
      </c>
      <c r="F3" s="32" t="n">
        <v>50000</v>
      </c>
      <c r="G3" s="32" t="n">
        <v>364</v>
      </c>
      <c r="H3" s="31" t="inlineStr">
        <is>
          <t>TFCILTD</t>
        </is>
      </c>
      <c r="I3" s="31" t="inlineStr">
        <is>
          <t>Tourism Finance Corporation Of India Limited</t>
        </is>
      </c>
      <c r="J3" s="31" t="inlineStr">
        <is>
          <t>financials</t>
        </is>
      </c>
      <c r="K3" s="31" t="inlineStr">
        <is>
          <t>finance - term-lending institutions</t>
        </is>
      </c>
      <c r="L3" s="31" t="inlineStr">
        <is>
          <t>midcap</t>
        </is>
      </c>
      <c r="M3" s="32" t="n">
        <v>5998.33</v>
      </c>
      <c r="N3" s="32" t="n">
        <v>137.02</v>
      </c>
      <c r="O3" s="32" t="n">
        <v>5.76</v>
      </c>
      <c r="P3" s="32" t="n">
        <v>23133673</v>
      </c>
      <c r="Q3" s="31" t="n">
        <v>95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84.83</v>
      </c>
      <c r="U3" s="32" t="n">
        <v>58.36</v>
      </c>
      <c r="V3" s="32" t="n">
        <v>109.76</v>
      </c>
      <c r="W3" s="31" t="inlineStr">
        <is>
          <t>Near 52W High Breakout</t>
        </is>
      </c>
      <c r="X3" s="31" t="inlineStr">
        <is>
          <t>Nifty Bank</t>
        </is>
      </c>
      <c r="Y3" s="32" t="n">
        <v>7.19</v>
      </c>
      <c r="Z3" s="32" t="n">
        <v>128.76</v>
      </c>
      <c r="AA3" s="32" t="n">
        <v>113.41</v>
      </c>
      <c r="AB3" s="32" t="n">
        <v>39.7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between 2.5x to 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Above 40</t>
        </is>
      </c>
      <c r="BR3" s="31">
        <f>IF(BQ3="Above 40",20,IF(BQ3="20 to 40",10,IF(BQ3="0 to 20",-5,0)))</f>
        <v/>
      </c>
      <c r="BS3" s="31" t="inlineStr">
        <is>
          <t>Above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IF(B4=0,"",RANK(B4,$B$2:$B$7,0))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138.7</v>
      </c>
      <c r="E4" s="32" t="inlineStr">
        <is>
          <t>5%</t>
        </is>
      </c>
      <c r="F4" s="32" t="n">
        <v>50000</v>
      </c>
      <c r="G4" s="32" t="n">
        <v>241</v>
      </c>
      <c r="H4" s="31" t="inlineStr">
        <is>
          <t>DCBBANK</t>
        </is>
      </c>
      <c r="I4" s="31" t="inlineStr">
        <is>
          <t>Dcb Bank Limited</t>
        </is>
      </c>
      <c r="J4" s="31" t="inlineStr">
        <is>
          <t>bank</t>
        </is>
      </c>
      <c r="K4" s="31" t="inlineStr">
        <is>
          <t>banks - private sector</t>
        </is>
      </c>
      <c r="L4" s="31" t="inlineStr">
        <is>
          <t>midcap</t>
        </is>
      </c>
      <c r="M4" s="32" t="n">
        <v>6433.17</v>
      </c>
      <c r="N4" s="32" t="n">
        <v>207.37</v>
      </c>
      <c r="O4" s="32" t="n">
        <v>3.82</v>
      </c>
      <c r="P4" s="32" t="n">
        <v>8949955</v>
      </c>
      <c r="Q4" s="31" t="n">
        <v>65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66.26000000000001</v>
      </c>
      <c r="U4" s="32" t="n">
        <v>26.23</v>
      </c>
      <c r="V4" s="32" t="n">
        <v>167.94</v>
      </c>
      <c r="W4" s="31" t="inlineStr">
        <is>
          <t>Near 52W High Breakout</t>
        </is>
      </c>
      <c r="X4" s="31" t="inlineStr">
        <is>
          <t>Nifty Bank</t>
        </is>
      </c>
      <c r="Y4" s="32" t="n">
        <v>7.19</v>
      </c>
      <c r="Z4" s="32" t="n">
        <v>70.88</v>
      </c>
      <c r="AA4" s="32" t="n">
        <v>59.42</v>
      </c>
      <c r="AB4" s="32" t="n">
        <v>16.82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IF(B5=0,"",RANK(B5,$B$2:$B$7,0))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52W Breakout</t>
        </is>
      </c>
      <c r="D5" s="32" t="n">
        <v>138.6</v>
      </c>
      <c r="E5" s="32" t="inlineStr">
        <is>
          <t>5%</t>
        </is>
      </c>
      <c r="F5" s="32" t="n">
        <v>50000</v>
      </c>
      <c r="G5" s="32" t="n">
        <v>44</v>
      </c>
      <c r="H5" s="31" t="inlineStr">
        <is>
          <t>AUBANK</t>
        </is>
      </c>
      <c r="I5" s="31" t="inlineStr">
        <is>
          <t>AU Small Finance Bank Ltd</t>
        </is>
      </c>
      <c r="J5" s="31" t="inlineStr">
        <is>
          <t>bank</t>
        </is>
      </c>
      <c r="K5" s="31" t="inlineStr">
        <is>
          <t>banks - private sector</t>
        </is>
      </c>
      <c r="L5" s="31" t="inlineStr">
        <is>
          <t>largecap</t>
        </is>
      </c>
      <c r="M5" s="32" t="n">
        <v>83435.48</v>
      </c>
      <c r="N5" s="32" t="n">
        <v>1128.6</v>
      </c>
      <c r="O5" s="32" t="n">
        <v>1.31</v>
      </c>
      <c r="P5" s="32" t="n">
        <v>5658151</v>
      </c>
      <c r="Q5" s="31" t="n">
        <v>51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65.7</v>
      </c>
      <c r="U5" s="32" t="n">
        <v>25.05</v>
      </c>
      <c r="V5" s="32" t="n">
        <v>952.4299999999999</v>
      </c>
      <c r="W5" s="31" t="inlineStr">
        <is>
          <t>Near 52W High Breakout</t>
        </is>
      </c>
      <c r="X5" s="31" t="inlineStr">
        <is>
          <t>Nifty Bank</t>
        </is>
      </c>
      <c r="Y5" s="32" t="n">
        <v>7.19</v>
      </c>
      <c r="Z5" s="32" t="n">
        <v>57.33</v>
      </c>
      <c r="AA5" s="32" t="n">
        <v>46.77</v>
      </c>
      <c r="AB5" s="32" t="n">
        <v>13.11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between 2.5x to 5x and Growth more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20 to 40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2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Blue sky scenario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  <row r="6">
      <c r="A6" s="31">
        <f>IF(B6=0,"",RANK(B6,$B$2:$B$7,0))</f>
        <v/>
      </c>
      <c r="B6" s="32">
        <f>SUM(S6,AD6,AF6,AH6,AJ6,AL6,AN6,AP6,AR6,AT6,AV6,AX6,AZ6,BB6,BD6,BF6,BH6,BJ6,BL6,BN6,BP6,BR6,BT6,BV6,BX6,BZ6,CB6,CD6,CF6)</f>
        <v/>
      </c>
      <c r="C6" s="31" t="inlineStr">
        <is>
          <t>52W Breakout</t>
        </is>
      </c>
      <c r="D6" s="32" t="n">
        <v>137.9</v>
      </c>
      <c r="E6" s="32" t="inlineStr">
        <is>
          <t>5%</t>
        </is>
      </c>
      <c r="F6" s="32" t="n">
        <v>50000</v>
      </c>
      <c r="G6" s="32" t="n">
        <v>42</v>
      </c>
      <c r="H6" s="31" t="inlineStr">
        <is>
          <t>PNBHOUSING</t>
        </is>
      </c>
      <c r="I6" s="31" t="inlineStr">
        <is>
          <t>Pnb Housing Finance Limited</t>
        </is>
      </c>
      <c r="J6" s="31" t="inlineStr">
        <is>
          <t>financials</t>
        </is>
      </c>
      <c r="K6" s="31" t="inlineStr">
        <is>
          <t>finance - housing</t>
        </is>
      </c>
      <c r="L6" s="31" t="inlineStr">
        <is>
          <t>largecap</t>
        </is>
      </c>
      <c r="M6" s="32" t="n">
        <v>30358.73</v>
      </c>
      <c r="N6" s="32" t="n">
        <v>1182</v>
      </c>
      <c r="O6" s="32" t="n">
        <v>1.46</v>
      </c>
      <c r="P6" s="32" t="n">
        <v>664475</v>
      </c>
      <c r="Q6" s="31" t="n">
        <v>54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70.06</v>
      </c>
      <c r="U6" s="32" t="n">
        <v>34.45</v>
      </c>
      <c r="V6" s="32" t="n">
        <v>987.4299999999999</v>
      </c>
      <c r="W6" s="31" t="inlineStr">
        <is>
          <t>Near 52W High Breakout</t>
        </is>
      </c>
      <c r="X6" s="31" t="inlineStr">
        <is>
          <t>Nifty Bank</t>
        </is>
      </c>
      <c r="Y6" s="32" t="n">
        <v>7.19</v>
      </c>
      <c r="Z6" s="32" t="n">
        <v>58.07</v>
      </c>
      <c r="AA6" s="32" t="n">
        <v>47.47</v>
      </c>
      <c r="AB6" s="32" t="n">
        <v>13.47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Fragmented with High ROE</t>
        </is>
      </c>
      <c r="AF6" s="31">
        <f>IF(AE6="Fragmented with Low ROE",-5,IF(AE6="Fragmented with High ROE",10,IF(AE6= "highly cyclical",5,0)))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Consistency)",15,IF(AK6="Shallow Cyclical (2 to 3 years growth)",10,IF(AK6 = "Cyclical in an Uptick",5,IF(AK6 = "Cyclical in an Downtick",-10,0))))</f>
        <v/>
      </c>
      <c r="AM6" s="31" t="inlineStr">
        <is>
          <t>Yes</t>
        </is>
      </c>
      <c r="AN6" s="31">
        <f>IF(AM6="Yes",10,0)</f>
        <v/>
      </c>
      <c r="AO6" s="31" t="inlineStr">
        <is>
          <t>Yes</t>
        </is>
      </c>
      <c r="AP6" s="31">
        <f>IF(AO6="Yes",10,0)</f>
        <v/>
      </c>
      <c r="AQ6" s="31" t="n"/>
      <c r="AR6" s="31">
        <f>IF(AQ6="No",10,0)</f>
        <v/>
      </c>
      <c r="AS6" s="31" t="inlineStr">
        <is>
          <t>Yes</t>
        </is>
      </c>
      <c r="AT6" s="31">
        <f>IF(AS6="Yes",10,0)</f>
        <v/>
      </c>
      <c r="AU6" s="31" t="inlineStr">
        <is>
          <t>Yes</t>
        </is>
      </c>
      <c r="AV6" s="31">
        <f>IF(AU6="Yes",10,0)</f>
        <v/>
      </c>
      <c r="AW6" s="31" t="inlineStr">
        <is>
          <t>Yes</t>
        </is>
      </c>
      <c r="AX6" s="31">
        <f>IF(AW6="Yes",5,0)</f>
        <v/>
      </c>
      <c r="AY6" s="31" t="inlineStr">
        <is>
          <t>No</t>
        </is>
      </c>
      <c r="AZ6" s="31">
        <f>IF(AY6="No",10,IF(AY6="Yes",-10,0))</f>
        <v/>
      </c>
      <c r="BA6" s="31" t="inlineStr">
        <is>
          <t>No</t>
        </is>
      </c>
      <c r="BB6" s="31">
        <f>IF(BA6="No",10,0)</f>
        <v/>
      </c>
      <c r="BC6" s="31" t="inlineStr">
        <is>
          <t>No</t>
        </is>
      </c>
      <c r="BD6" s="31">
        <f>IF(BC6="No",10,IF(BC6= "Yes CEO Resignation",-5,0))</f>
        <v/>
      </c>
      <c r="BE6" s="31" t="inlineStr">
        <is>
          <t>No</t>
        </is>
      </c>
      <c r="BF6" s="31">
        <f>IF(BE6="No",10,IF(BE6="Yes",-5,0))</f>
        <v/>
      </c>
      <c r="BG6" s="31" t="inlineStr">
        <is>
          <t>No</t>
        </is>
      </c>
      <c r="BH6" s="31">
        <f>IF(BG6="No",5,IF(BG6="Yes",-5,0))</f>
        <v/>
      </c>
      <c r="BI6" s="31" t="inlineStr">
        <is>
          <t>Yes</t>
        </is>
      </c>
      <c r="BJ6" s="31">
        <f>IF(BI6="Yes",10,0)</f>
        <v/>
      </c>
      <c r="BK6" s="31" t="inlineStr">
        <is>
          <t>Yes</t>
        </is>
      </c>
      <c r="BL6" s="31">
        <f>IF(BK6="Yes",10,0)</f>
        <v/>
      </c>
      <c r="BM6" s="31" t="inlineStr">
        <is>
          <t>Yes</t>
        </is>
      </c>
      <c r="BN6" s="31">
        <f>IF(BM6="Yes",10,0)</f>
        <v/>
      </c>
      <c r="BO6" s="31" t="inlineStr">
        <is>
          <t>P/BV less than 2.5x and Growth less than 20%</t>
        </is>
      </c>
      <c r="BP6" s="31">
        <f>IF(BO6="P/BV less than 2.5x and Growth more than 20%",20,IF(BO6 = "P/BV less than 2.5x and Growth less than 20%",5,IF(BO6="P/BV between 2.5x to 5x and Growth more than 20%",10,IF(BO6= "P/BV between 2.5x to 5x and Growth less than 20%",-5,IF(BO6= "P/BV above 5x",-5,0)))))</f>
        <v/>
      </c>
      <c r="BQ6" s="31" t="inlineStr">
        <is>
          <t>20 to 40</t>
        </is>
      </c>
      <c r="BR6" s="31">
        <f>IF(BQ6="Above 40",20,IF(BQ6="20 to 40",10,IF(BQ6="0 to 20",-5,0)))</f>
        <v/>
      </c>
      <c r="BS6" s="31" t="inlineStr">
        <is>
          <t>Between 50 to 75</t>
        </is>
      </c>
      <c r="BT6" s="31">
        <f>IF(BS6="Between 50 to 75",10,IF(BS6="Above 75",0,0))</f>
        <v/>
      </c>
      <c r="BU6" s="31" t="inlineStr">
        <is>
          <t>Stage 2</t>
        </is>
      </c>
      <c r="BV6" s="31">
        <f>IF(BU6="Stage 2",20,IF(BU6="Stage 1",0,IF(BU6="Stage 3",5,IF(BU6="Stage 4",-5,0))))</f>
        <v/>
      </c>
      <c r="BW6" s="31" t="inlineStr">
        <is>
          <t>Positive Trend</t>
        </is>
      </c>
      <c r="BX6" s="31">
        <f>IF(BW6="Positive Trend",20,IF(BW6="Negative Trend",-10,0))</f>
        <v/>
      </c>
      <c r="BY6" s="31" t="inlineStr">
        <is>
          <t>Uptrend</t>
        </is>
      </c>
      <c r="BZ6" s="31">
        <f>IF(BY6="Uptrend",10,IF(BY6="Sideways",5,0))</f>
        <v/>
      </c>
      <c r="CA6" s="31" t="inlineStr">
        <is>
          <t>Uptrend</t>
        </is>
      </c>
      <c r="CB6" s="31">
        <f>IF(CA6="Uptrend",10,IF(CA6="Sideways",5,0))</f>
        <v/>
      </c>
      <c r="CC6" s="31" t="inlineStr">
        <is>
          <t>Blue sky scenario</t>
        </is>
      </c>
      <c r="CD6" s="31">
        <f>IF(CC6="Overhead supply in last 2 years in last 2 years",-5,IF(CC6="Close to 52 week high or retracement",5,IF(CC6="Blue sky scenario",10,IF(CC6="Long term Downtrend",-10,0))))</f>
        <v/>
      </c>
      <c r="CE6" s="31" t="inlineStr">
        <is>
          <t>Yes</t>
        </is>
      </c>
      <c r="CF6" s="31">
        <f>IF(CE6="Yes",10,0)</f>
        <v/>
      </c>
    </row>
    <row r="7">
      <c r="A7" s="31">
        <f>IF(B7=0,"",RANK(B7,$B$2:$B$7,0))</f>
        <v/>
      </c>
      <c r="B7" s="32">
        <f>SUM(S7,AD7,AF7,AH7,AJ7,AL7,AN7,AP7,AR7,AT7,AV7,AX7,AZ7,BB7,BD7,BF7,BH7,BJ7,BL7,BN7,BP7,BR7,BT7,BV7,BX7,BZ7,CB7,CD7,CF7)</f>
        <v/>
      </c>
      <c r="C7" s="31" t="inlineStr">
        <is>
          <t>EMA Crossover</t>
        </is>
      </c>
      <c r="D7" s="32" t="n">
        <v>144.1</v>
      </c>
      <c r="E7" s="32" t="inlineStr">
        <is>
          <t>7%</t>
        </is>
      </c>
      <c r="F7" s="32" t="n">
        <v>70000</v>
      </c>
      <c r="G7" s="32" t="n">
        <v>43</v>
      </c>
      <c r="H7" s="33" t="inlineStr">
        <is>
          <t>MFSL</t>
        </is>
      </c>
      <c r="I7" s="33" t="inlineStr">
        <is>
          <t>Max Financial Services Limited</t>
        </is>
      </c>
      <c r="J7" s="31" t="inlineStr">
        <is>
          <t>financials</t>
        </is>
      </c>
      <c r="K7" s="31" t="inlineStr">
        <is>
          <t>finance &amp; investments</t>
        </is>
      </c>
      <c r="L7" s="31" t="inlineStr">
        <is>
          <t>largecap</t>
        </is>
      </c>
      <c r="M7" s="32" t="n">
        <v>54176.12</v>
      </c>
      <c r="N7" s="32" t="n">
        <v>1592.5</v>
      </c>
      <c r="O7" s="32" t="n">
        <v>1.45</v>
      </c>
      <c r="P7" s="32" t="n">
        <v>935547</v>
      </c>
      <c r="Q7" s="31" t="n">
        <v>1</v>
      </c>
      <c r="R7" s="31" t="inlineStr">
        <is>
          <t>Underperforming</t>
        </is>
      </c>
      <c r="S7" s="32">
        <f>IF(R7="Underperforming",-5,IF(Q7&gt;=95,15,IF(Q7&gt;=90,10,IF(Q7&gt;=80,5,0))))</f>
        <v/>
      </c>
      <c r="T7" s="32" t="n">
        <v>49.84</v>
      </c>
      <c r="U7" s="32" t="n">
        <v>4.76</v>
      </c>
      <c r="V7" s="32" t="n">
        <v>1403.29</v>
      </c>
      <c r="W7" s="31" t="inlineStr">
        <is>
          <t>Earnings / Momentum Support</t>
        </is>
      </c>
      <c r="X7" s="31" t="inlineStr">
        <is>
          <t>Nifty Bank</t>
        </is>
      </c>
      <c r="Y7" s="32" t="n">
        <v>7.19</v>
      </c>
      <c r="Z7" s="32" t="n">
        <v>-0.61</v>
      </c>
      <c r="AA7" s="32" t="n">
        <v>-7.27</v>
      </c>
      <c r="AB7" s="32" t="n">
        <v>-0.93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Fragmented with High ROE</t>
        </is>
      </c>
      <c r="AF7" s="31">
        <f>IF(AE7="Fragmented with Low ROE",-5,IF(AE7="Fragmented with High ROE",10,IF(AE7= "highly cyclical",5,0)))</f>
        <v/>
      </c>
      <c r="AG7" s="31" t="inlineStr">
        <is>
          <t>Yes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Consistency)",15,IF(AK7="Shallow Cyclical (2 to 3 years growth)",10,IF(AK7 = "Cyclical in an Uptick",5,IF(AK7 = "Cyclical in an Downtick",-10,0))))</f>
        <v/>
      </c>
      <c r="AM7" s="31" t="inlineStr">
        <is>
          <t>Yes</t>
        </is>
      </c>
      <c r="AN7" s="31">
        <f>IF(AM7="Yes",10,0)</f>
        <v/>
      </c>
      <c r="AO7" s="31" t="inlineStr">
        <is>
          <t>Yes</t>
        </is>
      </c>
      <c r="AP7" s="31">
        <f>IF(AO7="Yes",10,0)</f>
        <v/>
      </c>
      <c r="AQ7" s="31" t="n"/>
      <c r="AR7" s="31">
        <f>IF(AQ7="No",10,0)</f>
        <v/>
      </c>
      <c r="AS7" s="31" t="inlineStr">
        <is>
          <t>Yes</t>
        </is>
      </c>
      <c r="AT7" s="31">
        <f>IF(AS7="Yes",10,0)</f>
        <v/>
      </c>
      <c r="AU7" s="31" t="inlineStr">
        <is>
          <t>No</t>
        </is>
      </c>
      <c r="AV7" s="31">
        <f>IF(AU7="Yes",10,0)</f>
        <v/>
      </c>
      <c r="AW7" s="31" t="inlineStr">
        <is>
          <t>Yes</t>
        </is>
      </c>
      <c r="AX7" s="31">
        <f>IF(AW7="Yes",5,0)</f>
        <v/>
      </c>
      <c r="AY7" s="31" t="inlineStr">
        <is>
          <t>No</t>
        </is>
      </c>
      <c r="AZ7" s="31">
        <f>IF(AY7="No",10,IF(AY7="Yes",-10,0))</f>
        <v/>
      </c>
      <c r="BA7" s="31" t="inlineStr">
        <is>
          <t>No</t>
        </is>
      </c>
      <c r="BB7" s="31">
        <f>IF(BA7="No",10,0)</f>
        <v/>
      </c>
      <c r="BC7" s="31" t="inlineStr">
        <is>
          <t>No</t>
        </is>
      </c>
      <c r="BD7" s="31">
        <f>IF(BC7="No",10,IF(BC7= "Yes CEO Resignation",-5,0))</f>
        <v/>
      </c>
      <c r="BE7" s="31" t="inlineStr">
        <is>
          <t>No</t>
        </is>
      </c>
      <c r="BF7" s="31">
        <f>IF(BE7="No",10,IF(BE7="Yes",-5,0))</f>
        <v/>
      </c>
      <c r="BG7" s="31" t="inlineStr">
        <is>
          <t>No</t>
        </is>
      </c>
      <c r="BH7" s="31">
        <f>IF(BG7="No",5,IF(BG7="Yes",-5,0))</f>
        <v/>
      </c>
      <c r="BI7" s="31" t="inlineStr">
        <is>
          <t>Yes</t>
        </is>
      </c>
      <c r="BJ7" s="31">
        <f>IF(BI7="Yes",10,0)</f>
        <v/>
      </c>
      <c r="BK7" s="31" t="inlineStr">
        <is>
          <t>Yes</t>
        </is>
      </c>
      <c r="BL7" s="31">
        <f>IF(BK7="Yes",10,0)</f>
        <v/>
      </c>
      <c r="BM7" s="31" t="inlineStr">
        <is>
          <t>Yes</t>
        </is>
      </c>
      <c r="BN7" s="31">
        <f>IF(BM7="Yes",10,0)</f>
        <v/>
      </c>
      <c r="BO7" s="31" t="inlineStr">
        <is>
          <t>P/BV above 5x</t>
        </is>
      </c>
      <c r="BP7" s="31">
        <f>IF(BO7="P/BV less than 2.5x and Growth more than 20%",20,IF(BO7 = "P/BV less than 2.5x and Growth less than 20%",5,IF(BO7="P/BV between 2.5x to 5x and Growth more than 20%",10,IF(BO7= "P/BV between 2.5x to 5x and Growth less than 20%",-5,IF(BO7= "P/BV above 5x",-5,0)))))</f>
        <v/>
      </c>
      <c r="BQ7" s="31" t="inlineStr">
        <is>
          <t>0 to 20</t>
        </is>
      </c>
      <c r="BR7" s="31">
        <f>IF(BQ7="Above 40",20,IF(BQ7="20 to 40",10,IF(BQ7="0 to 20",-5,0)))</f>
        <v/>
      </c>
      <c r="BS7" s="31" t="inlineStr">
        <is>
          <t>Below 45</t>
        </is>
      </c>
      <c r="BT7" s="31">
        <f>IF(BS7="Between 50 to 75",10,IF(BS7="Above 75",0,0))</f>
        <v/>
      </c>
      <c r="BU7" s="31" t="inlineStr">
        <is>
          <t>Stage 4</t>
        </is>
      </c>
      <c r="BV7" s="31">
        <f>IF(BU7="Stage 2",20,IF(BU7="Stage 1",0,IF(BU7="Stage 3",5,IF(BU7="Stage 4",-5,0))))</f>
        <v/>
      </c>
      <c r="BW7" s="31" t="inlineStr">
        <is>
          <t>Positive Trend</t>
        </is>
      </c>
      <c r="BX7" s="31">
        <f>IF(BW7="Positive Trend",20,IF(BW7="Negative Trend",-10,0))</f>
        <v/>
      </c>
      <c r="BY7" s="31" t="inlineStr">
        <is>
          <t>Uptrend</t>
        </is>
      </c>
      <c r="BZ7" s="31">
        <f>IF(BY7="Uptrend",10,IF(BY7="Sideways",5,0))</f>
        <v/>
      </c>
      <c r="CA7" s="31" t="inlineStr">
        <is>
          <t>Uptrend</t>
        </is>
      </c>
      <c r="CB7" s="31">
        <f>IF(CA7="Uptrend",10,IF(CA7="Sideways",5,0))</f>
        <v/>
      </c>
      <c r="CC7" s="31" t="inlineStr">
        <is>
          <t>Close to 52 week high or retracement</t>
        </is>
      </c>
      <c r="CD7" s="31">
        <f>IF(CC7="Overhead supply in last 2 years in last 2 years",-5,IF(CC7="Close to 52 week high or retracement",5,IF(CC7="Blue sky scenario",10,IF(CC7="Long term Downtrend",-10,0))))</f>
        <v/>
      </c>
      <c r="CE7" s="31" t="inlineStr">
        <is>
          <t>Yes</t>
        </is>
      </c>
      <c r="CF7" s="31">
        <f>IF(CE7="Yes",10,0)</f>
        <v/>
      </c>
    </row>
  </sheetData>
  <autoFilter ref="A1:CF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7">
    <cfRule type="cellIs" priority="34" operator="equal" dxfId="3" stopIfTrue="1">
      <formula>"Underperforming"</formula>
    </cfRule>
  </conditionalFormatting>
  <conditionalFormatting sqref="S2:S7">
    <cfRule type="cellIs" priority="35" operator="equal" dxfId="3" stopIfTrue="1">
      <formula>-5</formula>
    </cfRule>
  </conditionalFormatting>
  <conditionalFormatting sqref="V2:V7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7" showDropDown="0" showInputMessage="0" showErrorMessage="0" allowBlank="1" type="list">
      <formula1>"Growing Industry,Stagnant Industry,Cyclical in an Upturn"</formula1>
    </dataValidation>
    <dataValidation sqref="AE2:AE7" showDropDown="0" showInputMessage="0" showErrorMessage="0" allowBlank="1" type="list">
      <formula1>"Fragmented with Low ROE,Fragmented with High ROE,Highly Cyclical"</formula1>
    </dataValidation>
    <dataValidation sqref="AG2:AG7" showDropDown="0" showInputMessage="0" showErrorMessage="0" allowBlank="1" type="list">
      <formula1>"Yes,No"</formula1>
    </dataValidation>
    <dataValidation sqref="AI2:AI7" showDropDown="0" showInputMessage="0" showErrorMessage="0" allowBlank="1" type="list">
      <formula1>"Tailwind,Headwind"</formula1>
    </dataValidation>
    <dataValidation sqref="AK2:AK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7" showDropDown="0" showInputMessage="0" showErrorMessage="0" allowBlank="1" type="list">
      <formula1>"Yes,No"</formula1>
    </dataValidation>
    <dataValidation sqref="AO2:AO7" showDropDown="0" showInputMessage="0" showErrorMessage="0" allowBlank="1" type="list">
      <formula1>"Yes,No,Not Applicable"</formula1>
    </dataValidation>
    <dataValidation sqref="AQ2:AQ7" showDropDown="0" showInputMessage="0" showErrorMessage="0" allowBlank="1" type="list">
      <formula1>"Yes,No"</formula1>
    </dataValidation>
    <dataValidation sqref="AS2:AS7" showDropDown="0" showInputMessage="0" showErrorMessage="0" allowBlank="1" type="list">
      <formula1>"Yes,No"</formula1>
    </dataValidation>
    <dataValidation sqref="AU2:AU7" showDropDown="0" showInputMessage="0" showErrorMessage="0" allowBlank="1" type="list">
      <formula1>"Yes,No"</formula1>
    </dataValidation>
    <dataValidation sqref="AW2:AW7" showDropDown="0" showInputMessage="0" showErrorMessage="0" allowBlank="1" type="list">
      <formula1>"Yes,No"</formula1>
    </dataValidation>
    <dataValidation sqref="AY2:AY7" showDropDown="0" showInputMessage="0" showErrorMessage="0" allowBlank="1" type="list">
      <formula1>"No,Yes"</formula1>
    </dataValidation>
    <dataValidation sqref="BA2:BA7" showDropDown="0" showInputMessage="0" showErrorMessage="0" allowBlank="1" type="list">
      <formula1>"No,Yes"</formula1>
    </dataValidation>
    <dataValidation sqref="BC2:BC7" showDropDown="0" showInputMessage="0" showErrorMessage="0" allowBlank="1" type="list">
      <formula1>"No,Yes CEO Resignation,Yes CEO Retirement"</formula1>
    </dataValidation>
    <dataValidation sqref="BE2:BE7" showDropDown="0" showInputMessage="0" showErrorMessage="0" allowBlank="1" type="list">
      <formula1>"No,Yes"</formula1>
    </dataValidation>
    <dataValidation sqref="BG2:BG7" showDropDown="0" showInputMessage="0" showErrorMessage="0" allowBlank="1" type="list">
      <formula1>"No,Yes"</formula1>
    </dataValidation>
    <dataValidation sqref="BI2:BI7" showDropDown="0" showInputMessage="0" showErrorMessage="0" allowBlank="1" type="list">
      <formula1>"Yes,No"</formula1>
    </dataValidation>
    <dataValidation sqref="BK2:BK7" showDropDown="0" showInputMessage="0" showErrorMessage="0" allowBlank="1" type="list">
      <formula1>"Yes,No"</formula1>
    </dataValidation>
    <dataValidation sqref="BM2:BM7" showDropDown="0" showInputMessage="0" showErrorMessage="0" allowBlank="1" type="list">
      <formula1>"Yes,No"</formula1>
    </dataValidation>
    <dataValidation sqref="BO2:BO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7" showDropDown="0" showInputMessage="0" showErrorMessage="0" allowBlank="1" type="list">
      <formula1>"Above 40,20 to 40,0 to 20"</formula1>
    </dataValidation>
    <dataValidation sqref="BS2:BS7" showDropDown="0" showInputMessage="0" showErrorMessage="0" allowBlank="1" type="list">
      <formula1>"Between 50 to 75,Above 75,Below 45"</formula1>
    </dataValidation>
    <dataValidation sqref="BU2:BU7" showDropDown="0" showInputMessage="0" showErrorMessage="0" allowBlank="1" type="list">
      <formula1>"Stage 1,Stage 2,Stage 3,Stage 4"</formula1>
    </dataValidation>
    <dataValidation sqref="BW2:BW7" showDropDown="0" showInputMessage="0" showErrorMessage="0" allowBlank="1" type="list">
      <formula1>"Positive Trend,Negative Trend"</formula1>
    </dataValidation>
    <dataValidation sqref="BY2:BY7" showDropDown="0" showInputMessage="0" showErrorMessage="0" allowBlank="1" type="list">
      <formula1>"Uptrend,Sideways,Downtrend"</formula1>
    </dataValidation>
    <dataValidation sqref="CA2:CA7" showDropDown="0" showInputMessage="0" showErrorMessage="0" allowBlank="1" type="list">
      <formula1>"Uptrend,Sideways,Downtrend"</formula1>
    </dataValidation>
    <dataValidation sqref="CC2:CC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1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IF(B2=0,"",RANK(B2,$B$2:$B$98,0))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INDOBORAX</t>
        </is>
      </c>
      <c r="D2" s="31" t="inlineStr">
        <is>
          <t>Indo Borax &amp; Chemicals Ltd</t>
        </is>
      </c>
      <c r="E2" s="31" t="inlineStr">
        <is>
          <t>chemicals</t>
        </is>
      </c>
      <c r="F2" s="31" t="inlineStr">
        <is>
          <t>Chemicals - Inorganic</t>
        </is>
      </c>
      <c r="G2" s="31" t="inlineStr">
        <is>
          <t>smallcap</t>
        </is>
      </c>
      <c r="H2" s="32" t="n">
        <v>1565.35</v>
      </c>
      <c r="I2" s="32" t="n">
        <v>487.8</v>
      </c>
      <c r="J2" s="32" t="n">
        <v>-2.9</v>
      </c>
      <c r="K2" s="32" t="n">
        <v>0</v>
      </c>
      <c r="L2" s="31" t="n">
        <v>91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74.64</v>
      </c>
      <c r="P2" s="32" t="n">
        <v>75.02</v>
      </c>
      <c r="Q2" s="32" t="n">
        <v>374.54</v>
      </c>
      <c r="R2" s="31" t="inlineStr">
        <is>
          <t>Near 52W High Breakout</t>
        </is>
      </c>
      <c r="S2" s="31" t="inlineStr">
        <is>
          <t>Nifty 50</t>
        </is>
      </c>
      <c r="T2" s="32" t="n">
        <v>-0.38</v>
      </c>
      <c r="U2" s="32" t="n">
        <v>123.13</v>
      </c>
      <c r="V2" s="32" t="n">
        <v>123.97</v>
      </c>
      <c r="W2" s="32" t="n">
        <v>30.46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23</t>
        </is>
      </c>
      <c r="CG2" s="31">
        <f>IF(CF2&gt;20,10,IF(CF2&gt;=10,5,2))</f>
        <v/>
      </c>
    </row>
    <row r="3">
      <c r="A3" s="31">
        <f>IF(B3=0,"",RANK(B3,$B$2:$B$98,0))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VADILALIND</t>
        </is>
      </c>
      <c r="D3" s="31" t="inlineStr">
        <is>
          <t>Vadilal Industries Ltd</t>
        </is>
      </c>
      <c r="E3" s="31" t="inlineStr">
        <is>
          <t>fmcg</t>
        </is>
      </c>
      <c r="F3" s="31" t="inlineStr">
        <is>
          <t>FMCG - Dairy Products</t>
        </is>
      </c>
      <c r="G3" s="31" t="inlineStr">
        <is>
          <t>midcap</t>
        </is>
      </c>
      <c r="H3" s="32" t="n">
        <v>5354.21</v>
      </c>
      <c r="I3" s="32" t="n">
        <v>7449</v>
      </c>
      <c r="J3" s="32" t="n">
        <v>0.32</v>
      </c>
      <c r="K3" s="32" t="n">
        <v>0</v>
      </c>
      <c r="L3" s="31" t="inlineStr"/>
      <c r="M3" s="31" t="inlineStr"/>
      <c r="N3" s="32">
        <f>IF(M3="Underperforming",-5,IF(L3&gt;=95,15,IF(L3&gt;=90,10,IF(L3&gt;=80,5,0))))</f>
        <v/>
      </c>
      <c r="O3" s="32" t="n">
        <v>73.17</v>
      </c>
      <c r="P3" s="32" t="n">
        <v>48.99</v>
      </c>
      <c r="Q3" s="32" t="n">
        <v>6213.15</v>
      </c>
      <c r="R3" s="31" t="inlineStr">
        <is>
          <t>Near 52W High Breakout</t>
        </is>
      </c>
      <c r="S3" s="31" t="inlineStr">
        <is>
          <t>Nifty FMCG</t>
        </is>
      </c>
      <c r="T3" s="32" t="inlineStr"/>
      <c r="U3" s="32" t="inlineStr"/>
      <c r="V3" s="32" t="inlineStr"/>
      <c r="W3" s="32" t="inlineStr"/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21</t>
        </is>
      </c>
      <c r="CG3" s="31">
        <f>IF(CF3&gt;20,10,IF(CF3&gt;=10,5,2))</f>
        <v/>
      </c>
    </row>
    <row r="4">
      <c r="A4" s="31">
        <f>IF(B4=0,"",RANK(B4,$B$2:$B$98,0))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TIMEX</t>
        </is>
      </c>
      <c r="D4" s="31" t="inlineStr">
        <is>
          <t>Timex Group India Ltd</t>
        </is>
      </c>
      <c r="E4" s="31" t="inlineStr">
        <is>
          <t>Consumer Cyclical</t>
        </is>
      </c>
      <c r="F4" s="31" t="inlineStr">
        <is>
          <t>Watches</t>
        </is>
      </c>
      <c r="G4" s="31" t="inlineStr">
        <is>
          <t>midcap</t>
        </is>
      </c>
      <c r="H4" s="32" t="n">
        <v>6227.1</v>
      </c>
      <c r="I4" s="32" t="n">
        <v>616.85</v>
      </c>
      <c r="J4" s="32" t="n">
        <v>3.07</v>
      </c>
      <c r="K4" s="32" t="n">
        <v>0</v>
      </c>
      <c r="L4" s="31" t="n">
        <v>82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69.81999999999999</v>
      </c>
      <c r="P4" s="32" t="n">
        <v>58.95</v>
      </c>
      <c r="Q4" s="32" t="n">
        <v>465.88</v>
      </c>
      <c r="R4" s="31" t="inlineStr">
        <is>
          <t>Near 52W High Breakout</t>
        </is>
      </c>
      <c r="S4" s="31" t="inlineStr">
        <is>
          <t>Nifty 50</t>
        </is>
      </c>
      <c r="T4" s="32" t="n">
        <v>-0.38</v>
      </c>
      <c r="U4" s="32" t="n">
        <v>94.38</v>
      </c>
      <c r="V4" s="32" t="n">
        <v>95.11</v>
      </c>
      <c r="W4" s="32" t="n">
        <v>24.62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21</t>
        </is>
      </c>
      <c r="CG4" s="31">
        <f>IF(CF4&gt;20,10,IF(CF4&gt;=10,5,2))</f>
        <v/>
      </c>
    </row>
    <row r="5">
      <c r="A5" s="31">
        <f>IF(B5=0,"",RANK(B5,$B$2:$B$98,0))</f>
        <v/>
      </c>
      <c r="B5" s="32">
        <f>SUM(N5,Y5,AA5,AC5,AE5,AG5,AI5,AK5,AM5,AO5,AQ5,AS5,AU5,AW5,AY5,BA5,BC5,BE5,BG5,BI5,BK5,BM5,BO5,BQ5,BS5,BU5,BW5,BY5,CA5,CC5,CE5,CG5)</f>
        <v/>
      </c>
      <c r="C5" s="34" t="inlineStr">
        <is>
          <t>IOLCP</t>
        </is>
      </c>
      <c r="D5" s="34" t="inlineStr">
        <is>
          <t>IOL Chemicals &amp; Pharmaceuticals Ltd</t>
        </is>
      </c>
      <c r="E5" s="31" t="inlineStr">
        <is>
          <t>healthcare</t>
        </is>
      </c>
      <c r="F5" s="31" t="inlineStr">
        <is>
          <t>Pharma - API &amp; CRAMS</t>
        </is>
      </c>
      <c r="G5" s="31" t="inlineStr">
        <is>
          <t>midcap</t>
        </is>
      </c>
      <c r="H5" s="32" t="n">
        <v>5107.38</v>
      </c>
      <c r="I5" s="32" t="n">
        <v>174</v>
      </c>
      <c r="J5" s="32" t="n">
        <v>2.91</v>
      </c>
      <c r="K5" s="32" t="n">
        <v>0</v>
      </c>
      <c r="L5" s="31" t="n">
        <v>84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73.31999999999999</v>
      </c>
      <c r="P5" s="32" t="n">
        <v>79.16</v>
      </c>
      <c r="Q5" s="32" t="n">
        <v>124.98</v>
      </c>
      <c r="R5" s="31" t="inlineStr">
        <is>
          <t>Near 52W High Breakout</t>
        </is>
      </c>
      <c r="S5" s="31" t="inlineStr">
        <is>
          <t>Nifty Pharma</t>
        </is>
      </c>
      <c r="T5" s="32" t="n">
        <v>21.83</v>
      </c>
      <c r="U5" s="32" t="n">
        <v>92.54000000000001</v>
      </c>
      <c r="V5" s="32" t="n">
        <v>58.04</v>
      </c>
      <c r="W5" s="32" t="n">
        <v>25.06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21</t>
        </is>
      </c>
      <c r="CG5" s="31">
        <f>IF(CF5&gt;20,10,IF(CF5&gt;=10,5,2))</f>
        <v/>
      </c>
    </row>
    <row r="6">
      <c r="A6" s="31">
        <f>IF(B6=0,"",RANK(B6,$B$2:$B$98,0))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PARAS</t>
        </is>
      </c>
      <c r="D6" s="31" t="inlineStr">
        <is>
          <t>Paras Defence and Space Technologies Ltd</t>
        </is>
      </c>
      <c r="E6" s="31" t="inlineStr">
        <is>
          <t>aerospace &amp; defence</t>
        </is>
      </c>
      <c r="F6" s="31" t="inlineStr">
        <is>
          <t>Aerospace &amp; Defence - Equipments</t>
        </is>
      </c>
      <c r="G6" s="31" t="inlineStr">
        <is>
          <t>midcap</t>
        </is>
      </c>
      <c r="H6" s="32" t="n">
        <v>11620.69</v>
      </c>
      <c r="I6" s="32" t="n">
        <v>1442</v>
      </c>
      <c r="J6" s="32" t="n">
        <v>-5.13</v>
      </c>
      <c r="K6" s="32" t="n">
        <v>0</v>
      </c>
      <c r="L6" s="31" t="n">
        <v>93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69.45999999999999</v>
      </c>
      <c r="P6" s="32" t="n">
        <v>64.98999999999999</v>
      </c>
      <c r="Q6" s="32" t="n">
        <v>1100.2</v>
      </c>
      <c r="R6" s="31" t="inlineStr">
        <is>
          <t>Near 52W High Breakout</t>
        </is>
      </c>
      <c r="S6" s="31" t="inlineStr">
        <is>
          <t>Nifty 50</t>
        </is>
      </c>
      <c r="T6" s="32" t="n">
        <v>-0.38</v>
      </c>
      <c r="U6" s="32" t="n">
        <v>122.78</v>
      </c>
      <c r="V6" s="32" t="n">
        <v>123.63</v>
      </c>
      <c r="W6" s="32" t="n">
        <v>36.15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22</t>
        </is>
      </c>
      <c r="CG6" s="31">
        <f>IF(CF6&gt;20,10,IF(CF6&gt;=10,5,2))</f>
        <v/>
      </c>
    </row>
    <row r="7">
      <c r="A7" s="31">
        <f>IF(B7=0,"",RANK(B7,$B$2:$B$98,0))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MINDACORP</t>
        </is>
      </c>
      <c r="D7" s="31" t="inlineStr">
        <is>
          <t>Minda Corporation Ltd</t>
        </is>
      </c>
      <c r="E7" s="31" t="inlineStr">
        <is>
          <t>Consumer Cyclical</t>
        </is>
      </c>
      <c r="F7" s="31" t="inlineStr">
        <is>
          <t>Auto Ancillaries - Diversified</t>
        </is>
      </c>
      <c r="G7" s="31" t="inlineStr">
        <is>
          <t>midcap</t>
        </is>
      </c>
      <c r="H7" s="32" t="n">
        <v>16900.52</v>
      </c>
      <c r="I7" s="32" t="n">
        <v>706.9</v>
      </c>
      <c r="J7" s="32" t="n">
        <v>-1.81</v>
      </c>
      <c r="K7" s="32" t="n">
        <v>0</v>
      </c>
      <c r="L7" s="31" t="inlineStr"/>
      <c r="M7" s="31" t="inlineStr"/>
      <c r="N7" s="32">
        <f>IF(M7="Underperforming",-5,IF(L7&gt;=95,15,IF(L7&gt;=90,10,IF(L7&gt;=80,5,0))))</f>
        <v/>
      </c>
      <c r="O7" s="32" t="n">
        <v>64.33</v>
      </c>
      <c r="P7" s="32" t="n">
        <v>40.82</v>
      </c>
      <c r="Q7" s="32" t="n">
        <v>598.41</v>
      </c>
      <c r="R7" s="31" t="inlineStr">
        <is>
          <t>Near 52W High Breakout</t>
        </is>
      </c>
      <c r="S7" s="31" t="inlineStr">
        <is>
          <t>Nifty Auto</t>
        </is>
      </c>
      <c r="T7" s="32" t="inlineStr"/>
      <c r="U7" s="32" t="inlineStr"/>
      <c r="V7" s="32" t="inlineStr"/>
      <c r="W7" s="32" t="inlineStr"/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22</t>
        </is>
      </c>
      <c r="CG7" s="31">
        <f>IF(CF7&gt;20,10,IF(CF7&gt;=10,5,2))</f>
        <v/>
      </c>
    </row>
    <row r="8">
      <c r="A8" s="31">
        <f>IF(B8=0,"",RANK(B8,$B$2:$B$98,0))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INDOTECH</t>
        </is>
      </c>
      <c r="D8" s="31" t="inlineStr">
        <is>
          <t>Indo Tech Transformers Ltd</t>
        </is>
      </c>
      <c r="E8" s="31" t="inlineStr">
        <is>
          <t>industrials</t>
        </is>
      </c>
      <c r="F8" s="31" t="inlineStr">
        <is>
          <t>Capital Goods - Transformers</t>
        </is>
      </c>
      <c r="G8" s="31" t="inlineStr">
        <is>
          <t>smallcap</t>
        </is>
      </c>
      <c r="H8" s="32" t="n">
        <v>3980.38</v>
      </c>
      <c r="I8" s="32" t="n">
        <v>3748</v>
      </c>
      <c r="J8" s="32" t="n">
        <v>-2.66</v>
      </c>
      <c r="K8" s="32" t="n">
        <v>0</v>
      </c>
      <c r="L8" s="31" t="inlineStr"/>
      <c r="M8" s="31" t="inlineStr"/>
      <c r="N8" s="32">
        <f>IF(M8="Underperforming",-5,IF(L8&gt;=95,15,IF(L8&gt;=90,10,IF(L8&gt;=80,5,0))))</f>
        <v/>
      </c>
      <c r="O8" s="32" t="n">
        <v>70.5</v>
      </c>
      <c r="P8" s="32" t="n">
        <v>52.02</v>
      </c>
      <c r="Q8" s="32" t="n">
        <v>2900.72</v>
      </c>
      <c r="R8" s="31" t="inlineStr">
        <is>
          <t>Near 52W High Breakout</t>
        </is>
      </c>
      <c r="S8" s="31" t="inlineStr">
        <is>
          <t>Nifty Infra</t>
        </is>
      </c>
      <c r="T8" s="32" t="inlineStr"/>
      <c r="U8" s="32" t="inlineStr"/>
      <c r="V8" s="32" t="inlineStr"/>
      <c r="W8" s="32" t="inlineStr"/>
      <c r="X8" s="31" t="inlineStr">
        <is>
          <t>Cyclical in an Upturn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IF(B9=0,"",RANK(B9,$B$2:$B$98,0))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KMEW</t>
        </is>
      </c>
      <c r="D9" s="31" t="inlineStr">
        <is>
          <t>Knowledge Marine &amp; Engineering Works Ltd</t>
        </is>
      </c>
      <c r="E9" s="31" t="inlineStr">
        <is>
          <t>transportation</t>
        </is>
      </c>
      <c r="F9" s="31" t="inlineStr">
        <is>
          <t>Shipping</t>
        </is>
      </c>
      <c r="G9" s="31" t="inlineStr">
        <is>
          <t>midcap</t>
        </is>
      </c>
      <c r="H9" s="32" t="n">
        <v>6873.73</v>
      </c>
      <c r="I9" s="32" t="n">
        <v>2710</v>
      </c>
      <c r="J9" s="32" t="n">
        <v>-0.31</v>
      </c>
      <c r="K9" s="32" t="n">
        <v>0</v>
      </c>
      <c r="L9" s="31" t="n">
        <v>92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74.33</v>
      </c>
      <c r="P9" s="32" t="n">
        <v>52.63</v>
      </c>
      <c r="Q9" s="32" t="n">
        <v>2015.14</v>
      </c>
      <c r="R9" s="31" t="inlineStr">
        <is>
          <t>Near 52W High Breakout</t>
        </is>
      </c>
      <c r="S9" s="31" t="inlineStr">
        <is>
          <t>Nifty 50</t>
        </is>
      </c>
      <c r="T9" s="32" t="n">
        <v>-0.38</v>
      </c>
      <c r="U9" s="32" t="n">
        <v>185.57</v>
      </c>
      <c r="V9" s="32" t="n">
        <v>186.66</v>
      </c>
      <c r="W9" s="32" t="n">
        <v>32.57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21</t>
        </is>
      </c>
      <c r="CG9" s="31">
        <f>IF(CF9&gt;20,10,IF(CF9&gt;=10,5,2))</f>
        <v/>
      </c>
    </row>
    <row r="10">
      <c r="A10" s="31">
        <f>IF(B10=0,"",RANK(B10,$B$2:$B$98,0))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AXISOL</t>
        </is>
      </c>
      <c r="D10" s="31" t="inlineStr">
        <is>
          <t>Axis Solutions Ltd</t>
        </is>
      </c>
      <c r="E10" s="31" t="inlineStr">
        <is>
          <t>Industrials</t>
        </is>
      </c>
      <c r="F10" s="31" t="inlineStr">
        <is>
          <t>Engineering - Light - General</t>
        </is>
      </c>
      <c r="G10" s="31" t="inlineStr">
        <is>
          <t>smallcap</t>
        </is>
      </c>
      <c r="H10" s="32" t="n">
        <v>2854.52</v>
      </c>
      <c r="I10" s="32" t="n">
        <v>604</v>
      </c>
      <c r="J10" s="32" t="n">
        <v>-2</v>
      </c>
      <c r="K10" s="32" t="n">
        <v>0</v>
      </c>
      <c r="L10" s="31" t="n">
        <v>99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85.34</v>
      </c>
      <c r="P10" s="32" t="n">
        <v>68.7</v>
      </c>
      <c r="Q10" s="32" t="n">
        <v>516.84</v>
      </c>
      <c r="R10" s="31" t="inlineStr">
        <is>
          <t>Near 52W High Breakout</t>
        </is>
      </c>
      <c r="S10" s="31" t="inlineStr">
        <is>
          <t>Nifty 50</t>
        </is>
      </c>
      <c r="T10" s="32" t="n">
        <v>-0.38</v>
      </c>
      <c r="U10" s="32" t="n">
        <v>2422.16</v>
      </c>
      <c r="V10" s="32" t="n">
        <v>2431.73</v>
      </c>
      <c r="W10" s="32" t="n">
        <v>131.49</v>
      </c>
      <c r="X10" s="31" t="inlineStr">
        <is>
          <t>Cyclical in an Upturn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21</t>
        </is>
      </c>
      <c r="CG10" s="31">
        <f>IF(CF10&gt;20,10,IF(CF10&gt;=10,5,2))</f>
        <v/>
      </c>
    </row>
    <row r="11">
      <c r="A11" s="31">
        <f>IF(B11=0,"",RANK(B11,$B$2:$B$98,0))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KDDL</t>
        </is>
      </c>
      <c r="D11" s="34" t="inlineStr">
        <is>
          <t>KDDL Ltd</t>
        </is>
      </c>
      <c r="E11" s="31" t="inlineStr">
        <is>
          <t>consumer discretionary</t>
        </is>
      </c>
      <c r="F11" s="31" t="inlineStr">
        <is>
          <t>Watches</t>
        </is>
      </c>
      <c r="G11" s="31" t="inlineStr">
        <is>
          <t>smallcap</t>
        </is>
      </c>
      <c r="H11" s="32" t="n">
        <v>4830.3</v>
      </c>
      <c r="I11" s="32" t="n">
        <v>3927.3</v>
      </c>
      <c r="J11" s="32" t="n">
        <v>2.04</v>
      </c>
      <c r="K11" s="32" t="n">
        <v>0</v>
      </c>
      <c r="L11" s="31" t="n">
        <v>69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74.95</v>
      </c>
      <c r="P11" s="32" t="n">
        <v>44.5</v>
      </c>
      <c r="Q11" s="32" t="n">
        <v>3063.64</v>
      </c>
      <c r="R11" s="31" t="inlineStr">
        <is>
          <t>Near 52W High Breakout</t>
        </is>
      </c>
      <c r="S11" s="31" t="inlineStr">
        <is>
          <t>Nifty 50</t>
        </is>
      </c>
      <c r="T11" s="32" t="n">
        <v>-0.38</v>
      </c>
      <c r="U11" s="32" t="n">
        <v>65.92</v>
      </c>
      <c r="V11" s="32" t="n">
        <v>66.55</v>
      </c>
      <c r="W11" s="32" t="n">
        <v>19.94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21</t>
        </is>
      </c>
      <c r="CG11" s="31">
        <f>IF(CF11&gt;20,10,IF(CF11&gt;=10,5,2))</f>
        <v/>
      </c>
    </row>
    <row r="12">
      <c r="A12" s="31">
        <f>IF(B12=0,"",RANK(B12,$B$2:$B$98,0))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AURUM</t>
        </is>
      </c>
      <c r="D12" s="31" t="inlineStr">
        <is>
          <t>Aurum Proptech Ltd</t>
        </is>
      </c>
      <c r="E12" s="31" t="inlineStr">
        <is>
          <t>i.t</t>
        </is>
      </c>
      <c r="F12" s="31" t="inlineStr">
        <is>
          <t>IT Enabled Services</t>
        </is>
      </c>
      <c r="G12" s="31" t="inlineStr">
        <is>
          <t>smallcap</t>
        </is>
      </c>
      <c r="H12" s="32" t="n">
        <v>1709.1</v>
      </c>
      <c r="I12" s="32" t="n">
        <v>237</v>
      </c>
      <c r="J12" s="32" t="n">
        <v>2.08</v>
      </c>
      <c r="K12" s="32" t="n">
        <v>0</v>
      </c>
      <c r="L12" s="31" t="n">
        <v>59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65.93000000000001</v>
      </c>
      <c r="P12" s="32" t="n">
        <v>50.1</v>
      </c>
      <c r="Q12" s="32" t="n">
        <v>183.99</v>
      </c>
      <c r="R12" s="31" t="inlineStr">
        <is>
          <t>Near 52W High Breakout</t>
        </is>
      </c>
      <c r="S12" s="31" t="inlineStr">
        <is>
          <t>Nifty IT</t>
        </is>
      </c>
      <c r="T12" s="32" t="n">
        <v>-12.53</v>
      </c>
      <c r="U12" s="32" t="n">
        <v>43.07</v>
      </c>
      <c r="V12" s="32" t="n">
        <v>63.58</v>
      </c>
      <c r="W12" s="32" t="n">
        <v>15.11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20</t>
        </is>
      </c>
      <c r="CG12" s="31">
        <f>IF(CF12&gt;20,10,IF(CF12&gt;=10,5,2))</f>
        <v/>
      </c>
    </row>
    <row r="13">
      <c r="A13" s="31">
        <f>IF(B13=0,"",RANK(B13,$B$2:$B$98,0))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4" t="inlineStr">
        <is>
          <t>SUNRAKSHAK</t>
        </is>
      </c>
      <c r="D13" s="34" t="inlineStr">
        <is>
          <t>Sunrakshakk Industries India Ltd</t>
        </is>
      </c>
      <c r="E13" s="31" t="inlineStr">
        <is>
          <t>Consumer Cyclical</t>
        </is>
      </c>
      <c r="F13" s="31" t="inlineStr">
        <is>
          <t>Textiles - Processing/Texturising</t>
        </is>
      </c>
      <c r="G13" s="31" t="inlineStr">
        <is>
          <t>smallcap</t>
        </is>
      </c>
      <c r="H13" s="32" t="n">
        <v>1153.92</v>
      </c>
      <c r="I13" s="32" t="n">
        <v>372.15</v>
      </c>
      <c r="J13" s="32" t="n">
        <v>-0.8</v>
      </c>
      <c r="K13" s="32" t="n">
        <v>0</v>
      </c>
      <c r="L13" s="31" t="n">
        <v>48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66.88</v>
      </c>
      <c r="P13" s="32" t="n">
        <v>47.99</v>
      </c>
      <c r="Q13" s="32" t="n">
        <v>298.24</v>
      </c>
      <c r="R13" s="31" t="inlineStr">
        <is>
          <t>Near 52W High Breakout</t>
        </is>
      </c>
      <c r="S13" s="31" t="inlineStr">
        <is>
          <t>Nifty 50</t>
        </is>
      </c>
      <c r="T13" s="32" t="n">
        <v>-0.38</v>
      </c>
      <c r="U13" s="32" t="n">
        <v>63.41</v>
      </c>
      <c r="V13" s="32" t="n">
        <v>64.03</v>
      </c>
      <c r="W13" s="32" t="n">
        <v>12.49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19</t>
        </is>
      </c>
      <c r="CG13" s="31">
        <f>IF(CF13&gt;20,10,IF(CF13&gt;=10,5,2))</f>
        <v/>
      </c>
    </row>
    <row r="14">
      <c r="A14" s="31">
        <f>IF(B14=0,"",RANK(B14,$B$2:$B$98,0))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KMCSHIL</t>
        </is>
      </c>
      <c r="D14" s="31" t="inlineStr">
        <is>
          <t>KMC Speciality Hospitals (India) Ltd</t>
        </is>
      </c>
      <c r="E14" s="31" t="inlineStr">
        <is>
          <t>Healthcare</t>
        </is>
      </c>
      <c r="F14" s="31" t="inlineStr">
        <is>
          <t>Hospitals</t>
        </is>
      </c>
      <c r="G14" s="31" t="inlineStr">
        <is>
          <t>smallcap</t>
        </is>
      </c>
      <c r="H14" s="32" t="n">
        <v>2302.76</v>
      </c>
      <c r="I14" s="32" t="n">
        <v>141.2</v>
      </c>
      <c r="J14" s="32" t="n">
        <v>1.58</v>
      </c>
      <c r="K14" s="32" t="n">
        <v>0</v>
      </c>
      <c r="L14" s="31" t="n">
        <v>81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71.37</v>
      </c>
      <c r="P14" s="32" t="n">
        <v>62.83</v>
      </c>
      <c r="Q14" s="32" t="n">
        <v>110.33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21.83</v>
      </c>
      <c r="U14" s="32" t="n">
        <v>103.53</v>
      </c>
      <c r="V14" s="32" t="n">
        <v>67.06</v>
      </c>
      <c r="W14" s="32" t="n">
        <v>23.72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26</t>
        </is>
      </c>
      <c r="CG14" s="31">
        <f>IF(CF14&gt;20,10,IF(CF14&gt;=10,5,2))</f>
        <v/>
      </c>
    </row>
    <row r="15">
      <c r="A15" s="31">
        <f>IF(B15=0,"",RANK(B15,$B$2:$B$98,0))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MOREPENLAB</t>
        </is>
      </c>
      <c r="D15" s="31" t="inlineStr">
        <is>
          <t>Morepen Laboratories Ltd</t>
        </is>
      </c>
      <c r="E15" s="31" t="inlineStr">
        <is>
          <t>healthcare</t>
        </is>
      </c>
      <c r="F15" s="31" t="inlineStr">
        <is>
          <t>Pharma - API &amp; CRAMS</t>
        </is>
      </c>
      <c r="G15" s="31" t="inlineStr">
        <is>
          <t>midcap</t>
        </is>
      </c>
      <c r="H15" s="32" t="n">
        <v>5140.35</v>
      </c>
      <c r="I15" s="32" t="n">
        <v>93.81</v>
      </c>
      <c r="J15" s="32" t="n">
        <v>-1.48</v>
      </c>
      <c r="K15" s="32" t="n">
        <v>0</v>
      </c>
      <c r="L15" s="31" t="n">
        <v>96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80.62</v>
      </c>
      <c r="P15" s="32" t="n">
        <v>43.13</v>
      </c>
      <c r="Q15" s="32" t="n">
        <v>72.90000000000001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21.83</v>
      </c>
      <c r="U15" s="32" t="n">
        <v>101.37</v>
      </c>
      <c r="V15" s="32" t="n">
        <v>65.29000000000001</v>
      </c>
      <c r="W15" s="32" t="n">
        <v>45.41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26</t>
        </is>
      </c>
      <c r="CG15" s="31">
        <f>IF(CF15&gt;20,10,IF(CF15&gt;=10,5,2))</f>
        <v/>
      </c>
    </row>
    <row r="16">
      <c r="A16" s="31">
        <f>IF(B16=0,"",RANK(B16,$B$2:$B$98,0))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MANORAMA</t>
        </is>
      </c>
      <c r="D16" s="31" t="inlineStr">
        <is>
          <t>Manorama Industries Ltd</t>
        </is>
      </c>
      <c r="E16" s="31" t="inlineStr">
        <is>
          <t>fmcg</t>
        </is>
      </c>
      <c r="F16" s="31" t="inlineStr">
        <is>
          <t>FMCG - Chocolate</t>
        </is>
      </c>
      <c r="G16" s="31" t="inlineStr">
        <is>
          <t>midcap</t>
        </is>
      </c>
      <c r="H16" s="32" t="n">
        <v>12031.13</v>
      </c>
      <c r="I16" s="32" t="n">
        <v>1906</v>
      </c>
      <c r="J16" s="32" t="n">
        <v>-0.18</v>
      </c>
      <c r="K16" s="32" t="n">
        <v>0</v>
      </c>
      <c r="L16" s="31" t="inlineStr"/>
      <c r="M16" s="31" t="inlineStr"/>
      <c r="N16" s="32">
        <f>IF(M16="Underperforming",-5,IF(L16&gt;=95,15,IF(L16&gt;=90,10,IF(L16&gt;=80,5,0))))</f>
        <v/>
      </c>
      <c r="O16" s="32" t="n">
        <v>73.78</v>
      </c>
      <c r="P16" s="32" t="n">
        <v>22.42</v>
      </c>
      <c r="Q16" s="32" t="n">
        <v>1524.94</v>
      </c>
      <c r="R16" s="31" t="inlineStr">
        <is>
          <t>Near 52W High Breakout</t>
        </is>
      </c>
      <c r="S16" s="31" t="inlineStr">
        <is>
          <t>Nifty FMCG</t>
        </is>
      </c>
      <c r="T16" s="32" t="inlineStr"/>
      <c r="U16" s="32" t="inlineStr"/>
      <c r="V16" s="32" t="inlineStr"/>
      <c r="W16" s="32" t="inlineStr"/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21</t>
        </is>
      </c>
      <c r="CG16" s="31">
        <f>IF(CF16&gt;20,10,IF(CF16&gt;=10,5,2))</f>
        <v/>
      </c>
    </row>
    <row r="17">
      <c r="A17" s="31">
        <f>IF(B17=0,"",RANK(B17,$B$2:$B$98,0))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KINGFA</t>
        </is>
      </c>
      <c r="D17" s="31" t="inlineStr">
        <is>
          <t>Kingfa Science &amp; Technology (India) Ltd</t>
        </is>
      </c>
      <c r="E17" s="31" t="inlineStr">
        <is>
          <t>plastic products</t>
        </is>
      </c>
      <c r="F17" s="31" t="inlineStr">
        <is>
          <t>Plastics - Plastic &amp; Plastic Products</t>
        </is>
      </c>
      <c r="G17" s="31" t="inlineStr">
        <is>
          <t>midcap</t>
        </is>
      </c>
      <c r="H17" s="32" t="n">
        <v>8006.16</v>
      </c>
      <c r="I17" s="32" t="n">
        <v>5908</v>
      </c>
      <c r="J17" s="32" t="n">
        <v>2.86</v>
      </c>
      <c r="K17" s="32" t="n">
        <v>0</v>
      </c>
      <c r="L17" s="31" t="n">
        <v>37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69.23999999999999</v>
      </c>
      <c r="P17" s="32" t="n">
        <v>34.22</v>
      </c>
      <c r="Q17" s="32" t="n">
        <v>4712.82</v>
      </c>
      <c r="R17" s="31" t="inlineStr">
        <is>
          <t>Near 52W High Breakout</t>
        </is>
      </c>
      <c r="S17" s="31" t="inlineStr">
        <is>
          <t>Nifty 50</t>
        </is>
      </c>
      <c r="T17" s="32" t="n">
        <v>-0.38</v>
      </c>
      <c r="U17" s="32" t="n">
        <v>41.56</v>
      </c>
      <c r="V17" s="32" t="n">
        <v>42.1</v>
      </c>
      <c r="W17" s="32" t="n">
        <v>9.18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24</t>
        </is>
      </c>
      <c r="CG17" s="31">
        <f>IF(CF17&gt;20,10,IF(CF17&gt;=10,5,2))</f>
        <v/>
      </c>
    </row>
    <row r="18">
      <c r="A18" s="31">
        <f>IF(B18=0,"",RANK(B18,$B$2:$B$98,0))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AFCOM</t>
        </is>
      </c>
      <c r="D18" s="31" t="inlineStr">
        <is>
          <t>Afcom Holdings Ltd</t>
        </is>
      </c>
      <c r="E18" s="31" t="inlineStr">
        <is>
          <t>Industrials</t>
        </is>
      </c>
      <c r="F18" s="31" t="inlineStr">
        <is>
          <t>Air Transport Service</t>
        </is>
      </c>
      <c r="G18" s="31" t="inlineStr">
        <is>
          <t>smallcap</t>
        </is>
      </c>
      <c r="H18" s="32" t="n">
        <v>4620.02</v>
      </c>
      <c r="I18" s="32" t="n">
        <v>1609</v>
      </c>
      <c r="J18" s="32" t="n">
        <v>0.01</v>
      </c>
      <c r="K18" s="32" t="n">
        <v>0</v>
      </c>
      <c r="L18" s="31" t="n">
        <v>88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74.59</v>
      </c>
      <c r="P18" s="32" t="n">
        <v>44.31</v>
      </c>
      <c r="Q18" s="32" t="n">
        <v>1223.96</v>
      </c>
      <c r="R18" s="31" t="inlineStr">
        <is>
          <t>Near 52W High Breakout</t>
        </is>
      </c>
      <c r="S18" s="31" t="inlineStr">
        <is>
          <t>Nifty 50</t>
        </is>
      </c>
      <c r="T18" s="32" t="n">
        <v>-0.38</v>
      </c>
      <c r="U18" s="32" t="n">
        <v>64.73999999999999</v>
      </c>
      <c r="V18" s="32" t="n">
        <v>65.36</v>
      </c>
      <c r="W18" s="32" t="n">
        <v>28.58</v>
      </c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24</t>
        </is>
      </c>
      <c r="CG18" s="31">
        <f>IF(CF18&gt;20,10,IF(CF18&gt;=10,5,2))</f>
        <v/>
      </c>
    </row>
    <row r="19">
      <c r="A19" s="31">
        <f>IF(B19=0,"",RANK(B19,$B$2:$B$98,0))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FCL</t>
        </is>
      </c>
      <c r="D19" s="31" t="inlineStr">
        <is>
          <t>Fineotex Chemical Ltd</t>
        </is>
      </c>
      <c r="E19" s="31" t="inlineStr">
        <is>
          <t>chemicals</t>
        </is>
      </c>
      <c r="F19" s="31" t="inlineStr">
        <is>
          <t>Speciality Chemicals</t>
        </is>
      </c>
      <c r="G19" s="31" t="inlineStr">
        <is>
          <t>midcap</t>
        </is>
      </c>
      <c r="H19" s="32" t="n">
        <v>5706.05</v>
      </c>
      <c r="I19" s="32" t="n">
        <v>49</v>
      </c>
      <c r="J19" s="32" t="n">
        <v>-1.25</v>
      </c>
      <c r="K19" s="32" t="n">
        <v>0</v>
      </c>
      <c r="L19" s="31" t="n">
        <v>77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74.61</v>
      </c>
      <c r="P19" s="32" t="n">
        <v>50.05</v>
      </c>
      <c r="Q19" s="32" t="n">
        <v>35.79</v>
      </c>
      <c r="R19" s="31" t="inlineStr">
        <is>
          <t>Near 52W High Breakout</t>
        </is>
      </c>
      <c r="S19" s="31" t="inlineStr">
        <is>
          <t>Nifty 50</t>
        </is>
      </c>
      <c r="T19" s="32" t="n">
        <v>-0.38</v>
      </c>
      <c r="U19" s="32" t="n">
        <v>105.57</v>
      </c>
      <c r="V19" s="32" t="n">
        <v>106.35</v>
      </c>
      <c r="W19" s="32" t="n">
        <v>22.64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Between 1.5 to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23</t>
        </is>
      </c>
      <c r="CG19" s="31">
        <f>IF(CF19&gt;20,10,IF(CF19&gt;=10,5,2))</f>
        <v/>
      </c>
    </row>
    <row r="20">
      <c r="A20" s="31">
        <f>IF(B20=0,"",RANK(B20,$B$2:$B$98,0))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PGIL</t>
        </is>
      </c>
      <c r="D20" s="31" t="inlineStr">
        <is>
          <t>Pearl Global Industries Ltd</t>
        </is>
      </c>
      <c r="E20" s="31" t="inlineStr">
        <is>
          <t>consumer discretionary</t>
        </is>
      </c>
      <c r="F20" s="31" t="inlineStr">
        <is>
          <t>Textiles - Readymade Apparel</t>
        </is>
      </c>
      <c r="G20" s="31" t="inlineStr">
        <is>
          <t>midcap</t>
        </is>
      </c>
      <c r="H20" s="32" t="n">
        <v>10716.21</v>
      </c>
      <c r="I20" s="32" t="n">
        <v>2320</v>
      </c>
      <c r="J20" s="32" t="n">
        <v>-2.2</v>
      </c>
      <c r="K20" s="32" t="n">
        <v>0</v>
      </c>
      <c r="L20" s="31" t="n">
        <v>80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67.55</v>
      </c>
      <c r="P20" s="32" t="n">
        <v>57.05</v>
      </c>
      <c r="Q20" s="32" t="n">
        <v>1951.26</v>
      </c>
      <c r="R20" s="31" t="inlineStr">
        <is>
          <t>Earnings / Momentum Support</t>
        </is>
      </c>
      <c r="S20" s="31" t="inlineStr">
        <is>
          <t>Nifty 50</t>
        </is>
      </c>
      <c r="T20" s="32" t="n">
        <v>-0.38</v>
      </c>
      <c r="U20" s="32" t="n">
        <v>90.31999999999999</v>
      </c>
      <c r="V20" s="32" t="n">
        <v>91.04000000000001</v>
      </c>
      <c r="W20" s="32" t="n">
        <v>23.59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21</t>
        </is>
      </c>
      <c r="CG20" s="31">
        <f>IF(CF20&gt;20,10,IF(CF20&gt;=10,5,2))</f>
        <v/>
      </c>
    </row>
    <row r="21">
      <c r="A21" s="31">
        <f>IF(B21=0,"",RANK(B21,$B$2:$B$98,0))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4" t="inlineStr">
        <is>
          <t>MENONBE</t>
        </is>
      </c>
      <c r="D21" s="34" t="inlineStr">
        <is>
          <t>Menon Bearings Ltd</t>
        </is>
      </c>
      <c r="E21" s="31" t="inlineStr">
        <is>
          <t>auto</t>
        </is>
      </c>
      <c r="F21" s="31" t="inlineStr">
        <is>
          <t>Auto Ancillaries - Bearings</t>
        </is>
      </c>
      <c r="G21" s="31" t="inlineStr">
        <is>
          <t>smallcap</t>
        </is>
      </c>
      <c r="H21" s="32" t="n">
        <v>1513.08</v>
      </c>
      <c r="I21" s="32" t="n">
        <v>270</v>
      </c>
      <c r="J21" s="32" t="n">
        <v>3.46</v>
      </c>
      <c r="K21" s="32" t="n">
        <v>0</v>
      </c>
      <c r="L21" s="31" t="inlineStr"/>
      <c r="M21" s="31" t="inlineStr"/>
      <c r="N21" s="32">
        <f>IF(M21="Underperforming",-5,IF(L21&gt;=95,15,IF(L21&gt;=90,10,IF(L21&gt;=80,5,0))))</f>
        <v/>
      </c>
      <c r="O21" s="32" t="n">
        <v>76.84999999999999</v>
      </c>
      <c r="P21" s="32" t="n">
        <v>58.11</v>
      </c>
      <c r="Q21" s="32" t="n">
        <v>206.82</v>
      </c>
      <c r="R21" s="31" t="inlineStr">
        <is>
          <t>Near 52W High Breakout</t>
        </is>
      </c>
      <c r="S21" s="31" t="inlineStr">
        <is>
          <t>Nifty Auto</t>
        </is>
      </c>
      <c r="T21" s="32" t="inlineStr"/>
      <c r="U21" s="32" t="inlineStr"/>
      <c r="V21" s="32" t="inlineStr"/>
      <c r="W21" s="32" t="inlineStr"/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IF(B22=0,"",RANK(B22,$B$2:$B$98,0))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NITINSPIN</t>
        </is>
      </c>
      <c r="D22" s="34" t="inlineStr">
        <is>
          <t>Nitin Spinners Ltd</t>
        </is>
      </c>
      <c r="E22" s="31" t="inlineStr">
        <is>
          <t>textiles</t>
        </is>
      </c>
      <c r="F22" s="31" t="inlineStr">
        <is>
          <t>Textiles - Spinning</t>
        </is>
      </c>
      <c r="G22" s="31" t="inlineStr">
        <is>
          <t>smallcap</t>
        </is>
      </c>
      <c r="H22" s="32" t="n">
        <v>3507</v>
      </c>
      <c r="I22" s="32" t="n">
        <v>623.8</v>
      </c>
      <c r="J22" s="32" t="n">
        <v>7.52</v>
      </c>
      <c r="K22" s="32" t="n">
        <v>0</v>
      </c>
      <c r="L22" s="31" t="n">
        <v>67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73.61</v>
      </c>
      <c r="P22" s="32" t="n">
        <v>66.04000000000001</v>
      </c>
      <c r="Q22" s="32" t="n">
        <v>489.68</v>
      </c>
      <c r="R22" s="31" t="inlineStr">
        <is>
          <t>Near 52W High Breakout</t>
        </is>
      </c>
      <c r="S22" s="31" t="inlineStr">
        <is>
          <t>Nifty 50</t>
        </is>
      </c>
      <c r="T22" s="32" t="n">
        <v>-0.38</v>
      </c>
      <c r="U22" s="32" t="n">
        <v>79</v>
      </c>
      <c r="V22" s="32" t="n">
        <v>79.68000000000001</v>
      </c>
      <c r="W22" s="32" t="n">
        <v>18.72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Between 0.7 to 1.2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20</t>
        </is>
      </c>
      <c r="CG22" s="31">
        <f>IF(CF22&gt;20,10,IF(CF22&gt;=10,5,2))</f>
        <v/>
      </c>
    </row>
    <row r="23">
      <c r="A23" s="31">
        <f>IF(B23=0,"",RANK(B23,$B$2:$B$98,0))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UNIPARTS</t>
        </is>
      </c>
      <c r="D23" s="31" t="inlineStr">
        <is>
          <t>Uniparts India Ltd</t>
        </is>
      </c>
      <c r="E23" s="31" t="inlineStr">
        <is>
          <t>industrials</t>
        </is>
      </c>
      <c r="F23" s="31" t="inlineStr">
        <is>
          <t>Castings, Forgings &amp; Fastners</t>
        </is>
      </c>
      <c r="G23" s="31" t="inlineStr">
        <is>
          <t>smallcap</t>
        </is>
      </c>
      <c r="H23" s="32" t="n">
        <v>3723.53</v>
      </c>
      <c r="I23" s="32" t="n">
        <v>824.5</v>
      </c>
      <c r="J23" s="32" t="n">
        <v>2.02</v>
      </c>
      <c r="K23" s="32" t="n">
        <v>0</v>
      </c>
      <c r="L23" s="31" t="n">
        <v>86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79.94</v>
      </c>
      <c r="P23" s="32" t="n">
        <v>66.23999999999999</v>
      </c>
      <c r="Q23" s="32" t="n">
        <v>667.47</v>
      </c>
      <c r="R23" s="31" t="inlineStr">
        <is>
          <t>Near 52W High Breakout</t>
        </is>
      </c>
      <c r="S23" s="31" t="inlineStr">
        <is>
          <t>Nifty 50</t>
        </is>
      </c>
      <c r="T23" s="32" t="n">
        <v>-0.38</v>
      </c>
      <c r="U23" s="32" t="n">
        <v>123.46</v>
      </c>
      <c r="V23" s="32" t="n">
        <v>124.31</v>
      </c>
      <c r="W23" s="32" t="n">
        <v>26.72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20</t>
        </is>
      </c>
      <c r="CG23" s="31">
        <f>IF(CF23&gt;20,10,IF(CF23&gt;=10,5,2))</f>
        <v/>
      </c>
    </row>
    <row r="24">
      <c r="A24" s="31">
        <f>IF(B24=0,"",RANK(B24,$B$2:$B$98,0))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4" t="inlineStr">
        <is>
          <t>ACCENTMIC</t>
        </is>
      </c>
      <c r="D24" s="34" t="inlineStr">
        <is>
          <t>Accent Microcell Ltd</t>
        </is>
      </c>
      <c r="E24" s="31" t="inlineStr">
        <is>
          <t>unknown</t>
        </is>
      </c>
      <c r="F24" s="31" t="inlineStr">
        <is>
          <t>Pharma - Formulators</t>
        </is>
      </c>
      <c r="G24" s="31" t="inlineStr">
        <is>
          <t>smallcap</t>
        </is>
      </c>
      <c r="H24" s="32" t="n">
        <v>1422.43</v>
      </c>
      <c r="I24" s="32" t="n">
        <v>592.95</v>
      </c>
      <c r="J24" s="32" t="n">
        <v>0.49</v>
      </c>
      <c r="K24" s="32" t="n">
        <v>0</v>
      </c>
      <c r="L24" s="31" t="n">
        <v>81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79.89</v>
      </c>
      <c r="P24" s="32" t="n">
        <v>61.9</v>
      </c>
      <c r="Q24" s="32" t="n">
        <v>492.45</v>
      </c>
      <c r="R24" s="31" t="inlineStr">
        <is>
          <t>Near 52W High Breakout</t>
        </is>
      </c>
      <c r="S24" s="31" t="inlineStr">
        <is>
          <t>Nifty 50</t>
        </is>
      </c>
      <c r="T24" s="32" t="n">
        <v>-2.49</v>
      </c>
      <c r="U24" s="32" t="n">
        <v>103.4</v>
      </c>
      <c r="V24" s="32" t="n">
        <v>108.59</v>
      </c>
      <c r="W24" s="32" t="n">
        <v>24.04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19</t>
        </is>
      </c>
      <c r="CG24" s="31">
        <f>IF(CF24&gt;20,10,IF(CF24&gt;=10,5,2))</f>
        <v/>
      </c>
    </row>
    <row r="25">
      <c r="A25" s="31">
        <f>IF(B25=0,"",RANK(B25,$B$2:$B$98,0))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APARINDS</t>
        </is>
      </c>
      <c r="D25" s="34" t="inlineStr">
        <is>
          <t>Apar Industries Ltd</t>
        </is>
      </c>
      <c r="E25" s="31" t="inlineStr">
        <is>
          <t>industrials</t>
        </is>
      </c>
      <c r="F25" s="31" t="inlineStr">
        <is>
          <t>Cables - Power</t>
        </is>
      </c>
      <c r="G25" s="31" t="inlineStr">
        <is>
          <t>largecap</t>
        </is>
      </c>
      <c r="H25" s="32" t="n">
        <v>71019.67</v>
      </c>
      <c r="I25" s="32" t="n">
        <v>16961</v>
      </c>
      <c r="J25" s="32" t="n">
        <v>1.53</v>
      </c>
      <c r="K25" s="32" t="n">
        <v>0</v>
      </c>
      <c r="L25" s="31" t="n">
        <v>79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72.55</v>
      </c>
      <c r="P25" s="32" t="n">
        <v>43.37</v>
      </c>
      <c r="Q25" s="32" t="n">
        <v>13056.9</v>
      </c>
      <c r="R25" s="31" t="inlineStr">
        <is>
          <t>Near 52W High Breakout</t>
        </is>
      </c>
      <c r="S25" s="31" t="inlineStr">
        <is>
          <t>Nifty 500</t>
        </is>
      </c>
      <c r="T25" s="32" t="n">
        <v>5.11</v>
      </c>
      <c r="U25" s="32" t="n">
        <v>119.88</v>
      </c>
      <c r="V25" s="32" t="n">
        <v>109.18</v>
      </c>
      <c r="W25" s="32" t="n">
        <v>23.41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19</t>
        </is>
      </c>
      <c r="CG25" s="31">
        <f>IF(CF25&gt;20,10,IF(CF25&gt;=10,5,2))</f>
        <v/>
      </c>
    </row>
    <row r="26">
      <c r="A26" s="31">
        <f>IF(B26=0,"",RANK(B26,$B$2:$B$98,0))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KPL</t>
        </is>
      </c>
      <c r="D26" s="31" t="inlineStr">
        <is>
          <t>Kwality Pharmaceuticals Ltd</t>
        </is>
      </c>
      <c r="E26" s="31" t="inlineStr">
        <is>
          <t>Healthcare</t>
        </is>
      </c>
      <c r="F26" s="31" t="inlineStr">
        <is>
          <t>Pharma - Formulators</t>
        </is>
      </c>
      <c r="G26" s="31" t="inlineStr">
        <is>
          <t>smallcap</t>
        </is>
      </c>
      <c r="H26" s="32" t="n">
        <v>3500.77</v>
      </c>
      <c r="I26" s="32" t="n">
        <v>3373.85</v>
      </c>
      <c r="J26" s="32" t="n">
        <v>-2.49</v>
      </c>
      <c r="K26" s="32" t="n">
        <v>0</v>
      </c>
      <c r="L26" s="31" t="n">
        <v>95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77.25</v>
      </c>
      <c r="P26" s="32" t="n">
        <v>70.42</v>
      </c>
      <c r="Q26" s="32" t="n">
        <v>2576.48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21.83</v>
      </c>
      <c r="U26" s="32" t="n">
        <v>240.44</v>
      </c>
      <c r="V26" s="32" t="n">
        <v>179.44</v>
      </c>
      <c r="W26" s="32" t="n">
        <v>40.29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25</t>
        </is>
      </c>
      <c r="CG26" s="31">
        <f>IF(CF26&gt;20,10,IF(CF26&gt;=10,5,2))</f>
        <v/>
      </c>
    </row>
    <row r="27">
      <c r="A27" s="31">
        <f>IF(B27=0,"",RANK(B27,$B$2:$B$98,0))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INDSWFTLAB</t>
        </is>
      </c>
      <c r="D27" s="31" t="inlineStr">
        <is>
          <t>Ind-Swift Laboratories Ltd</t>
        </is>
      </c>
      <c r="E27" s="31" t="inlineStr">
        <is>
          <t>healthcare</t>
        </is>
      </c>
      <c r="F27" s="31" t="inlineStr">
        <is>
          <t>Pharma - API</t>
        </is>
      </c>
      <c r="G27" s="31" t="inlineStr">
        <is>
          <t>smallcap</t>
        </is>
      </c>
      <c r="H27" s="32" t="n">
        <v>2813.21</v>
      </c>
      <c r="I27" s="32" t="n">
        <v>323.5</v>
      </c>
      <c r="J27" s="32" t="n">
        <v>-1.15</v>
      </c>
      <c r="K27" s="32" t="n">
        <v>0</v>
      </c>
      <c r="L27" s="31" t="n">
        <v>98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84.90000000000001</v>
      </c>
      <c r="P27" s="32" t="n">
        <v>68.39</v>
      </c>
      <c r="Q27" s="32" t="n">
        <v>252.98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21.83</v>
      </c>
      <c r="U27" s="32" t="n">
        <v>237.68</v>
      </c>
      <c r="V27" s="32" t="n">
        <v>177.18</v>
      </c>
      <c r="W27" s="32" t="n">
        <v>56.35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24</t>
        </is>
      </c>
      <c r="CG27" s="31">
        <f>IF(CF27&gt;20,10,IF(CF27&gt;=10,5,2))</f>
        <v/>
      </c>
    </row>
    <row r="28">
      <c r="A28" s="31">
        <f>IF(B28=0,"",RANK(B28,$B$2:$B$98,0))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IPCALAB</t>
        </is>
      </c>
      <c r="D28" s="34" t="inlineStr">
        <is>
          <t>Ipca Laboratories Ltd</t>
        </is>
      </c>
      <c r="E28" s="31" t="inlineStr">
        <is>
          <t>healthcare</t>
        </is>
      </c>
      <c r="F28" s="31" t="inlineStr">
        <is>
          <t>Pharma - Formulators</t>
        </is>
      </c>
      <c r="G28" s="31" t="inlineStr">
        <is>
          <t>largecap</t>
        </is>
      </c>
      <c r="H28" s="32" t="n">
        <v>49150.12</v>
      </c>
      <c r="I28" s="32" t="n">
        <v>1937.3</v>
      </c>
      <c r="J28" s="32" t="n">
        <v>0.88</v>
      </c>
      <c r="K28" s="32" t="n">
        <v>0</v>
      </c>
      <c r="L28" s="31" t="n">
        <v>49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67.91</v>
      </c>
      <c r="P28" s="32" t="n">
        <v>38.04</v>
      </c>
      <c r="Q28" s="32" t="n">
        <v>1552.98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21.83</v>
      </c>
      <c r="U28" s="32" t="n">
        <v>39.79</v>
      </c>
      <c r="V28" s="32" t="n">
        <v>14.74</v>
      </c>
      <c r="W28" s="32" t="n">
        <v>12.76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20</t>
        </is>
      </c>
      <c r="CG28" s="31">
        <f>IF(CF28&gt;20,10,IF(CF28&gt;=10,5,2))</f>
        <v/>
      </c>
    </row>
    <row r="29">
      <c r="A29" s="31">
        <f>IF(B29=0,"",RANK(B29,$B$2:$B$98,0))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RATEGAIN</t>
        </is>
      </c>
      <c r="D29" s="31" t="inlineStr">
        <is>
          <t>Rategain Travel Technologies Ltd</t>
        </is>
      </c>
      <c r="E29" s="31" t="inlineStr">
        <is>
          <t>Technology</t>
        </is>
      </c>
      <c r="F29" s="31" t="inlineStr">
        <is>
          <t>IT Product Companies</t>
        </is>
      </c>
      <c r="G29" s="31" t="inlineStr">
        <is>
          <t>midcap</t>
        </is>
      </c>
      <c r="H29" s="32" t="n">
        <v>11129.6</v>
      </c>
      <c r="I29" s="32" t="n">
        <v>939.5</v>
      </c>
      <c r="J29" s="32" t="n">
        <v>-2.35</v>
      </c>
      <c r="K29" s="32" t="n">
        <v>0</v>
      </c>
      <c r="L29" s="31" t="n">
        <v>76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67.88</v>
      </c>
      <c r="P29" s="32" t="n">
        <v>46.03</v>
      </c>
      <c r="Q29" s="32" t="n">
        <v>757.39</v>
      </c>
      <c r="R29" s="31" t="inlineStr">
        <is>
          <t>Near 52W High Breakout</t>
        </is>
      </c>
      <c r="S29" s="31" t="inlineStr">
        <is>
          <t>Nifty IT</t>
        </is>
      </c>
      <c r="T29" s="32" t="n">
        <v>-12.53</v>
      </c>
      <c r="U29" s="32" t="n">
        <v>84.84999999999999</v>
      </c>
      <c r="V29" s="32" t="n">
        <v>111.34</v>
      </c>
      <c r="W29" s="32" t="n">
        <v>21.56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19</t>
        </is>
      </c>
      <c r="CG29" s="31">
        <f>IF(CF29&gt;20,10,IF(CF29&gt;=10,5,2))</f>
        <v/>
      </c>
    </row>
    <row r="30">
      <c r="A30" s="31">
        <f>IF(B30=0,"",RANK(B30,$B$2:$B$98,0))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LENSKART</t>
        </is>
      </c>
      <c r="D30" s="34" t="inlineStr">
        <is>
          <t>Lenskart Solutions Ltd</t>
        </is>
      </c>
      <c r="E30" s="31" t="inlineStr">
        <is>
          <t>Healthcare</t>
        </is>
      </c>
      <c r="F30" s="31" t="inlineStr">
        <is>
          <t>New age - Platform - E-Retail</t>
        </is>
      </c>
      <c r="G30" s="31" t="inlineStr">
        <is>
          <t>largecap</t>
        </is>
      </c>
      <c r="H30" s="32" t="n">
        <v>113159.26</v>
      </c>
      <c r="I30" s="32" t="n">
        <v>650.6</v>
      </c>
      <c r="J30" s="32" t="n">
        <v>-1.39</v>
      </c>
      <c r="K30" s="32" t="n">
        <v>0</v>
      </c>
      <c r="L30" s="31" t="n">
        <v>65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74.41</v>
      </c>
      <c r="P30" s="32" t="n">
        <v>42.18</v>
      </c>
      <c r="Q30" s="32" t="n">
        <v>540.98</v>
      </c>
      <c r="R30" s="31" t="inlineStr">
        <is>
          <t>Near 52W High Breakout</t>
        </is>
      </c>
      <c r="S30" s="31" t="inlineStr">
        <is>
          <t>Nifty Pharma</t>
        </is>
      </c>
      <c r="T30" s="32" t="n">
        <v>16.4</v>
      </c>
      <c r="U30" s="32" t="n">
        <v>60.36</v>
      </c>
      <c r="V30" s="32" t="n">
        <v>37.76</v>
      </c>
      <c r="W30" s="32" t="n">
        <v>17.09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19</t>
        </is>
      </c>
      <c r="CG30" s="31">
        <f>IF(CF30&gt;20,10,IF(CF30&gt;=10,5,2))</f>
        <v/>
      </c>
    </row>
    <row r="31">
      <c r="A31" s="31">
        <f>IF(B31=0,"",RANK(B31,$B$2:$B$98,0))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MODISONLTD</t>
        </is>
      </c>
      <c r="D31" s="31" t="inlineStr">
        <is>
          <t>Modison Ltd</t>
        </is>
      </c>
      <c r="E31" s="31" t="inlineStr">
        <is>
          <t>industrials</t>
        </is>
      </c>
      <c r="F31" s="31" t="inlineStr">
        <is>
          <t>Capital Goods - Electric General</t>
        </is>
      </c>
      <c r="G31" s="31" t="inlineStr">
        <is>
          <t>smallcap</t>
        </is>
      </c>
      <c r="H31" s="32" t="n">
        <v>1349.43</v>
      </c>
      <c r="I31" s="32" t="n">
        <v>415.85</v>
      </c>
      <c r="J31" s="32" t="n">
        <v>4.8</v>
      </c>
      <c r="K31" s="32" t="n">
        <v>0</v>
      </c>
      <c r="L31" s="31" t="n">
        <v>94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76.89</v>
      </c>
      <c r="P31" s="32" t="n">
        <v>59.75</v>
      </c>
      <c r="Q31" s="32" t="n">
        <v>310.88</v>
      </c>
      <c r="R31" s="31" t="inlineStr">
        <is>
          <t>Near 52W High Breakout</t>
        </is>
      </c>
      <c r="S31" s="31" t="inlineStr">
        <is>
          <t>Nifty 50</t>
        </is>
      </c>
      <c r="T31" s="32" t="n">
        <v>-0.38</v>
      </c>
      <c r="U31" s="32" t="n">
        <v>176.94</v>
      </c>
      <c r="V31" s="32" t="n">
        <v>177.99</v>
      </c>
      <c r="W31" s="32" t="n">
        <v>38.51</v>
      </c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27</t>
        </is>
      </c>
      <c r="CG31" s="31">
        <f>IF(CF31&gt;20,10,IF(CF31&gt;=10,5,2))</f>
        <v/>
      </c>
    </row>
    <row r="32">
      <c r="A32" s="31">
        <f>IF(B32=0,"",RANK(B32,$B$2:$B$98,0))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HONASA</t>
        </is>
      </c>
      <c r="D32" s="31" t="inlineStr">
        <is>
          <t>Honasa Consumer Ltd</t>
        </is>
      </c>
      <c r="E32" s="31" t="inlineStr">
        <is>
          <t>services</t>
        </is>
      </c>
      <c r="F32" s="31" t="inlineStr">
        <is>
          <t>New age - Platform - E-Retail</t>
        </is>
      </c>
      <c r="G32" s="31" t="inlineStr">
        <is>
          <t>midcap</t>
        </is>
      </c>
      <c r="H32" s="32" t="n">
        <v>15812.17</v>
      </c>
      <c r="I32" s="32" t="n">
        <v>485</v>
      </c>
      <c r="J32" s="32" t="n">
        <v>-1.18</v>
      </c>
      <c r="K32" s="32" t="n">
        <v>0</v>
      </c>
      <c r="L32" s="31" t="n">
        <v>60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71.84</v>
      </c>
      <c r="P32" s="32" t="n">
        <v>61.28</v>
      </c>
      <c r="Q32" s="32" t="n">
        <v>411.77</v>
      </c>
      <c r="R32" s="31" t="inlineStr">
        <is>
          <t>Near 52W High Breakout</t>
        </is>
      </c>
      <c r="S32" s="31" t="inlineStr">
        <is>
          <t>Nifty 50</t>
        </is>
      </c>
      <c r="T32" s="32" t="n">
        <v>-0.38</v>
      </c>
      <c r="U32" s="32" t="n">
        <v>65.73</v>
      </c>
      <c r="V32" s="32" t="n">
        <v>66.36</v>
      </c>
      <c r="W32" s="32" t="n">
        <v>15.31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B2C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24</t>
        </is>
      </c>
      <c r="CG32" s="31">
        <f>IF(CF32&gt;20,10,IF(CF32&gt;=10,5,2))</f>
        <v/>
      </c>
    </row>
    <row r="33">
      <c r="A33" s="31">
        <f>IF(B33=0,"",RANK(B33,$B$2:$B$98,0))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WELSPUNLIV</t>
        </is>
      </c>
      <c r="D33" s="31" t="inlineStr">
        <is>
          <t>Welspun Living Ltd</t>
        </is>
      </c>
      <c r="E33" s="31" t="inlineStr">
        <is>
          <t>textiles</t>
        </is>
      </c>
      <c r="F33" s="31" t="inlineStr">
        <is>
          <t>Textiles - Home Textile</t>
        </is>
      </c>
      <c r="G33" s="31" t="inlineStr">
        <is>
          <t>midcap</t>
        </is>
      </c>
      <c r="H33" s="32" t="n">
        <v>17904</v>
      </c>
      <c r="I33" s="32" t="n">
        <v>189.51</v>
      </c>
      <c r="J33" s="32" t="n">
        <v>-0.48</v>
      </c>
      <c r="K33" s="32" t="n">
        <v>0</v>
      </c>
      <c r="L33" s="31" t="n">
        <v>75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73.88</v>
      </c>
      <c r="P33" s="32" t="n">
        <v>36.24</v>
      </c>
      <c r="Q33" s="32" t="n">
        <v>150.36</v>
      </c>
      <c r="R33" s="31" t="inlineStr">
        <is>
          <t>Near 52W High Breakout</t>
        </is>
      </c>
      <c r="S33" s="31" t="inlineStr">
        <is>
          <t>Nifty 50</t>
        </is>
      </c>
      <c r="T33" s="32" t="n">
        <v>-0.38</v>
      </c>
      <c r="U33" s="32" t="n">
        <v>74.18000000000001</v>
      </c>
      <c r="V33" s="32" t="n">
        <v>74.84</v>
      </c>
      <c r="W33" s="32" t="n">
        <v>21.29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22</t>
        </is>
      </c>
      <c r="CG33" s="31">
        <f>IF(CF33&gt;20,10,IF(CF33&gt;=10,5,2))</f>
        <v/>
      </c>
    </row>
    <row r="34">
      <c r="A34" s="31">
        <f>IF(B34=0,"",RANK(B34,$B$2:$B$98,0))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SJS</t>
        </is>
      </c>
      <c r="D34" s="31" t="inlineStr">
        <is>
          <t>S J S Enterprises Ltd</t>
        </is>
      </c>
      <c r="E34" s="31" t="inlineStr">
        <is>
          <t>auto</t>
        </is>
      </c>
      <c r="F34" s="31" t="inlineStr">
        <is>
          <t>Auto Ancillaries - Diversified</t>
        </is>
      </c>
      <c r="G34" s="31" t="inlineStr">
        <is>
          <t>midcap</t>
        </is>
      </c>
      <c r="H34" s="32" t="n">
        <v>8126.76</v>
      </c>
      <c r="I34" s="32" t="n">
        <v>2537.5</v>
      </c>
      <c r="J34" s="32" t="n">
        <v>-0.9399999999999999</v>
      </c>
      <c r="K34" s="32" t="n">
        <v>0</v>
      </c>
      <c r="L34" s="31" t="inlineStr"/>
      <c r="M34" s="31" t="inlineStr"/>
      <c r="N34" s="32">
        <f>IF(M34="Underperforming",-5,IF(L34&gt;=95,15,IF(L34&gt;=90,10,IF(L34&gt;=80,5,0))))</f>
        <v/>
      </c>
      <c r="O34" s="32" t="n">
        <v>72.93000000000001</v>
      </c>
      <c r="P34" s="32" t="n">
        <v>46.97</v>
      </c>
      <c r="Q34" s="32" t="n">
        <v>2071.86</v>
      </c>
      <c r="R34" s="31" t="inlineStr">
        <is>
          <t>Near 52W High Breakout</t>
        </is>
      </c>
      <c r="S34" s="31" t="inlineStr">
        <is>
          <t>Nifty Auto</t>
        </is>
      </c>
      <c r="T34" s="32" t="inlineStr"/>
      <c r="U34" s="32" t="inlineStr"/>
      <c r="V34" s="32" t="inlineStr"/>
      <c r="W34" s="32" t="inlineStr"/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22</t>
        </is>
      </c>
      <c r="CG34" s="31">
        <f>IF(CF34&gt;20,10,IF(CF34&gt;=10,5,2))</f>
        <v/>
      </c>
    </row>
    <row r="35">
      <c r="A35" s="31">
        <f>IF(B35=0,"",RANK(B35,$B$2:$B$98,0))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KABRAEXTRU</t>
        </is>
      </c>
      <c r="D35" s="31" t="inlineStr">
        <is>
          <t>Kabra Extrusion Technik Ltd</t>
        </is>
      </c>
      <c r="E35" s="31" t="inlineStr">
        <is>
          <t>industrials</t>
        </is>
      </c>
      <c r="F35" s="31" t="inlineStr">
        <is>
          <t>Capital Goods - Engineering Heavy</t>
        </is>
      </c>
      <c r="G35" s="31" t="inlineStr">
        <is>
          <t>smallcap</t>
        </is>
      </c>
      <c r="H35" s="32" t="n">
        <v>2140.34</v>
      </c>
      <c r="I35" s="32" t="n">
        <v>612</v>
      </c>
      <c r="J35" s="32" t="n">
        <v>0.15</v>
      </c>
      <c r="K35" s="32" t="n">
        <v>0</v>
      </c>
      <c r="L35" s="31" t="n">
        <v>99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89.97</v>
      </c>
      <c r="P35" s="32" t="n">
        <v>45.11</v>
      </c>
      <c r="Q35" s="32" t="n">
        <v>475.77</v>
      </c>
      <c r="R35" s="31" t="inlineStr">
        <is>
          <t>Near 52W High Breakout</t>
        </is>
      </c>
      <c r="S35" s="31" t="inlineStr">
        <is>
          <t>Nifty 50</t>
        </is>
      </c>
      <c r="T35" s="32" t="n">
        <v>-0.38</v>
      </c>
      <c r="U35" s="32" t="n">
        <v>110.85</v>
      </c>
      <c r="V35" s="32" t="n">
        <v>111.65</v>
      </c>
      <c r="W35" s="32" t="n">
        <v>67.90000000000001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22</t>
        </is>
      </c>
      <c r="CG35" s="31">
        <f>IF(CF35&gt;20,10,IF(CF35&gt;=10,5,2))</f>
        <v/>
      </c>
    </row>
    <row r="36">
      <c r="A36" s="31">
        <f>IF(B36=0,"",RANK(B36,$B$2:$B$98,0))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IRISDOREME</t>
        </is>
      </c>
      <c r="D36" s="31" t="inlineStr">
        <is>
          <t>Iris Clothings Ltd</t>
        </is>
      </c>
      <c r="E36" s="31" t="inlineStr">
        <is>
          <t>consumer discretionary</t>
        </is>
      </c>
      <c r="F36" s="31" t="inlineStr">
        <is>
          <t>Textiles - Readymade Apparel</t>
        </is>
      </c>
      <c r="G36" s="31" t="inlineStr">
        <is>
          <t>smallcap</t>
        </is>
      </c>
      <c r="H36" s="32" t="n">
        <v>1073.85</v>
      </c>
      <c r="I36" s="32" t="n">
        <v>56.42</v>
      </c>
      <c r="J36" s="32" t="n">
        <v>-2.05</v>
      </c>
      <c r="K36" s="32" t="n">
        <v>0</v>
      </c>
      <c r="L36" s="31" t="n">
        <v>86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81.09999999999999</v>
      </c>
      <c r="P36" s="32" t="n">
        <v>46.34</v>
      </c>
      <c r="Q36" s="32" t="n">
        <v>45.78</v>
      </c>
      <c r="R36" s="31" t="inlineStr">
        <is>
          <t>Near 52W High Breakout</t>
        </is>
      </c>
      <c r="S36" s="31" t="inlineStr">
        <is>
          <t>Nifty 50</t>
        </is>
      </c>
      <c r="T36" s="32" t="n">
        <v>-0.38</v>
      </c>
      <c r="U36" s="32" t="n">
        <v>80.03</v>
      </c>
      <c r="V36" s="32" t="n">
        <v>80.70999999999999</v>
      </c>
      <c r="W36" s="32" t="n">
        <v>26.21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20</t>
        </is>
      </c>
      <c r="CG36" s="31">
        <f>IF(CF36&gt;20,10,IF(CF36&gt;=10,5,2))</f>
        <v/>
      </c>
    </row>
    <row r="37">
      <c r="A37" s="31">
        <f>IF(B37=0,"",RANK(B37,$B$2:$B$98,0))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UNIVCABLES</t>
        </is>
      </c>
      <c r="D37" s="31" t="inlineStr">
        <is>
          <t>Universal Cables Ltd</t>
        </is>
      </c>
      <c r="E37" s="31" t="inlineStr">
        <is>
          <t>industrials</t>
        </is>
      </c>
      <c r="F37" s="31" t="inlineStr">
        <is>
          <t>Cables - Power</t>
        </is>
      </c>
      <c r="G37" s="31" t="inlineStr">
        <is>
          <t>midcap</t>
        </is>
      </c>
      <c r="H37" s="32" t="n">
        <v>5523.5</v>
      </c>
      <c r="I37" s="32" t="n">
        <v>1592</v>
      </c>
      <c r="J37" s="32" t="n">
        <v>-2.43</v>
      </c>
      <c r="K37" s="32" t="n">
        <v>0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72.92</v>
      </c>
      <c r="P37" s="32" t="n">
        <v>60.18</v>
      </c>
      <c r="Q37" s="32" t="n">
        <v>1181.53</v>
      </c>
      <c r="R37" s="31" t="inlineStr">
        <is>
          <t>Near 52W High Breakout</t>
        </is>
      </c>
      <c r="S37" s="31" t="inlineStr">
        <is>
          <t>Nifty Energy</t>
        </is>
      </c>
      <c r="T37" s="32" t="inlineStr"/>
      <c r="U37" s="32" t="inlineStr"/>
      <c r="V37" s="32" t="inlineStr"/>
      <c r="W37" s="32" t="inlineStr"/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19</t>
        </is>
      </c>
      <c r="CG37" s="31">
        <f>IF(CF37&gt;20,10,IF(CF37&gt;=10,5,2))</f>
        <v/>
      </c>
    </row>
    <row r="38">
      <c r="A38" s="31">
        <f>IF(B38=0,"",RANK(B38,$B$2:$B$98,0))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AVALON</t>
        </is>
      </c>
      <c r="D38" s="31" t="inlineStr">
        <is>
          <t>Avalon Technologies Ltd</t>
        </is>
      </c>
      <c r="E38" s="31" t="inlineStr">
        <is>
          <t>consumer discretionary</t>
        </is>
      </c>
      <c r="F38" s="31" t="inlineStr">
        <is>
          <t>Consumer Electronics - EMS</t>
        </is>
      </c>
      <c r="G38" s="31" t="inlineStr">
        <is>
          <t>midcap</t>
        </is>
      </c>
      <c r="H38" s="32" t="n">
        <v>14090.6</v>
      </c>
      <c r="I38" s="32" t="n">
        <v>2109</v>
      </c>
      <c r="J38" s="32" t="n">
        <v>-0.49</v>
      </c>
      <c r="K38" s="32" t="n">
        <v>0</v>
      </c>
      <c r="L38" s="31" t="n">
        <v>90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77.06</v>
      </c>
      <c r="P38" s="32" t="n">
        <v>59.26</v>
      </c>
      <c r="Q38" s="32" t="n">
        <v>1676.05</v>
      </c>
      <c r="R38" s="31" t="inlineStr">
        <is>
          <t>Near 52W High Breakout</t>
        </is>
      </c>
      <c r="S38" s="31" t="inlineStr">
        <is>
          <t>Nifty 50</t>
        </is>
      </c>
      <c r="T38" s="32" t="n">
        <v>-0.38</v>
      </c>
      <c r="U38" s="32" t="n">
        <v>154.18</v>
      </c>
      <c r="V38" s="32" t="n">
        <v>155.15</v>
      </c>
      <c r="W38" s="32" t="n">
        <v>29.75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19</t>
        </is>
      </c>
      <c r="CG38" s="31">
        <f>IF(CF38&gt;20,10,IF(CF38&gt;=10,5,2))</f>
        <v/>
      </c>
    </row>
    <row r="39">
      <c r="A39" s="31">
        <f>IF(B39=0,"",RANK(B39,$B$2:$B$98,0))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MARKSANS</t>
        </is>
      </c>
      <c r="D39" s="31" t="inlineStr">
        <is>
          <t>Marksans Pharma Ltd</t>
        </is>
      </c>
      <c r="E39" s="31" t="inlineStr">
        <is>
          <t>healthcare</t>
        </is>
      </c>
      <c r="F39" s="31" t="inlineStr">
        <is>
          <t>Pharma - Formulators</t>
        </is>
      </c>
      <c r="G39" s="31" t="inlineStr">
        <is>
          <t>midcap</t>
        </is>
      </c>
      <c r="H39" s="32" t="n">
        <v>14442.33</v>
      </c>
      <c r="I39" s="32" t="n">
        <v>318.7</v>
      </c>
      <c r="J39" s="32" t="n">
        <v>-1.61</v>
      </c>
      <c r="K39" s="32" t="n">
        <v>0</v>
      </c>
      <c r="L39" s="31" t="n">
        <v>74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72.26000000000001</v>
      </c>
      <c r="P39" s="32" t="n">
        <v>58.65</v>
      </c>
      <c r="Q39" s="32" t="n">
        <v>260.32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21.83</v>
      </c>
      <c r="U39" s="32" t="n">
        <v>89.43000000000001</v>
      </c>
      <c r="V39" s="32" t="n">
        <v>55.49</v>
      </c>
      <c r="W39" s="32" t="n">
        <v>21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27</t>
        </is>
      </c>
      <c r="CG39" s="31">
        <f>IF(CF39&gt;20,10,IF(CF39&gt;=10,5,2))</f>
        <v/>
      </c>
    </row>
    <row r="40">
      <c r="A40" s="31">
        <f>IF(B40=0,"",RANK(B40,$B$2:$B$98,0))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NEULANDLAB</t>
        </is>
      </c>
      <c r="D40" s="31" t="inlineStr">
        <is>
          <t>Neuland Laboratories Ltd</t>
        </is>
      </c>
      <c r="E40" s="31" t="inlineStr">
        <is>
          <t>healthcare</t>
        </is>
      </c>
      <c r="F40" s="31" t="inlineStr">
        <is>
          <t>Pharma - API &amp; CRAMS</t>
        </is>
      </c>
      <c r="G40" s="31" t="inlineStr">
        <is>
          <t>largecap</t>
        </is>
      </c>
      <c r="H40" s="32" t="n">
        <v>29494.63</v>
      </c>
      <c r="I40" s="32" t="n">
        <v>22989</v>
      </c>
      <c r="J40" s="32" t="n">
        <v>0.37</v>
      </c>
      <c r="K40" s="32" t="n">
        <v>0</v>
      </c>
      <c r="L40" s="31" t="n">
        <v>74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74.78</v>
      </c>
      <c r="P40" s="32" t="n">
        <v>55.83</v>
      </c>
      <c r="Q40" s="32" t="n">
        <v>19037.3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21.83</v>
      </c>
      <c r="U40" s="32" t="n">
        <v>70.87</v>
      </c>
      <c r="V40" s="32" t="n">
        <v>40.25</v>
      </c>
      <c r="W40" s="32" t="n">
        <v>21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21</t>
        </is>
      </c>
      <c r="CG40" s="31">
        <f>IF(CF40&gt;20,10,IF(CF40&gt;=10,5,2))</f>
        <v/>
      </c>
    </row>
    <row r="41">
      <c r="A41" s="31">
        <f>IF(B41=0,"",RANK(B41,$B$2:$B$98,0))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SHILPAMED</t>
        </is>
      </c>
      <c r="D41" s="31" t="inlineStr">
        <is>
          <t>Shilpa Medicare Ltd</t>
        </is>
      </c>
      <c r="E41" s="31" t="inlineStr">
        <is>
          <t>healthcare</t>
        </is>
      </c>
      <c r="F41" s="31" t="inlineStr">
        <is>
          <t>Pharma - API &amp; CRAMS</t>
        </is>
      </c>
      <c r="G41" s="31" t="inlineStr">
        <is>
          <t>midcap</t>
        </is>
      </c>
      <c r="H41" s="32" t="n">
        <v>16854.26</v>
      </c>
      <c r="I41" s="32" t="n">
        <v>861.75</v>
      </c>
      <c r="J41" s="32" t="n">
        <v>0.7</v>
      </c>
      <c r="K41" s="32" t="n">
        <v>0</v>
      </c>
      <c r="L41" s="31" t="n">
        <v>93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89.17</v>
      </c>
      <c r="P41" s="32" t="n">
        <v>76.16</v>
      </c>
      <c r="Q41" s="32" t="n">
        <v>705.5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21.83</v>
      </c>
      <c r="U41" s="32" t="n">
        <v>103.86</v>
      </c>
      <c r="V41" s="32" t="n">
        <v>67.33</v>
      </c>
      <c r="W41" s="32" t="n">
        <v>34.59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21</t>
        </is>
      </c>
      <c r="CG41" s="31">
        <f>IF(CF41&gt;20,10,IF(CF41&gt;=10,5,2))</f>
        <v/>
      </c>
    </row>
    <row r="42">
      <c r="A42" s="31">
        <f>IF(B42=0,"",RANK(B42,$B$2:$B$98,0))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CUPID</t>
        </is>
      </c>
      <c r="D42" s="31" t="inlineStr">
        <is>
          <t>Cupid Ltd</t>
        </is>
      </c>
      <c r="E42" s="31" t="inlineStr">
        <is>
          <t>fmcg</t>
        </is>
      </c>
      <c r="F42" s="31" t="inlineStr">
        <is>
          <t>Contraceptives/Protectives</t>
        </is>
      </c>
      <c r="G42" s="31" t="inlineStr">
        <is>
          <t>largecap</t>
        </is>
      </c>
      <c r="H42" s="32" t="n">
        <v>37979.94</v>
      </c>
      <c r="I42" s="32" t="n">
        <v>282.45</v>
      </c>
      <c r="J42" s="32" t="n">
        <v>-1.38</v>
      </c>
      <c r="K42" s="32" t="n">
        <v>0</v>
      </c>
      <c r="L42" s="31" t="inlineStr"/>
      <c r="M42" s="31" t="inlineStr"/>
      <c r="N42" s="32">
        <f>IF(M42="Underperforming",-5,IF(L42&gt;=95,15,IF(L42&gt;=90,10,IF(L42&gt;=80,5,0))))</f>
        <v/>
      </c>
      <c r="O42" s="32" t="n">
        <v>86.43000000000001</v>
      </c>
      <c r="P42" s="32" t="n">
        <v>72.64</v>
      </c>
      <c r="Q42" s="32" t="n">
        <v>229.26</v>
      </c>
      <c r="R42" s="31" t="inlineStr">
        <is>
          <t>Near 52W High Breakout</t>
        </is>
      </c>
      <c r="S42" s="31" t="inlineStr">
        <is>
          <t>Nifty FMCG</t>
        </is>
      </c>
      <c r="T42" s="32" t="inlineStr"/>
      <c r="U42" s="32" t="inlineStr"/>
      <c r="V42" s="32" t="inlineStr"/>
      <c r="W42" s="32" t="inlineStr"/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B2C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21</t>
        </is>
      </c>
      <c r="CG42" s="31">
        <f>IF(CF42&gt;20,10,IF(CF42&gt;=10,5,2))</f>
        <v/>
      </c>
    </row>
    <row r="43">
      <c r="A43" s="31">
        <f>IF(B43=0,"",RANK(B43,$B$2:$B$98,0))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SKYGOLD</t>
        </is>
      </c>
      <c r="D43" s="31" t="inlineStr">
        <is>
          <t>Sky Gold &amp; Diamonds Ltd</t>
        </is>
      </c>
      <c r="E43" s="31" t="inlineStr">
        <is>
          <t>consumer discretionary</t>
        </is>
      </c>
      <c r="F43" s="31" t="inlineStr">
        <is>
          <t>Diamond, Gems &amp; Jewellery</t>
        </is>
      </c>
      <c r="G43" s="31" t="inlineStr">
        <is>
          <t>midcap</t>
        </is>
      </c>
      <c r="H43" s="32" t="n">
        <v>13040.38</v>
      </c>
      <c r="I43" s="32" t="n">
        <v>842</v>
      </c>
      <c r="J43" s="32" t="n">
        <v>5.51</v>
      </c>
      <c r="K43" s="32" t="n">
        <v>0</v>
      </c>
      <c r="L43" s="31" t="n">
        <v>94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83.05</v>
      </c>
      <c r="P43" s="32" t="n">
        <v>65.67</v>
      </c>
      <c r="Q43" s="32" t="n">
        <v>655.99</v>
      </c>
      <c r="R43" s="31" t="inlineStr">
        <is>
          <t>Near 52W High Breakout</t>
        </is>
      </c>
      <c r="S43" s="31" t="inlineStr">
        <is>
          <t>Nifty 50</t>
        </is>
      </c>
      <c r="T43" s="32" t="n">
        <v>-0.38</v>
      </c>
      <c r="U43" s="32" t="n">
        <v>192.57</v>
      </c>
      <c r="V43" s="32" t="n">
        <v>193.68</v>
      </c>
      <c r="W43" s="32" t="n">
        <v>38.33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30</t>
        </is>
      </c>
      <c r="CG43" s="31">
        <f>IF(CF43&gt;20,10,IF(CF43&gt;=10,5,2))</f>
        <v/>
      </c>
    </row>
    <row r="44">
      <c r="A44" s="31">
        <f>IF(B44=0,"",RANK(B44,$B$2:$B$98,0))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TVSSRICHAK</t>
        </is>
      </c>
      <c r="D44" s="31" t="inlineStr">
        <is>
          <t>TVS Srichakra Ltd</t>
        </is>
      </c>
      <c r="E44" s="31" t="inlineStr">
        <is>
          <t>auto</t>
        </is>
      </c>
      <c r="F44" s="31" t="inlineStr">
        <is>
          <t>Tyres &amp; Tubes</t>
        </is>
      </c>
      <c r="G44" s="31" t="inlineStr">
        <is>
          <t>smallcap</t>
        </is>
      </c>
      <c r="H44" s="32" t="n">
        <v>3652.95</v>
      </c>
      <c r="I44" s="32" t="n">
        <v>4770.7</v>
      </c>
      <c r="J44" s="32" t="n">
        <v>-2.8</v>
      </c>
      <c r="K44" s="32" t="n">
        <v>0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67.79000000000001</v>
      </c>
      <c r="P44" s="32" t="n">
        <v>25.54</v>
      </c>
      <c r="Q44" s="32" t="n">
        <v>3873.9</v>
      </c>
      <c r="R44" s="31" t="inlineStr">
        <is>
          <t>Near 52W High Breakout</t>
        </is>
      </c>
      <c r="S44" s="31" t="inlineStr">
        <is>
          <t>Nifty Auto</t>
        </is>
      </c>
      <c r="T44" s="32" t="inlineStr"/>
      <c r="U44" s="32" t="inlineStr"/>
      <c r="V44" s="32" t="inlineStr"/>
      <c r="W44" s="32" t="inlineStr"/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25</t>
        </is>
      </c>
      <c r="CG44" s="31">
        <f>IF(CF44&gt;20,10,IF(CF44&gt;=10,5,2))</f>
        <v/>
      </c>
    </row>
    <row r="45">
      <c r="A45" s="31">
        <f>IF(B45=0,"",RANK(B45,$B$2:$B$98,0))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GHCLTEXTIL</t>
        </is>
      </c>
      <c r="D45" s="31" t="inlineStr">
        <is>
          <t>GHCL Textiles Ltd</t>
        </is>
      </c>
      <c r="E45" s="31" t="inlineStr">
        <is>
          <t>textiles</t>
        </is>
      </c>
      <c r="F45" s="31" t="inlineStr">
        <is>
          <t>Textiles - General</t>
        </is>
      </c>
      <c r="G45" s="31" t="inlineStr">
        <is>
          <t>smallcap</t>
        </is>
      </c>
      <c r="H45" s="32" t="n">
        <v>1204.38</v>
      </c>
      <c r="I45" s="32" t="n">
        <v>126</v>
      </c>
      <c r="J45" s="32" t="n">
        <v>1.44</v>
      </c>
      <c r="K45" s="32" t="n">
        <v>0</v>
      </c>
      <c r="L45" s="31" t="n">
        <v>65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72.73</v>
      </c>
      <c r="P45" s="32" t="n">
        <v>39.78</v>
      </c>
      <c r="Q45" s="32" t="n">
        <v>97</v>
      </c>
      <c r="R45" s="31" t="inlineStr">
        <is>
          <t>Near 52W High Breakout</t>
        </is>
      </c>
      <c r="S45" s="31" t="inlineStr">
        <is>
          <t>Nifty 50</t>
        </is>
      </c>
      <c r="T45" s="32" t="n">
        <v>-0.38</v>
      </c>
      <c r="U45" s="32" t="n">
        <v>58.87</v>
      </c>
      <c r="V45" s="32" t="n">
        <v>59.47</v>
      </c>
      <c r="W45" s="32" t="n">
        <v>17.06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20</t>
        </is>
      </c>
      <c r="CG45" s="31">
        <f>IF(CF45&gt;20,10,IF(CF45&gt;=10,5,2))</f>
        <v/>
      </c>
    </row>
    <row r="46">
      <c r="A46" s="31">
        <f>IF(B46=0,"",RANK(B46,$B$2:$B$98,0))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ENTERO</t>
        </is>
      </c>
      <c r="D46" s="31" t="inlineStr">
        <is>
          <t>Entero Healthcare Solutions Ltd</t>
        </is>
      </c>
      <c r="E46" s="31" t="inlineStr">
        <is>
          <t>healthcare</t>
        </is>
      </c>
      <c r="F46" s="31" t="inlineStr">
        <is>
          <t>Pharmacy Distribution</t>
        </is>
      </c>
      <c r="G46" s="31" t="inlineStr">
        <is>
          <t>midcap</t>
        </is>
      </c>
      <c r="H46" s="32" t="n">
        <v>7083.82</v>
      </c>
      <c r="I46" s="32" t="n">
        <v>1627.6</v>
      </c>
      <c r="J46" s="32" t="n">
        <v>6.39</v>
      </c>
      <c r="K46" s="32" t="n">
        <v>0</v>
      </c>
      <c r="L46" s="31" t="n">
        <v>59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73.51000000000001</v>
      </c>
      <c r="P46" s="32" t="n">
        <v>29.18</v>
      </c>
      <c r="Q46" s="32" t="n">
        <v>1283.92</v>
      </c>
      <c r="R46" s="31" t="inlineStr">
        <is>
          <t>Volume Spike &amp; Near 52W High Breakout</t>
        </is>
      </c>
      <c r="S46" s="31" t="inlineStr">
        <is>
          <t>Nifty Pharma</t>
        </is>
      </c>
      <c r="T46" s="32" t="n">
        <v>21.83</v>
      </c>
      <c r="U46" s="32" t="n">
        <v>38.16</v>
      </c>
      <c r="V46" s="32" t="n">
        <v>13.4</v>
      </c>
      <c r="W46" s="32" t="n">
        <v>15.2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Between 1.5 to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28</t>
        </is>
      </c>
      <c r="CG46" s="31">
        <f>IF(CF46&gt;20,10,IF(CF46&gt;=10,5,2))</f>
        <v/>
      </c>
    </row>
    <row r="47">
      <c r="A47" s="31">
        <f>IF(B47=0,"",RANK(B47,$B$2:$B$98,0))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AVTNPL</t>
        </is>
      </c>
      <c r="D47" s="31" t="inlineStr">
        <is>
          <t>AVT Natural Products Ltd</t>
        </is>
      </c>
      <c r="E47" s="31" t="inlineStr">
        <is>
          <t>fmcg</t>
        </is>
      </c>
      <c r="F47" s="31" t="inlineStr">
        <is>
          <t>Agricultural Processing - Maize</t>
        </is>
      </c>
      <c r="G47" s="31" t="inlineStr">
        <is>
          <t>smallcap</t>
        </is>
      </c>
      <c r="H47" s="32" t="n">
        <v>1334.01</v>
      </c>
      <c r="I47" s="32" t="n">
        <v>87.59999999999999</v>
      </c>
      <c r="J47" s="32" t="n">
        <v>0.52</v>
      </c>
      <c r="K47" s="32" t="n">
        <v>0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75.70999999999999</v>
      </c>
      <c r="P47" s="32" t="n">
        <v>38.79</v>
      </c>
      <c r="Q47" s="32" t="n">
        <v>70.8</v>
      </c>
      <c r="R47" s="31" t="inlineStr">
        <is>
          <t>Near 52W High Breakout</t>
        </is>
      </c>
      <c r="S47" s="31" t="inlineStr">
        <is>
          <t>Nifty FMCG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24</t>
        </is>
      </c>
      <c r="CG47" s="31">
        <f>IF(CF47&gt;20,10,IF(CF47&gt;=10,5,2))</f>
        <v/>
      </c>
    </row>
    <row r="48">
      <c r="A48" s="31">
        <f>IF(B48=0,"",RANK(B48,$B$2:$B$98,0))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LAURUSLABS</t>
        </is>
      </c>
      <c r="D48" s="31" t="inlineStr">
        <is>
          <t>Laurus Labs Ltd</t>
        </is>
      </c>
      <c r="E48" s="31" t="inlineStr">
        <is>
          <t>healthcare</t>
        </is>
      </c>
      <c r="F48" s="31" t="inlineStr">
        <is>
          <t>Pharma - API &amp; CRAMS</t>
        </is>
      </c>
      <c r="G48" s="31" t="inlineStr">
        <is>
          <t>largecap</t>
        </is>
      </c>
      <c r="H48" s="32" t="n">
        <v>100833.07</v>
      </c>
      <c r="I48" s="32" t="n">
        <v>1866.2</v>
      </c>
      <c r="J48" s="32" t="n">
        <v>3.62</v>
      </c>
      <c r="K48" s="32" t="n">
        <v>0</v>
      </c>
      <c r="L48" s="31" t="n">
        <v>84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81.86</v>
      </c>
      <c r="P48" s="32" t="n">
        <v>68.14</v>
      </c>
      <c r="Q48" s="32" t="n">
        <v>1610.01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21.83</v>
      </c>
      <c r="U48" s="32" t="n">
        <v>118.18</v>
      </c>
      <c r="V48" s="32" t="n">
        <v>79.09</v>
      </c>
      <c r="W48" s="32" t="n">
        <v>25.11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20</t>
        </is>
      </c>
      <c r="CG48" s="31">
        <f>IF(CF48&gt;20,10,IF(CF48&gt;=10,5,2))</f>
        <v/>
      </c>
    </row>
    <row r="49">
      <c r="A49" s="31">
        <f>IF(B49=0,"",RANK(B49,$B$2:$B$98,0))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4" t="inlineStr">
        <is>
          <t>COFORGE</t>
        </is>
      </c>
      <c r="D49" s="34" t="inlineStr">
        <is>
          <t>Coforge Ltd</t>
        </is>
      </c>
      <c r="E49" s="31" t="inlineStr">
        <is>
          <t>i.t</t>
        </is>
      </c>
      <c r="F49" s="31" t="inlineStr">
        <is>
          <t>IT - Software</t>
        </is>
      </c>
      <c r="G49" s="31" t="inlineStr">
        <is>
          <t>largecap</t>
        </is>
      </c>
      <c r="H49" s="32" t="n">
        <v>83835.99000000001</v>
      </c>
      <c r="I49" s="32" t="n">
        <v>1892.8</v>
      </c>
      <c r="J49" s="32" t="n">
        <v>1.06</v>
      </c>
      <c r="K49" s="32" t="n">
        <v>0</v>
      </c>
      <c r="L49" s="31" t="n">
        <v>47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70.66</v>
      </c>
      <c r="P49" s="32" t="n">
        <v>15.89</v>
      </c>
      <c r="Q49" s="32" t="n">
        <v>1535.97</v>
      </c>
      <c r="R49" s="31" t="inlineStr">
        <is>
          <t>Near 52W High Breakout</t>
        </is>
      </c>
      <c r="S49" s="31" t="inlineStr">
        <is>
          <t>Nifty IT</t>
        </is>
      </c>
      <c r="T49" s="32" t="n">
        <v>-12.53</v>
      </c>
      <c r="U49" s="32" t="n">
        <v>10.79</v>
      </c>
      <c r="V49" s="32" t="n">
        <v>26.66</v>
      </c>
      <c r="W49" s="32" t="n">
        <v>12.12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0 to 20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20</t>
        </is>
      </c>
      <c r="CG49" s="31">
        <f>IF(CF49&gt;20,10,IF(CF49&gt;=10,5,2))</f>
        <v/>
      </c>
    </row>
    <row r="50">
      <c r="A50" s="31">
        <f>IF(B50=0,"",RANK(B50,$B$2:$B$98,0))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GAYAPROJ</t>
        </is>
      </c>
      <c r="D50" s="31" t="inlineStr">
        <is>
          <t>Gayatri Projects Ltd</t>
        </is>
      </c>
      <c r="E50" s="31" t="inlineStr">
        <is>
          <t>realty</t>
        </is>
      </c>
      <c r="F50" s="31" t="inlineStr">
        <is>
          <t>Construction - Civil/Turnkey</t>
        </is>
      </c>
      <c r="G50" s="31" t="inlineStr">
        <is>
          <t>smallcap</t>
        </is>
      </c>
      <c r="H50" s="32" t="n">
        <v>1034.92</v>
      </c>
      <c r="I50" s="32" t="n">
        <v>22.29</v>
      </c>
      <c r="J50" s="32" t="n">
        <v>-0.22</v>
      </c>
      <c r="K50" s="32" t="n">
        <v>0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64.95</v>
      </c>
      <c r="P50" s="32" t="n">
        <v>29.99</v>
      </c>
      <c r="Q50" s="32" t="n">
        <v>17.75</v>
      </c>
      <c r="R50" s="31" t="inlineStr">
        <is>
          <t>Earnings / Momentum Support</t>
        </is>
      </c>
      <c r="S50" s="31" t="inlineStr">
        <is>
          <t>Nifty Realty</t>
        </is>
      </c>
      <c r="T50" s="32" t="inlineStr"/>
      <c r="U50" s="32" t="inlineStr"/>
      <c r="V50" s="32" t="inlineStr"/>
      <c r="W50" s="32" t="inlineStr"/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26</t>
        </is>
      </c>
      <c r="CG50" s="31">
        <f>IF(CF50&gt;20,10,IF(CF50&gt;=10,5,2))</f>
        <v/>
      </c>
    </row>
    <row r="51">
      <c r="A51" s="31">
        <f>IF(B51=0,"",RANK(B51,$B$2:$B$98,0))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THELEELA</t>
        </is>
      </c>
      <c r="D51" s="31" t="inlineStr">
        <is>
          <t>Leela Palaces Hotels &amp; Resorts Ltd</t>
        </is>
      </c>
      <c r="E51" s="31" t="inlineStr">
        <is>
          <t>services</t>
        </is>
      </c>
      <c r="F51" s="31" t="inlineStr">
        <is>
          <t>Hotels</t>
        </is>
      </c>
      <c r="G51" s="31" t="inlineStr">
        <is>
          <t>midcap</t>
        </is>
      </c>
      <c r="H51" s="32" t="n">
        <v>18563.05</v>
      </c>
      <c r="I51" s="32" t="n">
        <v>555.85</v>
      </c>
      <c r="J51" s="32" t="n">
        <v>1.12</v>
      </c>
      <c r="K51" s="32" t="n">
        <v>0</v>
      </c>
      <c r="L51" s="31" t="n">
        <v>57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68.75</v>
      </c>
      <c r="P51" s="32" t="n">
        <v>33.21</v>
      </c>
      <c r="Q51" s="32" t="n">
        <v>460.12</v>
      </c>
      <c r="R51" s="31" t="inlineStr">
        <is>
          <t>Near 52W High Breakout</t>
        </is>
      </c>
      <c r="S51" s="31" t="inlineStr">
        <is>
          <t>Nifty 50</t>
        </is>
      </c>
      <c r="T51" s="32" t="n">
        <v>-0.38</v>
      </c>
      <c r="U51" s="32" t="n">
        <v>38.92</v>
      </c>
      <c r="V51" s="32" t="n">
        <v>39.44</v>
      </c>
      <c r="W51" s="32" t="n">
        <v>14.57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24</t>
        </is>
      </c>
      <c r="CG51" s="31">
        <f>IF(CF51&gt;20,10,IF(CF51&gt;=10,5,2))</f>
        <v/>
      </c>
    </row>
    <row r="52">
      <c r="A52" s="31">
        <f>IF(B52=0,"",RANK(B52,$B$2:$B$98,0))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MACPOWER</t>
        </is>
      </c>
      <c r="D52" s="31" t="inlineStr">
        <is>
          <t>Macpower CNC Machines Ltd</t>
        </is>
      </c>
      <c r="E52" s="31" t="inlineStr">
        <is>
          <t>industrials</t>
        </is>
      </c>
      <c r="F52" s="31" t="inlineStr">
        <is>
          <t>CNC - Machines</t>
        </is>
      </c>
      <c r="G52" s="31" t="inlineStr">
        <is>
          <t>smallcap</t>
        </is>
      </c>
      <c r="H52" s="32" t="n">
        <v>1927.8</v>
      </c>
      <c r="I52" s="32" t="n">
        <v>1927</v>
      </c>
      <c r="J52" s="32" t="n">
        <v>-1.85</v>
      </c>
      <c r="K52" s="32" t="n">
        <v>0</v>
      </c>
      <c r="L52" s="31" t="n">
        <v>96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78.22</v>
      </c>
      <c r="P52" s="32" t="n">
        <v>36.27</v>
      </c>
      <c r="Q52" s="32" t="n">
        <v>1380.77</v>
      </c>
      <c r="R52" s="31" t="inlineStr">
        <is>
          <t>Near 52W High Breakout</t>
        </is>
      </c>
      <c r="S52" s="31" t="inlineStr">
        <is>
          <t>Nifty 50</t>
        </is>
      </c>
      <c r="T52" s="32" t="n">
        <v>-0.38</v>
      </c>
      <c r="U52" s="32" t="n">
        <v>135.39</v>
      </c>
      <c r="V52" s="32" t="n">
        <v>136.29</v>
      </c>
      <c r="W52" s="32" t="n">
        <v>42.53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23</t>
        </is>
      </c>
      <c r="CG52" s="31">
        <f>IF(CF52&gt;20,10,IF(CF52&gt;=10,5,2))</f>
        <v/>
      </c>
    </row>
    <row r="53">
      <c r="A53" s="31">
        <f>IF(B53=0,"",RANK(B53,$B$2:$B$98,0))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PRECWIRE</t>
        </is>
      </c>
      <c r="D53" s="31" t="inlineStr">
        <is>
          <t>Precision Wires India Ltd</t>
        </is>
      </c>
      <c r="E53" s="31" t="inlineStr">
        <is>
          <t>Industrials</t>
        </is>
      </c>
      <c r="F53" s="31" t="inlineStr">
        <is>
          <t>Copper Wires</t>
        </is>
      </c>
      <c r="G53" s="31" t="inlineStr">
        <is>
          <t>midcap</t>
        </is>
      </c>
      <c r="H53" s="32" t="n">
        <v>7513.41</v>
      </c>
      <c r="I53" s="32" t="n">
        <v>411</v>
      </c>
      <c r="J53" s="32" t="n">
        <v>-4.21</v>
      </c>
      <c r="K53" s="32" t="n">
        <v>0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57.31</v>
      </c>
      <c r="P53" s="32" t="n">
        <v>41.21</v>
      </c>
      <c r="Q53" s="32" t="n">
        <v>338.84</v>
      </c>
      <c r="R53" s="31" t="inlineStr">
        <is>
          <t>Earnings / Momentum Support</t>
        </is>
      </c>
      <c r="S53" s="31" t="inlineStr">
        <is>
          <t>Nifty Infra</t>
        </is>
      </c>
      <c r="T53" s="32" t="inlineStr"/>
      <c r="U53" s="32" t="inlineStr"/>
      <c r="V53" s="32" t="inlineStr"/>
      <c r="W53" s="32" t="inlineStr"/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22</t>
        </is>
      </c>
      <c r="CG53" s="31">
        <f>IF(CF53&gt;20,10,IF(CF53&gt;=10,5,2))</f>
        <v/>
      </c>
    </row>
    <row r="54">
      <c r="A54" s="31">
        <f>IF(B54=0,"",RANK(B54,$B$2:$B$98,0))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FINCABLES</t>
        </is>
      </c>
      <c r="D54" s="31" t="inlineStr">
        <is>
          <t>Finolex Cables Ltd</t>
        </is>
      </c>
      <c r="E54" s="31" t="inlineStr">
        <is>
          <t>industrials</t>
        </is>
      </c>
      <c r="F54" s="31" t="inlineStr">
        <is>
          <t>Cables - Telecom</t>
        </is>
      </c>
      <c r="G54" s="31" t="inlineStr">
        <is>
          <t>midcap</t>
        </is>
      </c>
      <c r="H54" s="32" t="n">
        <v>19325.42</v>
      </c>
      <c r="I54" s="32" t="n">
        <v>1263.6</v>
      </c>
      <c r="J54" s="32" t="n">
        <v>-2.17</v>
      </c>
      <c r="K54" s="32" t="n">
        <v>0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66.45999999999999</v>
      </c>
      <c r="P54" s="32" t="n">
        <v>35.58</v>
      </c>
      <c r="Q54" s="32" t="n">
        <v>949.48</v>
      </c>
      <c r="R54" s="31" t="inlineStr">
        <is>
          <t>Near 52W High Breakout</t>
        </is>
      </c>
      <c r="S54" s="31" t="inlineStr">
        <is>
          <t>Nifty Energy</t>
        </is>
      </c>
      <c r="T54" s="32" t="inlineStr"/>
      <c r="U54" s="32" t="inlineStr"/>
      <c r="V54" s="32" t="inlineStr"/>
      <c r="W54" s="32" t="inlineStr"/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Oligopoly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22</t>
        </is>
      </c>
      <c r="CG54" s="31">
        <f>IF(CF54&gt;20,10,IF(CF54&gt;=10,5,2))</f>
        <v/>
      </c>
    </row>
    <row r="55">
      <c r="A55" s="31">
        <f>IF(B55=0,"",RANK(B55,$B$2:$B$98,0))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KRISHANA</t>
        </is>
      </c>
      <c r="D55" s="31" t="inlineStr">
        <is>
          <t>Krishana Phoschem Ltd</t>
        </is>
      </c>
      <c r="E55" s="31" t="inlineStr">
        <is>
          <t>chemicals</t>
        </is>
      </c>
      <c r="F55" s="31" t="inlineStr">
        <is>
          <t>Fertilisers</t>
        </is>
      </c>
      <c r="G55" s="31" t="inlineStr">
        <is>
          <t>midcap</t>
        </is>
      </c>
      <c r="H55" s="32" t="n">
        <v>6194.51</v>
      </c>
      <c r="I55" s="32" t="n">
        <v>200.38</v>
      </c>
      <c r="J55" s="32" t="n">
        <v>0.35</v>
      </c>
      <c r="K55" s="32" t="n">
        <v>0</v>
      </c>
      <c r="L55" s="31" t="n">
        <v>83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80.20999999999999</v>
      </c>
      <c r="P55" s="32" t="n">
        <v>50.32</v>
      </c>
      <c r="Q55" s="32" t="n">
        <v>159.76</v>
      </c>
      <c r="R55" s="31" t="inlineStr">
        <is>
          <t>Near 52W High Breakout</t>
        </is>
      </c>
      <c r="S55" s="31" t="inlineStr">
        <is>
          <t>Nifty 50</t>
        </is>
      </c>
      <c r="T55" s="32" t="n">
        <v>-0.38</v>
      </c>
      <c r="U55" s="32" t="n">
        <v>74.73</v>
      </c>
      <c r="V55" s="32" t="n">
        <v>75.40000000000001</v>
      </c>
      <c r="W55" s="32" t="n">
        <v>24.7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More than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22</t>
        </is>
      </c>
      <c r="CG55" s="31">
        <f>IF(CF55&gt;20,10,IF(CF55&gt;=10,5,2))</f>
        <v/>
      </c>
    </row>
    <row r="56">
      <c r="A56" s="31">
        <f>IF(B56=0,"",RANK(B56,$B$2:$B$98,0))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ACMESOLAR</t>
        </is>
      </c>
      <c r="D56" s="31" t="inlineStr">
        <is>
          <t>ACME Solar Holdings Ltd</t>
        </is>
      </c>
      <c r="E56" s="31" t="inlineStr">
        <is>
          <t>realty</t>
        </is>
      </c>
      <c r="F56" s="31" t="inlineStr">
        <is>
          <t>Engineering - Turnkey Services</t>
        </is>
      </c>
      <c r="G56" s="31" t="inlineStr">
        <is>
          <t>largecap</t>
        </is>
      </c>
      <c r="H56" s="32" t="n">
        <v>28130.06</v>
      </c>
      <c r="I56" s="32" t="n">
        <v>397.95</v>
      </c>
      <c r="J56" s="32" t="n">
        <v>-2.74</v>
      </c>
      <c r="K56" s="32" t="n">
        <v>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69.81</v>
      </c>
      <c r="P56" s="32" t="n">
        <v>43.96</v>
      </c>
      <c r="Q56" s="32" t="n">
        <v>314.91</v>
      </c>
      <c r="R56" s="31" t="inlineStr">
        <is>
          <t>Near 52W High Breakout</t>
        </is>
      </c>
      <c r="S56" s="31" t="inlineStr">
        <is>
          <t>Nifty Realty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More than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21</t>
        </is>
      </c>
      <c r="CG56" s="31">
        <f>IF(CF56&gt;20,10,IF(CF56&gt;=10,5,2))</f>
        <v/>
      </c>
    </row>
    <row r="57">
      <c r="A57" s="31">
        <f>IF(B57=0,"",RANK(B57,$B$2:$B$98,0))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SOMANYCERA</t>
        </is>
      </c>
      <c r="D57" s="31" t="inlineStr">
        <is>
          <t>Somany Ceramics Ltd</t>
        </is>
      </c>
      <c r="E57" s="31" t="inlineStr">
        <is>
          <t>building materials</t>
        </is>
      </c>
      <c r="F57" s="31" t="inlineStr">
        <is>
          <t>Ceramics/Tiles/Sanitaryware</t>
        </is>
      </c>
      <c r="G57" s="31" t="inlineStr">
        <is>
          <t>smallcap</t>
        </is>
      </c>
      <c r="H57" s="32" t="n">
        <v>2222.89</v>
      </c>
      <c r="I57" s="32" t="n">
        <v>542</v>
      </c>
      <c r="J57" s="32" t="n">
        <v>-1.83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62.95</v>
      </c>
      <c r="P57" s="32" t="n">
        <v>30.7</v>
      </c>
      <c r="Q57" s="32" t="n">
        <v>418.39</v>
      </c>
      <c r="R57" s="31" t="inlineStr">
        <is>
          <t>Near 52W High Breakout</t>
        </is>
      </c>
      <c r="S57" s="31" t="inlineStr">
        <is>
          <t>Nifty Infra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20</t>
        </is>
      </c>
      <c r="CG57" s="31">
        <f>IF(CF57&gt;20,10,IF(CF57&gt;=10,5,2))</f>
        <v/>
      </c>
    </row>
    <row r="58">
      <c r="A58" s="31">
        <f>IF(B58=0,"",RANK(B58,$B$2:$B$98,0))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AEROENTER</t>
        </is>
      </c>
      <c r="D58" s="31" t="inlineStr">
        <is>
          <t>Aeroflex Enterprises Ltd</t>
        </is>
      </c>
      <c r="E58" s="31" t="inlineStr">
        <is>
          <t>metals &amp; mining</t>
        </is>
      </c>
      <c r="F58" s="31" t="inlineStr">
        <is>
          <t>Miscellaneous</t>
        </is>
      </c>
      <c r="G58" s="31" t="inlineStr">
        <is>
          <t>smallcap</t>
        </is>
      </c>
      <c r="H58" s="32" t="n">
        <v>1597.88</v>
      </c>
      <c r="I58" s="32" t="n">
        <v>141.2</v>
      </c>
      <c r="J58" s="32" t="n">
        <v>1.41</v>
      </c>
      <c r="K58" s="32" t="n">
        <v>0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67.38</v>
      </c>
      <c r="P58" s="32" t="n">
        <v>51.79</v>
      </c>
      <c r="Q58" s="32" t="n">
        <v>101.54</v>
      </c>
      <c r="R58" s="31" t="inlineStr">
        <is>
          <t>Near 52W High Breakout</t>
        </is>
      </c>
      <c r="S58" s="31" t="inlineStr">
        <is>
          <t>Nifty Metal</t>
        </is>
      </c>
      <c r="T58" s="32" t="inlineStr"/>
      <c r="U58" s="32" t="inlineStr"/>
      <c r="V58" s="32" t="inlineStr"/>
      <c r="W58" s="32" t="inlineStr"/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Cyclical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Volatile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20</t>
        </is>
      </c>
      <c r="CG58" s="31">
        <f>IF(CF58&gt;20,10,IF(CF58&gt;=10,5,2))</f>
        <v/>
      </c>
    </row>
    <row r="59">
      <c r="A59" s="31">
        <f>IF(B59=0,"",RANK(B59,$B$2:$B$98,0))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ARVSMART</t>
        </is>
      </c>
      <c r="D59" s="31" t="inlineStr">
        <is>
          <t>Arvind SmartSpaces Ltd</t>
        </is>
      </c>
      <c r="E59" s="31" t="inlineStr">
        <is>
          <t>realty</t>
        </is>
      </c>
      <c r="F59" s="31" t="inlineStr">
        <is>
          <t>Realty - Construction &amp; Contracting</t>
        </is>
      </c>
      <c r="G59" s="31" t="inlineStr">
        <is>
          <t>smallcap</t>
        </is>
      </c>
      <c r="H59" s="32" t="n">
        <v>3130.4</v>
      </c>
      <c r="I59" s="32" t="n">
        <v>682.05</v>
      </c>
      <c r="J59" s="32" t="n">
        <v>-1.84</v>
      </c>
      <c r="K59" s="32" t="n">
        <v>0</v>
      </c>
      <c r="L59" s="31" t="inlineStr"/>
      <c r="M59" s="31" t="inlineStr"/>
      <c r="N59" s="32">
        <f>IF(M59="Underperforming",-5,IF(L59&gt;=95,15,IF(L59&gt;=90,10,IF(L59&gt;=80,5,0))))</f>
        <v/>
      </c>
      <c r="O59" s="32" t="n">
        <v>64.69</v>
      </c>
      <c r="P59" s="32" t="n">
        <v>31.19</v>
      </c>
      <c r="Q59" s="32" t="n">
        <v>550.85</v>
      </c>
      <c r="R59" s="31" t="inlineStr">
        <is>
          <t>Near 52W High Breakout</t>
        </is>
      </c>
      <c r="S59" s="31" t="inlineStr">
        <is>
          <t>Nifty Realty</t>
        </is>
      </c>
      <c r="T59" s="32" t="inlineStr"/>
      <c r="U59" s="32" t="inlineStr"/>
      <c r="V59" s="32" t="inlineStr"/>
      <c r="W59" s="32" t="inlineStr"/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20</t>
        </is>
      </c>
      <c r="CG59" s="31">
        <f>IF(CF59&gt;20,10,IF(CF59&gt;=10,5,2))</f>
        <v/>
      </c>
    </row>
    <row r="60">
      <c r="A60" s="31">
        <f>IF(B60=0,"",RANK(B60,$B$2:$B$98,0))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WELCORP</t>
        </is>
      </c>
      <c r="D60" s="31" t="inlineStr">
        <is>
          <t>Welspun Corp Ltd</t>
        </is>
      </c>
      <c r="E60" s="31" t="inlineStr">
        <is>
          <t>industrials</t>
        </is>
      </c>
      <c r="F60" s="31" t="inlineStr">
        <is>
          <t>DI Pipes/Saw Pipes</t>
        </is>
      </c>
      <c r="G60" s="31" t="inlineStr">
        <is>
          <t>largecap</t>
        </is>
      </c>
      <c r="H60" s="32" t="n">
        <v>61515.98</v>
      </c>
      <c r="I60" s="32" t="n">
        <v>2332</v>
      </c>
      <c r="J60" s="32" t="n">
        <v>-3.2</v>
      </c>
      <c r="K60" s="32" t="n">
        <v>0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93.39</v>
      </c>
      <c r="P60" s="32" t="n">
        <v>73.7</v>
      </c>
      <c r="Q60" s="32" t="n">
        <v>1938.93</v>
      </c>
      <c r="R60" s="31" t="inlineStr">
        <is>
          <t>Near 52W High Breakout</t>
        </is>
      </c>
      <c r="S60" s="31" t="inlineStr">
        <is>
          <t>Nifty Metal</t>
        </is>
      </c>
      <c r="T60" s="32" t="inlineStr"/>
      <c r="U60" s="32" t="inlineStr"/>
      <c r="V60" s="32" t="inlineStr"/>
      <c r="W60" s="32" t="inlineStr"/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19</t>
        </is>
      </c>
      <c r="CG60" s="31">
        <f>IF(CF60&gt;20,10,IF(CF60&gt;=10,5,2))</f>
        <v/>
      </c>
    </row>
    <row r="61">
      <c r="A61" s="31">
        <f>IF(B61=0,"",RANK(B61,$B$2:$B$98,0))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KENNAMET</t>
        </is>
      </c>
      <c r="D61" s="31" t="inlineStr">
        <is>
          <t>Kennametal India Ltd</t>
        </is>
      </c>
      <c r="E61" s="31" t="inlineStr">
        <is>
          <t>industrials</t>
        </is>
      </c>
      <c r="F61" s="31" t="inlineStr">
        <is>
          <t>Castings, Forgings &amp; Fastners</t>
        </is>
      </c>
      <c r="G61" s="31" t="inlineStr">
        <is>
          <t>midcap</t>
        </is>
      </c>
      <c r="H61" s="32" t="n">
        <v>9033.059999999999</v>
      </c>
      <c r="I61" s="32" t="n">
        <v>4110</v>
      </c>
      <c r="J61" s="32" t="n">
        <v>-2.88</v>
      </c>
      <c r="K61" s="32" t="n">
        <v>0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81.20999999999999</v>
      </c>
      <c r="P61" s="32" t="n">
        <v>45.12</v>
      </c>
      <c r="Q61" s="32" t="n">
        <v>3275.2</v>
      </c>
      <c r="R61" s="31" t="inlineStr">
        <is>
          <t>Near 52W High Breakout</t>
        </is>
      </c>
      <c r="S61" s="31" t="inlineStr">
        <is>
          <t>Nifty Infra</t>
        </is>
      </c>
      <c r="T61" s="32" t="inlineStr"/>
      <c r="U61" s="32" t="inlineStr"/>
      <c r="V61" s="32" t="inlineStr"/>
      <c r="W61" s="32" t="inlineStr"/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30</t>
        </is>
      </c>
      <c r="CG61" s="31">
        <f>IF(CF61&gt;20,10,IF(CF61&gt;=10,5,2))</f>
        <v/>
      </c>
    </row>
    <row r="62">
      <c r="A62" s="31">
        <f>IF(B62=0,"",RANK(B62,$B$2:$B$98,0))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HFCL</t>
        </is>
      </c>
      <c r="D62" s="31" t="inlineStr">
        <is>
          <t>HFCL Ltd</t>
        </is>
      </c>
      <c r="E62" s="31" t="inlineStr">
        <is>
          <t>telecom</t>
        </is>
      </c>
      <c r="F62" s="31" t="inlineStr">
        <is>
          <t>Telecom Services</t>
        </is>
      </c>
      <c r="G62" s="31" t="inlineStr">
        <is>
          <t>largecap</t>
        </is>
      </c>
      <c r="H62" s="32" t="n">
        <v>36305.89</v>
      </c>
      <c r="I62" s="32" t="n">
        <v>237.2</v>
      </c>
      <c r="J62" s="32" t="n">
        <v>-0.51</v>
      </c>
      <c r="K62" s="32" t="n">
        <v>0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79.11</v>
      </c>
      <c r="P62" s="32" t="n">
        <v>63.42</v>
      </c>
      <c r="Q62" s="32" t="n">
        <v>180.65</v>
      </c>
      <c r="R62" s="31" t="inlineStr">
        <is>
          <t>Near 52W High Breakout</t>
        </is>
      </c>
      <c r="S62" s="31" t="inlineStr">
        <is>
          <t>Nifty Infra</t>
        </is>
      </c>
      <c r="T62" s="32" t="inlineStr"/>
      <c r="U62" s="32" t="inlineStr"/>
      <c r="V62" s="32" t="inlineStr"/>
      <c r="W62" s="32" t="inlineStr"/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Oligopoly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25</t>
        </is>
      </c>
      <c r="CG62" s="31">
        <f>IF(CF62&gt;20,10,IF(CF62&gt;=10,5,2))</f>
        <v/>
      </c>
    </row>
    <row r="63">
      <c r="A63" s="31">
        <f>IF(B63=0,"",RANK(B63,$B$2:$B$98,0))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PTCIL</t>
        </is>
      </c>
      <c r="D63" s="31" t="inlineStr">
        <is>
          <t>PTC Industries Ltd</t>
        </is>
      </c>
      <c r="E63" s="31" t="inlineStr">
        <is>
          <t>industrials</t>
        </is>
      </c>
      <c r="F63" s="31" t="inlineStr">
        <is>
          <t>Castings - Steel/Alloy</t>
        </is>
      </c>
      <c r="G63" s="31" t="inlineStr">
        <is>
          <t>largecap</t>
        </is>
      </c>
      <c r="H63" s="32" t="n">
        <v>31665.76</v>
      </c>
      <c r="I63" s="32" t="n">
        <v>21121</v>
      </c>
      <c r="J63" s="32" t="n">
        <v>-2.54</v>
      </c>
      <c r="K63" s="32" t="n">
        <v>0</v>
      </c>
      <c r="L63" s="31" t="n">
        <v>62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70.77</v>
      </c>
      <c r="P63" s="32" t="n">
        <v>25.79</v>
      </c>
      <c r="Q63" s="32" t="n">
        <v>17266.69</v>
      </c>
      <c r="R63" s="31" t="inlineStr">
        <is>
          <t>Near 52W High Breakout</t>
        </is>
      </c>
      <c r="S63" s="31" t="inlineStr">
        <is>
          <t>Nifty 50</t>
        </is>
      </c>
      <c r="T63" s="32" t="n">
        <v>-0.38</v>
      </c>
      <c r="U63" s="32" t="n">
        <v>50.71</v>
      </c>
      <c r="V63" s="32" t="n">
        <v>51.28</v>
      </c>
      <c r="W63" s="32" t="n">
        <v>15.9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24</t>
        </is>
      </c>
      <c r="CG63" s="31">
        <f>IF(CF63&gt;20,10,IF(CF63&gt;=10,5,2))</f>
        <v/>
      </c>
    </row>
    <row r="64">
      <c r="A64" s="31">
        <f>IF(B64=0,"",RANK(B64,$B$2:$B$98,0))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BODALCHEM</t>
        </is>
      </c>
      <c r="D64" s="31" t="inlineStr">
        <is>
          <t>Bodal Chemicals Ltd</t>
        </is>
      </c>
      <c r="E64" s="31" t="inlineStr">
        <is>
          <t>chemicals</t>
        </is>
      </c>
      <c r="F64" s="31" t="inlineStr">
        <is>
          <t>Dyes &amp; Pigments</t>
        </is>
      </c>
      <c r="G64" s="31" t="inlineStr">
        <is>
          <t>smallcap</t>
        </is>
      </c>
      <c r="H64" s="32" t="n">
        <v>1096.34</v>
      </c>
      <c r="I64" s="32" t="n">
        <v>87.05</v>
      </c>
      <c r="J64" s="32" t="n">
        <v>4.99</v>
      </c>
      <c r="K64" s="32" t="n">
        <v>0</v>
      </c>
      <c r="L64" s="31" t="n">
        <v>53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69.88</v>
      </c>
      <c r="P64" s="32" t="n">
        <v>34.13</v>
      </c>
      <c r="Q64" s="32" t="n">
        <v>66.28</v>
      </c>
      <c r="R64" s="31" t="inlineStr">
        <is>
          <t>Volume Spike &amp; Near 52W High Breakout</t>
        </is>
      </c>
      <c r="S64" s="31" t="inlineStr">
        <is>
          <t>Nifty IT</t>
        </is>
      </c>
      <c r="T64" s="32" t="n">
        <v>-12.53</v>
      </c>
      <c r="U64" s="32" t="n">
        <v>34.61</v>
      </c>
      <c r="V64" s="32" t="n">
        <v>53.89</v>
      </c>
      <c r="W64" s="32" t="n">
        <v>13.42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Between 0.7 to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22</t>
        </is>
      </c>
      <c r="CG64" s="31">
        <f>IF(CF64&gt;20,10,IF(CF64&gt;=10,5,2))</f>
        <v/>
      </c>
    </row>
    <row r="65">
      <c r="A65" s="31">
        <f>IF(B65=0,"",RANK(B65,$B$2:$B$98,0))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KRN</t>
        </is>
      </c>
      <c r="D65" s="34" t="inlineStr">
        <is>
          <t>KRN Heat Exchanger and Refrigeration Ltd</t>
        </is>
      </c>
      <c r="E65" s="31" t="inlineStr">
        <is>
          <t>industrials</t>
        </is>
      </c>
      <c r="F65" s="31" t="inlineStr">
        <is>
          <t>Engineering - General</t>
        </is>
      </c>
      <c r="G65" s="31" t="inlineStr">
        <is>
          <t>midcap</t>
        </is>
      </c>
      <c r="H65" s="32" t="n">
        <v>10040.02</v>
      </c>
      <c r="I65" s="32" t="n">
        <v>1533.8</v>
      </c>
      <c r="J65" s="32" t="n">
        <v>4.26</v>
      </c>
      <c r="K65" s="32" t="n">
        <v>0</v>
      </c>
      <c r="L65" s="31" t="n">
        <v>72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72.61</v>
      </c>
      <c r="P65" s="32" t="n">
        <v>32.52</v>
      </c>
      <c r="Q65" s="32" t="n">
        <v>1139.53</v>
      </c>
      <c r="R65" s="31" t="inlineStr">
        <is>
          <t>Near 52W High Breakout</t>
        </is>
      </c>
      <c r="S65" s="31" t="inlineStr">
        <is>
          <t>Nifty 50</t>
        </is>
      </c>
      <c r="T65" s="32" t="n">
        <v>-0.38</v>
      </c>
      <c r="U65" s="32" t="n">
        <v>76.81999999999999</v>
      </c>
      <c r="V65" s="32" t="n">
        <v>77.48999999999999</v>
      </c>
      <c r="W65" s="32" t="n">
        <v>20.67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22</t>
        </is>
      </c>
      <c r="CG65" s="31">
        <f>IF(CF65&gt;20,10,IF(CF65&gt;=10,5,2))</f>
        <v/>
      </c>
    </row>
    <row r="66">
      <c r="A66" s="31">
        <f>IF(B66=0,"",RANK(B66,$B$2:$B$98,0))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DIVGIITTS</t>
        </is>
      </c>
      <c r="D66" s="31" t="inlineStr">
        <is>
          <t>Divgi Torqtransfer Systems Ltd</t>
        </is>
      </c>
      <c r="E66" s="31" t="inlineStr">
        <is>
          <t>auto</t>
        </is>
      </c>
      <c r="F66" s="31" t="inlineStr">
        <is>
          <t>Auto Ancillaries - Transmission</t>
        </is>
      </c>
      <c r="G66" s="31" t="inlineStr">
        <is>
          <t>smallcap</t>
        </is>
      </c>
      <c r="H66" s="32" t="n">
        <v>3624.99</v>
      </c>
      <c r="I66" s="32" t="n">
        <v>1185.3</v>
      </c>
      <c r="J66" s="32" t="n">
        <v>-2.93</v>
      </c>
      <c r="K66" s="32" t="n">
        <v>0</v>
      </c>
      <c r="L66" s="31" t="inlineStr"/>
      <c r="M66" s="31" t="inlineStr"/>
      <c r="N66" s="32">
        <f>IF(M66="Underperforming",-5,IF(L66&gt;=95,15,IF(L66&gt;=90,10,IF(L66&gt;=80,5,0))))</f>
        <v/>
      </c>
      <c r="O66" s="32" t="n">
        <v>68.45</v>
      </c>
      <c r="P66" s="32" t="n">
        <v>53.1</v>
      </c>
      <c r="Q66" s="32" t="n">
        <v>1010.68</v>
      </c>
      <c r="R66" s="31" t="inlineStr">
        <is>
          <t>Earnings / Momentum Support</t>
        </is>
      </c>
      <c r="S66" s="31" t="inlineStr">
        <is>
          <t>Nifty Auto</t>
        </is>
      </c>
      <c r="T66" s="32" t="inlineStr"/>
      <c r="U66" s="32" t="inlineStr"/>
      <c r="V66" s="32" t="inlineStr"/>
      <c r="W66" s="32" t="inlineStr"/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21</t>
        </is>
      </c>
      <c r="CG66" s="31">
        <f>IF(CF66&gt;20,10,IF(CF66&gt;=10,5,2))</f>
        <v/>
      </c>
    </row>
    <row r="67">
      <c r="A67" s="31">
        <f>IF(B67=0,"",RANK(B67,$B$2:$B$98,0))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3" t="inlineStr">
        <is>
          <t>DPABHUSHAN</t>
        </is>
      </c>
      <c r="D67" s="33" t="inlineStr">
        <is>
          <t>DP Abhushan Ltd</t>
        </is>
      </c>
      <c r="E67" s="31" t="inlineStr">
        <is>
          <t>consumer discretionary</t>
        </is>
      </c>
      <c r="F67" s="31" t="inlineStr">
        <is>
          <t>Diamond, Gems &amp; Jewellery</t>
        </is>
      </c>
      <c r="G67" s="31" t="inlineStr">
        <is>
          <t>smallcap</t>
        </is>
      </c>
      <c r="H67" s="32" t="n">
        <v>3321.92</v>
      </c>
      <c r="I67" s="32" t="n">
        <v>1455.2</v>
      </c>
      <c r="J67" s="32" t="n">
        <v>-5.09</v>
      </c>
      <c r="K67" s="32" t="n">
        <v>0</v>
      </c>
      <c r="L67" s="31" t="n">
        <v>48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65.69</v>
      </c>
      <c r="P67" s="32" t="n">
        <v>36.46</v>
      </c>
      <c r="Q67" s="32" t="n">
        <v>1080.41</v>
      </c>
      <c r="R67" s="31" t="inlineStr">
        <is>
          <t>Earnings / Momentum Support</t>
        </is>
      </c>
      <c r="S67" s="31" t="inlineStr">
        <is>
          <t>Nifty 50</t>
        </is>
      </c>
      <c r="T67" s="32" t="n">
        <v>-0.38</v>
      </c>
      <c r="U67" s="32" t="n">
        <v>-7.09</v>
      </c>
      <c r="V67" s="32" t="n">
        <v>-6.74</v>
      </c>
      <c r="W67" s="32" t="n">
        <v>12.48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21</t>
        </is>
      </c>
      <c r="CG67" s="31">
        <f>IF(CF67&gt;20,10,IF(CF67&gt;=10,5,2))</f>
        <v/>
      </c>
    </row>
    <row r="68">
      <c r="A68" s="31">
        <f>IF(B68=0,"",RANK(B68,$B$2:$B$98,0))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YASHO</t>
        </is>
      </c>
      <c r="D68" s="31" t="inlineStr">
        <is>
          <t>Yasho Industries Ltd</t>
        </is>
      </c>
      <c r="E68" s="31" t="inlineStr">
        <is>
          <t>chemicals</t>
        </is>
      </c>
      <c r="F68" s="31" t="inlineStr">
        <is>
          <t>Speciality Chemicals</t>
        </is>
      </c>
      <c r="G68" s="31" t="inlineStr">
        <is>
          <t>midcap</t>
        </is>
      </c>
      <c r="H68" s="32" t="n">
        <v>5063.98</v>
      </c>
      <c r="I68" s="32" t="n">
        <v>4200</v>
      </c>
      <c r="J68" s="32" t="n">
        <v>-2.52</v>
      </c>
      <c r="K68" s="32" t="n">
        <v>0</v>
      </c>
      <c r="L68" s="31" t="n">
        <v>96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84.06999999999999</v>
      </c>
      <c r="P68" s="32" t="n">
        <v>72.58</v>
      </c>
      <c r="Q68" s="32" t="n">
        <v>3334.48</v>
      </c>
      <c r="R68" s="31" t="inlineStr">
        <is>
          <t>Near 52W High Breakout</t>
        </is>
      </c>
      <c r="S68" s="31" t="inlineStr">
        <is>
          <t>Nifty 50</t>
        </is>
      </c>
      <c r="T68" s="32" t="n">
        <v>-0.38</v>
      </c>
      <c r="U68" s="32" t="n">
        <v>131.46</v>
      </c>
      <c r="V68" s="32" t="n">
        <v>132.34</v>
      </c>
      <c r="W68" s="32" t="n">
        <v>44.78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More than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19</t>
        </is>
      </c>
      <c r="CG68" s="31">
        <f>IF(CF68&gt;20,10,IF(CF68&gt;=10,5,2))</f>
        <v/>
      </c>
    </row>
    <row r="69">
      <c r="A69" s="31">
        <f>IF(B69=0,"",RANK(B69,$B$2:$B$98,0))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MANINDS</t>
        </is>
      </c>
      <c r="D69" s="31" t="inlineStr">
        <is>
          <t>Man Industries (India) Ltd</t>
        </is>
      </c>
      <c r="E69" s="31" t="inlineStr">
        <is>
          <t>metals &amp; mining</t>
        </is>
      </c>
      <c r="F69" s="31" t="inlineStr">
        <is>
          <t>Steel - Tubes/Pipes</t>
        </is>
      </c>
      <c r="G69" s="31" t="inlineStr">
        <is>
          <t>midcap</t>
        </is>
      </c>
      <c r="H69" s="32" t="n">
        <v>5359.43</v>
      </c>
      <c r="I69" s="32" t="n">
        <v>714.5</v>
      </c>
      <c r="J69" s="32" t="n">
        <v>-0.5</v>
      </c>
      <c r="K69" s="32" t="n">
        <v>0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71.42</v>
      </c>
      <c r="P69" s="32" t="n">
        <v>29.91</v>
      </c>
      <c r="Q69" s="32" t="n">
        <v>542.95</v>
      </c>
      <c r="R69" s="31" t="inlineStr">
        <is>
          <t>Near 52W High Breakout</t>
        </is>
      </c>
      <c r="S69" s="31" t="inlineStr">
        <is>
          <t>Nifty Metal</t>
        </is>
      </c>
      <c r="T69" s="32" t="inlineStr"/>
      <c r="U69" s="32" t="inlineStr"/>
      <c r="V69" s="32" t="inlineStr"/>
      <c r="W69" s="32" t="inlineStr"/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Cyclical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Volatile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25</t>
        </is>
      </c>
      <c r="CG69" s="31">
        <f>IF(CF69&gt;20,10,IF(CF69&gt;=10,5,2))</f>
        <v/>
      </c>
    </row>
    <row r="70">
      <c r="A70" s="31">
        <f>IF(B70=0,"",RANK(B70,$B$2:$B$98,0))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KHAZANCHI</t>
        </is>
      </c>
      <c r="D70" s="31" t="inlineStr">
        <is>
          <t>Khazanchi Jewellers Ltd</t>
        </is>
      </c>
      <c r="E70" s="31" t="inlineStr">
        <is>
          <t>Consumer Cyclical</t>
        </is>
      </c>
      <c r="F70" s="31" t="inlineStr">
        <is>
          <t>Diamond, Gems &amp; Jewellery</t>
        </is>
      </c>
      <c r="G70" s="31" t="inlineStr">
        <is>
          <t>smallcap</t>
        </is>
      </c>
      <c r="H70" s="32" t="n">
        <v>1962.55</v>
      </c>
      <c r="I70" s="32" t="n">
        <v>793.05</v>
      </c>
      <c r="J70" s="32" t="n">
        <v>0.51</v>
      </c>
      <c r="K70" s="32" t="n">
        <v>0</v>
      </c>
      <c r="L70" s="31" t="n">
        <v>50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69.55</v>
      </c>
      <c r="P70" s="32" t="n">
        <v>27.45</v>
      </c>
      <c r="Q70" s="32" t="n">
        <v>701.14</v>
      </c>
      <c r="R70" s="31" t="inlineStr">
        <is>
          <t>Near 52W High Breakout</t>
        </is>
      </c>
      <c r="S70" s="31" t="inlineStr">
        <is>
          <t>Nifty 50</t>
        </is>
      </c>
      <c r="T70" s="32" t="n">
        <v>-0.38</v>
      </c>
      <c r="U70" s="32" t="n">
        <v>33.67</v>
      </c>
      <c r="V70" s="32" t="n">
        <v>34.17</v>
      </c>
      <c r="W70" s="32" t="n">
        <v>12.89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Negative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25</t>
        </is>
      </c>
      <c r="CG70" s="31">
        <f>IF(CF70&gt;20,10,IF(CF70&gt;=10,5,2))</f>
        <v/>
      </c>
    </row>
    <row r="71">
      <c r="A71" s="31">
        <f>IF(B71=0,"",RANK(B71,$B$2:$B$98,0))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RPEL</t>
        </is>
      </c>
      <c r="D71" s="31" t="inlineStr">
        <is>
          <t>Raghav Productivity Enhancers Ltd</t>
        </is>
      </c>
      <c r="E71" s="31" t="inlineStr">
        <is>
          <t>building materials</t>
        </is>
      </c>
      <c r="F71" s="31" t="inlineStr">
        <is>
          <t>Steel Products</t>
        </is>
      </c>
      <c r="G71" s="31" t="inlineStr">
        <is>
          <t>midcap</t>
        </is>
      </c>
      <c r="H71" s="32" t="n">
        <v>7398.03</v>
      </c>
      <c r="I71" s="32" t="n">
        <v>1611</v>
      </c>
      <c r="J71" s="32" t="n">
        <v>-3.09</v>
      </c>
      <c r="K71" s="32" t="n">
        <v>0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75.45999999999999</v>
      </c>
      <c r="P71" s="32" t="n">
        <v>59.27</v>
      </c>
      <c r="Q71" s="32" t="n">
        <v>1333.35</v>
      </c>
      <c r="R71" s="31" t="inlineStr">
        <is>
          <t>Earnings / Momentum Support</t>
        </is>
      </c>
      <c r="S71" s="31" t="inlineStr">
        <is>
          <t>Nifty Infra</t>
        </is>
      </c>
      <c r="T71" s="32" t="inlineStr"/>
      <c r="U71" s="32" t="inlineStr"/>
      <c r="V71" s="32" t="inlineStr"/>
      <c r="W71" s="32" t="inlineStr"/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Between 1.5 to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21</t>
        </is>
      </c>
      <c r="CG71" s="31">
        <f>IF(CF71&gt;20,10,IF(CF71&gt;=10,5,2))</f>
        <v/>
      </c>
    </row>
    <row r="72">
      <c r="A72" s="31">
        <f>IF(B72=0,"",RANK(B72,$B$2:$B$98,0))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GALAXYSURF</t>
        </is>
      </c>
      <c r="D72" s="31" t="inlineStr">
        <is>
          <t>Galaxy Surfactants Ltd</t>
        </is>
      </c>
      <c r="E72" s="31" t="inlineStr">
        <is>
          <t>chemicals</t>
        </is>
      </c>
      <c r="F72" s="31" t="inlineStr">
        <is>
          <t>Speciality Chemicals</t>
        </is>
      </c>
      <c r="G72" s="31" t="inlineStr">
        <is>
          <t>midcap</t>
        </is>
      </c>
      <c r="H72" s="32" t="n">
        <v>8069.5</v>
      </c>
      <c r="I72" s="32" t="n">
        <v>2276</v>
      </c>
      <c r="J72" s="32" t="n">
        <v>-1.74</v>
      </c>
      <c r="K72" s="32" t="n">
        <v>0</v>
      </c>
      <c r="L72" s="31" t="n">
        <v>28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61.75</v>
      </c>
      <c r="P72" s="32" t="n">
        <v>22.32</v>
      </c>
      <c r="Q72" s="32" t="n">
        <v>2016.01</v>
      </c>
      <c r="R72" s="31" t="inlineStr">
        <is>
          <t>Earnings / Momentum Support</t>
        </is>
      </c>
      <c r="S72" s="31" t="inlineStr">
        <is>
          <t>Nifty 50</t>
        </is>
      </c>
      <c r="T72" s="32" t="n">
        <v>-0.38</v>
      </c>
      <c r="U72" s="32" t="n">
        <v>2.02</v>
      </c>
      <c r="V72" s="32" t="n">
        <v>2.4</v>
      </c>
      <c r="W72" s="32" t="n">
        <v>7.04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21</t>
        </is>
      </c>
      <c r="CG72" s="31">
        <f>IF(CF72&gt;20,10,IF(CF72&gt;=10,5,2))</f>
        <v/>
      </c>
    </row>
    <row r="73">
      <c r="A73" s="31">
        <f>IF(B73=0,"",RANK(B73,$B$2:$B$98,0))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STLTECH</t>
        </is>
      </c>
      <c r="D73" s="31" t="inlineStr">
        <is>
          <t>Sterlite Technologies Ltd</t>
        </is>
      </c>
      <c r="E73" s="31" t="inlineStr">
        <is>
          <t>industrials</t>
        </is>
      </c>
      <c r="F73" s="31" t="inlineStr">
        <is>
          <t>Cables - Telecom</t>
        </is>
      </c>
      <c r="G73" s="31" t="inlineStr">
        <is>
          <t>largecap</t>
        </is>
      </c>
      <c r="H73" s="32" t="n">
        <v>33404.23</v>
      </c>
      <c r="I73" s="32" t="n">
        <v>650</v>
      </c>
      <c r="J73" s="32" t="n">
        <v>-1.29</v>
      </c>
      <c r="K73" s="32" t="n">
        <v>0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72.47</v>
      </c>
      <c r="P73" s="32" t="n">
        <v>76.78</v>
      </c>
      <c r="Q73" s="32" t="n">
        <v>458.39</v>
      </c>
      <c r="R73" s="31" t="inlineStr">
        <is>
          <t>Near 52W High Breakout</t>
        </is>
      </c>
      <c r="S73" s="31" t="inlineStr">
        <is>
          <t>Nifty Infra</t>
        </is>
      </c>
      <c r="T73" s="32" t="inlineStr"/>
      <c r="U73" s="32" t="inlineStr"/>
      <c r="V73" s="32" t="inlineStr"/>
      <c r="W73" s="32" t="inlineStr"/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Oligopoly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21</t>
        </is>
      </c>
      <c r="CG73" s="31">
        <f>IF(CF73&gt;20,10,IF(CF73&gt;=10,5,2))</f>
        <v/>
      </c>
    </row>
    <row r="74">
      <c r="A74" s="31">
        <f>IF(B74=0,"",RANK(B74,$B$2:$B$98,0))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SAMBHV</t>
        </is>
      </c>
      <c r="D74" s="31" t="inlineStr">
        <is>
          <t>Sambhv Steel Tubes Ltd</t>
        </is>
      </c>
      <c r="E74" s="31" t="inlineStr">
        <is>
          <t>metals &amp; mining</t>
        </is>
      </c>
      <c r="F74" s="31" t="inlineStr">
        <is>
          <t>Steel - Tubes/Pipes</t>
        </is>
      </c>
      <c r="G74" s="31" t="inlineStr">
        <is>
          <t>smallcap</t>
        </is>
      </c>
      <c r="H74" s="32" t="n">
        <v>3801.26</v>
      </c>
      <c r="I74" s="32" t="n">
        <v>129</v>
      </c>
      <c r="J74" s="32" t="n">
        <v>-1.66</v>
      </c>
      <c r="K74" s="32" t="n">
        <v>0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65.76000000000001</v>
      </c>
      <c r="P74" s="32" t="n">
        <v>28.43</v>
      </c>
      <c r="Q74" s="32" t="n">
        <v>99.18000000000001</v>
      </c>
      <c r="R74" s="31" t="inlineStr">
        <is>
          <t>Near 52W High Breakout</t>
        </is>
      </c>
      <c r="S74" s="31" t="inlineStr">
        <is>
          <t>Nifty Metal</t>
        </is>
      </c>
      <c r="T74" s="32" t="inlineStr"/>
      <c r="U74" s="32" t="inlineStr"/>
      <c r="V74" s="32" t="inlineStr"/>
      <c r="W74" s="32" t="inlineStr"/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19</t>
        </is>
      </c>
      <c r="CG74" s="31">
        <f>IF(CF74&gt;20,10,IF(CF74&gt;=10,5,2))</f>
        <v/>
      </c>
    </row>
    <row r="75">
      <c r="A75" s="31">
        <f>IF(B75=0,"",RANK(B75,$B$2:$B$98,0))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UFLEX</t>
        </is>
      </c>
      <c r="D75" s="31" t="inlineStr">
        <is>
          <t>Uflex Ltd</t>
        </is>
      </c>
      <c r="E75" s="31" t="inlineStr">
        <is>
          <t>industrials</t>
        </is>
      </c>
      <c r="F75" s="31" t="inlineStr">
        <is>
          <t>Packaging - BOPP</t>
        </is>
      </c>
      <c r="G75" s="31" t="inlineStr">
        <is>
          <t>smallcap</t>
        </is>
      </c>
      <c r="H75" s="32" t="n">
        <v>4381.43</v>
      </c>
      <c r="I75" s="32" t="n">
        <v>606.75</v>
      </c>
      <c r="J75" s="32" t="n">
        <v>-2.01</v>
      </c>
      <c r="K75" s="32" t="n">
        <v>0</v>
      </c>
      <c r="L75" s="31" t="n">
        <v>55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73.34999999999999</v>
      </c>
      <c r="P75" s="32" t="n">
        <v>22.21</v>
      </c>
      <c r="Q75" s="32" t="n">
        <v>491.14</v>
      </c>
      <c r="R75" s="31" t="inlineStr">
        <is>
          <t>Near 52W High Breakout</t>
        </is>
      </c>
      <c r="S75" s="31" t="inlineStr">
        <is>
          <t>Nifty 50</t>
        </is>
      </c>
      <c r="T75" s="32" t="n">
        <v>-0.38</v>
      </c>
      <c r="U75" s="32" t="n">
        <v>18.18</v>
      </c>
      <c r="V75" s="32" t="n">
        <v>18.63</v>
      </c>
      <c r="W75" s="32" t="n">
        <v>13.84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More than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27</t>
        </is>
      </c>
      <c r="CG75" s="31">
        <f>IF(CF75&gt;20,10,IF(CF75&gt;=10,5,2))</f>
        <v/>
      </c>
    </row>
    <row r="76">
      <c r="A76" s="31">
        <f>IF(B76=0,"",RANK(B76,$B$2:$B$98,0))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CHENNPETRO</t>
        </is>
      </c>
      <c r="D76" s="31" t="inlineStr">
        <is>
          <t>Chennai Petroleum Corporation Ltd</t>
        </is>
      </c>
      <c r="E76" s="31" t="inlineStr">
        <is>
          <t>energy</t>
        </is>
      </c>
      <c r="F76" s="31" t="inlineStr">
        <is>
          <t>Refineries</t>
        </is>
      </c>
      <c r="G76" s="31" t="inlineStr">
        <is>
          <t>largecap</t>
        </is>
      </c>
      <c r="H76" s="32" t="n">
        <v>20832.7</v>
      </c>
      <c r="I76" s="32" t="n">
        <v>1399</v>
      </c>
      <c r="J76" s="32" t="n">
        <v>-0.93</v>
      </c>
      <c r="K76" s="32" t="n">
        <v>0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75.69</v>
      </c>
      <c r="P76" s="32" t="n">
        <v>54.21</v>
      </c>
      <c r="Q76" s="32" t="n">
        <v>1047</v>
      </c>
      <c r="R76" s="31" t="inlineStr">
        <is>
          <t>Near 52W High Breakout</t>
        </is>
      </c>
      <c r="S76" s="31" t="inlineStr">
        <is>
          <t>Nifty Energy</t>
        </is>
      </c>
      <c r="T76" s="32" t="inlineStr"/>
      <c r="U76" s="32" t="inlineStr"/>
      <c r="V76" s="32" t="inlineStr"/>
      <c r="W76" s="32" t="inlineStr"/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24</t>
        </is>
      </c>
      <c r="CG76" s="31">
        <f>IF(CF76&gt;20,10,IF(CF76&gt;=10,5,2))</f>
        <v/>
      </c>
    </row>
    <row r="77">
      <c r="A77" s="31">
        <f>IF(B77=0,"",RANK(B77,$B$2:$B$98,0))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EMIL</t>
        </is>
      </c>
      <c r="D77" s="31" t="inlineStr">
        <is>
          <t>Electronics Mart India Ltd</t>
        </is>
      </c>
      <c r="E77" s="31" t="inlineStr">
        <is>
          <t>consumer discretionary</t>
        </is>
      </c>
      <c r="F77" s="31" t="inlineStr">
        <is>
          <t>Retail - Electronics</t>
        </is>
      </c>
      <c r="G77" s="31" t="inlineStr">
        <is>
          <t>midcap</t>
        </is>
      </c>
      <c r="H77" s="32" t="n">
        <v>6944.72</v>
      </c>
      <c r="I77" s="32" t="n">
        <v>180.5</v>
      </c>
      <c r="J77" s="32" t="n">
        <v>-1.62</v>
      </c>
      <c r="K77" s="32" t="n">
        <v>0</v>
      </c>
      <c r="L77" s="31" t="n">
        <v>76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71.48</v>
      </c>
      <c r="P77" s="32" t="n">
        <v>32.59</v>
      </c>
      <c r="Q77" s="32" t="n">
        <v>145.56</v>
      </c>
      <c r="R77" s="31" t="inlineStr">
        <is>
          <t>Near 52W High Breakout</t>
        </is>
      </c>
      <c r="S77" s="31" t="inlineStr">
        <is>
          <t>Nifty 50</t>
        </is>
      </c>
      <c r="T77" s="32" t="n">
        <v>-0.38</v>
      </c>
      <c r="U77" s="32" t="n">
        <v>44.11</v>
      </c>
      <c r="V77" s="32" t="n">
        <v>44.66</v>
      </c>
      <c r="W77" s="32" t="n">
        <v>21.94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B2C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22</t>
        </is>
      </c>
      <c r="CG77" s="31">
        <f>IF(CF77&gt;20,10,IF(CF77&gt;=10,5,2))</f>
        <v/>
      </c>
    </row>
    <row r="78">
      <c r="A78" s="31">
        <f>IF(B78=0,"",RANK(B78,$B$2:$B$98,0))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PAYTM</t>
        </is>
      </c>
      <c r="D78" s="31" t="inlineStr">
        <is>
          <t>One 97 Communications Ltd</t>
        </is>
      </c>
      <c r="E78" s="31" t="inlineStr">
        <is>
          <t>i.t</t>
        </is>
      </c>
      <c r="F78" s="31" t="inlineStr">
        <is>
          <t>E-Commerce - Platform - Utility</t>
        </is>
      </c>
      <c r="G78" s="31" t="inlineStr">
        <is>
          <t>largecap</t>
        </is>
      </c>
      <c r="H78" s="32" t="n">
        <v>110146.67</v>
      </c>
      <c r="I78" s="32" t="n">
        <v>1718</v>
      </c>
      <c r="J78" s="32" t="n">
        <v>5.82</v>
      </c>
      <c r="K78" s="32" t="n">
        <v>0</v>
      </c>
      <c r="L78" s="31" t="n">
        <v>71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77</v>
      </c>
      <c r="P78" s="32" t="n">
        <v>23.48</v>
      </c>
      <c r="Q78" s="32" t="n">
        <v>1395.32</v>
      </c>
      <c r="R78" s="31" t="inlineStr">
        <is>
          <t>Near 52W High Breakout</t>
        </is>
      </c>
      <c r="S78" s="31" t="inlineStr">
        <is>
          <t>Nifty IT</t>
        </is>
      </c>
      <c r="T78" s="32" t="n">
        <v>-12.53</v>
      </c>
      <c r="U78" s="32" t="n">
        <v>42.34</v>
      </c>
      <c r="V78" s="32" t="n">
        <v>62.73</v>
      </c>
      <c r="W78" s="32" t="n">
        <v>20.31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20</t>
        </is>
      </c>
      <c r="CG78" s="31">
        <f>IF(CF78&gt;20,10,IF(CF78&gt;=10,5,2))</f>
        <v/>
      </c>
    </row>
    <row r="79">
      <c r="A79" s="31">
        <f>IF(B79=0,"",RANK(B79,$B$2:$B$98,0))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NETWEB</t>
        </is>
      </c>
      <c r="D79" s="31" t="inlineStr">
        <is>
          <t>Netweb Technologies India Ltd</t>
        </is>
      </c>
      <c r="E79" s="31" t="inlineStr">
        <is>
          <t>i.t</t>
        </is>
      </c>
      <c r="F79" s="31" t="inlineStr">
        <is>
          <t>Data Centre</t>
        </is>
      </c>
      <c r="G79" s="31" t="inlineStr">
        <is>
          <t>largecap</t>
        </is>
      </c>
      <c r="H79" s="32" t="n">
        <v>31476.61</v>
      </c>
      <c r="I79" s="32" t="n">
        <v>5295</v>
      </c>
      <c r="J79" s="32" t="n">
        <v>-2.92</v>
      </c>
      <c r="K79" s="32" t="n">
        <v>0</v>
      </c>
      <c r="L79" s="31" t="n">
        <v>78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63.62</v>
      </c>
      <c r="P79" s="32" t="n">
        <v>38.5</v>
      </c>
      <c r="Q79" s="32" t="n">
        <v>4164.61</v>
      </c>
      <c r="R79" s="31" t="inlineStr">
        <is>
          <t>Earnings / Momentum Support</t>
        </is>
      </c>
      <c r="S79" s="31" t="inlineStr">
        <is>
          <t>Nifty IT</t>
        </is>
      </c>
      <c r="T79" s="32" t="n">
        <v>-12.53</v>
      </c>
      <c r="U79" s="32" t="n">
        <v>139.03</v>
      </c>
      <c r="V79" s="32" t="n">
        <v>173.28</v>
      </c>
      <c r="W79" s="32" t="n">
        <v>22.66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19</t>
        </is>
      </c>
      <c r="CG79" s="31">
        <f>IF(CF79&gt;20,10,IF(CF79&gt;=10,5,2))</f>
        <v/>
      </c>
    </row>
    <row r="80">
      <c r="A80" s="31">
        <f>IF(B80=0,"",RANK(B80,$B$2:$B$98,0))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GOLDIAM</t>
        </is>
      </c>
      <c r="D80" s="34" t="inlineStr">
        <is>
          <t>Goldiam International Ltd</t>
        </is>
      </c>
      <c r="E80" s="31" t="inlineStr">
        <is>
          <t>Consumer Cyclical</t>
        </is>
      </c>
      <c r="F80" s="31" t="inlineStr">
        <is>
          <t>Lab Grown Diamonds</t>
        </is>
      </c>
      <c r="G80" s="31" t="inlineStr">
        <is>
          <t>midcap</t>
        </is>
      </c>
      <c r="H80" s="32" t="n">
        <v>5420.06</v>
      </c>
      <c r="I80" s="32" t="n">
        <v>360</v>
      </c>
      <c r="J80" s="32" t="n">
        <v>-0.15</v>
      </c>
      <c r="K80" s="32" t="n">
        <v>0</v>
      </c>
      <c r="L80" s="31" t="n">
        <v>39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58.94</v>
      </c>
      <c r="P80" s="32" t="n">
        <v>43.41</v>
      </c>
      <c r="Q80" s="32" t="n">
        <v>275.27</v>
      </c>
      <c r="R80" s="31" t="inlineStr">
        <is>
          <t>Near 52W High Breakout</t>
        </is>
      </c>
      <c r="S80" s="31" t="inlineStr">
        <is>
          <t>Nifty 50</t>
        </is>
      </c>
      <c r="T80" s="32" t="n">
        <v>-0.38</v>
      </c>
      <c r="U80" s="32" t="n">
        <v>33.48</v>
      </c>
      <c r="V80" s="32" t="n">
        <v>33.98</v>
      </c>
      <c r="W80" s="32" t="n">
        <v>9.98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B2C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19</t>
        </is>
      </c>
      <c r="CG80" s="31">
        <f>IF(CF80&gt;20,10,IF(CF80&gt;=10,5,2))</f>
        <v/>
      </c>
    </row>
    <row r="81">
      <c r="A81" s="31">
        <f>IF(B81=0,"",RANK(B81,$B$2:$B$98,0))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3" t="inlineStr">
        <is>
          <t>GLAXO</t>
        </is>
      </c>
      <c r="D81" s="33" t="inlineStr">
        <is>
          <t>Glaxosmithkline Pharmaceuticals Ltd</t>
        </is>
      </c>
      <c r="E81" s="31" t="inlineStr">
        <is>
          <t>healthcare</t>
        </is>
      </c>
      <c r="F81" s="31" t="inlineStr">
        <is>
          <t>Pharma - MNC bulk Drugs</t>
        </is>
      </c>
      <c r="G81" s="31" t="inlineStr">
        <is>
          <t>largecap</t>
        </is>
      </c>
      <c r="H81" s="32" t="n">
        <v>50955.64</v>
      </c>
      <c r="I81" s="32" t="n">
        <v>3007.9</v>
      </c>
      <c r="J81" s="32" t="n">
        <v>2.6</v>
      </c>
      <c r="K81" s="32" t="n">
        <v>0</v>
      </c>
      <c r="L81" s="31" t="n">
        <v>38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72.12</v>
      </c>
      <c r="P81" s="32" t="n">
        <v>24.78</v>
      </c>
      <c r="Q81" s="32" t="n">
        <v>2488.96</v>
      </c>
      <c r="R81" s="31" t="inlineStr">
        <is>
          <t>Near 52W High Breakout</t>
        </is>
      </c>
      <c r="S81" s="31" t="inlineStr">
        <is>
          <t>Nifty Pharma</t>
        </is>
      </c>
      <c r="T81" s="32" t="n">
        <v>21.83</v>
      </c>
      <c r="U81" s="32" t="n">
        <v>9.109999999999999</v>
      </c>
      <c r="V81" s="32" t="n">
        <v>-10.44</v>
      </c>
      <c r="W81" s="32" t="n">
        <v>9.73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Between 12 to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22</t>
        </is>
      </c>
      <c r="CG81" s="31">
        <f>IF(CF81&gt;20,10,IF(CF81&gt;=10,5,2))</f>
        <v/>
      </c>
    </row>
    <row r="82">
      <c r="A82" s="31">
        <f>IF(B82=0,"",RANK(B82,$B$2:$B$98,0))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SMARTWORKS</t>
        </is>
      </c>
      <c r="D82" s="34" t="inlineStr">
        <is>
          <t>Smartworks Coworking Spaces Ltd</t>
        </is>
      </c>
      <c r="E82" s="31" t="inlineStr">
        <is>
          <t>co-working</t>
        </is>
      </c>
      <c r="F82" s="31" t="inlineStr">
        <is>
          <t>Realty - CoWorking</t>
        </is>
      </c>
      <c r="G82" s="31" t="inlineStr">
        <is>
          <t>midcap</t>
        </is>
      </c>
      <c r="H82" s="32" t="n">
        <v>6176.58</v>
      </c>
      <c r="I82" s="32" t="n">
        <v>540</v>
      </c>
      <c r="J82" s="32" t="n">
        <v>-1.91</v>
      </c>
      <c r="K82" s="32" t="n">
        <v>0</v>
      </c>
      <c r="L82" s="31" t="n">
        <v>29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63.99</v>
      </c>
      <c r="P82" s="32" t="n">
        <v>31.22</v>
      </c>
      <c r="Q82" s="32" t="n">
        <v>423.4</v>
      </c>
      <c r="R82" s="31" t="inlineStr">
        <is>
          <t>Earnings / Momentum Support</t>
        </is>
      </c>
      <c r="S82" s="31" t="inlineStr">
        <is>
          <t>Nifty 50</t>
        </is>
      </c>
      <c r="T82" s="32" t="n">
        <v>-0.38</v>
      </c>
      <c r="U82" s="32" t="n">
        <v>10.44</v>
      </c>
      <c r="V82" s="32" t="n">
        <v>10.85</v>
      </c>
      <c r="W82" s="32" t="n">
        <v>7.62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More than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21</t>
        </is>
      </c>
      <c r="CG82" s="31">
        <f>IF(CF82&gt;20,10,IF(CF82&gt;=10,5,2))</f>
        <v/>
      </c>
    </row>
    <row r="83">
      <c r="A83" s="31">
        <f>IF(B83=0,"",RANK(B83,$B$2:$B$98,0))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TIIL</t>
        </is>
      </c>
      <c r="D83" s="31" t="inlineStr">
        <is>
          <t>Technocraft Industries (India) Ltd</t>
        </is>
      </c>
      <c r="E83" s="31" t="inlineStr">
        <is>
          <t>metals &amp; mining</t>
        </is>
      </c>
      <c r="F83" s="31" t="inlineStr">
        <is>
          <t>Scaffolding</t>
        </is>
      </c>
      <c r="G83" s="31" t="inlineStr">
        <is>
          <t>midcap</t>
        </is>
      </c>
      <c r="H83" s="32" t="n">
        <v>7765.43</v>
      </c>
      <c r="I83" s="32" t="n">
        <v>3425</v>
      </c>
      <c r="J83" s="32" t="n">
        <v>-0.47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78.51000000000001</v>
      </c>
      <c r="P83" s="32" t="n">
        <v>33.03</v>
      </c>
      <c r="Q83" s="32" t="n">
        <v>2771.04</v>
      </c>
      <c r="R83" s="31" t="inlineStr">
        <is>
          <t>Near 52W High Breakout</t>
        </is>
      </c>
      <c r="S83" s="31" t="inlineStr">
        <is>
          <t>Nifty Metal</t>
        </is>
      </c>
      <c r="T83" s="32" t="inlineStr"/>
      <c r="U83" s="32" t="inlineStr"/>
      <c r="V83" s="32" t="inlineStr"/>
      <c r="W83" s="32" t="inlineStr"/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20</t>
        </is>
      </c>
      <c r="CG83" s="31">
        <f>IF(CF83&gt;20,10,IF(CF83&gt;=10,5,2))</f>
        <v/>
      </c>
    </row>
    <row r="84">
      <c r="A84" s="31">
        <f>IF(B84=0,"",RANK(B84,$B$2:$B$98,0))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PVP</t>
        </is>
      </c>
      <c r="D84" s="31" t="inlineStr">
        <is>
          <t>PVP Ventures Ltd</t>
        </is>
      </c>
      <c r="E84" s="31" t="inlineStr">
        <is>
          <t>realty</t>
        </is>
      </c>
      <c r="F84" s="31" t="inlineStr">
        <is>
          <t>Realty - Construction &amp; Contracting</t>
        </is>
      </c>
      <c r="G84" s="31" t="inlineStr">
        <is>
          <t>smallcap</t>
        </is>
      </c>
      <c r="H84" s="32" t="n">
        <v>1364.52</v>
      </c>
      <c r="I84" s="32" t="n">
        <v>52.4</v>
      </c>
      <c r="J84" s="32" t="n">
        <v>7.84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76.17</v>
      </c>
      <c r="P84" s="32" t="n">
        <v>19.17</v>
      </c>
      <c r="Q84" s="32" t="n">
        <v>37.16</v>
      </c>
      <c r="R84" s="31" t="inlineStr">
        <is>
          <t>Volume Spike &amp; Near 52W High Breakout</t>
        </is>
      </c>
      <c r="S84" s="31" t="inlineStr">
        <is>
          <t>Nifty Realty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22</t>
        </is>
      </c>
      <c r="CG84" s="31">
        <f>IF(CF84&gt;20,10,IF(CF84&gt;=10,5,2))</f>
        <v/>
      </c>
    </row>
    <row r="85">
      <c r="A85" s="31">
        <f>IF(B85=0,"",RANK(B85,$B$2:$B$98,0))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ASIANENE</t>
        </is>
      </c>
      <c r="D85" s="31" t="inlineStr">
        <is>
          <t>Asian Energy Services Ltd</t>
        </is>
      </c>
      <c r="E85" s="31" t="inlineStr">
        <is>
          <t>energy</t>
        </is>
      </c>
      <c r="F85" s="31" t="inlineStr">
        <is>
          <t>Oil Drilling &amp; Exploration</t>
        </is>
      </c>
      <c r="G85" s="31" t="inlineStr">
        <is>
          <t>smallcap</t>
        </is>
      </c>
      <c r="H85" s="32" t="n">
        <v>2196.42</v>
      </c>
      <c r="I85" s="32" t="n">
        <v>451.5</v>
      </c>
      <c r="J85" s="32" t="n">
        <v>-3.3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65.78</v>
      </c>
      <c r="P85" s="32" t="n">
        <v>20.07</v>
      </c>
      <c r="Q85" s="32" t="n">
        <v>345.3</v>
      </c>
      <c r="R85" s="31" t="inlineStr">
        <is>
          <t>Near 52W High Breakout</t>
        </is>
      </c>
      <c r="S85" s="31" t="inlineStr">
        <is>
          <t>Nifty Energy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19</t>
        </is>
      </c>
      <c r="CG85" s="31">
        <f>IF(CF85&gt;20,10,IF(CF85&gt;=10,5,2))</f>
        <v/>
      </c>
    </row>
    <row r="86">
      <c r="A86" s="31">
        <f>IF(B86=0,"",RANK(B86,$B$2:$B$98,0))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MAXESTATES</t>
        </is>
      </c>
      <c r="D86" s="31" t="inlineStr">
        <is>
          <t>Max Estates Ltd</t>
        </is>
      </c>
      <c r="E86" s="31" t="inlineStr">
        <is>
          <t>realty</t>
        </is>
      </c>
      <c r="F86" s="31" t="inlineStr">
        <is>
          <t>Realty - Regional</t>
        </is>
      </c>
      <c r="G86" s="31" t="inlineStr">
        <is>
          <t>midcap</t>
        </is>
      </c>
      <c r="H86" s="32" t="n">
        <v>9079.49</v>
      </c>
      <c r="I86" s="32" t="n">
        <v>555.1</v>
      </c>
      <c r="J86" s="32" t="n">
        <v>1.08</v>
      </c>
      <c r="K86" s="32" t="n">
        <v>0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70.88</v>
      </c>
      <c r="P86" s="32" t="n">
        <v>21.5</v>
      </c>
      <c r="Q86" s="32" t="n">
        <v>434.19</v>
      </c>
      <c r="R86" s="31" t="inlineStr">
        <is>
          <t>Near 52W High Breakout</t>
        </is>
      </c>
      <c r="S86" s="31" t="inlineStr">
        <is>
          <t>Nifty Realty</t>
        </is>
      </c>
      <c r="T86" s="32" t="inlineStr"/>
      <c r="U86" s="32" t="inlineStr"/>
      <c r="V86" s="32" t="inlineStr"/>
      <c r="W86" s="32" t="inlineStr"/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19</t>
        </is>
      </c>
      <c r="CG86" s="31">
        <f>IF(CF86&gt;20,10,IF(CF86&gt;=10,5,2))</f>
        <v/>
      </c>
    </row>
    <row r="87">
      <c r="A87" s="31">
        <f>IF(B87=0,"",RANK(B87,$B$2:$B$98,0))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DOLPHIN</t>
        </is>
      </c>
      <c r="D87" s="31" t="inlineStr">
        <is>
          <t>Dolphin Offshore Enterprises (India) Ltd</t>
        </is>
      </c>
      <c r="E87" s="31" t="inlineStr">
        <is>
          <t>energy</t>
        </is>
      </c>
      <c r="F87" s="31" t="inlineStr">
        <is>
          <t>Oil Drilling &amp; Exploration</t>
        </is>
      </c>
      <c r="G87" s="31" t="inlineStr">
        <is>
          <t>smallcap</t>
        </is>
      </c>
      <c r="H87" s="32" t="n">
        <v>2443.48</v>
      </c>
      <c r="I87" s="32" t="n">
        <v>610.8</v>
      </c>
      <c r="J87" s="32" t="n">
        <v>-0.92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74.70999999999999</v>
      </c>
      <c r="P87" s="32" t="n">
        <v>32.73</v>
      </c>
      <c r="Q87" s="32" t="n">
        <v>490.68</v>
      </c>
      <c r="R87" s="31" t="inlineStr">
        <is>
          <t>Earnings / Momentum Support</t>
        </is>
      </c>
      <c r="S87" s="31" t="inlineStr">
        <is>
          <t>Nifty Energy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23</t>
        </is>
      </c>
      <c r="CG87" s="31">
        <f>IF(CF87&gt;20,10,IF(CF87&gt;=10,5,2))</f>
        <v/>
      </c>
    </row>
    <row r="88">
      <c r="A88" s="31">
        <f>IF(B88=0,"",RANK(B88,$B$2:$B$98,0))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AEGISLOG</t>
        </is>
      </c>
      <c r="D88" s="31" t="inlineStr">
        <is>
          <t>Aegis Logistics Ltd</t>
        </is>
      </c>
      <c r="E88" s="31" t="inlineStr">
        <is>
          <t>Energy</t>
        </is>
      </c>
      <c r="F88" s="31" t="inlineStr">
        <is>
          <t>Logistics</t>
        </is>
      </c>
      <c r="G88" s="31" t="inlineStr">
        <is>
          <t>largecap</t>
        </is>
      </c>
      <c r="H88" s="32" t="n">
        <v>46289.88</v>
      </c>
      <c r="I88" s="32" t="n">
        <v>1318.8</v>
      </c>
      <c r="J88" s="32" t="n">
        <v>-1.69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65.25</v>
      </c>
      <c r="P88" s="32" t="n">
        <v>58.13</v>
      </c>
      <c r="Q88" s="32" t="n">
        <v>1039.2</v>
      </c>
      <c r="R88" s="31" t="inlineStr">
        <is>
          <t>Earnings / Momentum Support</t>
        </is>
      </c>
      <c r="S88" s="31" t="inlineStr">
        <is>
          <t>Nifty Energy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22</t>
        </is>
      </c>
      <c r="CG88" s="31">
        <f>IF(CF88&gt;20,10,IF(CF88&gt;=10,5,2))</f>
        <v/>
      </c>
    </row>
    <row r="89">
      <c r="A89" s="31">
        <f>IF(B89=0,"",RANK(B89,$B$2:$B$98,0))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VERANDA</t>
        </is>
      </c>
      <c r="D89" s="31" t="inlineStr">
        <is>
          <t>Veranda Learning Solutions Ltd</t>
        </is>
      </c>
      <c r="E89" s="31" t="inlineStr">
        <is>
          <t>Consumer Defensive</t>
        </is>
      </c>
      <c r="F89" s="31" t="inlineStr">
        <is>
          <t>Computer Education</t>
        </is>
      </c>
      <c r="G89" s="31" t="inlineStr">
        <is>
          <t>smallcap</t>
        </is>
      </c>
      <c r="H89" s="32" t="n">
        <v>2382.76</v>
      </c>
      <c r="I89" s="32" t="n">
        <v>247.3</v>
      </c>
      <c r="J89" s="32" t="n">
        <v>-1.14</v>
      </c>
      <c r="K89" s="32" t="n">
        <v>0</v>
      </c>
      <c r="L89" s="31" t="n">
        <v>14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57.68</v>
      </c>
      <c r="P89" s="32" t="n">
        <v>25.17</v>
      </c>
      <c r="Q89" s="32" t="n">
        <v>185.56</v>
      </c>
      <c r="R89" s="31" t="inlineStr">
        <is>
          <t>Near 52W High Breakout</t>
        </is>
      </c>
      <c r="S89" s="31" t="inlineStr">
        <is>
          <t>Nifty 50</t>
        </is>
      </c>
      <c r="T89" s="32" t="n">
        <v>-0.38</v>
      </c>
      <c r="U89" s="32" t="n">
        <v>13.43</v>
      </c>
      <c r="V89" s="32" t="n">
        <v>13.86</v>
      </c>
      <c r="W89" s="32" t="n">
        <v>4.63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19</t>
        </is>
      </c>
      <c r="CG89" s="31">
        <f>IF(CF89&gt;20,10,IF(CF89&gt;=10,5,2))</f>
        <v/>
      </c>
    </row>
    <row r="90">
      <c r="A90" s="31">
        <f>IF(B90=0,"",RANK(B90,$B$2:$B$98,0))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4" t="inlineStr">
        <is>
          <t>SHANTIGEAR</t>
        </is>
      </c>
      <c r="D90" s="34" t="inlineStr">
        <is>
          <t>Shanthi Gears Ltd</t>
        </is>
      </c>
      <c r="E90" s="31" t="inlineStr">
        <is>
          <t>industrials</t>
        </is>
      </c>
      <c r="F90" s="31" t="inlineStr">
        <is>
          <t>Auto Ancillaries - Gears</t>
        </is>
      </c>
      <c r="G90" s="31" t="inlineStr">
        <is>
          <t>smallcap</t>
        </is>
      </c>
      <c r="H90" s="32" t="n">
        <v>4480.21</v>
      </c>
      <c r="I90" s="32" t="n">
        <v>584</v>
      </c>
      <c r="J90" s="32" t="n">
        <v>6.38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72.95999999999999</v>
      </c>
      <c r="P90" s="32" t="n">
        <v>18.55</v>
      </c>
      <c r="Q90" s="32" t="n">
        <v>456.07</v>
      </c>
      <c r="R90" s="31" t="inlineStr">
        <is>
          <t>Volume Spike &amp; Near 52W High Breakout</t>
        </is>
      </c>
      <c r="S90" s="31" t="inlineStr">
        <is>
          <t>Nifty Infra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0 to 20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Less than 12%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19</t>
        </is>
      </c>
      <c r="CG90" s="31">
        <f>IF(CF90&gt;20,10,IF(CF90&gt;=10,5,2))</f>
        <v/>
      </c>
    </row>
    <row r="91">
      <c r="A91" s="31">
        <f>IF(B91=0,"",RANK(B91,$B$2:$B$98,0))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PRICOLLTD</t>
        </is>
      </c>
      <c r="D91" s="31" t="inlineStr">
        <is>
          <t>Pricol Ltd</t>
        </is>
      </c>
      <c r="E91" s="31" t="inlineStr">
        <is>
          <t>auto</t>
        </is>
      </c>
      <c r="F91" s="31" t="inlineStr">
        <is>
          <t>Auto Ancillaries - 2 Wheelers</t>
        </is>
      </c>
      <c r="G91" s="31" t="inlineStr">
        <is>
          <t>midcap</t>
        </is>
      </c>
      <c r="H91" s="32" t="n">
        <v>9635.950000000001</v>
      </c>
      <c r="I91" s="32" t="n">
        <v>790.6</v>
      </c>
      <c r="J91" s="32" t="n">
        <v>-0.04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74.11</v>
      </c>
      <c r="P91" s="32" t="n">
        <v>31.44</v>
      </c>
      <c r="Q91" s="32" t="n">
        <v>648.72</v>
      </c>
      <c r="R91" s="31" t="inlineStr">
        <is>
          <t>Near 52W High Breakout</t>
        </is>
      </c>
      <c r="S91" s="31" t="inlineStr">
        <is>
          <t>Nifty Auto</t>
        </is>
      </c>
      <c r="T91" s="32" t="inlineStr"/>
      <c r="U91" s="32" t="inlineStr"/>
      <c r="V91" s="32" t="inlineStr"/>
      <c r="W91" s="32" t="inlineStr"/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Shallow Cyclical (2 to 3 Years Growth)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Fully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Allocated capital in Non-core Areas</t>
        </is>
      </c>
      <c r="AU91" s="31">
        <f>IF(AT91="Good",10,0)</f>
        <v/>
      </c>
      <c r="AV91" s="31" t="inlineStr">
        <is>
          <t>Yes only for next 1 to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Between 12 to 20%</t>
        </is>
      </c>
      <c r="BO91" s="31">
        <f>IF(BN91="More than 20%",10,IF(BN91="Between 12 to 20%",5,IF(BN91="Less than 12%",0,0)))</f>
        <v/>
      </c>
      <c r="BP91" s="31" t="inlineStr">
        <is>
          <t>Yes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Between 50% to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22</t>
        </is>
      </c>
      <c r="CG91" s="31">
        <f>IF(CF91&gt;20,10,IF(CF91&gt;=10,5,2))</f>
        <v/>
      </c>
    </row>
    <row r="92">
      <c r="A92" s="31">
        <f>IF(B92=0,"",RANK(B92,$B$2:$B$98,0))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TNPETRO</t>
        </is>
      </c>
      <c r="D92" s="31" t="inlineStr">
        <is>
          <t>Tamil Nadu Petro Products Ltd</t>
        </is>
      </c>
      <c r="E92" s="31" t="inlineStr">
        <is>
          <t>energy</t>
        </is>
      </c>
      <c r="F92" s="31" t="inlineStr">
        <is>
          <t>Petrochem - Others</t>
        </is>
      </c>
      <c r="G92" s="31" t="inlineStr">
        <is>
          <t>smallcap</t>
        </is>
      </c>
      <c r="H92" s="32" t="n">
        <v>1018.48</v>
      </c>
      <c r="I92" s="32" t="n">
        <v>113.2</v>
      </c>
      <c r="J92" s="32" t="n">
        <v>-2.7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71.39</v>
      </c>
      <c r="P92" s="32" t="n">
        <v>27.61</v>
      </c>
      <c r="Q92" s="32" t="n">
        <v>90.91</v>
      </c>
      <c r="R92" s="31" t="inlineStr">
        <is>
          <t>Earnings / Momentum Support</t>
        </is>
      </c>
      <c r="S92" s="31" t="inlineStr">
        <is>
          <t>Nifty Energy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22</t>
        </is>
      </c>
      <c r="CG92" s="31">
        <f>IF(CF92&gt;20,10,IF(CF92&gt;=10,5,2))</f>
        <v/>
      </c>
    </row>
    <row r="93">
      <c r="A93" s="31">
        <f>IF(B93=0,"",RANK(B93,$B$2:$B$98,0))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BIL</t>
        </is>
      </c>
      <c r="D93" s="34" t="inlineStr">
        <is>
          <t>Bhartiya International Ltd</t>
        </is>
      </c>
      <c r="E93" s="31" t="inlineStr">
        <is>
          <t>consumer discretionary</t>
        </is>
      </c>
      <c r="F93" s="31" t="inlineStr">
        <is>
          <t>Textiles</t>
        </is>
      </c>
      <c r="G93" s="31" t="inlineStr">
        <is>
          <t>smallcap</t>
        </is>
      </c>
      <c r="H93" s="32" t="n">
        <v>1139.88</v>
      </c>
      <c r="I93" s="32" t="n">
        <v>850</v>
      </c>
      <c r="J93" s="32" t="n">
        <v>1.74</v>
      </c>
      <c r="K93" s="32" t="n">
        <v>0</v>
      </c>
      <c r="L93" s="31" t="n">
        <v>8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59.65</v>
      </c>
      <c r="P93" s="32" t="n">
        <v>16.17</v>
      </c>
      <c r="Q93" s="32" t="n">
        <v>616.8099999999999</v>
      </c>
      <c r="R93" s="31" t="inlineStr">
        <is>
          <t>Earnings / Momentum Support</t>
        </is>
      </c>
      <c r="S93" s="31" t="inlineStr">
        <is>
          <t>Nifty 50</t>
        </is>
      </c>
      <c r="T93" s="32" t="n">
        <v>-0.38</v>
      </c>
      <c r="U93" s="32" t="n">
        <v>1.05</v>
      </c>
      <c r="V93" s="32" t="n">
        <v>1.43</v>
      </c>
      <c r="W93" s="32" t="n">
        <v>2.34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0 to 20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19</t>
        </is>
      </c>
      <c r="CG93" s="31">
        <f>IF(CF93&gt;20,10,IF(CF93&gt;=10,5,2))</f>
        <v/>
      </c>
    </row>
    <row r="94">
      <c r="A94" s="31">
        <f>IF(B94=0,"",RANK(B94,$B$2:$B$98,0))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3" t="inlineStr">
        <is>
          <t>VMARCIND</t>
        </is>
      </c>
      <c r="D94" s="33" t="inlineStr">
        <is>
          <t>V-Marc India Ltd</t>
        </is>
      </c>
      <c r="E94" s="31" t="inlineStr">
        <is>
          <t>unknown</t>
        </is>
      </c>
      <c r="F94" s="31" t="inlineStr">
        <is>
          <t>Cables - Power</t>
        </is>
      </c>
      <c r="G94" s="31" t="inlineStr">
        <is>
          <t>midcap</t>
        </is>
      </c>
      <c r="H94" s="32" t="n">
        <v>5714.44</v>
      </c>
      <c r="I94" s="32" t="n">
        <v>390</v>
      </c>
      <c r="J94" s="32" t="n">
        <v>-1.73</v>
      </c>
      <c r="K94" s="32" t="n">
        <v>0</v>
      </c>
      <c r="L94" s="31" t="n">
        <v>1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39.35</v>
      </c>
      <c r="P94" s="32" t="n">
        <v>41.13</v>
      </c>
      <c r="Q94" s="32" t="n">
        <v>1138.8</v>
      </c>
      <c r="R94" s="31" t="inlineStr">
        <is>
          <t>Earnings / Momentum Support</t>
        </is>
      </c>
      <c r="S94" s="31" t="inlineStr">
        <is>
          <t>Nifty 50</t>
        </is>
      </c>
      <c r="T94" s="32" t="n">
        <v>-2.49</v>
      </c>
      <c r="U94" s="32" t="n">
        <v>-17.36</v>
      </c>
      <c r="V94" s="32" t="n">
        <v>-15.26</v>
      </c>
      <c r="W94" s="32" t="n">
        <v>-4.28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Below 45</t>
        </is>
      </c>
      <c r="BA94" s="31">
        <f>IF(AZ94="Between 50 to 75",10,IF(AZ94="Above 75",0,0))</f>
        <v/>
      </c>
      <c r="BB94" s="31" t="inlineStr">
        <is>
          <t>Stage 4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No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20</t>
        </is>
      </c>
      <c r="CG94" s="31">
        <f>IF(CF94&gt;20,10,IF(CF94&gt;=10,5,2))</f>
        <v/>
      </c>
    </row>
    <row r="95">
      <c r="A95" s="31">
        <f>IF(B95=0,"",RANK(B95,$B$2:$B$98,0))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4" t="inlineStr">
        <is>
          <t>GIPCL</t>
        </is>
      </c>
      <c r="D95" s="34" t="inlineStr">
        <is>
          <t>Gujarat Industries Power Co Ltd</t>
        </is>
      </c>
      <c r="E95" s="31" t="inlineStr">
        <is>
          <t>power &amp; utilities</t>
        </is>
      </c>
      <c r="F95" s="31" t="inlineStr">
        <is>
          <t>Power - Generation/Distribution</t>
        </is>
      </c>
      <c r="G95" s="31" t="inlineStr">
        <is>
          <t>smallcap</t>
        </is>
      </c>
      <c r="H95" s="32" t="n">
        <v>2964.47</v>
      </c>
      <c r="I95" s="32" t="n">
        <v>190.99</v>
      </c>
      <c r="J95" s="32" t="n">
        <v>7.06</v>
      </c>
      <c r="K95" s="32" t="n">
        <v>0</v>
      </c>
      <c r="L95" s="31" t="n">
        <v>20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67.62</v>
      </c>
      <c r="P95" s="32" t="n">
        <v>16</v>
      </c>
      <c r="Q95" s="32" t="n">
        <v>154.86</v>
      </c>
      <c r="R95" s="31" t="inlineStr">
        <is>
          <t>Volume Spike &amp; Near 52W High Breakout</t>
        </is>
      </c>
      <c r="S95" s="31" t="inlineStr">
        <is>
          <t>Nifty IT</t>
        </is>
      </c>
      <c r="T95" s="32" t="n">
        <v>-12.53</v>
      </c>
      <c r="U95" s="32" t="n">
        <v>9.52</v>
      </c>
      <c r="V95" s="32" t="n">
        <v>25.21</v>
      </c>
      <c r="W95" s="32" t="n">
        <v>5.63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Oligopoly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Shallow Cyclical (2 to 3 Years Growth)</t>
        </is>
      </c>
      <c r="AG95" s="31">
        <f>IF(AF95="Structural (10 Years Consistency)",10,IF(AF95="Shallow Cyclical (2 to 3 years growth)",5,0))</f>
        <v/>
      </c>
      <c r="AH95" s="31" t="inlineStr">
        <is>
          <t>Yes due to Product Mix change or Operating Leverage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Allocated capital in Non-core Areas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Sideways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Overhead supply in last 2 years in last 2 years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More than 15%</t>
        </is>
      </c>
      <c r="CC95" s="31">
        <f>IF(CB95="More than 15%",-10,IF(CB95="Less than 15%",10,0))</f>
        <v/>
      </c>
      <c r="CD95" s="31" t="inlineStr">
        <is>
          <t>Yes Upto 10%</t>
        </is>
      </c>
      <c r="CE95" s="31">
        <f>IF(CD95="Yes, more than 10%",-10,IF(CD95="No",10,0))</f>
        <v/>
      </c>
      <c r="CF95" s="31" t="inlineStr">
        <is>
          <t>21</t>
        </is>
      </c>
      <c r="CG95" s="31">
        <f>IF(CF95&gt;20,10,IF(CF95&gt;=10,5,2))</f>
        <v/>
      </c>
    </row>
    <row r="96">
      <c r="A96" s="31">
        <f>IF(B96=0,"",RANK(B96,$B$2:$B$98,0))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GNFC</t>
        </is>
      </c>
      <c r="D96" s="31" t="inlineStr">
        <is>
          <t>Gujarat Narmada Valley Fertilizers &amp; Chemicals Ltd</t>
        </is>
      </c>
      <c r="E96" s="31" t="inlineStr">
        <is>
          <t>chemicals</t>
        </is>
      </c>
      <c r="F96" s="31" t="inlineStr">
        <is>
          <t>Fertilisers</t>
        </is>
      </c>
      <c r="G96" s="31" t="inlineStr">
        <is>
          <t>midcap</t>
        </is>
      </c>
      <c r="H96" s="32" t="n">
        <v>8621.01</v>
      </c>
      <c r="I96" s="32" t="n">
        <v>586.7</v>
      </c>
      <c r="J96" s="32" t="n">
        <v>-1.06</v>
      </c>
      <c r="K96" s="32" t="n">
        <v>0</v>
      </c>
      <c r="L96" s="31" t="n">
        <v>25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68.13</v>
      </c>
      <c r="P96" s="32" t="n">
        <v>35.46</v>
      </c>
      <c r="Q96" s="32" t="n">
        <v>479.33</v>
      </c>
      <c r="R96" s="31" t="inlineStr">
        <is>
          <t>Near 52W High Breakout</t>
        </is>
      </c>
      <c r="S96" s="31" t="inlineStr">
        <is>
          <t>Nifty 50</t>
        </is>
      </c>
      <c r="T96" s="32" t="n">
        <v>-0.38</v>
      </c>
      <c r="U96" s="32" t="n">
        <v>16.38</v>
      </c>
      <c r="V96" s="32" t="n">
        <v>16.82</v>
      </c>
      <c r="W96" s="32" t="n">
        <v>6.79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Oligopoly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Shallow Cyclical (2 to 3 Years Growth)</t>
        </is>
      </c>
      <c r="AG96" s="31">
        <f>IF(AF96="Structural (10 Years Consistency)",10,IF(AF96="Shallow Cyclical (2 to 3 years growth)",5,0))</f>
        <v/>
      </c>
      <c r="AH96" s="31" t="inlineStr">
        <is>
          <t>Yes due to Product Mix change or Operating Leverage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Volatile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Allocated capital in Non-core Areas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Sideways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Overhead supply in last 2 years in last 2 years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More than 15%</t>
        </is>
      </c>
      <c r="CC96" s="31">
        <f>IF(CB96="More than 15%",-10,IF(CB96="Less than 15%",10,0))</f>
        <v/>
      </c>
      <c r="CD96" s="31" t="inlineStr">
        <is>
          <t>Yes Upto 10%</t>
        </is>
      </c>
      <c r="CE96" s="31">
        <f>IF(CD96="Yes, more than 10%",-10,IF(CD96="No",10,0))</f>
        <v/>
      </c>
      <c r="CF96" s="31" t="inlineStr">
        <is>
          <t>20</t>
        </is>
      </c>
      <c r="CG96" s="31">
        <f>IF(CF96&gt;20,10,IF(CF96&gt;=10,5,2))</f>
        <v/>
      </c>
    </row>
    <row r="97">
      <c r="A97" s="31">
        <f>IF(B97=0,"",RANK(B97,$B$2:$B$98,0))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GAEL</t>
        </is>
      </c>
      <c r="D97" s="31" t="inlineStr">
        <is>
          <t>Gujarat Ambuja Exports Ltd</t>
        </is>
      </c>
      <c r="E97" s="31" t="inlineStr">
        <is>
          <t>fmcg</t>
        </is>
      </c>
      <c r="F97" s="31" t="inlineStr">
        <is>
          <t>Agricultural Processing - Maize</t>
        </is>
      </c>
      <c r="G97" s="31" t="inlineStr">
        <is>
          <t>midcap</t>
        </is>
      </c>
      <c r="H97" s="32" t="n">
        <v>8127.64</v>
      </c>
      <c r="I97" s="32" t="n">
        <v>177.2</v>
      </c>
      <c r="J97" s="32" t="n">
        <v>-1.88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n">
        <v>65.44</v>
      </c>
      <c r="P97" s="32" t="n">
        <v>34.69</v>
      </c>
      <c r="Q97" s="32" t="n">
        <v>141.63</v>
      </c>
      <c r="R97" s="31" t="inlineStr">
        <is>
          <t>Near 52W High Breakout</t>
        </is>
      </c>
      <c r="S97" s="31" t="inlineStr">
        <is>
          <t>Nifty FMCG</t>
        </is>
      </c>
      <c r="T97" s="32" t="inlineStr"/>
      <c r="U97" s="32" t="inlineStr"/>
      <c r="V97" s="32" t="inlineStr"/>
      <c r="W97" s="32" t="inlineStr"/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Oligopoly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Shallow Cyclical (2 to 3 Years Growth)</t>
        </is>
      </c>
      <c r="AG97" s="31">
        <f>IF(AF97="Structural (10 Years Consistency)",10,IF(AF97="Shallow Cyclical (2 to 3 years growth)",5,0))</f>
        <v/>
      </c>
      <c r="AH97" s="31" t="inlineStr">
        <is>
          <t>Yes due to Product Mix change or Operating Leverage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Volatile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Allocated capital in Non-core Areas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Sideways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Overhead supply in last 2 years in last 2 years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More than 15%</t>
        </is>
      </c>
      <c r="CC97" s="31">
        <f>IF(CB97="More than 15%",-10,IF(CB97="Less than 15%",10,0))</f>
        <v/>
      </c>
      <c r="CD97" s="31" t="inlineStr">
        <is>
          <t>Yes Upto 10%</t>
        </is>
      </c>
      <c r="CE97" s="31">
        <f>IF(CD97="Yes, more than 10%",-10,IF(CD97="No",10,0))</f>
        <v/>
      </c>
      <c r="CF97" s="31" t="inlineStr">
        <is>
          <t>19</t>
        </is>
      </c>
      <c r="CG97" s="31">
        <f>IF(CF97&gt;20,10,IF(CF97&gt;=10,5,2))</f>
        <v/>
      </c>
    </row>
    <row r="98">
      <c r="A98" s="31">
        <f>IF(B98=0,"",RANK(B98,$B$2:$B$98,0))</f>
        <v/>
      </c>
      <c r="B98" s="32">
        <f>SUM(N98,Y98,AA98,AC98,AE98,AG98,AI98,AK98,AM98,AO98,AQ98,AS98,AU98,AW98,AY98,BA98,BC98,BE98,BG98,BI98,BK98,BM98,BO98,BQ98,BS98,BU98,BW98,BY98,CA98,CC98,CE98,CG98)</f>
        <v/>
      </c>
      <c r="C98" s="31" t="inlineStr">
        <is>
          <t>MONOLITH</t>
        </is>
      </c>
      <c r="D98" s="31" t="inlineStr">
        <is>
          <t>Monolithisch India Ltd</t>
        </is>
      </c>
      <c r="E98" s="31" t="inlineStr">
        <is>
          <t>unknown</t>
        </is>
      </c>
      <c r="F98" s="31" t="inlineStr">
        <is>
          <t>Refractories</t>
        </is>
      </c>
      <c r="G98" s="31" t="inlineStr">
        <is>
          <t>smallcap</t>
        </is>
      </c>
      <c r="H98" s="32" t="n">
        <v>2408.35</v>
      </c>
      <c r="I98" s="32" t="n">
        <v>1108</v>
      </c>
      <c r="J98" s="32" t="n">
        <v>4.64</v>
      </c>
      <c r="K98" s="32" t="n">
        <v>0</v>
      </c>
      <c r="L98" s="31" t="inlineStr"/>
      <c r="M98" s="31" t="inlineStr"/>
      <c r="N98" s="32">
        <f>IF(M98="Underperforming",-5,IF(L98&gt;=95,15,IF(L98&gt;=90,10,IF(L98&gt;=80,5,0))))</f>
        <v/>
      </c>
      <c r="O98" s="32" t="inlineStr"/>
      <c r="P98" s="32" t="inlineStr"/>
      <c r="Q98" s="32" t="inlineStr"/>
      <c r="R98" s="31" t="inlineStr"/>
      <c r="S98" s="31" t="inlineStr"/>
      <c r="T98" s="32" t="inlineStr"/>
      <c r="U98" s="32" t="inlineStr"/>
      <c r="V98" s="32" t="inlineStr"/>
      <c r="W98" s="32" t="inlineStr"/>
      <c r="X98" s="31" t="n"/>
      <c r="Y98" s="31">
        <f>IF(X98="Growing Industry",10,IF(X98="Cyclical in an Upturn",5,0))</f>
        <v/>
      </c>
      <c r="Z98" s="31" t="n"/>
      <c r="AA98" s="31">
        <f>IF(Z98="Monopoly",10,IF(Z98="Oligopoly",5,IF(Z98="Duopoly that cooperate",10,IF(Z98="Duopoly that compete",5,IF(Z98="Too many players with High ROCE",5,0)))))</f>
        <v/>
      </c>
      <c r="AB98" s="31" t="n"/>
      <c r="AC98" s="31">
        <f>IF(AB98="No",5,0)</f>
        <v/>
      </c>
      <c r="AD98" s="31" t="n"/>
      <c r="AE98" s="31">
        <f>IF(AD98="Tailwind",10,0)</f>
        <v/>
      </c>
      <c r="AF98" s="31" t="n"/>
      <c r="AG98" s="31">
        <f>IF(AF98="Structural (10 Years Consistency)",10,IF(AF98="Shallow Cyclical (2 to 3 years growth)",5,0))</f>
        <v/>
      </c>
      <c r="AH98" s="31" t="n"/>
      <c r="AI98" s="31">
        <f>IF(AH98="Yes due to Product Mix change or Operating Leverage",10,IF(AH98="Yes, these are peak margins",-5,IF(AH98="No",5,0)))</f>
        <v/>
      </c>
      <c r="AJ98" s="31" t="n"/>
      <c r="AK98" s="31">
        <f>IF(AJ98="Stable",10,0)</f>
        <v/>
      </c>
      <c r="AL98" s="31" t="n"/>
      <c r="AM98" s="31">
        <f>IF(AL98="Yes",10,0)</f>
        <v/>
      </c>
      <c r="AN98" s="31" t="n"/>
      <c r="AO98" s="31">
        <f>IF(AN98="B2C",10,IF(AN98="B2B",5,0))</f>
        <v/>
      </c>
      <c r="AP98" s="31" t="n"/>
      <c r="AQ98" s="31">
        <f>IF(AP98="Yes",10,0)</f>
        <v/>
      </c>
      <c r="AR98" s="31" t="n"/>
      <c r="AS98" s="31">
        <f>IF(AR98="Fully Annuity",10,IF(AR98="Higher Annuity, Lower One Time",5,IF(AR98="Higher One Time, Lower Annuity",3,0)))</f>
        <v/>
      </c>
      <c r="AT98" s="31" t="n"/>
      <c r="AU98" s="31">
        <f>IF(AT98="Good",10,0)</f>
        <v/>
      </c>
      <c r="AV98" s="31" t="n"/>
      <c r="AW98" s="31">
        <f>IF(AV98="Yes for more than 2 years",10,IF(AV98="Yes only for next 1 to 2 years",5,0))</f>
        <v/>
      </c>
      <c r="AX98" s="31" t="n"/>
      <c r="AY98" s="31">
        <f>IF(AX98="Above 40",20,IF(AX98="20 to 40",10,IF(AX98="0 to 20",-5,0)))</f>
        <v/>
      </c>
      <c r="AZ98" s="31" t="n"/>
      <c r="BA98" s="31">
        <f>IF(AZ98="Between 50 to 75",10,IF(AZ98="Above 75",0,0))</f>
        <v/>
      </c>
      <c r="BB98" s="31" t="n"/>
      <c r="BC98" s="31">
        <f>IF(BB98="Stage 2",20,IF(BB98="Stage 1",0,IF(BB98="Stage 3",5,IF(BB98="Stage 4",-5,0))))</f>
        <v/>
      </c>
      <c r="BD98" s="31" t="n"/>
      <c r="BE98" s="31">
        <f>IF(BD98="Positive Trend",20,IF(BD98="Negative Trend",-10,0))</f>
        <v/>
      </c>
      <c r="BF98" s="31" t="n"/>
      <c r="BG98" s="31">
        <f>IF(BF98="Uptrend",10,IF(BF98="Sideways",5,0))</f>
        <v/>
      </c>
      <c r="BH98" s="31" t="n"/>
      <c r="BI98" s="31">
        <f>IF(BH98="Uptrend",10,IF(BH98="Sideways",5,0))</f>
        <v/>
      </c>
      <c r="BJ98" s="31" t="n"/>
      <c r="BK98" s="31">
        <f>IF(BJ98="Overhead supply in last 2 years in last 2 years",-5,IF(BJ98="Close to 52 week high or retracement",5,IF(BJ98="Blue sky scenario",10,IF(BJ98="Long term Downtrend",-10,0))))</f>
        <v/>
      </c>
      <c r="BL98" s="31" t="n"/>
      <c r="BM98" s="31">
        <f>IF(BL98="Yes",10,0)</f>
        <v/>
      </c>
      <c r="BN98" s="31" t="n"/>
      <c r="BO98" s="31">
        <f>IF(BN98="More than 20%",10,IF(BN98="Between 12 to 20%",5,IF(BN98="Less than 12%",0,0)))</f>
        <v/>
      </c>
      <c r="BP98" s="31" t="n"/>
      <c r="BQ98" s="31">
        <f>IF(BP98="No",10,0)</f>
        <v/>
      </c>
      <c r="BR98" s="31" t="n"/>
      <c r="BS98" s="31">
        <f>IF(BR98="NO",5,0)</f>
        <v/>
      </c>
      <c r="BT98" s="31" t="n"/>
      <c r="BU98" s="31">
        <f>IF(BT98="Above 2",0,IF(BT98="Between 1.5 to 2",5,IF(BT98="Less than 1.5",10,0)))</f>
        <v/>
      </c>
      <c r="BV98" s="31" t="n"/>
      <c r="BW98" s="31">
        <f>IF(BV98="Above 70%",10,IF(BV98="Between 50% to 70%",5,IF(BV98="Less than 50%",0,IF(BV98="Negative",-10,IF(BV98="Less than 50% and Borrowings are increasing",-5,0)))))</f>
        <v/>
      </c>
      <c r="BX98" s="31" t="n"/>
      <c r="BY98" s="31">
        <f>IF(BX98="More than 1.2",-10,IF(BX98="Between 0.7 to 1.2",0,IF(BX98="Less than 0.7",10,0)))</f>
        <v/>
      </c>
      <c r="BZ98" s="31" t="n"/>
      <c r="CA98" s="31">
        <f>IF(BZ98="Yes",-10,0)</f>
        <v/>
      </c>
      <c r="CB98" s="31" t="n"/>
      <c r="CC98" s="31">
        <f>IF(CB98="More than 15%",-10,IF(CB98="Less than 15%",10,0))</f>
        <v/>
      </c>
      <c r="CD98" s="31" t="n"/>
      <c r="CE98" s="31">
        <f>IF(CD98="Yes, more than 10%",-10,IF(CD98="No",10,0))</f>
        <v/>
      </c>
      <c r="CF98" s="31" t="n"/>
      <c r="CG98" s="31">
        <f>IF(CF98&gt;20,10,IF(CF98&gt;=10,5,2))</f>
        <v/>
      </c>
    </row>
    <row r="102">
      <c r="A102" s="25" t="inlineStr">
        <is>
          <t>❌ REMOVED SCAN MATCH STOCKS (THIS WEEK)</t>
        </is>
      </c>
    </row>
    <row r="103">
      <c r="A103" s="35" t="inlineStr">
        <is>
          <t>Symbol</t>
        </is>
      </c>
      <c r="B103" s="35" t="inlineStr">
        <is>
          <t>Company Name</t>
        </is>
      </c>
      <c r="C103" s="35" t="inlineStr">
        <is>
          <t>Sector</t>
        </is>
      </c>
      <c r="D103" s="35" t="inlineStr">
        <is>
          <t>Date of Removal</t>
        </is>
      </c>
    </row>
    <row r="104">
      <c r="A104" s="36" t="inlineStr">
        <is>
          <t>AARTIPHARM</t>
        </is>
      </c>
      <c r="B104" s="37" t="inlineStr">
        <is>
          <t>Aarti Pharmalabs Limited</t>
        </is>
      </c>
      <c r="C104" s="37" t="inlineStr">
        <is>
          <t>Healthcare</t>
        </is>
      </c>
      <c r="D104" s="38" t="inlineStr">
        <is>
          <t>2026-08-25</t>
        </is>
      </c>
    </row>
    <row r="105">
      <c r="A105" s="36" t="inlineStr">
        <is>
          <t>ADOR</t>
        </is>
      </c>
      <c r="B105" s="37" t="inlineStr">
        <is>
          <t>Ador Welding Limited</t>
        </is>
      </c>
      <c r="C105" s="37" t="inlineStr">
        <is>
          <t>Industrials</t>
        </is>
      </c>
      <c r="D105" s="38" t="inlineStr">
        <is>
          <t>2026-08-25</t>
        </is>
      </c>
    </row>
    <row r="106">
      <c r="A106" s="36" t="inlineStr">
        <is>
          <t>ASIANENE</t>
        </is>
      </c>
      <c r="B106" s="37" t="inlineStr">
        <is>
          <t>Asian Energy Services Limited</t>
        </is>
      </c>
      <c r="C106" s="37" t="inlineStr">
        <is>
          <t>Energy</t>
        </is>
      </c>
      <c r="D106" s="38" t="inlineStr">
        <is>
          <t>2026-08-25</t>
        </is>
      </c>
    </row>
    <row r="107">
      <c r="A107" s="36" t="inlineStr">
        <is>
          <t>HNDFDS</t>
        </is>
      </c>
      <c r="B107" s="37" t="inlineStr">
        <is>
          <t>Hindustan Foods Limited</t>
        </is>
      </c>
      <c r="C107" s="37" t="inlineStr">
        <is>
          <t>Industrials</t>
        </is>
      </c>
      <c r="D107" s="38" t="inlineStr">
        <is>
          <t>2026-08-25</t>
        </is>
      </c>
    </row>
    <row r="108">
      <c r="A108" s="36" t="inlineStr">
        <is>
          <t>INNOVACAP</t>
        </is>
      </c>
      <c r="B108" s="37" t="inlineStr">
        <is>
          <t>Innova Captab Limited</t>
        </is>
      </c>
      <c r="C108" s="37" t="inlineStr">
        <is>
          <t>Healthcare</t>
        </is>
      </c>
      <c r="D108" s="38" t="inlineStr">
        <is>
          <t>2026-08-25</t>
        </is>
      </c>
    </row>
    <row r="109">
      <c r="A109" s="36" t="inlineStr">
        <is>
          <t>INOVSYNTH</t>
        </is>
      </c>
      <c r="B109" s="37" t="inlineStr">
        <is>
          <t>INOVSYNTH</t>
        </is>
      </c>
      <c r="C109" s="37" t="inlineStr">
        <is>
          <t>unknown</t>
        </is>
      </c>
      <c r="D109" s="38" t="inlineStr">
        <is>
          <t>2026-08-25</t>
        </is>
      </c>
    </row>
    <row r="110">
      <c r="A110" s="36" t="inlineStr">
        <is>
          <t>JGCHEM</t>
        </is>
      </c>
      <c r="B110" s="37" t="inlineStr">
        <is>
          <t>JGCHEM</t>
        </is>
      </c>
      <c r="C110" s="37" t="inlineStr">
        <is>
          <t>unknown</t>
        </is>
      </c>
      <c r="D110" s="38" t="inlineStr">
        <is>
          <t>2026-08-25</t>
        </is>
      </c>
    </row>
    <row r="111">
      <c r="A111" s="36" t="inlineStr">
        <is>
          <t>LUMAXTECH</t>
        </is>
      </c>
      <c r="B111" s="37" t="inlineStr">
        <is>
          <t>Lumax Auto Technologies Limited</t>
        </is>
      </c>
      <c r="C111" s="37" t="inlineStr">
        <is>
          <t>Consumer Cyclical</t>
        </is>
      </c>
      <c r="D111" s="38" t="inlineStr">
        <is>
          <t>2026-08-25</t>
        </is>
      </c>
    </row>
    <row r="112">
      <c r="A112" s="36" t="inlineStr">
        <is>
          <t>MMP</t>
        </is>
      </c>
      <c r="B112" s="37" t="inlineStr">
        <is>
          <t>MMP Industries Limited</t>
        </is>
      </c>
      <c r="C112" s="37" t="inlineStr">
        <is>
          <t>Basic Materials</t>
        </is>
      </c>
      <c r="D112" s="38" t="inlineStr">
        <is>
          <t>2026-08-25</t>
        </is>
      </c>
    </row>
    <row r="113">
      <c r="A113" s="36" t="inlineStr">
        <is>
          <t>PITTIENG</t>
        </is>
      </c>
      <c r="B113" s="37" t="inlineStr">
        <is>
          <t>Pitti Engineering Limited</t>
        </is>
      </c>
      <c r="C113" s="37" t="inlineStr">
        <is>
          <t>Industrials</t>
        </is>
      </c>
      <c r="D113" s="38" t="inlineStr">
        <is>
          <t>2026-08-25</t>
        </is>
      </c>
    </row>
    <row r="114">
      <c r="A114" s="36" t="inlineStr">
        <is>
          <t>RPTECH</t>
        </is>
      </c>
      <c r="B114" s="37" t="inlineStr">
        <is>
          <t>RPTECH</t>
        </is>
      </c>
      <c r="C114" s="37" t="inlineStr">
        <is>
          <t>unknown</t>
        </is>
      </c>
      <c r="D114" s="38" t="inlineStr">
        <is>
          <t>2026-08-25</t>
        </is>
      </c>
    </row>
    <row r="115">
      <c r="A115" s="36" t="inlineStr">
        <is>
          <t>RRKABEL</t>
        </is>
      </c>
      <c r="B115" s="37" t="inlineStr">
        <is>
          <t>R R Kabel Limited</t>
        </is>
      </c>
      <c r="C115" s="37" t="inlineStr">
        <is>
          <t>Industrials</t>
        </is>
      </c>
      <c r="D115" s="38" t="inlineStr">
        <is>
          <t>2026-08-25</t>
        </is>
      </c>
    </row>
    <row r="116">
      <c r="A116" s="36" t="inlineStr">
        <is>
          <t>SAPL</t>
        </is>
      </c>
      <c r="B116" s="37" t="inlineStr">
        <is>
          <t>SAPL</t>
        </is>
      </c>
      <c r="C116" s="37" t="inlineStr">
        <is>
          <t>unknown</t>
        </is>
      </c>
      <c r="D116" s="38" t="inlineStr">
        <is>
          <t>2026-08-25</t>
        </is>
      </c>
    </row>
    <row r="117">
      <c r="A117" s="36" t="inlineStr">
        <is>
          <t>SHANTIGOLD</t>
        </is>
      </c>
      <c r="B117" s="37" t="inlineStr">
        <is>
          <t>SHANTIGOLD</t>
        </is>
      </c>
      <c r="C117" s="37" t="inlineStr">
        <is>
          <t>Consumer Cyclical</t>
        </is>
      </c>
      <c r="D117" s="38" t="inlineStr">
        <is>
          <t>2026-08-25</t>
        </is>
      </c>
    </row>
    <row r="118">
      <c r="A118" s="36" t="inlineStr">
        <is>
          <t>TCPLPACK</t>
        </is>
      </c>
      <c r="B118" s="37" t="inlineStr">
        <is>
          <t>TCPL Packaging Limited</t>
        </is>
      </c>
      <c r="C118" s="37" t="inlineStr">
        <is>
          <t>Consumer Cyclical</t>
        </is>
      </c>
      <c r="D118" s="38" t="inlineStr">
        <is>
          <t>2026-08-25</t>
        </is>
      </c>
    </row>
    <row r="119">
      <c r="A119" s="36" t="inlineStr">
        <is>
          <t>UJJIVANSFB</t>
        </is>
      </c>
      <c r="B119" s="37" t="inlineStr">
        <is>
          <t>UJJIVANSFB</t>
        </is>
      </c>
      <c r="C119" s="37" t="inlineStr">
        <is>
          <t>unknown</t>
        </is>
      </c>
      <c r="D119" s="38" t="inlineStr">
        <is>
          <t>2026-08-25</t>
        </is>
      </c>
    </row>
  </sheetData>
  <autoFilter ref="A1:CG98"/>
  <conditionalFormatting sqref="B2:B9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8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8">
    <cfRule type="cellIs" priority="37" operator="equal" dxfId="3" stopIfTrue="1">
      <formula>"Underperforming"</formula>
    </cfRule>
  </conditionalFormatting>
  <conditionalFormatting sqref="N2:N98">
    <cfRule type="cellIs" priority="38" operator="equal" dxfId="3" stopIfTrue="1">
      <formula>-5</formula>
    </cfRule>
  </conditionalFormatting>
  <conditionalFormatting sqref="Q2:Q98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8" showDropDown="0" showInputMessage="0" showErrorMessage="0" allowBlank="1" type="list">
      <formula1>"Growing Industry,Stagnant Industry,Cyclical in an Upturn"</formula1>
    </dataValidation>
    <dataValidation sqref="Z2:Z9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8" showDropDown="0" showInputMessage="0" showErrorMessage="0" allowBlank="1" type="list">
      <formula1>"Yes,No"</formula1>
    </dataValidation>
    <dataValidation sqref="AD2:AD98" showDropDown="0" showInputMessage="0" showErrorMessage="0" allowBlank="1" type="list">
      <formula1>"Tailwind,Headwind"</formula1>
    </dataValidation>
    <dataValidation sqref="AF2:AF98" showDropDown="0" showInputMessage="0" showErrorMessage="0" allowBlank="1" type="list">
      <formula1>"Structural (10 Years Consistency),Shallow Cyclical (2 to 3 Years Growth),Cyclical"</formula1>
    </dataValidation>
    <dataValidation sqref="AH2:AH98" showDropDown="0" showInputMessage="0" showErrorMessage="0" allowBlank="1" type="list">
      <formula1>"Yes due to Product Mix change or Operating Leverage,Yes, these are peak margins,No"</formula1>
    </dataValidation>
    <dataValidation sqref="AJ2:AJ98" showDropDown="0" showInputMessage="0" showErrorMessage="0" allowBlank="1" type="list">
      <formula1>"Stable,Volatile"</formula1>
    </dataValidation>
    <dataValidation sqref="AL2:AL98" showDropDown="0" showInputMessage="0" showErrorMessage="0" allowBlank="1" type="list">
      <formula1>"Yes,No"</formula1>
    </dataValidation>
    <dataValidation sqref="AN2:AN98" showDropDown="0" showInputMessage="0" showErrorMessage="0" allowBlank="1" type="list">
      <formula1>"B2C,B2B,B2G"</formula1>
    </dataValidation>
    <dataValidation sqref="AP2:AP98" showDropDown="0" showInputMessage="0" showErrorMessage="0" allowBlank="1" type="list">
      <formula1>"Yes,No"</formula1>
    </dataValidation>
    <dataValidation sqref="AR2:AR98" showDropDown="0" showInputMessage="0" showErrorMessage="0" allowBlank="1" type="list">
      <formula1>"Fully Annuity,Higher Annuity, Lower One time,Higher One Time, Lower Annuity,Fully One Time"</formula1>
    </dataValidation>
    <dataValidation sqref="AT2:AT98" showDropDown="0" showInputMessage="0" showErrorMessage="0" allowBlank="1" type="list">
      <formula1>"Good,Allocated capital in Non-core Areas"</formula1>
    </dataValidation>
    <dataValidation sqref="AV2:AV98" showDropDown="0" showInputMessage="0" showErrorMessage="0" allowBlank="1" type="list">
      <formula1>"Yes for more than 2 years,Yes only for next 1 to 2 years,No"</formula1>
    </dataValidation>
    <dataValidation sqref="AX2:AX98" showDropDown="0" showInputMessage="0" showErrorMessage="0" allowBlank="1" type="list">
      <formula1>"Above 40,20 to 40,0 to 20"</formula1>
    </dataValidation>
    <dataValidation sqref="AZ2:AZ98" showDropDown="0" showInputMessage="0" showErrorMessage="0" allowBlank="1" type="list">
      <formula1>"Between 50 to 75,Above 75,Below 45"</formula1>
    </dataValidation>
    <dataValidation sqref="BB2:BB98" showDropDown="0" showInputMessage="0" showErrorMessage="0" allowBlank="1" type="list">
      <formula1>"Stage 1,Stage 2,Stage 3,Stage 4"</formula1>
    </dataValidation>
    <dataValidation sqref="BD2:BD98" showDropDown="0" showInputMessage="0" showErrorMessage="0" allowBlank="1" type="list">
      <formula1>"Positive Trend,Negative Trend"</formula1>
    </dataValidation>
    <dataValidation sqref="BF2:BF98" showDropDown="0" showInputMessage="0" showErrorMessage="0" allowBlank="1" type="list">
      <formula1>"Uptrend,Sideways,Downtrend"</formula1>
    </dataValidation>
    <dataValidation sqref="BH2:BH98" showDropDown="0" showInputMessage="0" showErrorMessage="0" allowBlank="1" type="list">
      <formula1>"Uptrend,Sideways,Downtrend"</formula1>
    </dataValidation>
    <dataValidation sqref="BJ2:BJ9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8" showDropDown="0" showInputMessage="0" showErrorMessage="0" allowBlank="1" type="list">
      <formula1>"Yes,No"</formula1>
    </dataValidation>
    <dataValidation sqref="BN2:BN98" showDropDown="0" showInputMessage="0" showErrorMessage="0" allowBlank="1" type="list">
      <formula1>"More than 20%,Between 12 to 20%,Less than 12%"</formula1>
    </dataValidation>
    <dataValidation sqref="BP2:BP98" showDropDown="0" showInputMessage="0" showErrorMessage="0" allowBlank="1" type="list">
      <formula1>"Yes,No"</formula1>
    </dataValidation>
    <dataValidation sqref="BR2:BR98" showDropDown="0" showInputMessage="0" showErrorMessage="0" allowBlank="1" type="list">
      <formula1>"Yes,No"</formula1>
    </dataValidation>
    <dataValidation sqref="BT2:BT98" showDropDown="0" showInputMessage="0" showErrorMessage="0" allowBlank="1" type="list">
      <formula1>"Above 2,Between 1.5 to 2,Less than 1.5"</formula1>
    </dataValidation>
    <dataValidation sqref="BV2:BV98" showDropDown="0" showInputMessage="0" showErrorMessage="0" allowBlank="1" type="list">
      <formula1>"Above 70%,Between 50% to 70%,Less than 50%,Less than 50% and Borrowings are increasing,Negative"</formula1>
    </dataValidation>
    <dataValidation sqref="BX2:BX98" showDropDown="0" showInputMessage="0" showErrorMessage="0" allowBlank="1" type="list">
      <formula1>"More than 1.2,Between 0.7 to 1.2,Less than 0.7"</formula1>
    </dataValidation>
    <dataValidation sqref="BZ2:BZ98" showDropDown="0" showInputMessage="0" showErrorMessage="0" allowBlank="1" type="list">
      <formula1>"Yes,No"</formula1>
    </dataValidation>
    <dataValidation sqref="CB2:CB98" showDropDown="0" showInputMessage="0" showErrorMessage="0" allowBlank="1" type="list">
      <formula1>"More than 15%,Less than 15%"</formula1>
    </dataValidation>
    <dataValidation sqref="CD2:CD9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IF(B2=0,"",RANK(B2,$B$2:$B$4,0))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TFCILTD</t>
        </is>
      </c>
      <c r="D2" s="31" t="inlineStr">
        <is>
          <t>Tourism Finance Corporation of India Ltd</t>
        </is>
      </c>
      <c r="E2" s="31" t="inlineStr">
        <is>
          <t>financials</t>
        </is>
      </c>
      <c r="F2" s="31" t="inlineStr">
        <is>
          <t>Finance - PSU Lending</t>
        </is>
      </c>
      <c r="G2" s="31" t="inlineStr">
        <is>
          <t>midcap</t>
        </is>
      </c>
      <c r="H2" s="32" t="n">
        <v>6365.94</v>
      </c>
      <c r="I2" s="32" t="n">
        <v>137.5</v>
      </c>
      <c r="J2" s="32" t="n">
        <v>6.13</v>
      </c>
      <c r="K2" s="32" t="n">
        <v>0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84.83</v>
      </c>
      <c r="P2" s="32" t="n">
        <v>58.36</v>
      </c>
      <c r="Q2" s="32" t="n">
        <v>109.76</v>
      </c>
      <c r="R2" s="31" t="inlineStr">
        <is>
          <t>Near 52W High Breakout</t>
        </is>
      </c>
      <c r="S2" s="31" t="inlineStr">
        <is>
          <t>Nifty Bank</t>
        </is>
      </c>
      <c r="T2" s="32" t="n">
        <v>7.19</v>
      </c>
      <c r="U2" s="32" t="n">
        <v>128.76</v>
      </c>
      <c r="V2" s="32" t="n">
        <v>113.41</v>
      </c>
      <c r="W2" s="32" t="n">
        <v>39.7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26</t>
        </is>
      </c>
      <c r="CC2" s="31">
        <f>IF(CB2&gt;20,10,IF(CB2&gt;=10,5,2))</f>
        <v/>
      </c>
    </row>
    <row r="3">
      <c r="A3" s="31">
        <f>IF(B3=0,"",RANK(B3,$B$2:$B$4,0))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IIFL</t>
        </is>
      </c>
      <c r="D3" s="31" t="inlineStr">
        <is>
          <t>IIFL Finance Ltd</t>
        </is>
      </c>
      <c r="E3" s="31" t="inlineStr">
        <is>
          <t>financials</t>
        </is>
      </c>
      <c r="F3" s="31" t="inlineStr">
        <is>
          <t>Finance &amp; Investments - Gold Loan</t>
        </is>
      </c>
      <c r="G3" s="31" t="inlineStr">
        <is>
          <t>largecap</t>
        </is>
      </c>
      <c r="H3" s="32" t="n">
        <v>28219.78</v>
      </c>
      <c r="I3" s="32" t="n">
        <v>663.4</v>
      </c>
      <c r="J3" s="32" t="n">
        <v>-4.74</v>
      </c>
      <c r="K3" s="32" t="n">
        <v>0</v>
      </c>
      <c r="L3" s="31" t="n">
        <v>70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72.42</v>
      </c>
      <c r="P3" s="32" t="n">
        <v>25.29</v>
      </c>
      <c r="Q3" s="32" t="n">
        <v>545.55</v>
      </c>
      <c r="R3" s="31" t="inlineStr">
        <is>
          <t>Near 52W High Breakout</t>
        </is>
      </c>
      <c r="S3" s="31" t="inlineStr">
        <is>
          <t>Nifty Bank</t>
        </is>
      </c>
      <c r="T3" s="32" t="n">
        <v>7.19</v>
      </c>
      <c r="U3" s="32" t="n">
        <v>56.96</v>
      </c>
      <c r="V3" s="32" t="n">
        <v>46.43</v>
      </c>
      <c r="W3" s="32" t="n">
        <v>20.24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22</t>
        </is>
      </c>
      <c r="CC3" s="31">
        <f>IF(CB3&gt;20,10,IF(CB3&gt;=10,5,2))</f>
        <v/>
      </c>
    </row>
    <row r="4">
      <c r="A4" s="31">
        <f>IF(B4=0,"",RANK(B4,$B$2:$B$4,0))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OFSS</t>
        </is>
      </c>
      <c r="D4" s="31" t="inlineStr">
        <is>
          <t>Oracle Financial Services Software Ltd</t>
        </is>
      </c>
      <c r="E4" s="31" t="inlineStr">
        <is>
          <t>i.t</t>
        </is>
      </c>
      <c r="F4" s="31" t="inlineStr">
        <is>
          <t>IT Product Companies</t>
        </is>
      </c>
      <c r="G4" s="31" t="inlineStr">
        <is>
          <t>largecap</t>
        </is>
      </c>
      <c r="H4" s="32" t="n">
        <v>102139.8</v>
      </c>
      <c r="I4" s="32" t="n">
        <v>11729</v>
      </c>
      <c r="J4" s="32" t="n">
        <v>1.83</v>
      </c>
      <c r="K4" s="32" t="n">
        <v>0</v>
      </c>
      <c r="L4" s="31" t="n">
        <v>54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67.93000000000001</v>
      </c>
      <c r="P4" s="32" t="n">
        <v>29.24</v>
      </c>
      <c r="Q4" s="32" t="n">
        <v>9536.379999999999</v>
      </c>
      <c r="R4" s="31" t="inlineStr">
        <is>
          <t>Near 52W High Breakout</t>
        </is>
      </c>
      <c r="S4" s="31" t="inlineStr">
        <is>
          <t>Nifty IT</t>
        </is>
      </c>
      <c r="T4" s="32" t="n">
        <v>-12.53</v>
      </c>
      <c r="U4" s="32" t="n">
        <v>47.73</v>
      </c>
      <c r="V4" s="32" t="n">
        <v>68.90000000000001</v>
      </c>
      <c r="W4" s="32" t="n">
        <v>13.61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21</t>
        </is>
      </c>
      <c r="CC4" s="31">
        <f>IF(CB4&gt;20,10,IF(CB4&gt;=10,5,2))</f>
        <v/>
      </c>
    </row>
    <row r="8">
      <c r="A8" s="25" t="inlineStr">
        <is>
          <t>❌ REMOVED SCAN MATCH STOCKS (THIS WEEK)</t>
        </is>
      </c>
    </row>
    <row r="9">
      <c r="A9" s="35" t="inlineStr">
        <is>
          <t>Symbol</t>
        </is>
      </c>
      <c r="B9" s="35" t="inlineStr">
        <is>
          <t>Company Name</t>
        </is>
      </c>
      <c r="C9" s="35" t="inlineStr">
        <is>
          <t>Sector</t>
        </is>
      </c>
      <c r="D9" s="35" t="inlineStr">
        <is>
          <t>Date of Removal</t>
        </is>
      </c>
    </row>
  </sheetData>
  <autoFilter ref="A1:CC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4">
    <cfRule type="cellIs" priority="35" operator="equal" dxfId="3" stopIfTrue="1">
      <formula>"Underperforming"</formula>
    </cfRule>
  </conditionalFormatting>
  <conditionalFormatting sqref="N2:N4">
    <cfRule type="cellIs" priority="36" operator="equal" dxfId="3" stopIfTrue="1">
      <formula>-5</formula>
    </cfRule>
  </conditionalFormatting>
  <conditionalFormatting sqref="Q2:Q4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4" showDropDown="0" showInputMessage="0" showErrorMessage="0" allowBlank="1" type="list">
      <formula1>"Growing Industry,Stagnant Industry,Cyclical in an Upturn"</formula1>
    </dataValidation>
    <dataValidation sqref="Z2:Z4" showDropDown="0" showInputMessage="0" showErrorMessage="0" allowBlank="1" type="list">
      <formula1>"Fragmented with Low ROE,Fragmented with High ROE,Highly Cyclical"</formula1>
    </dataValidation>
    <dataValidation sqref="AB2:AB4" showDropDown="0" showInputMessage="0" showErrorMessage="0" allowBlank="1" type="list">
      <formula1>"Yes,No"</formula1>
    </dataValidation>
    <dataValidation sqref="AD2:AD4" showDropDown="0" showInputMessage="0" showErrorMessage="0" allowBlank="1" type="list">
      <formula1>"Tailwind,Headwind"</formula1>
    </dataValidation>
    <dataValidation sqref="AF2:AF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" showDropDown="0" showInputMessage="0" showErrorMessage="0" allowBlank="1" type="list">
      <formula1>"Yes,No"</formula1>
    </dataValidation>
    <dataValidation sqref="AJ2:AJ4" showDropDown="0" showInputMessage="0" showErrorMessage="0" allowBlank="1" type="list">
      <formula1>"Yes,No,Not Applicable"</formula1>
    </dataValidation>
    <dataValidation sqref="AL2:AL4" showDropDown="0" showInputMessage="0" showErrorMessage="0" allowBlank="1" type="list">
      <formula1>"Yes,No"</formula1>
    </dataValidation>
    <dataValidation sqref="AN2:AN4" showDropDown="0" showInputMessage="0" showErrorMessage="0" allowBlank="1" type="list">
      <formula1>"Yes,No"</formula1>
    </dataValidation>
    <dataValidation sqref="AP2:AP4" showDropDown="0" showInputMessage="0" showErrorMessage="0" allowBlank="1" type="list">
      <formula1>"Yes,No"</formula1>
    </dataValidation>
    <dataValidation sqref="AR2:AR4" showDropDown="0" showInputMessage="0" showErrorMessage="0" allowBlank="1" type="list">
      <formula1>"Yes,No"</formula1>
    </dataValidation>
    <dataValidation sqref="AT2:AT4" showDropDown="0" showInputMessage="0" showErrorMessage="0" allowBlank="1" type="list">
      <formula1>"No,Yes"</formula1>
    </dataValidation>
    <dataValidation sqref="AV2:AV4" showDropDown="0" showInputMessage="0" showErrorMessage="0" allowBlank="1" type="list">
      <formula1>"No,Yes"</formula1>
    </dataValidation>
    <dataValidation sqref="AX2:AX4" showDropDown="0" showInputMessage="0" showErrorMessage="0" allowBlank="1" type="list">
      <formula1>"No,Yes CEO Resignation,Yes CEO Retirement"</formula1>
    </dataValidation>
    <dataValidation sqref="AZ2:AZ4" showDropDown="0" showInputMessage="0" showErrorMessage="0" allowBlank="1" type="list">
      <formula1>"No,Yes"</formula1>
    </dataValidation>
    <dataValidation sqref="BB2:BB4" showDropDown="0" showInputMessage="0" showErrorMessage="0" allowBlank="1" type="list">
      <formula1>"No,Yes"</formula1>
    </dataValidation>
    <dataValidation sqref="BD2:BD4" showDropDown="0" showInputMessage="0" showErrorMessage="0" allowBlank="1" type="list">
      <formula1>"Yes,No"</formula1>
    </dataValidation>
    <dataValidation sqref="BF2:BF4" showDropDown="0" showInputMessage="0" showErrorMessage="0" allowBlank="1" type="list">
      <formula1>"Yes,No"</formula1>
    </dataValidation>
    <dataValidation sqref="BH2:BH4" showDropDown="0" showInputMessage="0" showErrorMessage="0" allowBlank="1" type="list">
      <formula1>"Yes,No"</formula1>
    </dataValidation>
    <dataValidation sqref="BJ2:BJ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" showDropDown="0" showInputMessage="0" showErrorMessage="0" allowBlank="1" type="list">
      <formula1>"Above 40,20 to 40,0 to 20"</formula1>
    </dataValidation>
    <dataValidation sqref="BN2:BN4" showDropDown="0" showInputMessage="0" showErrorMessage="0" allowBlank="1" type="list">
      <formula1>"Between 50 to 75,Above 75,Below 45"</formula1>
    </dataValidation>
    <dataValidation sqref="BP2:BP4" showDropDown="0" showInputMessage="0" showErrorMessage="0" allowBlank="1" type="list">
      <formula1>"Stage 1,Stage 2,Stage 3,Stage 4"</formula1>
    </dataValidation>
    <dataValidation sqref="BR2:BR4" showDropDown="0" showInputMessage="0" showErrorMessage="0" allowBlank="1" type="list">
      <formula1>"Positive Trend,Negative Trend"</formula1>
    </dataValidation>
    <dataValidation sqref="BT2:BT4" showDropDown="0" showInputMessage="0" showErrorMessage="0" allowBlank="1" type="list">
      <formula1>"Uptrend,Sideways,Downtrend"</formula1>
    </dataValidation>
    <dataValidation sqref="BV2:BV4" showDropDown="0" showInputMessage="0" showErrorMessage="0" allowBlank="1" type="list">
      <formula1>"Uptrend,Sideways,Downtrend"</formula1>
    </dataValidation>
    <dataValidation sqref="BX2:BX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2026-08-25T10:55:17Z</dcterms:created>
  <dcterms:modified xmlns:dcterms="http://purl.org/dc/terms/" xmlns:xsi="http://www.w3.org/2001/XMLSchema-instance" xsi:type="dcterms:W3CDTF">2026-08-25T10:56:58Z</dcterms:modified>
</cp:coreProperties>
</file>