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Universe'!$A$1:$J$264</definedName>
    <definedName name="_xlnm._FilterDatabase" localSheetId="3" hidden="1">'Confluence Overlap'!$A$1:$K$80</definedName>
    <definedName name="_xlnm._FilterDatabase" localSheetId="4" hidden="1">'Monit Non Financial'!$A$1:$CE$239</definedName>
    <definedName name="_xlnm._FilterDatabase" localSheetId="5" hidden="1">'Monit Banks NBFC'!$A$1:$CA$26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Financial'!$A$1:$CG$97</definedName>
    <definedName name="_xlnm._FilterDatabase" localSheetId="9" hidden="1">'Scan Match Banks NBFC'!$A$1:$CC$5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10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25" customWidth="1" min="3" max="3"/>
    <col width="48" customWidth="1" min="4" max="4"/>
    <col width="21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414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54</v>
      </c>
      <c r="G6" s="19" t="n">
        <v>13273.46</v>
      </c>
      <c r="H6" s="18" t="inlineStr">
        <is>
          <t>Potential Leader</t>
        </is>
      </c>
      <c r="J6" s="18" t="inlineStr">
        <is>
          <t>nan</t>
        </is>
      </c>
      <c r="K6" s="16" t="n">
        <v>1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402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52</v>
      </c>
      <c r="G7" s="19" t="n">
        <v>4460.06</v>
      </c>
      <c r="H7" s="18" t="inlineStr">
        <is>
          <t>Potential Leader</t>
        </is>
      </c>
      <c r="J7" s="18" t="inlineStr">
        <is>
          <t>transportation</t>
        </is>
      </c>
      <c r="K7" s="16" t="n">
        <v>21</v>
      </c>
      <c r="L7" s="16" t="n">
        <v>17</v>
      </c>
      <c r="M7" s="20" t="inlineStr">
        <is>
          <t>23.5%</t>
        </is>
      </c>
    </row>
    <row r="8">
      <c r="A8" s="16" t="n">
        <v>3</v>
      </c>
      <c r="B8" s="17" t="n">
        <v>402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52</v>
      </c>
      <c r="G8" s="19" t="n">
        <v>4770.17</v>
      </c>
      <c r="H8" s="18" t="inlineStr">
        <is>
          <t>Potential Leader</t>
        </is>
      </c>
      <c r="J8" s="18" t="inlineStr">
        <is>
          <t>fmcg</t>
        </is>
      </c>
      <c r="K8" s="16" t="n">
        <v>81</v>
      </c>
      <c r="L8" s="16" t="n">
        <v>73</v>
      </c>
      <c r="M8" s="20" t="inlineStr">
        <is>
          <t>11.0%</t>
        </is>
      </c>
    </row>
    <row r="9">
      <c r="A9" s="16" t="n">
        <v>4</v>
      </c>
      <c r="B9" s="17" t="n">
        <v>396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51</v>
      </c>
      <c r="G9" s="19" t="n">
        <v>13108.35</v>
      </c>
      <c r="H9" s="18" t="inlineStr">
        <is>
          <t>Potential Leader</t>
        </is>
      </c>
      <c r="J9" s="18" t="inlineStr">
        <is>
          <t>miscellaneous</t>
        </is>
      </c>
      <c r="K9" s="16" t="n">
        <v>54</v>
      </c>
      <c r="L9" s="16" t="n">
        <v>49</v>
      </c>
      <c r="M9" s="20" t="inlineStr">
        <is>
          <t>10.2%</t>
        </is>
      </c>
    </row>
    <row r="10">
      <c r="A10" s="16" t="n">
        <v>5</v>
      </c>
      <c r="B10" s="17" t="n">
        <v>396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51</v>
      </c>
      <c r="G10" s="19" t="n">
        <v>3030.26</v>
      </c>
      <c r="H10" s="18" t="inlineStr">
        <is>
          <t>Potential Leader</t>
        </is>
      </c>
      <c r="J10" s="18" t="inlineStr">
        <is>
          <t>energy</t>
        </is>
      </c>
      <c r="K10" s="16" t="n">
        <v>49</v>
      </c>
      <c r="L10" s="16" t="n">
        <v>45</v>
      </c>
      <c r="M10" s="20" t="inlineStr">
        <is>
          <t>8.9%</t>
        </is>
      </c>
    </row>
    <row r="11">
      <c r="A11" s="16" t="n">
        <v>6</v>
      </c>
      <c r="B11" s="17" t="n">
        <v>396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51</v>
      </c>
      <c r="G11" s="19" t="n">
        <v>37236.69</v>
      </c>
      <c r="H11" s="18" t="inlineStr">
        <is>
          <t>Potential Leader</t>
        </is>
      </c>
      <c r="J11" s="18" t="inlineStr">
        <is>
          <t>bank</t>
        </is>
      </c>
      <c r="K11" s="16" t="n">
        <v>57</v>
      </c>
      <c r="L11" s="16" t="n">
        <v>53</v>
      </c>
      <c r="M11" s="20" t="inlineStr">
        <is>
          <t>7.5%</t>
        </is>
      </c>
    </row>
    <row r="12">
      <c r="A12" s="16" t="n">
        <v>7</v>
      </c>
      <c r="B12" s="17" t="n">
        <v>390</v>
      </c>
      <c r="C12" s="17" t="inlineStr">
        <is>
          <t>BAJAJCON</t>
        </is>
      </c>
      <c r="D12" s="18" t="inlineStr">
        <is>
          <t>Bajaj Consumer Care Ltd</t>
        </is>
      </c>
      <c r="E12" s="18" t="inlineStr">
        <is>
          <t>fmcg</t>
        </is>
      </c>
      <c r="F12" s="16" t="n">
        <v>50</v>
      </c>
      <c r="G12" s="19" t="n">
        <v>7604.6</v>
      </c>
      <c r="H12" s="18" t="inlineStr">
        <is>
          <t>Potential Leader</t>
        </is>
      </c>
      <c r="J12" s="18" t="inlineStr">
        <is>
          <t>chemicals</t>
        </is>
      </c>
      <c r="K12" s="16" t="n">
        <v>63</v>
      </c>
      <c r="L12" s="16" t="n">
        <v>59</v>
      </c>
      <c r="M12" s="20" t="inlineStr">
        <is>
          <t>6.8%</t>
        </is>
      </c>
    </row>
    <row r="13">
      <c r="A13" s="16" t="n">
        <v>8</v>
      </c>
      <c r="B13" s="17" t="n">
        <v>390</v>
      </c>
      <c r="C13" s="17" t="inlineStr">
        <is>
          <t>STLTECH</t>
        </is>
      </c>
      <c r="D13" s="18" t="inlineStr">
        <is>
          <t>Sterlite Technologies Limited</t>
        </is>
      </c>
      <c r="E13" s="18" t="inlineStr">
        <is>
          <t>industrials</t>
        </is>
      </c>
      <c r="F13" s="16" t="n">
        <v>50</v>
      </c>
      <c r="G13" s="19" t="n">
        <v>29922.52</v>
      </c>
      <c r="H13" s="18" t="inlineStr">
        <is>
          <t>Potential Leader</t>
        </is>
      </c>
      <c r="J13" s="18" t="inlineStr">
        <is>
          <t>aerospace &amp; defence</t>
        </is>
      </c>
      <c r="K13" s="16" t="n">
        <v>62</v>
      </c>
      <c r="L13" s="16" t="n">
        <v>59</v>
      </c>
      <c r="M13" s="20" t="inlineStr">
        <is>
          <t>5.1%</t>
        </is>
      </c>
    </row>
    <row r="14">
      <c r="A14" s="16" t="n">
        <v>9</v>
      </c>
      <c r="B14" s="17" t="n">
        <v>390</v>
      </c>
      <c r="C14" s="17" t="inlineStr">
        <is>
          <t>STYLAMIND</t>
        </is>
      </c>
      <c r="D14" s="18" t="inlineStr">
        <is>
          <t>Stylam Industries Ltd</t>
        </is>
      </c>
      <c r="E14" s="18" t="inlineStr">
        <is>
          <t>building materials</t>
        </is>
      </c>
      <c r="F14" s="16" t="n">
        <v>50</v>
      </c>
      <c r="G14" s="19" t="n">
        <v>5259.83</v>
      </c>
      <c r="H14" s="18" t="inlineStr">
        <is>
          <t>Potential Leader</t>
        </is>
      </c>
      <c r="J14" s="18" t="inlineStr">
        <is>
          <t>healthcare</t>
        </is>
      </c>
      <c r="K14" s="16" t="n">
        <v>222</v>
      </c>
      <c r="L14" s="16" t="n">
        <v>219</v>
      </c>
      <c r="M14" s="20" t="inlineStr">
        <is>
          <t>1.4%</t>
        </is>
      </c>
    </row>
    <row r="15">
      <c r="A15" s="16" t="n">
        <v>10</v>
      </c>
      <c r="B15" s="17" t="n">
        <v>378</v>
      </c>
      <c r="C15" s="17" t="inlineStr">
        <is>
          <t>ADANIGREEN</t>
        </is>
      </c>
      <c r="D15" s="18" t="inlineStr">
        <is>
          <t>Adani Green Energy Ltd</t>
        </is>
      </c>
      <c r="E15" s="18" t="inlineStr">
        <is>
          <t>power &amp; utilities</t>
        </is>
      </c>
      <c r="F15" s="16" t="n">
        <v>48</v>
      </c>
      <c r="G15" s="19" t="n">
        <v>252759.18</v>
      </c>
      <c r="H15" s="18" t="inlineStr">
        <is>
          <t>Potential Leader</t>
        </is>
      </c>
      <c r="J15" s="18" t="inlineStr">
        <is>
          <t>services</t>
        </is>
      </c>
      <c r="K15" s="16" t="n">
        <v>45</v>
      </c>
      <c r="L15" s="16" t="n">
        <v>45</v>
      </c>
      <c r="M15" s="20" t="inlineStr">
        <is>
          <t>0.0%</t>
        </is>
      </c>
    </row>
    <row r="16">
      <c r="A16" s="16" t="n">
        <v>11</v>
      </c>
      <c r="B16" s="17" t="n">
        <v>378</v>
      </c>
      <c r="C16" s="17" t="inlineStr">
        <is>
          <t>ADANIPORTS</t>
        </is>
      </c>
      <c r="D16" s="18" t="inlineStr">
        <is>
          <t>Adani Ports And Special Economic Zone Limited</t>
        </is>
      </c>
      <c r="E16" s="18" t="inlineStr">
        <is>
          <t>transportation</t>
        </is>
      </c>
      <c r="F16" s="16" t="n">
        <v>48</v>
      </c>
      <c r="G16" s="19" t="n">
        <v>420795.09</v>
      </c>
      <c r="H16" s="18" t="inlineStr">
        <is>
          <t>Potential Leader</t>
        </is>
      </c>
      <c r="J16" s="18" t="inlineStr">
        <is>
          <t>telecom-service</t>
        </is>
      </c>
      <c r="K16" s="16" t="n">
        <v>10</v>
      </c>
      <c r="L16" s="16" t="n">
        <v>10</v>
      </c>
      <c r="M16" s="20" t="inlineStr">
        <is>
          <t>0.0%</t>
        </is>
      </c>
    </row>
    <row r="17">
      <c r="A17" s="16" t="n">
        <v>12</v>
      </c>
      <c r="B17" s="17" t="n">
        <v>378</v>
      </c>
      <c r="C17" s="17" t="inlineStr">
        <is>
          <t>APCOTEXIND</t>
        </is>
      </c>
      <c r="D17" s="18" t="inlineStr">
        <is>
          <t>Apcotex Industries Limited</t>
        </is>
      </c>
      <c r="E17" s="18" t="inlineStr">
        <is>
          <t>chemicals</t>
        </is>
      </c>
      <c r="F17" s="16" t="n">
        <v>48</v>
      </c>
      <c r="G17" s="19" t="n">
        <v>2794.44</v>
      </c>
      <c r="H17" s="18" t="inlineStr">
        <is>
          <t>Potential Leader</t>
        </is>
      </c>
      <c r="J17" s="18" t="inlineStr">
        <is>
          <t>realty</t>
        </is>
      </c>
      <c r="K17" s="16" t="n">
        <v>59</v>
      </c>
      <c r="L17" s="16" t="n">
        <v>62</v>
      </c>
      <c r="M17" s="21" t="inlineStr">
        <is>
          <t>-4.8%</t>
        </is>
      </c>
    </row>
    <row r="18">
      <c r="A18" s="16" t="n">
        <v>13</v>
      </c>
      <c r="B18" s="17" t="n">
        <v>378</v>
      </c>
      <c r="C18" s="17" t="inlineStr">
        <is>
          <t>CRAFTSMAN</t>
        </is>
      </c>
      <c r="D18" s="18" t="inlineStr">
        <is>
          <t>Craftsman Automation Ltd</t>
        </is>
      </c>
      <c r="E18" s="18" t="inlineStr">
        <is>
          <t>auto</t>
        </is>
      </c>
      <c r="F18" s="16" t="n">
        <v>48</v>
      </c>
      <c r="G18" s="19" t="n">
        <v>21771.8</v>
      </c>
      <c r="H18" s="18" t="inlineStr">
        <is>
          <t>Potential Leader</t>
        </is>
      </c>
      <c r="J18" s="18" t="inlineStr">
        <is>
          <t>industrials</t>
        </is>
      </c>
      <c r="K18" s="16" t="n">
        <v>217</v>
      </c>
      <c r="L18" s="16" t="n">
        <v>234</v>
      </c>
      <c r="M18" s="21" t="inlineStr">
        <is>
          <t>-7.3%</t>
        </is>
      </c>
    </row>
    <row r="19">
      <c r="A19" s="16" t="n">
        <v>14</v>
      </c>
      <c r="B19" s="17" t="n">
        <v>378</v>
      </c>
      <c r="C19" s="17" t="inlineStr">
        <is>
          <t>HFCL</t>
        </is>
      </c>
      <c r="D19" s="18" t="inlineStr">
        <is>
          <t>HFCL Ltd</t>
        </is>
      </c>
      <c r="E19" s="18" t="inlineStr">
        <is>
          <t>telecom</t>
        </is>
      </c>
      <c r="F19" s="16" t="n">
        <v>48</v>
      </c>
      <c r="G19" s="19" t="n">
        <v>27246.25</v>
      </c>
      <c r="H19" s="18" t="inlineStr">
        <is>
          <t>Potential Leader</t>
        </is>
      </c>
      <c r="J19" s="18" t="inlineStr">
        <is>
          <t>media</t>
        </is>
      </c>
      <c r="K19" s="16" t="n">
        <v>10</v>
      </c>
      <c r="L19" s="16" t="n">
        <v>11</v>
      </c>
      <c r="M19" s="21" t="inlineStr">
        <is>
          <t>-9.1%</t>
        </is>
      </c>
    </row>
    <row r="20">
      <c r="A20" s="16" t="n">
        <v>15</v>
      </c>
      <c r="B20" s="17" t="n">
        <v>378</v>
      </c>
      <c r="C20" s="17" t="inlineStr">
        <is>
          <t>SATIN</t>
        </is>
      </c>
      <c r="D20" s="18" t="inlineStr">
        <is>
          <t>Satin Creditcare Network Limited</t>
        </is>
      </c>
      <c r="E20" s="18" t="inlineStr">
        <is>
          <t>financials</t>
        </is>
      </c>
      <c r="F20" s="16" t="n">
        <v>48</v>
      </c>
      <c r="G20" s="19" t="n">
        <v>2674.5</v>
      </c>
      <c r="H20" s="18" t="inlineStr">
        <is>
          <t>Potential Leader</t>
        </is>
      </c>
      <c r="J20" s="18" t="inlineStr">
        <is>
          <t>auto</t>
        </is>
      </c>
      <c r="K20" s="16" t="n">
        <v>116</v>
      </c>
      <c r="L20" s="16" t="n">
        <v>128</v>
      </c>
      <c r="M20" s="21" t="inlineStr">
        <is>
          <t>-9.4%</t>
        </is>
      </c>
    </row>
    <row r="21">
      <c r="A21" s="16" t="n">
        <v>16</v>
      </c>
      <c r="B21" s="17" t="n">
        <v>378</v>
      </c>
      <c r="C21" s="17" t="inlineStr">
        <is>
          <t>SHILPAMED</t>
        </is>
      </c>
      <c r="D21" s="18" t="inlineStr">
        <is>
          <t>Shilpa Medicare Limited</t>
        </is>
      </c>
      <c r="E21" s="18" t="inlineStr">
        <is>
          <t>healthcare</t>
        </is>
      </c>
      <c r="F21" s="16" t="n">
        <v>48</v>
      </c>
      <c r="G21" s="19" t="n">
        <v>11131.54</v>
      </c>
      <c r="H21" s="18" t="inlineStr">
        <is>
          <t>Potential Leader</t>
        </is>
      </c>
    </row>
    <row r="22">
      <c r="A22" s="16" t="n">
        <v>17</v>
      </c>
      <c r="B22" s="17" t="n">
        <v>378</v>
      </c>
      <c r="C22" s="17" t="inlineStr">
        <is>
          <t>THERMAX</t>
        </is>
      </c>
      <c r="D22" s="18" t="inlineStr">
        <is>
          <t>Thermax Limited</t>
        </is>
      </c>
      <c r="E22" s="18" t="inlineStr">
        <is>
          <t>industrials</t>
        </is>
      </c>
      <c r="F22" s="16" t="n">
        <v>48</v>
      </c>
      <c r="G22" s="19" t="n">
        <v>56478.89</v>
      </c>
      <c r="H22" s="18" t="inlineStr">
        <is>
          <t>Potential Leader</t>
        </is>
      </c>
    </row>
    <row r="23">
      <c r="A23" s="16" t="n">
        <v>18</v>
      </c>
      <c r="B23" s="17" t="n">
        <v>366</v>
      </c>
      <c r="C23" s="17" t="inlineStr">
        <is>
          <t>BBOX</t>
        </is>
      </c>
      <c r="D23" s="18" t="inlineStr">
        <is>
          <t>Black Box Ltd</t>
        </is>
      </c>
      <c r="E23" s="18" t="inlineStr">
        <is>
          <t>i.t</t>
        </is>
      </c>
      <c r="F23" s="16" t="n">
        <v>46</v>
      </c>
      <c r="G23" s="19" t="n">
        <v>17218.81</v>
      </c>
      <c r="H23" s="18" t="inlineStr">
        <is>
          <t>Potential Leader</t>
        </is>
      </c>
    </row>
    <row r="24">
      <c r="A24" s="16" t="n">
        <v>19</v>
      </c>
      <c r="B24" s="17" t="n">
        <v>366</v>
      </c>
      <c r="C24" s="17" t="inlineStr">
        <is>
          <t>GVPIL</t>
        </is>
      </c>
      <c r="D24" s="18" t="inlineStr">
        <is>
          <t>GE Power India Ltd</t>
        </is>
      </c>
      <c r="E24" s="18" t="inlineStr">
        <is>
          <t>realty</t>
        </is>
      </c>
      <c r="F24" s="16" t="n">
        <v>46</v>
      </c>
      <c r="G24" s="19" t="n">
        <v>6087.45</v>
      </c>
      <c r="H24" s="18" t="inlineStr">
        <is>
          <t>Potential Leader</t>
        </is>
      </c>
    </row>
    <row r="25">
      <c r="A25" s="16" t="n">
        <v>20</v>
      </c>
      <c r="B25" s="17" t="n">
        <v>354</v>
      </c>
      <c r="C25" s="17" t="inlineStr">
        <is>
          <t>NINSYS</t>
        </is>
      </c>
      <c r="D25" s="18" t="inlineStr">
        <is>
          <t>NINtec Systems Ltd</t>
        </is>
      </c>
      <c r="E25" s="18" t="inlineStr">
        <is>
          <t>i.t</t>
        </is>
      </c>
      <c r="F25" s="16" t="n">
        <v>44</v>
      </c>
      <c r="G25" s="19" t="n">
        <v>1335.43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KOVAI</t>
        </is>
      </c>
      <c r="B30" s="18" t="inlineStr">
        <is>
          <t>Kovai Medical Center &amp; Hospital Ltd</t>
        </is>
      </c>
      <c r="C30" s="18" t="inlineStr">
        <is>
          <t>healthcare</t>
        </is>
      </c>
      <c r="D30" s="16" t="n">
        <v>10</v>
      </c>
      <c r="E30" s="16" t="n">
        <v>1</v>
      </c>
      <c r="F30" s="19" t="n">
        <v>6287.42</v>
      </c>
      <c r="J30" s="17" t="inlineStr">
        <is>
          <t>SATIN</t>
        </is>
      </c>
      <c r="K30" s="18" t="inlineStr">
        <is>
          <t>financials</t>
        </is>
      </c>
      <c r="L30" s="19" t="n">
        <v>297</v>
      </c>
      <c r="M30" s="19" t="n">
        <v>2674.5</v>
      </c>
      <c r="N30" s="16" t="n">
        <v>30</v>
      </c>
    </row>
    <row r="31">
      <c r="A31" s="17" t="inlineStr">
        <is>
          <t>GEECEE</t>
        </is>
      </c>
      <c r="B31" s="18" t="inlineStr">
        <is>
          <t>Geecee Ventures Limited</t>
        </is>
      </c>
      <c r="C31" s="18" t="inlineStr">
        <is>
          <t>financials</t>
        </is>
      </c>
      <c r="D31" s="16" t="n">
        <v>10</v>
      </c>
      <c r="E31" s="16" t="n">
        <v>0</v>
      </c>
      <c r="F31" s="19" t="n">
        <v>679.11</v>
      </c>
      <c r="J31" s="17" t="inlineStr">
        <is>
          <t>WELINV</t>
        </is>
      </c>
      <c r="K31" s="18" t="inlineStr">
        <is>
          <t>financials</t>
        </is>
      </c>
      <c r="L31" s="19" t="n">
        <v>290</v>
      </c>
      <c r="M31" s="19" t="n">
        <v>676.74</v>
      </c>
      <c r="N31" s="16" t="n">
        <v>30</v>
      </c>
    </row>
    <row r="32">
      <c r="A32" s="17" t="inlineStr">
        <is>
          <t>VADILALIND</t>
        </is>
      </c>
      <c r="B32" s="18" t="inlineStr">
        <is>
          <t>Vadilal Industries Limited</t>
        </is>
      </c>
      <c r="C32" s="18" t="inlineStr">
        <is>
          <t>fmcg</t>
        </is>
      </c>
      <c r="D32" s="16" t="n">
        <v>10</v>
      </c>
      <c r="E32" s="16" t="n">
        <v>0</v>
      </c>
      <c r="F32" s="19" t="n">
        <v>4138.47</v>
      </c>
      <c r="J32" s="17" t="inlineStr">
        <is>
          <t>IBULLSLTD</t>
        </is>
      </c>
      <c r="K32" s="18" t="inlineStr">
        <is>
          <t>miscellaneous</t>
        </is>
      </c>
      <c r="L32" s="19" t="n">
        <v>290</v>
      </c>
      <c r="M32" s="19" t="n">
        <v>5687.76</v>
      </c>
      <c r="N32" s="16" t="n">
        <v>26</v>
      </c>
    </row>
    <row r="33">
      <c r="A33" s="17" t="inlineStr">
        <is>
          <t>AEGISLOG</t>
        </is>
      </c>
      <c r="B33" s="18" t="inlineStr">
        <is>
          <t>Aegis Logistics Ltd</t>
        </is>
      </c>
      <c r="C33" s="18" t="inlineStr">
        <is>
          <t>services</t>
        </is>
      </c>
      <c r="D33" s="16" t="n">
        <v>9</v>
      </c>
      <c r="E33" s="16" t="n">
        <v>0</v>
      </c>
      <c r="F33" s="19" t="n">
        <v>27471.02</v>
      </c>
      <c r="J33" s="17" t="inlineStr">
        <is>
          <t>MBAPL</t>
        </is>
      </c>
      <c r="K33" s="18" t="inlineStr">
        <is>
          <t>chemicals</t>
        </is>
      </c>
      <c r="L33" s="19" t="n">
        <v>288</v>
      </c>
      <c r="M33" s="19" t="n">
        <v>4853.66</v>
      </c>
      <c r="N33" s="16" t="n">
        <v>10</v>
      </c>
    </row>
    <row r="34">
      <c r="A34" s="17" t="inlineStr">
        <is>
          <t>NOVARTIND</t>
        </is>
      </c>
      <c r="B34" s="18" t="inlineStr">
        <is>
          <t>NOVARTIND</t>
        </is>
      </c>
      <c r="C34" s="18" t="inlineStr">
        <is>
          <t>unknown</t>
        </is>
      </c>
      <c r="D34" s="16" t="n">
        <v>9</v>
      </c>
      <c r="E34" s="16" t="n">
        <v>1</v>
      </c>
      <c r="F34" s="19" t="n">
        <v>0</v>
      </c>
      <c r="J34" s="17" t="inlineStr">
        <is>
          <t>BAJAJCON</t>
        </is>
      </c>
      <c r="K34" s="18" t="inlineStr">
        <is>
          <t>fmcg</t>
        </is>
      </c>
      <c r="L34" s="19" t="n">
        <v>287</v>
      </c>
      <c r="M34" s="19" t="n">
        <v>7604.6</v>
      </c>
      <c r="N34" s="16" t="n">
        <v>30</v>
      </c>
    </row>
    <row r="35">
      <c r="A35" s="17" t="inlineStr">
        <is>
          <t>SVLL</t>
        </is>
      </c>
      <c r="B35" s="18" t="inlineStr">
        <is>
          <t>Shree Vasu Logistics Ltd</t>
        </is>
      </c>
      <c r="C35" s="18" t="inlineStr">
        <is>
          <t>transportation</t>
        </is>
      </c>
      <c r="D35" s="16" t="n">
        <v>8</v>
      </c>
      <c r="E35" s="16" t="n">
        <v>0</v>
      </c>
      <c r="F35" s="19" t="n">
        <v>872.14</v>
      </c>
      <c r="J35" s="17" t="inlineStr">
        <is>
          <t>RBLBANK</t>
        </is>
      </c>
      <c r="K35" s="18" t="inlineStr">
        <is>
          <t>bank</t>
        </is>
      </c>
      <c r="L35" s="19" t="n">
        <v>285</v>
      </c>
      <c r="M35" s="19" t="n">
        <v>22313.82</v>
      </c>
      <c r="N35" s="16" t="n">
        <v>23</v>
      </c>
    </row>
    <row r="36">
      <c r="A36" s="17" t="inlineStr">
        <is>
          <t>KPRMILL</t>
        </is>
      </c>
      <c r="B36" s="18" t="inlineStr">
        <is>
          <t>K.p.r. Mill Limited</t>
        </is>
      </c>
      <c r="C36" s="18" t="inlineStr">
        <is>
          <t>consumer discretionary</t>
        </is>
      </c>
      <c r="D36" s="16" t="n">
        <v>8</v>
      </c>
      <c r="E36" s="16" t="n">
        <v>0</v>
      </c>
      <c r="F36" s="19" t="n">
        <v>35198.3</v>
      </c>
      <c r="J36" s="17" t="inlineStr">
        <is>
          <t>TMB</t>
        </is>
      </c>
      <c r="K36" s="18" t="inlineStr">
        <is>
          <t>bank</t>
        </is>
      </c>
      <c r="L36" s="19" t="n">
        <v>285</v>
      </c>
      <c r="M36" s="19" t="n">
        <v>12360.12</v>
      </c>
      <c r="N36" s="16" t="n">
        <v>13</v>
      </c>
    </row>
    <row r="37">
      <c r="A37" s="17" t="inlineStr">
        <is>
          <t>GPTHEALTH</t>
        </is>
      </c>
      <c r="B37" s="18" t="inlineStr">
        <is>
          <t>GPT Healthcare Ltd</t>
        </is>
      </c>
      <c r="C37" s="18" t="inlineStr">
        <is>
          <t>healthcare</t>
        </is>
      </c>
      <c r="D37" s="16" t="n">
        <v>8</v>
      </c>
      <c r="E37" s="16" t="n">
        <v>0</v>
      </c>
      <c r="F37" s="19" t="n">
        <v>1230.66</v>
      </c>
      <c r="J37" s="17" t="inlineStr">
        <is>
          <t>BLISSGVS</t>
        </is>
      </c>
      <c r="K37" s="18" t="inlineStr">
        <is>
          <t>healthcare</t>
        </is>
      </c>
      <c r="L37" s="19" t="n">
        <v>282</v>
      </c>
      <c r="M37" s="19" t="n">
        <v>4460.06</v>
      </c>
      <c r="N37" s="16" t="n">
        <v>30</v>
      </c>
    </row>
    <row r="38">
      <c r="A38" s="17" t="inlineStr">
        <is>
          <t>MGEL</t>
        </is>
      </c>
      <c r="B38" s="18" t="inlineStr">
        <is>
          <t>Mangalam Global Enterprise Ltd</t>
        </is>
      </c>
      <c r="C38" s="18" t="inlineStr">
        <is>
          <t>services</t>
        </is>
      </c>
      <c r="D38" s="16" t="n">
        <v>8</v>
      </c>
      <c r="E38" s="16" t="n">
        <v>0</v>
      </c>
      <c r="F38" s="19" t="n">
        <v>543.11</v>
      </c>
      <c r="J38" s="17" t="inlineStr">
        <is>
          <t>VENUSREM</t>
        </is>
      </c>
      <c r="K38" s="18" t="inlineStr">
        <is>
          <t>healthcare</t>
        </is>
      </c>
      <c r="L38" s="19" t="n">
        <v>282</v>
      </c>
      <c r="M38" s="19" t="n">
        <v>2153.02</v>
      </c>
      <c r="N38" s="16" t="n">
        <v>22</v>
      </c>
    </row>
    <row r="39">
      <c r="A39" s="17" t="inlineStr">
        <is>
          <t>PANACEABIO</t>
        </is>
      </c>
      <c r="B39" s="18" t="inlineStr">
        <is>
          <t>Panacea Biotec Limited</t>
        </is>
      </c>
      <c r="C39" s="18" t="inlineStr">
        <is>
          <t>healthcare</t>
        </is>
      </c>
      <c r="D39" s="16" t="n">
        <v>7</v>
      </c>
      <c r="E39" s="16" t="n">
        <v>0</v>
      </c>
      <c r="F39" s="19" t="n">
        <v>3722.51</v>
      </c>
      <c r="J39" s="17" t="inlineStr">
        <is>
          <t>RPTECH</t>
        </is>
      </c>
      <c r="K39" s="18" t="inlineStr">
        <is>
          <t>Technology</t>
        </is>
      </c>
      <c r="L39" s="19" t="n">
        <v>282</v>
      </c>
      <c r="M39" s="19" t="n">
        <v>3487.08</v>
      </c>
      <c r="N39" s="16" t="n">
        <v>29</v>
      </c>
    </row>
    <row r="40">
      <c r="A40" s="17" t="inlineStr">
        <is>
          <t>MSTCLTD</t>
        </is>
      </c>
      <c r="B40" s="18" t="inlineStr">
        <is>
          <t>MSTC Ltd</t>
        </is>
      </c>
      <c r="C40" s="18" t="inlineStr">
        <is>
          <t>i.t</t>
        </is>
      </c>
      <c r="D40" s="16" t="n">
        <v>7</v>
      </c>
      <c r="E40" s="16" t="n">
        <v>0</v>
      </c>
      <c r="F40" s="19" t="n">
        <v>3836.45</v>
      </c>
      <c r="J40" s="17" t="inlineStr">
        <is>
          <t>IOLCP</t>
        </is>
      </c>
      <c r="K40" s="18" t="inlineStr">
        <is>
          <t>healthcare</t>
        </is>
      </c>
      <c r="L40" s="19" t="n">
        <v>280</v>
      </c>
      <c r="M40" s="19" t="n">
        <v>3899.22</v>
      </c>
      <c r="N40" s="16" t="n">
        <v>27</v>
      </c>
    </row>
    <row r="41">
      <c r="A41" s="17" t="inlineStr">
        <is>
          <t>HITECHCORP</t>
        </is>
      </c>
      <c r="B41" s="18" t="inlineStr">
        <is>
          <t>Hitech Corporation</t>
        </is>
      </c>
      <c r="C41" s="18" t="inlineStr">
        <is>
          <t>industrials</t>
        </is>
      </c>
      <c r="D41" s="16" t="n">
        <v>7</v>
      </c>
      <c r="E41" s="16" t="n">
        <v>0</v>
      </c>
      <c r="F41" s="19" t="n">
        <v>531.28</v>
      </c>
      <c r="J41" s="17" t="inlineStr">
        <is>
          <t>J&amp;KBANK</t>
        </is>
      </c>
      <c r="K41" s="18" t="inlineStr">
        <is>
          <t>bank</t>
        </is>
      </c>
      <c r="L41" s="19" t="n">
        <v>280</v>
      </c>
      <c r="M41" s="19" t="n">
        <v>17286.36</v>
      </c>
      <c r="N41" s="16" t="n">
        <v>24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107.3</v>
      </c>
      <c r="D47" s="28" t="n">
        <v>248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29922.52</v>
      </c>
    </row>
    <row r="48">
      <c r="A48" s="16" t="n">
        <v>2</v>
      </c>
      <c r="B48" s="27" t="n">
        <v>99</v>
      </c>
      <c r="C48" s="28" t="n">
        <v>97.43000000000001</v>
      </c>
      <c r="D48" s="28" t="n">
        <v>255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7709.61</v>
      </c>
    </row>
    <row r="49">
      <c r="A49" s="16" t="n">
        <v>3</v>
      </c>
      <c r="B49" s="27" t="n">
        <v>98</v>
      </c>
      <c r="C49" s="28" t="n">
        <v>79.09</v>
      </c>
      <c r="D49" s="28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19613.22</v>
      </c>
    </row>
    <row r="50">
      <c r="A50" s="16" t="n">
        <v>4</v>
      </c>
      <c r="B50" s="27" t="n">
        <v>98</v>
      </c>
      <c r="C50" s="28" t="n">
        <v>77.58</v>
      </c>
      <c r="D50" s="28" t="n">
        <v>248</v>
      </c>
      <c r="E50" s="17" t="inlineStr">
        <is>
          <t>SWANDEF</t>
        </is>
      </c>
      <c r="F50" s="18" t="inlineStr">
        <is>
          <t>Swan Defence and Heavy Industries Ltd</t>
        </is>
      </c>
      <c r="G50" s="18" t="inlineStr">
        <is>
          <t>transportation</t>
        </is>
      </c>
      <c r="H50" s="19" t="n">
        <v>10519.57</v>
      </c>
    </row>
    <row r="51">
      <c r="A51" s="16" t="n">
        <v>5</v>
      </c>
      <c r="B51" s="27" t="n">
        <v>98</v>
      </c>
      <c r="C51" s="28" t="n">
        <v>61.53</v>
      </c>
      <c r="D51" s="28" t="n">
        <v>240</v>
      </c>
      <c r="E51" s="17" t="inlineStr">
        <is>
          <t>BHAGYANGR</t>
        </is>
      </c>
      <c r="F51" s="18" t="inlineStr">
        <is>
          <t>Bhagyanagar India</t>
        </is>
      </c>
      <c r="G51" s="18" t="inlineStr">
        <is>
          <t>power &amp; utilities</t>
        </is>
      </c>
      <c r="H51" s="19" t="n">
        <v>984.8099999999999</v>
      </c>
    </row>
    <row r="52">
      <c r="A52" s="16" t="n">
        <v>6</v>
      </c>
      <c r="B52" s="27" t="n">
        <v>97</v>
      </c>
      <c r="C52" s="28" t="n">
        <v>60.25</v>
      </c>
      <c r="D52" s="28" t="n">
        <v>280</v>
      </c>
      <c r="E52" s="17" t="inlineStr">
        <is>
          <t>VMARCIND</t>
        </is>
      </c>
      <c r="F52" s="18" t="inlineStr">
        <is>
          <t>VMARCIND</t>
        </is>
      </c>
      <c r="G52" s="18" t="inlineStr">
        <is>
          <t>unknown</t>
        </is>
      </c>
      <c r="H52" s="19" t="n">
        <v>441.28</v>
      </c>
    </row>
    <row r="53">
      <c r="A53" s="16" t="n">
        <v>7</v>
      </c>
      <c r="B53" s="27" t="n">
        <v>97</v>
      </c>
      <c r="C53" s="28" t="n">
        <v>59.84</v>
      </c>
      <c r="D53" s="28" t="n">
        <v>265</v>
      </c>
      <c r="E53" s="17" t="inlineStr">
        <is>
          <t>MODISONLTD</t>
        </is>
      </c>
      <c r="F53" s="18" t="inlineStr">
        <is>
          <t>Modison Ltd</t>
        </is>
      </c>
      <c r="G53" s="18" t="inlineStr">
        <is>
          <t>industrials</t>
        </is>
      </c>
      <c r="H53" s="19" t="n">
        <v>1062.41</v>
      </c>
    </row>
    <row r="54">
      <c r="A54" s="16" t="n">
        <v>8</v>
      </c>
      <c r="B54" s="27" t="n">
        <v>97</v>
      </c>
      <c r="C54" s="28" t="n">
        <v>59.45</v>
      </c>
      <c r="D54" s="28" t="n">
        <v>248</v>
      </c>
      <c r="E54" s="17" t="inlineStr">
        <is>
          <t>UFBL</t>
        </is>
      </c>
      <c r="F54" s="18" t="inlineStr">
        <is>
          <t>United Foodbrands Ltd</t>
        </is>
      </c>
      <c r="G54" s="18" t="inlineStr">
        <is>
          <t>consumer discretionary</t>
        </is>
      </c>
      <c r="H54" s="19" t="n">
        <v>2149.56</v>
      </c>
    </row>
    <row r="55">
      <c r="A55" s="16" t="n">
        <v>9</v>
      </c>
      <c r="B55" s="27" t="n">
        <v>96</v>
      </c>
      <c r="C55" s="28" t="n">
        <v>54.09</v>
      </c>
      <c r="D55" s="28" t="n">
        <v>265</v>
      </c>
      <c r="E55" s="17" t="inlineStr">
        <is>
          <t>COCKERILL</t>
        </is>
      </c>
      <c r="F55" s="18" t="inlineStr">
        <is>
          <t>John Cockerill India Ltd</t>
        </is>
      </c>
      <c r="G55" s="18" t="inlineStr">
        <is>
          <t>Industrials</t>
        </is>
      </c>
      <c r="H55" s="19" t="n">
        <v>5083.31</v>
      </c>
    </row>
    <row r="56">
      <c r="A56" s="16" t="n">
        <v>10</v>
      </c>
      <c r="B56" s="27" t="n">
        <v>96</v>
      </c>
      <c r="C56" s="28" t="n">
        <v>52.26</v>
      </c>
      <c r="D56" s="28" t="n">
        <v>290</v>
      </c>
      <c r="E56" s="17" t="inlineStr">
        <is>
          <t>IBULLSLTD</t>
        </is>
      </c>
      <c r="F56" s="18" t="inlineStr">
        <is>
          <t>Indiabulls Limited</t>
        </is>
      </c>
      <c r="G56" s="18" t="inlineStr">
        <is>
          <t>miscellaneous</t>
        </is>
      </c>
      <c r="H56" s="19" t="n">
        <v>5687.76</v>
      </c>
    </row>
    <row r="57">
      <c r="A57" s="16" t="n">
        <v>11</v>
      </c>
      <c r="B57" s="27" t="n">
        <v>96</v>
      </c>
      <c r="C57" s="28" t="n">
        <v>51.19</v>
      </c>
      <c r="D57" s="28" t="n">
        <v>282</v>
      </c>
      <c r="E57" s="17" t="inlineStr">
        <is>
          <t>BLISSGVS</t>
        </is>
      </c>
      <c r="F57" s="18" t="inlineStr">
        <is>
          <t>Bliss Gvs Pharma Limited</t>
        </is>
      </c>
      <c r="G57" s="18" t="inlineStr">
        <is>
          <t>healthcare</t>
        </is>
      </c>
      <c r="H57" s="19" t="n">
        <v>4460.06</v>
      </c>
    </row>
    <row r="58">
      <c r="A58" s="16" t="n">
        <v>12</v>
      </c>
      <c r="B58" s="27" t="n">
        <v>95</v>
      </c>
      <c r="C58" s="28" t="n">
        <v>50.99</v>
      </c>
      <c r="D58" s="28" t="n">
        <v>282</v>
      </c>
      <c r="E58" s="17" t="inlineStr">
        <is>
          <t>VENUSREM</t>
        </is>
      </c>
      <c r="F58" s="18" t="inlineStr">
        <is>
          <t>Venus Remedies Limited</t>
        </is>
      </c>
      <c r="G58" s="18" t="inlineStr">
        <is>
          <t>healthcare</t>
        </is>
      </c>
      <c r="H58" s="19" t="n">
        <v>2153.02</v>
      </c>
    </row>
    <row r="59">
      <c r="A59" s="16" t="n">
        <v>13</v>
      </c>
      <c r="B59" s="27" t="n">
        <v>95</v>
      </c>
      <c r="C59" s="28" t="n">
        <v>50.74</v>
      </c>
      <c r="D59" s="28" t="n">
        <v>272</v>
      </c>
      <c r="E59" s="17" t="inlineStr">
        <is>
          <t>GVPIL</t>
        </is>
      </c>
      <c r="F59" s="18" t="inlineStr">
        <is>
          <t>GE Power India Ltd</t>
        </is>
      </c>
      <c r="G59" s="18" t="inlineStr">
        <is>
          <t>realty</t>
        </is>
      </c>
      <c r="H59" s="19" t="n">
        <v>6087.45</v>
      </c>
    </row>
    <row r="60">
      <c r="A60" s="16" t="n">
        <v>14</v>
      </c>
      <c r="B60" s="27" t="n">
        <v>95</v>
      </c>
      <c r="C60" s="28" t="n">
        <v>50.7</v>
      </c>
      <c r="D60" s="28" t="n">
        <v>238</v>
      </c>
      <c r="E60" s="17" t="inlineStr">
        <is>
          <t>HFCL</t>
        </is>
      </c>
      <c r="F60" s="18" t="inlineStr">
        <is>
          <t>HFCL Ltd</t>
        </is>
      </c>
      <c r="G60" s="18" t="inlineStr">
        <is>
          <t>telecom</t>
        </is>
      </c>
      <c r="H60" s="19" t="n">
        <v>27246.25</v>
      </c>
    </row>
    <row r="61">
      <c r="A61" s="16" t="n">
        <v>15</v>
      </c>
      <c r="B61" s="29" t="n">
        <v>94</v>
      </c>
      <c r="C61" s="28" t="n">
        <v>50.57</v>
      </c>
      <c r="D61" s="28" t="n">
        <v>218</v>
      </c>
      <c r="E61" s="17" t="inlineStr">
        <is>
          <t>DEEDEV</t>
        </is>
      </c>
      <c r="F61" s="18" t="inlineStr">
        <is>
          <t>DEE Development Engineers Ltd</t>
        </is>
      </c>
      <c r="G61" s="18" t="inlineStr">
        <is>
          <t>metals &amp; mining</t>
        </is>
      </c>
      <c r="H61" s="19" t="n">
        <v>4770.17</v>
      </c>
    </row>
    <row r="62">
      <c r="A62" s="16" t="n">
        <v>16</v>
      </c>
      <c r="B62" s="29" t="n">
        <v>94</v>
      </c>
      <c r="C62" s="28" t="n">
        <v>49.11</v>
      </c>
      <c r="D62" s="28" t="n">
        <v>265</v>
      </c>
      <c r="E62" s="17" t="inlineStr">
        <is>
          <t>NINSYS</t>
        </is>
      </c>
      <c r="F62" s="18" t="inlineStr">
        <is>
          <t>NINtec Systems Ltd</t>
        </is>
      </c>
      <c r="G62" s="18" t="inlineStr">
        <is>
          <t>i.t</t>
        </is>
      </c>
      <c r="H62" s="19" t="n">
        <v>1335.43</v>
      </c>
    </row>
    <row r="63">
      <c r="A63" s="16" t="n">
        <v>17</v>
      </c>
      <c r="B63" s="29" t="n">
        <v>94</v>
      </c>
      <c r="C63" s="28" t="n">
        <v>48.54</v>
      </c>
      <c r="D63" s="28" t="n">
        <v>258</v>
      </c>
      <c r="E63" s="17" t="inlineStr">
        <is>
          <t>HITECHCORP</t>
        </is>
      </c>
      <c r="F63" s="18" t="inlineStr">
        <is>
          <t>Hitech Corporation</t>
        </is>
      </c>
      <c r="G63" s="18" t="inlineStr">
        <is>
          <t>industrials</t>
        </is>
      </c>
      <c r="H63" s="19" t="n">
        <v>531.28</v>
      </c>
    </row>
    <row r="64">
      <c r="A64" s="16" t="n">
        <v>18</v>
      </c>
      <c r="B64" s="29" t="n">
        <v>93</v>
      </c>
      <c r="C64" s="28" t="n">
        <v>46.29</v>
      </c>
      <c r="D64" s="28" t="n">
        <v>260</v>
      </c>
      <c r="E64" s="17" t="inlineStr">
        <is>
          <t>CEMPRO</t>
        </is>
      </c>
      <c r="F64" s="18" t="inlineStr">
        <is>
          <t>Cemindia Projects Ltd</t>
        </is>
      </c>
      <c r="G64" s="18" t="inlineStr">
        <is>
          <t>realty</t>
        </is>
      </c>
      <c r="H64" s="19" t="n">
        <v>20679.79</v>
      </c>
    </row>
    <row r="65">
      <c r="A65" s="16" t="n">
        <v>19</v>
      </c>
      <c r="B65" s="29" t="n">
        <v>93</v>
      </c>
      <c r="C65" s="28" t="n">
        <v>44.23</v>
      </c>
      <c r="D65" s="28" t="n">
        <v>252</v>
      </c>
      <c r="E65" s="17" t="inlineStr">
        <is>
          <t>APOLLO</t>
        </is>
      </c>
      <c r="F65" s="18" t="inlineStr">
        <is>
          <t>Apollo Micro Systems Ltd</t>
        </is>
      </c>
      <c r="G65" s="18" t="inlineStr">
        <is>
          <t>aerospace &amp; defence</t>
        </is>
      </c>
      <c r="H65" s="19" t="n">
        <v>14757.96</v>
      </c>
    </row>
    <row r="66">
      <c r="A66" s="16" t="n">
        <v>20</v>
      </c>
      <c r="B66" s="29" t="n">
        <v>93</v>
      </c>
      <c r="C66" s="28" t="n">
        <v>43.6</v>
      </c>
      <c r="D66" s="28" t="n">
        <v>260</v>
      </c>
      <c r="E66" s="17" t="inlineStr">
        <is>
          <t>IDEAFORGE</t>
        </is>
      </c>
      <c r="F66" s="18" t="inlineStr">
        <is>
          <t>Ideaforge Technology Ltd</t>
        </is>
      </c>
      <c r="G66" s="18" t="inlineStr">
        <is>
          <t>aerospace &amp; defence</t>
        </is>
      </c>
      <c r="H66" s="19" t="n">
        <v>4175.69</v>
      </c>
    </row>
    <row r="67">
      <c r="A67" s="16" t="n">
        <v>21</v>
      </c>
      <c r="B67" s="29" t="n">
        <v>92</v>
      </c>
      <c r="C67" s="28" t="n">
        <v>43.36</v>
      </c>
      <c r="D67" s="28" t="n">
        <v>247</v>
      </c>
      <c r="E67" s="17" t="inlineStr">
        <is>
          <t>SASKEN</t>
        </is>
      </c>
      <c r="F67" s="18" t="inlineStr">
        <is>
          <t>Sasken Communication Technologies Limited</t>
        </is>
      </c>
      <c r="G67" s="18" t="inlineStr">
        <is>
          <t>i.t</t>
        </is>
      </c>
      <c r="H67" s="19" t="n">
        <v>3514.76</v>
      </c>
    </row>
    <row r="68">
      <c r="A68" s="16" t="n">
        <v>22</v>
      </c>
      <c r="B68" s="29" t="n">
        <v>92</v>
      </c>
      <c r="C68" s="28" t="n">
        <v>41.62</v>
      </c>
      <c r="D68" s="28" t="n">
        <v>287</v>
      </c>
      <c r="E68" s="17" t="inlineStr">
        <is>
          <t>BAJAJCON</t>
        </is>
      </c>
      <c r="F68" s="18" t="inlineStr">
        <is>
          <t>Bajaj Consumer Care Ltd</t>
        </is>
      </c>
      <c r="G68" s="18" t="inlineStr">
        <is>
          <t>fmcg</t>
        </is>
      </c>
      <c r="H68" s="19" t="n">
        <v>7604.6</v>
      </c>
    </row>
    <row r="69">
      <c r="A69" s="16" t="n">
        <v>23</v>
      </c>
      <c r="B69" s="29" t="n">
        <v>92</v>
      </c>
      <c r="C69" s="28" t="n">
        <v>40.91</v>
      </c>
      <c r="D69" s="28" t="n">
        <v>220</v>
      </c>
      <c r="E69" s="17" t="inlineStr">
        <is>
          <t>BBOX</t>
        </is>
      </c>
      <c r="F69" s="18" t="inlineStr">
        <is>
          <t>Black Box Ltd</t>
        </is>
      </c>
      <c r="G69" s="18" t="inlineStr">
        <is>
          <t>i.t</t>
        </is>
      </c>
      <c r="H69" s="19" t="n">
        <v>17218.81</v>
      </c>
    </row>
    <row r="70">
      <c r="A70" s="16" t="n">
        <v>24</v>
      </c>
      <c r="B70" s="29" t="n">
        <v>91</v>
      </c>
      <c r="C70" s="28" t="n">
        <v>39.69</v>
      </c>
      <c r="D70" s="28" t="n">
        <v>253</v>
      </c>
      <c r="E70" s="17" t="inlineStr">
        <is>
          <t>UNIVCABLES</t>
        </is>
      </c>
      <c r="F70" s="18" t="inlineStr">
        <is>
          <t>Universal Cables Limited</t>
        </is>
      </c>
      <c r="G70" s="18" t="inlineStr">
        <is>
          <t>industrials</t>
        </is>
      </c>
      <c r="H70" s="19" t="n">
        <v>4244.63</v>
      </c>
    </row>
    <row r="71">
      <c r="A71" s="16" t="n">
        <v>25</v>
      </c>
      <c r="B71" s="29" t="n">
        <v>91</v>
      </c>
      <c r="C71" s="28" t="n">
        <v>39.32</v>
      </c>
      <c r="D71" s="28" t="n">
        <v>278</v>
      </c>
      <c r="E71" s="17" t="inlineStr">
        <is>
          <t>ATHERENERG</t>
        </is>
      </c>
      <c r="F71" s="18" t="inlineStr">
        <is>
          <t>Ather Energy Ltd</t>
        </is>
      </c>
      <c r="G71" s="18" t="inlineStr">
        <is>
          <t>auto</t>
        </is>
      </c>
      <c r="H71" s="19" t="n">
        <v>39522.48</v>
      </c>
    </row>
    <row r="72">
      <c r="A72" s="16" t="n">
        <v>26</v>
      </c>
      <c r="B72" s="29" t="n">
        <v>91</v>
      </c>
      <c r="C72" s="28" t="n">
        <v>38.76</v>
      </c>
      <c r="D72" s="28" t="n">
        <v>178</v>
      </c>
      <c r="E72" s="17" t="inlineStr">
        <is>
          <t>BALAMINES</t>
        </is>
      </c>
      <c r="F72" s="18" t="inlineStr">
        <is>
          <t>Balaji Amines Limited</t>
        </is>
      </c>
      <c r="G72" s="18" t="inlineStr">
        <is>
          <t>chemicals</t>
        </is>
      </c>
      <c r="H72" s="19" t="n">
        <v>7264.63</v>
      </c>
    </row>
    <row r="73">
      <c r="A73" s="16" t="n">
        <v>27</v>
      </c>
      <c r="B73" s="29" t="n">
        <v>90</v>
      </c>
      <c r="C73" s="28" t="n">
        <v>37.95</v>
      </c>
      <c r="D73" s="28" t="n">
        <v>245</v>
      </c>
      <c r="E73" s="17" t="inlineStr">
        <is>
          <t>AEROFLEX</t>
        </is>
      </c>
      <c r="F73" s="18" t="inlineStr">
        <is>
          <t>Aeroflex Industries Ltd</t>
        </is>
      </c>
      <c r="G73" s="18" t="inlineStr">
        <is>
          <t>metals &amp; mining</t>
        </is>
      </c>
      <c r="H73" s="19" t="n">
        <v>5633.32</v>
      </c>
    </row>
    <row r="74">
      <c r="A74" s="16" t="n">
        <v>28</v>
      </c>
      <c r="B74" s="29" t="n">
        <v>90</v>
      </c>
      <c r="C74" s="28" t="n">
        <v>37.45</v>
      </c>
      <c r="D74" s="28" t="n">
        <v>257</v>
      </c>
      <c r="E74" s="17" t="inlineStr">
        <is>
          <t>PAISALO</t>
        </is>
      </c>
      <c r="F74" s="18" t="inlineStr">
        <is>
          <t>Paisalo Digital Ltd</t>
        </is>
      </c>
      <c r="G74" s="18" t="inlineStr">
        <is>
          <t>financials</t>
        </is>
      </c>
      <c r="H74" s="19" t="n">
        <v>5473.5</v>
      </c>
    </row>
    <row r="75">
      <c r="A75" s="16" t="n">
        <v>29</v>
      </c>
      <c r="B75" s="29" t="n">
        <v>90</v>
      </c>
      <c r="C75" s="28" t="n">
        <v>37.37</v>
      </c>
      <c r="D75" s="28" t="n">
        <v>240</v>
      </c>
      <c r="E75" s="17" t="inlineStr">
        <is>
          <t>JNKINDIA</t>
        </is>
      </c>
      <c r="F75" s="18" t="inlineStr">
        <is>
          <t>JNK India Ltd</t>
        </is>
      </c>
      <c r="G75" s="18" t="inlineStr">
        <is>
          <t>realty</t>
        </is>
      </c>
      <c r="H75" s="19" t="n">
        <v>2708.45</v>
      </c>
    </row>
    <row r="76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ELECTHERM</t>
        </is>
      </c>
      <c r="B2" s="31" t="inlineStr">
        <is>
          <t>Electrotherm (india) Limited</t>
        </is>
      </c>
      <c r="C2" s="31" t="inlineStr">
        <is>
          <t>metals &amp; mining</t>
        </is>
      </c>
      <c r="D2" s="31" t="inlineStr">
        <is>
          <t>steel - medium / small</t>
        </is>
      </c>
      <c r="E2" s="31" t="inlineStr">
        <is>
          <t>smallcap</t>
        </is>
      </c>
      <c r="F2" s="31" t="n">
        <v>1298.3</v>
      </c>
      <c r="G2" s="31" t="n">
        <v>1146.8</v>
      </c>
      <c r="H2" s="31" t="n">
        <v>12.56</v>
      </c>
      <c r="I2" s="31" t="n">
        <v>1603382</v>
      </c>
      <c r="J2" s="31" t="inlineStr">
        <is>
          <t>526608</t>
        </is>
      </c>
    </row>
    <row r="3">
      <c r="A3" s="31" t="inlineStr">
        <is>
          <t>INOXINDIA</t>
        </is>
      </c>
      <c r="B3" s="31" t="inlineStr">
        <is>
          <t>Inox India Ltd</t>
        </is>
      </c>
      <c r="C3" s="31" t="inlineStr">
        <is>
          <t>industrials</t>
        </is>
      </c>
      <c r="D3" s="31" t="inlineStr">
        <is>
          <t>packaging</t>
        </is>
      </c>
      <c r="E3" s="31" t="inlineStr">
        <is>
          <t>midcap</t>
        </is>
      </c>
      <c r="F3" s="31" t="n">
        <v>15309.08</v>
      </c>
      <c r="G3" s="31" t="n">
        <v>1891.6</v>
      </c>
      <c r="H3" s="31" t="n">
        <v>12.15</v>
      </c>
      <c r="I3" s="31" t="n">
        <v>4034181</v>
      </c>
      <c r="J3" s="31" t="inlineStr">
        <is>
          <t>544046</t>
        </is>
      </c>
    </row>
    <row r="4">
      <c r="A4" s="31" t="inlineStr">
        <is>
          <t>PANAMAPET</t>
        </is>
      </c>
      <c r="B4" s="31" t="inlineStr">
        <is>
          <t>Panama Petrochem Limited</t>
        </is>
      </c>
      <c r="C4" s="31" t="inlineStr">
        <is>
          <t>energy</t>
        </is>
      </c>
      <c r="D4" s="31" t="inlineStr">
        <is>
          <t>petrochemicals</t>
        </is>
      </c>
      <c r="E4" s="31" t="inlineStr">
        <is>
          <t>smallcap</t>
        </is>
      </c>
      <c r="F4" s="31" t="n">
        <v>2128.47</v>
      </c>
      <c r="G4" s="31" t="n">
        <v>381.55</v>
      </c>
      <c r="H4" s="31" t="n">
        <v>8.44</v>
      </c>
      <c r="I4" s="31" t="n">
        <v>13801295</v>
      </c>
      <c r="J4" s="31" t="inlineStr">
        <is>
          <t>524820</t>
        </is>
      </c>
    </row>
    <row r="5">
      <c r="A5" s="31" t="inlineStr">
        <is>
          <t>AKUMS</t>
        </is>
      </c>
      <c r="B5" s="31" t="inlineStr">
        <is>
          <t>Akums Drugs &amp; Pharmaceuticals Ltd</t>
        </is>
      </c>
      <c r="C5" s="31" t="inlineStr">
        <is>
          <t>healthcare</t>
        </is>
      </c>
      <c r="D5" s="31" t="inlineStr">
        <is>
          <t>pharmaceuticals - indian - bulk drugs &amp; formln</t>
        </is>
      </c>
      <c r="E5" s="31" t="inlineStr">
        <is>
          <t>midcap</t>
        </is>
      </c>
      <c r="F5" s="31" t="n">
        <v>8629.129999999999</v>
      </c>
      <c r="G5" s="31" t="n">
        <v>592.1</v>
      </c>
      <c r="H5" s="31" t="n">
        <v>8</v>
      </c>
      <c r="I5" s="31" t="n">
        <v>1389151</v>
      </c>
      <c r="J5" s="31" t="inlineStr">
        <is>
          <t>544222</t>
        </is>
      </c>
    </row>
    <row r="6">
      <c r="A6" s="31" t="inlineStr">
        <is>
          <t>ARIHANT</t>
        </is>
      </c>
      <c r="B6" s="31" t="inlineStr">
        <is>
          <t>Arihant Foundations &amp; Housing Limited</t>
        </is>
      </c>
      <c r="C6" s="31" t="inlineStr">
        <is>
          <t>realty</t>
        </is>
      </c>
      <c r="D6" s="31" t="inlineStr">
        <is>
          <t>construction</t>
        </is>
      </c>
      <c r="E6" s="31" t="inlineStr">
        <is>
          <t>smallcap</t>
        </is>
      </c>
      <c r="F6" s="31" t="n">
        <v>825.9</v>
      </c>
      <c r="G6" s="31" t="n">
        <v>882.95</v>
      </c>
      <c r="H6" s="31" t="n">
        <v>6.54</v>
      </c>
      <c r="I6" s="31" t="n">
        <v>34423</v>
      </c>
      <c r="J6" s="31" t="inlineStr">
        <is>
          <t>531381</t>
        </is>
      </c>
    </row>
    <row r="7">
      <c r="A7" s="31" t="inlineStr">
        <is>
          <t>CARYSIL</t>
        </is>
      </c>
      <c r="B7" s="31" t="inlineStr">
        <is>
          <t>Carysil Ltd</t>
        </is>
      </c>
      <c r="C7" s="31" t="inlineStr">
        <is>
          <t>consumer discretionary</t>
        </is>
      </c>
      <c r="D7" s="31" t="inlineStr">
        <is>
          <t>domestic appliances</t>
        </is>
      </c>
      <c r="E7" s="31" t="inlineStr">
        <is>
          <t>smallcap</t>
        </is>
      </c>
      <c r="F7" s="31" t="n">
        <v>3195.81</v>
      </c>
      <c r="G7" s="31" t="n">
        <v>1191.9</v>
      </c>
      <c r="H7" s="31" t="n">
        <v>6.08</v>
      </c>
      <c r="I7" s="31" t="n">
        <v>665811</v>
      </c>
      <c r="J7" s="31" t="inlineStr">
        <is>
          <t>524091</t>
        </is>
      </c>
    </row>
    <row r="8">
      <c r="A8" s="31" t="inlineStr">
        <is>
          <t>CHAMBLFERT</t>
        </is>
      </c>
      <c r="B8" s="31" t="inlineStr">
        <is>
          <t>Chambal Fertilizers &amp; Chemicals Limited</t>
        </is>
      </c>
      <c r="C8" s="31" t="inlineStr">
        <is>
          <t>chemicals</t>
        </is>
      </c>
      <c r="D8" s="31" t="inlineStr">
        <is>
          <t>fertilizers</t>
        </is>
      </c>
      <c r="E8" s="31" t="inlineStr">
        <is>
          <t>midcap</t>
        </is>
      </c>
      <c r="F8" s="31" t="n">
        <v>18219.66</v>
      </c>
      <c r="G8" s="31" t="n">
        <v>477.65</v>
      </c>
      <c r="H8" s="31" t="n">
        <v>5.04</v>
      </c>
      <c r="I8" s="31" t="n">
        <v>4969287</v>
      </c>
      <c r="J8" s="31" t="inlineStr">
        <is>
          <t>500085</t>
        </is>
      </c>
    </row>
    <row r="9">
      <c r="A9" s="31" t="inlineStr">
        <is>
          <t>WHEELS</t>
        </is>
      </c>
      <c r="B9" s="31" t="inlineStr">
        <is>
          <t>Wheels India Limited</t>
        </is>
      </c>
      <c r="C9" s="31" t="inlineStr">
        <is>
          <t>auto</t>
        </is>
      </c>
      <c r="D9" s="31" t="inlineStr">
        <is>
          <t>auto ancillaries</t>
        </is>
      </c>
      <c r="E9" s="31" t="inlineStr">
        <is>
          <t>smallcap</t>
        </is>
      </c>
      <c r="F9" s="31" t="n">
        <v>3683.52</v>
      </c>
      <c r="G9" s="31" t="n">
        <v>1583.6</v>
      </c>
      <c r="H9" s="31" t="n">
        <v>5.04</v>
      </c>
      <c r="I9" s="31" t="n">
        <v>306591</v>
      </c>
      <c r="J9" s="31" t="inlineStr">
        <is>
          <t>590073</t>
        </is>
      </c>
    </row>
    <row r="10">
      <c r="A10" s="31" t="inlineStr">
        <is>
          <t>SIGMAADV</t>
        </is>
      </c>
      <c r="B10" s="31" t="inlineStr">
        <is>
          <t>Sigma Advanced System Ltd</t>
        </is>
      </c>
      <c r="C10" s="31" t="inlineStr">
        <is>
          <t>aerospace &amp; defence</t>
        </is>
      </c>
      <c r="D10" s="31" t="inlineStr">
        <is>
          <t>electronics - components</t>
        </is>
      </c>
      <c r="E10" s="31" t="inlineStr">
        <is>
          <t>midcap</t>
        </is>
      </c>
      <c r="F10" s="31" t="n">
        <v>7709.61</v>
      </c>
      <c r="G10" s="31" t="n">
        <v>459.3</v>
      </c>
      <c r="H10" s="31" t="n">
        <v>4.99</v>
      </c>
      <c r="I10" s="31" t="n">
        <v>143436</v>
      </c>
      <c r="J10" s="31" t="inlineStr">
        <is>
          <t>532408</t>
        </is>
      </c>
    </row>
    <row r="11">
      <c r="A11" s="31" t="inlineStr">
        <is>
          <t>CREST</t>
        </is>
      </c>
      <c r="B11" s="31" t="inlineStr">
        <is>
          <t>Crest Ventures Limited</t>
        </is>
      </c>
      <c r="C11" s="31" t="inlineStr">
        <is>
          <t>financials</t>
        </is>
      </c>
      <c r="D11" s="31" t="inlineStr">
        <is>
          <t>finance &amp; investments</t>
        </is>
      </c>
      <c r="E11" s="31" t="inlineStr">
        <is>
          <t>smallcap</t>
        </is>
      </c>
      <c r="F11" s="31" t="n">
        <v>1031.02</v>
      </c>
      <c r="G11" s="31" t="n">
        <v>379.7</v>
      </c>
      <c r="H11" s="31" t="n">
        <v>4.77</v>
      </c>
      <c r="I11" s="31" t="n">
        <v>18956</v>
      </c>
      <c r="J11" s="31" t="inlineStr">
        <is>
          <t>511413</t>
        </is>
      </c>
    </row>
    <row r="12">
      <c r="A12" s="31" t="inlineStr">
        <is>
          <t>DIFFNKG</t>
        </is>
      </c>
      <c r="B12" s="31" t="inlineStr">
        <is>
          <t>Diffusion Engineers Ltd</t>
        </is>
      </c>
      <c r="C12" s="31" t="inlineStr">
        <is>
          <t>industrials</t>
        </is>
      </c>
      <c r="D12" s="31" t="inlineStr">
        <is>
          <t>electrodes - welding equipment</t>
        </is>
      </c>
      <c r="E12" s="31" t="inlineStr">
        <is>
          <t>smallcap</t>
        </is>
      </c>
      <c r="F12" s="31" t="n">
        <v>1238.06</v>
      </c>
      <c r="G12" s="31" t="n">
        <v>346.5</v>
      </c>
      <c r="H12" s="31" t="n">
        <v>4.75</v>
      </c>
      <c r="I12" s="31" t="n">
        <v>898608</v>
      </c>
      <c r="J12" s="31" t="inlineStr">
        <is>
          <t>544264</t>
        </is>
      </c>
    </row>
    <row r="13">
      <c r="A13" s="31" t="inlineStr">
        <is>
          <t>WINDMACHIN</t>
        </is>
      </c>
      <c r="B13" s="31" t="inlineStr">
        <is>
          <t>Windsor Machines Limited</t>
        </is>
      </c>
      <c r="C13" s="31" t="inlineStr">
        <is>
          <t>industrials</t>
        </is>
      </c>
      <c r="D13" s="31" t="inlineStr">
        <is>
          <t>engineering</t>
        </is>
      </c>
      <c r="E13" s="31" t="inlineStr">
        <is>
          <t>smallcap</t>
        </is>
      </c>
      <c r="F13" s="31" t="n">
        <v>2864.15</v>
      </c>
      <c r="G13" s="31" t="n">
        <v>327.9</v>
      </c>
      <c r="H13" s="31" t="n">
        <v>4.53</v>
      </c>
      <c r="I13" s="31" t="n">
        <v>1285135</v>
      </c>
      <c r="J13" s="31" t="inlineStr">
        <is>
          <t>522029</t>
        </is>
      </c>
    </row>
    <row r="14">
      <c r="A14" s="31" t="inlineStr">
        <is>
          <t>ABSLAMC</t>
        </is>
      </c>
      <c r="B14" s="31" t="inlineStr">
        <is>
          <t>Aditya Birla Sun Life AMC Ltd</t>
        </is>
      </c>
      <c r="C14" s="31" t="inlineStr">
        <is>
          <t>financials</t>
        </is>
      </c>
      <c r="D14" s="31" t="inlineStr">
        <is>
          <t>finance &amp; investments</t>
        </is>
      </c>
      <c r="E14" s="31" t="inlineStr">
        <is>
          <t>largecap</t>
        </is>
      </c>
      <c r="F14" s="31" t="n">
        <v>30682.77</v>
      </c>
      <c r="G14" s="31" t="n">
        <v>1110.3</v>
      </c>
      <c r="H14" s="31" t="n">
        <v>4.51</v>
      </c>
      <c r="I14" s="31" t="n">
        <v>626477</v>
      </c>
      <c r="J14" s="31" t="inlineStr">
        <is>
          <t>543374</t>
        </is>
      </c>
    </row>
    <row r="15">
      <c r="A15" s="31" t="inlineStr">
        <is>
          <t>COMSYN</t>
        </is>
      </c>
      <c r="B15" s="31" t="inlineStr">
        <is>
          <t>Commercial Syn Bags Ltd</t>
        </is>
      </c>
      <c r="C15" s="31" t="inlineStr">
        <is>
          <t>industrials</t>
        </is>
      </c>
      <c r="D15" s="31" t="inlineStr">
        <is>
          <t>packaging</t>
        </is>
      </c>
      <c r="E15" s="31" t="inlineStr">
        <is>
          <t>smallcap</t>
        </is>
      </c>
      <c r="F15" s="31" t="n">
        <v>653.05</v>
      </c>
      <c r="G15" s="31" t="n">
        <v>169.05</v>
      </c>
      <c r="H15" s="31" t="n">
        <v>4.42</v>
      </c>
      <c r="I15" s="31" t="n">
        <v>159306</v>
      </c>
      <c r="J15" s="31" t="inlineStr">
        <is>
          <t>539986</t>
        </is>
      </c>
    </row>
    <row r="16">
      <c r="A16" s="31" t="inlineStr">
        <is>
          <t>RATEGAIN</t>
        </is>
      </c>
      <c r="B16" s="31" t="inlineStr">
        <is>
          <t>Rategain Travel Technologies Ltd</t>
        </is>
      </c>
      <c r="C16" s="31" t="inlineStr">
        <is>
          <t>i.t</t>
        </is>
      </c>
      <c r="D16" s="31" t="inlineStr">
        <is>
          <t>computers - software - medium / small</t>
        </is>
      </c>
      <c r="E16" s="31" t="inlineStr">
        <is>
          <t>midcap</t>
        </is>
      </c>
      <c r="F16" s="31" t="n">
        <v>8868.32</v>
      </c>
      <c r="G16" s="31" t="n">
        <v>783.6</v>
      </c>
      <c r="H16" s="31" t="n">
        <v>4.41</v>
      </c>
      <c r="I16" s="31" t="n">
        <v>766286</v>
      </c>
      <c r="J16" s="31" t="inlineStr">
        <is>
          <t>543417</t>
        </is>
      </c>
    </row>
    <row r="17">
      <c r="A17" s="31" t="inlineStr">
        <is>
          <t>BBOX</t>
        </is>
      </c>
      <c r="B17" s="31" t="inlineStr">
        <is>
          <t>Black Box Ltd</t>
        </is>
      </c>
      <c r="C17" s="31" t="inlineStr">
        <is>
          <t>i.t</t>
        </is>
      </c>
      <c r="D17" s="31" t="inlineStr">
        <is>
          <t>computers - software - medium / small</t>
        </is>
      </c>
      <c r="E17" s="31" t="inlineStr">
        <is>
          <t>midcap</t>
        </is>
      </c>
      <c r="F17" s="31" t="n">
        <v>17218.81</v>
      </c>
      <c r="G17" s="31" t="n">
        <v>1012.7</v>
      </c>
      <c r="H17" s="31" t="n">
        <v>4.39</v>
      </c>
      <c r="I17" s="31" t="n">
        <v>1479111</v>
      </c>
      <c r="J17" s="31" t="inlineStr">
        <is>
          <t>500463</t>
        </is>
      </c>
    </row>
    <row r="18">
      <c r="A18" s="31" t="inlineStr">
        <is>
          <t>CCL</t>
        </is>
      </c>
      <c r="B18" s="31" t="inlineStr">
        <is>
          <t>Ccl Products (india) Limited</t>
        </is>
      </c>
      <c r="C18" s="31" t="inlineStr">
        <is>
          <t>fmcg</t>
        </is>
      </c>
      <c r="D18" s="31" t="inlineStr">
        <is>
          <t>tea</t>
        </is>
      </c>
      <c r="E18" s="31" t="inlineStr">
        <is>
          <t>midcap</t>
        </is>
      </c>
      <c r="F18" s="31" t="n">
        <v>15343.69</v>
      </c>
      <c r="G18" s="31" t="n">
        <v>1193.4</v>
      </c>
      <c r="H18" s="31" t="n">
        <v>3.86</v>
      </c>
      <c r="I18" s="31" t="n">
        <v>2727692</v>
      </c>
      <c r="J18" s="31" t="inlineStr">
        <is>
          <t>519600</t>
        </is>
      </c>
    </row>
    <row r="19">
      <c r="A19" s="31" t="inlineStr">
        <is>
          <t>BHAGCHEM</t>
        </is>
      </c>
      <c r="B19" s="31" t="inlineStr">
        <is>
          <t>Bhagiradha Chemicals &amp; Industries Ltd</t>
        </is>
      </c>
      <c r="C19" s="31" t="inlineStr">
        <is>
          <t>chemicals</t>
        </is>
      </c>
      <c r="D19" s="31" t="inlineStr">
        <is>
          <t>pesticides / agrochemicals - indian</t>
        </is>
      </c>
      <c r="E19" s="31" t="inlineStr">
        <is>
          <t>smallcap</t>
        </is>
      </c>
      <c r="F19" s="31" t="n">
        <v>3344.04</v>
      </c>
      <c r="G19" s="31" t="n">
        <v>267.69</v>
      </c>
      <c r="H19" s="31" t="n">
        <v>3.8</v>
      </c>
      <c r="I19" s="31" t="n">
        <v>340295</v>
      </c>
      <c r="J19" s="31" t="inlineStr">
        <is>
          <t>531719</t>
        </is>
      </c>
    </row>
    <row r="20">
      <c r="A20" s="31" t="inlineStr">
        <is>
          <t>APARINDS</t>
        </is>
      </c>
      <c r="B20" s="31" t="inlineStr">
        <is>
          <t>Apar Industries Limited</t>
        </is>
      </c>
      <c r="C20" s="31" t="inlineStr">
        <is>
          <t>industrials</t>
        </is>
      </c>
      <c r="D20" s="31" t="inlineStr">
        <is>
          <t>electric equipment</t>
        </is>
      </c>
      <c r="E20" s="31" t="inlineStr">
        <is>
          <t>largecap</t>
        </is>
      </c>
      <c r="F20" s="31" t="n">
        <v>54665.06</v>
      </c>
      <c r="G20" s="31" t="n">
        <v>14085</v>
      </c>
      <c r="H20" s="31" t="n">
        <v>3.5</v>
      </c>
      <c r="I20" s="31" t="n">
        <v>192063</v>
      </c>
      <c r="J20" s="31" t="inlineStr">
        <is>
          <t>532259</t>
        </is>
      </c>
    </row>
    <row r="21">
      <c r="A21" s="31" t="inlineStr">
        <is>
          <t>MANORAMA</t>
        </is>
      </c>
      <c r="B21" s="31" t="inlineStr">
        <is>
          <t>Manorama Industries Ltd</t>
        </is>
      </c>
      <c r="C21" s="31" t="inlineStr">
        <is>
          <t>fmcg</t>
        </is>
      </c>
      <c r="D21" s="31" t="inlineStr">
        <is>
          <t>food - processing - indian</t>
        </is>
      </c>
      <c r="E21" s="31" t="inlineStr">
        <is>
          <t>midcap</t>
        </is>
      </c>
      <c r="F21" s="31" t="n">
        <v>8901.35</v>
      </c>
      <c r="G21" s="31" t="n">
        <v>1540.7</v>
      </c>
      <c r="H21" s="31" t="n">
        <v>3.35</v>
      </c>
      <c r="I21" s="31" t="n">
        <v>310920</v>
      </c>
      <c r="J21" s="31" t="inlineStr">
        <is>
          <t>541974</t>
        </is>
      </c>
    </row>
    <row r="22">
      <c r="A22" s="31" t="inlineStr">
        <is>
          <t>CUPID</t>
        </is>
      </c>
      <c r="B22" s="31" t="inlineStr">
        <is>
          <t>Cupid Limited</t>
        </is>
      </c>
      <c r="C22" s="31" t="inlineStr">
        <is>
          <t>fmcg</t>
        </is>
      </c>
      <c r="D22" s="31" t="inlineStr">
        <is>
          <t>personal care - indian</t>
        </is>
      </c>
      <c r="E22" s="31" t="inlineStr">
        <is>
          <t>midcap</t>
        </is>
      </c>
      <c r="F22" s="31" t="n">
        <v>19613.22</v>
      </c>
      <c r="G22" s="31" t="n">
        <v>150.59</v>
      </c>
      <c r="H22" s="31" t="n">
        <v>3.24</v>
      </c>
      <c r="I22" s="31" t="n">
        <v>23289241</v>
      </c>
      <c r="J22" s="31" t="inlineStr">
        <is>
          <t>530843</t>
        </is>
      </c>
    </row>
    <row r="23">
      <c r="A23" s="31" t="inlineStr">
        <is>
          <t>SAKAR</t>
        </is>
      </c>
      <c r="B23" s="31" t="inlineStr">
        <is>
          <t>Sakar Healthcare Ltd</t>
        </is>
      </c>
      <c r="C23" s="31" t="inlineStr">
        <is>
          <t>healthcare</t>
        </is>
      </c>
      <c r="D23" s="31" t="inlineStr">
        <is>
          <t>pharmaceuticals - indian - bulk drugs &amp; formln</t>
        </is>
      </c>
      <c r="E23" s="31" t="inlineStr">
        <is>
          <t>smallcap</t>
        </is>
      </c>
      <c r="F23" s="31" t="n">
        <v>1810.25</v>
      </c>
      <c r="G23" s="31" t="n">
        <v>839</v>
      </c>
      <c r="H23" s="31" t="n">
        <v>3.12</v>
      </c>
      <c r="I23" s="31" t="n">
        <v>253504</v>
      </c>
      <c r="J23" s="31" t="inlineStr">
        <is>
          <t>538377</t>
        </is>
      </c>
    </row>
    <row r="24">
      <c r="A24" s="31" t="inlineStr">
        <is>
          <t>BERGEPAINT</t>
        </is>
      </c>
      <c r="B24" s="31" t="inlineStr">
        <is>
          <t>Berger Paints (i) Limited</t>
        </is>
      </c>
      <c r="C24" s="31" t="inlineStr">
        <is>
          <t>building materials</t>
        </is>
      </c>
      <c r="D24" s="31" t="inlineStr">
        <is>
          <t>paints / varnishes</t>
        </is>
      </c>
      <c r="E24" s="31" t="inlineStr">
        <is>
          <t>largecap</t>
        </is>
      </c>
      <c r="F24" s="31" t="n">
        <v>58521.68</v>
      </c>
      <c r="G24" s="31" t="n">
        <v>516.7</v>
      </c>
      <c r="H24" s="31" t="n">
        <v>2.95</v>
      </c>
      <c r="I24" s="31" t="n">
        <v>660384</v>
      </c>
      <c r="J24" s="31" t="inlineStr">
        <is>
          <t>509480</t>
        </is>
      </c>
    </row>
    <row r="25">
      <c r="A25" s="31" t="inlineStr">
        <is>
          <t>VADILALIND</t>
        </is>
      </c>
      <c r="B25" s="31" t="inlineStr">
        <is>
          <t>Vadilal Industries Limited</t>
        </is>
      </c>
      <c r="C25" s="31" t="inlineStr">
        <is>
          <t>fmcg</t>
        </is>
      </c>
      <c r="D25" s="31" t="inlineStr">
        <is>
          <t>food - processing - indian</t>
        </is>
      </c>
      <c r="E25" s="31" t="inlineStr">
        <is>
          <t>smallcap</t>
        </is>
      </c>
      <c r="F25" s="31" t="n">
        <v>4138.47</v>
      </c>
      <c r="G25" s="31" t="n">
        <v>5926.8</v>
      </c>
      <c r="H25" s="31" t="n">
        <v>2.94</v>
      </c>
      <c r="I25" s="31" t="n">
        <v>56325</v>
      </c>
      <c r="J25" s="31" t="inlineStr">
        <is>
          <t>519156</t>
        </is>
      </c>
    </row>
    <row r="26">
      <c r="A26" s="31" t="inlineStr">
        <is>
          <t>SOUTHWEST</t>
        </is>
      </c>
      <c r="B26" s="31" t="inlineStr">
        <is>
          <t>South West Pinnacle Exploration Ltd</t>
        </is>
      </c>
      <c r="C26" s="31" t="inlineStr">
        <is>
          <t>metals &amp; mining</t>
        </is>
      </c>
      <c r="D26" s="31" t="inlineStr">
        <is>
          <t>mining / minerals / metals</t>
        </is>
      </c>
      <c r="E26" s="31" t="inlineStr">
        <is>
          <t>smallcap</t>
        </is>
      </c>
      <c r="F26" s="31" t="n">
        <v>776.03</v>
      </c>
      <c r="G26" s="31" t="n">
        <v>267.75</v>
      </c>
      <c r="H26" s="31" t="n">
        <v>2.92</v>
      </c>
      <c r="I26" s="31" t="n">
        <v>1247291</v>
      </c>
      <c r="J26" s="31" t="inlineStr">
        <is>
          <t>535049</t>
        </is>
      </c>
    </row>
    <row r="27">
      <c r="A27" s="31" t="inlineStr">
        <is>
          <t>NEOGEN</t>
        </is>
      </c>
      <c r="B27" s="31" t="inlineStr">
        <is>
          <t>Neogen Chemicals Ltd</t>
        </is>
      </c>
      <c r="C27" s="31" t="inlineStr">
        <is>
          <t>chemicals</t>
        </is>
      </c>
      <c r="D27" s="31" t="inlineStr">
        <is>
          <t>chemicals</t>
        </is>
      </c>
      <c r="E27" s="31" t="inlineStr">
        <is>
          <t>midcap</t>
        </is>
      </c>
      <c r="F27" s="31" t="n">
        <v>5308.76</v>
      </c>
      <c r="G27" s="31" t="n">
        <v>1995.3</v>
      </c>
      <c r="H27" s="31" t="n">
        <v>2.91</v>
      </c>
      <c r="I27" s="31" t="n">
        <v>235358</v>
      </c>
      <c r="J27" s="31" t="inlineStr">
        <is>
          <t>542665</t>
        </is>
      </c>
    </row>
    <row r="28">
      <c r="A28" s="31" t="inlineStr">
        <is>
          <t>FACT</t>
        </is>
      </c>
      <c r="B28" s="31" t="inlineStr">
        <is>
          <t>Fertilizers And Chemicals Travancore Limited</t>
        </is>
      </c>
      <c r="C28" s="31" t="inlineStr">
        <is>
          <t>chemicals</t>
        </is>
      </c>
      <c r="D28" s="31" t="inlineStr">
        <is>
          <t>fertilizers</t>
        </is>
      </c>
      <c r="E28" s="31" t="inlineStr">
        <is>
          <t>largecap</t>
        </is>
      </c>
      <c r="F28" s="31" t="n">
        <v>56686.74</v>
      </c>
      <c r="G28" s="31" t="n">
        <v>901.35</v>
      </c>
      <c r="H28" s="31" t="n">
        <v>2.89</v>
      </c>
      <c r="I28" s="31" t="n">
        <v>1968434</v>
      </c>
      <c r="J28" s="31" t="inlineStr">
        <is>
          <t>590024</t>
        </is>
      </c>
    </row>
    <row r="29">
      <c r="A29" s="31" t="inlineStr">
        <is>
          <t>JNKINDIA</t>
        </is>
      </c>
      <c r="B29" s="31" t="inlineStr">
        <is>
          <t>JNK India Ltd</t>
        </is>
      </c>
      <c r="C29" s="31" t="inlineStr">
        <is>
          <t>realty</t>
        </is>
      </c>
      <c r="D29" s="31" t="inlineStr">
        <is>
          <t>engineering - turnkey services</t>
        </is>
      </c>
      <c r="E29" s="31" t="inlineStr">
        <is>
          <t>smallcap</t>
        </is>
      </c>
      <c r="F29" s="31" t="n">
        <v>2708.45</v>
      </c>
      <c r="G29" s="31" t="n">
        <v>498</v>
      </c>
      <c r="H29" s="31" t="n">
        <v>2.88</v>
      </c>
      <c r="I29" s="31" t="n">
        <v>17266620</v>
      </c>
      <c r="J29" s="31" t="inlineStr">
        <is>
          <t>544167</t>
        </is>
      </c>
    </row>
    <row r="30">
      <c r="A30" s="31" t="inlineStr">
        <is>
          <t>WELENT</t>
        </is>
      </c>
      <c r="B30" s="31" t="inlineStr">
        <is>
          <t>Welspun Enterprises Limited</t>
        </is>
      </c>
      <c r="C30" s="31" t="inlineStr">
        <is>
          <t>realty</t>
        </is>
      </c>
      <c r="D30" s="31" t="inlineStr">
        <is>
          <t>construction</t>
        </is>
      </c>
      <c r="E30" s="31" t="inlineStr">
        <is>
          <t>midcap</t>
        </is>
      </c>
      <c r="F30" s="31" t="n">
        <v>7482.65</v>
      </c>
      <c r="G30" s="31" t="n">
        <v>556.1</v>
      </c>
      <c r="H30" s="31" t="n">
        <v>2.87</v>
      </c>
      <c r="I30" s="31" t="n">
        <v>801537</v>
      </c>
      <c r="J30" s="31" t="inlineStr">
        <is>
          <t>532553</t>
        </is>
      </c>
    </row>
    <row r="31">
      <c r="A31" s="31" t="inlineStr">
        <is>
          <t>HONAUT</t>
        </is>
      </c>
      <c r="B31" s="31" t="inlineStr">
        <is>
          <t>Honeywell Automation India Limited</t>
        </is>
      </c>
      <c r="C31" s="31" t="inlineStr">
        <is>
          <t>consumer discretionary</t>
        </is>
      </c>
      <c r="D31" s="31" t="inlineStr">
        <is>
          <t>electronics - components</t>
        </is>
      </c>
      <c r="E31" s="31" t="inlineStr">
        <is>
          <t>largecap</t>
        </is>
      </c>
      <c r="F31" s="31" t="n">
        <v>31055.85</v>
      </c>
      <c r="G31" s="31" t="n">
        <v>36130</v>
      </c>
      <c r="H31" s="31" t="n">
        <v>2.86</v>
      </c>
      <c r="I31" s="31" t="n">
        <v>13857</v>
      </c>
      <c r="J31" s="31" t="inlineStr">
        <is>
          <t>517174</t>
        </is>
      </c>
    </row>
    <row r="32">
      <c r="A32" s="31" t="inlineStr">
        <is>
          <t>ASTERDM</t>
        </is>
      </c>
      <c r="B32" s="31" t="inlineStr">
        <is>
          <t>Aster DM Healthcare Ltd</t>
        </is>
      </c>
      <c r="C32" s="31" t="inlineStr">
        <is>
          <t>healthcare</t>
        </is>
      </c>
      <c r="D32" s="31" t="inlineStr">
        <is>
          <t>healthcare</t>
        </is>
      </c>
      <c r="E32" s="31" t="inlineStr">
        <is>
          <t>largecap</t>
        </is>
      </c>
      <c r="F32" s="31" t="n">
        <v>40949.7</v>
      </c>
      <c r="G32" s="31" t="n">
        <v>812.9</v>
      </c>
      <c r="H32" s="31" t="n">
        <v>2.85</v>
      </c>
      <c r="I32" s="31" t="n">
        <v>2258113</v>
      </c>
      <c r="J32" s="31" t="inlineStr">
        <is>
          <t>540975</t>
        </is>
      </c>
    </row>
    <row r="33">
      <c r="A33" s="31" t="inlineStr">
        <is>
          <t>CEMPRO</t>
        </is>
      </c>
      <c r="B33" s="31" t="inlineStr">
        <is>
          <t>Cemindia Projects Ltd</t>
        </is>
      </c>
      <c r="C33" s="31" t="inlineStr">
        <is>
          <t>realty</t>
        </is>
      </c>
      <c r="D33" s="31" t="inlineStr">
        <is>
          <t>construction</t>
        </is>
      </c>
      <c r="E33" s="31" t="inlineStr">
        <is>
          <t>largecap</t>
        </is>
      </c>
      <c r="F33" s="31" t="n">
        <v>20679.79</v>
      </c>
      <c r="G33" s="31" t="n">
        <v>1237.1</v>
      </c>
      <c r="H33" s="31" t="n">
        <v>2.77</v>
      </c>
      <c r="I33" s="31" t="n">
        <v>2035514</v>
      </c>
      <c r="J33" s="31" t="inlineStr">
        <is>
          <t>509496</t>
        </is>
      </c>
    </row>
    <row r="34">
      <c r="A34" s="31" t="inlineStr">
        <is>
          <t>RUBYMILLS</t>
        </is>
      </c>
      <c r="B34" s="31" t="inlineStr">
        <is>
          <t>The Ruby Mills Limited</t>
        </is>
      </c>
      <c r="C34" s="31" t="inlineStr">
        <is>
          <t>textiles</t>
        </is>
      </c>
      <c r="D34" s="31" t="inlineStr">
        <is>
          <t>textiles - composite</t>
        </is>
      </c>
      <c r="E34" s="31" t="inlineStr">
        <is>
          <t>smallcap</t>
        </is>
      </c>
      <c r="F34" s="31" t="n">
        <v>1152.68</v>
      </c>
      <c r="G34" s="31" t="n">
        <v>353.25</v>
      </c>
      <c r="H34" s="31" t="n">
        <v>2.48</v>
      </c>
      <c r="I34" s="31" t="n">
        <v>62684</v>
      </c>
      <c r="J34" s="31" t="inlineStr">
        <is>
          <t>503169</t>
        </is>
      </c>
    </row>
    <row r="35">
      <c r="A35" s="31" t="inlineStr">
        <is>
          <t>BHAGYANGR</t>
        </is>
      </c>
      <c r="B35" s="31" t="inlineStr">
        <is>
          <t>Bhagyanagar India</t>
        </is>
      </c>
      <c r="C35" s="31" t="inlineStr">
        <is>
          <t>power &amp; utilities</t>
        </is>
      </c>
      <c r="D35" s="31" t="inlineStr">
        <is>
          <t>power generation and supply</t>
        </is>
      </c>
      <c r="E35" s="31" t="inlineStr">
        <is>
          <t>smallcap</t>
        </is>
      </c>
      <c r="F35" s="31" t="n">
        <v>984.8099999999999</v>
      </c>
      <c r="G35" s="31" t="n">
        <v>315.2</v>
      </c>
      <c r="H35" s="31" t="n">
        <v>2.4</v>
      </c>
      <c r="I35" s="31" t="n">
        <v>159506</v>
      </c>
      <c r="J35" s="31" t="inlineStr">
        <is>
          <t>512296</t>
        </is>
      </c>
    </row>
    <row r="36">
      <c r="A36" s="31" t="inlineStr">
        <is>
          <t>CAPLIPOINT</t>
        </is>
      </c>
      <c r="B36" s="31" t="inlineStr">
        <is>
          <t>Caplin Point Laboratories Limited</t>
        </is>
      </c>
      <c r="C36" s="31" t="inlineStr">
        <is>
          <t>healthcare</t>
        </is>
      </c>
      <c r="D36" s="31" t="inlineStr">
        <is>
          <t>pharmaceuticals - indian - formulations</t>
        </is>
      </c>
      <c r="E36" s="31" t="inlineStr">
        <is>
          <t>midcap</t>
        </is>
      </c>
      <c r="F36" s="31" t="n">
        <v>17142.16</v>
      </c>
      <c r="G36" s="31" t="n">
        <v>2309.4</v>
      </c>
      <c r="H36" s="31" t="n">
        <v>2.4</v>
      </c>
      <c r="I36" s="31" t="n">
        <v>861544</v>
      </c>
      <c r="J36" s="31" t="inlineStr">
        <is>
          <t>524742</t>
        </is>
      </c>
    </row>
    <row r="37">
      <c r="A37" s="31" t="inlineStr">
        <is>
          <t>AEGISLOG</t>
        </is>
      </c>
      <c r="B37" s="31" t="inlineStr">
        <is>
          <t>Aegis Logistics Ltd</t>
        </is>
      </c>
      <c r="C37" s="31" t="inlineStr">
        <is>
          <t>services</t>
        </is>
      </c>
      <c r="D37" s="31" t="inlineStr">
        <is>
          <t>trading</t>
        </is>
      </c>
      <c r="E37" s="31" t="inlineStr">
        <is>
          <t>largecap</t>
        </is>
      </c>
      <c r="F37" s="31" t="n">
        <v>27471.02</v>
      </c>
      <c r="G37" s="31" t="n">
        <v>801</v>
      </c>
      <c r="H37" s="31" t="n">
        <v>2.34</v>
      </c>
      <c r="I37" s="31" t="n">
        <v>5001137</v>
      </c>
      <c r="J37" s="31" t="inlineStr">
        <is>
          <t>500003</t>
        </is>
      </c>
    </row>
    <row r="38">
      <c r="A38" s="31" t="inlineStr">
        <is>
          <t>OAL</t>
        </is>
      </c>
      <c r="B38" s="31" t="inlineStr">
        <is>
          <t>Oriental Aromatics Ltd</t>
        </is>
      </c>
      <c r="C38" s="31" t="inlineStr">
        <is>
          <t>chemicals</t>
        </is>
      </c>
      <c r="D38" s="31" t="inlineStr">
        <is>
          <t>chemicals</t>
        </is>
      </c>
      <c r="E38" s="31" t="inlineStr">
        <is>
          <t>smallcap</t>
        </is>
      </c>
      <c r="F38" s="31" t="n">
        <v>1116.29</v>
      </c>
      <c r="G38" s="31" t="n">
        <v>339.35</v>
      </c>
      <c r="H38" s="31" t="n">
        <v>2.31</v>
      </c>
      <c r="I38" s="31" t="n">
        <v>51844</v>
      </c>
      <c r="J38" s="31" t="inlineStr">
        <is>
          <t>500078</t>
        </is>
      </c>
    </row>
    <row r="39">
      <c r="A39" s="31" t="inlineStr">
        <is>
          <t>SFL</t>
        </is>
      </c>
      <c r="B39" s="31" t="inlineStr">
        <is>
          <t>Sheela Foam Limited</t>
        </is>
      </c>
      <c r="C39" s="31" t="inlineStr">
        <is>
          <t>consumer discretionary</t>
        </is>
      </c>
      <c r="D39" s="31" t="inlineStr">
        <is>
          <t>miscellaneous</t>
        </is>
      </c>
      <c r="E39" s="31" t="inlineStr">
        <is>
          <t>midcap</t>
        </is>
      </c>
      <c r="F39" s="31" t="n">
        <v>7402.12</v>
      </c>
      <c r="G39" s="31" t="n">
        <v>696.55</v>
      </c>
      <c r="H39" s="31" t="n">
        <v>2.3</v>
      </c>
      <c r="I39" s="31" t="n">
        <v>682837</v>
      </c>
      <c r="J39" s="31" t="inlineStr">
        <is>
          <t>540203</t>
        </is>
      </c>
    </row>
    <row r="40">
      <c r="A40" s="31" t="inlineStr">
        <is>
          <t>VINCOFE</t>
        </is>
      </c>
      <c r="B40" s="31" t="inlineStr">
        <is>
          <t>Vintage Coffee &amp; Beverages Ltd</t>
        </is>
      </c>
      <c r="C40" s="31" t="inlineStr">
        <is>
          <t>consumer discretionary</t>
        </is>
      </c>
      <c r="D40" s="31" t="inlineStr">
        <is>
          <t>trading</t>
        </is>
      </c>
      <c r="E40" s="31" t="inlineStr">
        <is>
          <t>smallcap</t>
        </is>
      </c>
      <c r="F40" s="31" t="n">
        <v>2225.97</v>
      </c>
      <c r="G40" s="31" t="n">
        <v>156.22</v>
      </c>
      <c r="H40" s="31" t="n">
        <v>2.24</v>
      </c>
      <c r="I40" s="31" t="n">
        <v>2444036</v>
      </c>
      <c r="J40" s="31" t="inlineStr">
        <is>
          <t>538920</t>
        </is>
      </c>
    </row>
    <row r="41">
      <c r="A41" s="31" t="inlineStr">
        <is>
          <t>GREENLAM</t>
        </is>
      </c>
      <c r="B41" s="31" t="inlineStr">
        <is>
          <t>Greenlam Industries Limited</t>
        </is>
      </c>
      <c r="C41" s="31" t="inlineStr">
        <is>
          <t>building materials</t>
        </is>
      </c>
      <c r="D41" s="31" t="inlineStr">
        <is>
          <t>miscellaneous</t>
        </is>
      </c>
      <c r="E41" s="31" t="inlineStr">
        <is>
          <t>midcap</t>
        </is>
      </c>
      <c r="F41" s="31" t="n">
        <v>5982.45</v>
      </c>
      <c r="G41" s="31" t="n">
        <v>239.68</v>
      </c>
      <c r="H41" s="31" t="n">
        <v>2.22</v>
      </c>
      <c r="I41" s="31" t="n">
        <v>449634</v>
      </c>
      <c r="J41" s="31" t="inlineStr">
        <is>
          <t>538979</t>
        </is>
      </c>
    </row>
    <row r="42">
      <c r="A42" s="31" t="inlineStr">
        <is>
          <t>HSCL</t>
        </is>
      </c>
      <c r="B42" s="31" t="inlineStr">
        <is>
          <t>Himadri Speciality Chemical Limited</t>
        </is>
      </c>
      <c r="C42" s="31" t="inlineStr">
        <is>
          <t>chemicals</t>
        </is>
      </c>
      <c r="D42" s="31" t="inlineStr">
        <is>
          <t>chemicals</t>
        </is>
      </c>
      <c r="E42" s="31" t="inlineStr">
        <is>
          <t>largecap</t>
        </is>
      </c>
      <c r="F42" s="31" t="n">
        <v>34283.6</v>
      </c>
      <c r="G42" s="31" t="n">
        <v>693</v>
      </c>
      <c r="H42" s="31" t="n">
        <v>1.99</v>
      </c>
      <c r="I42" s="31" t="n">
        <v>21296979</v>
      </c>
      <c r="J42" s="31" t="inlineStr">
        <is>
          <t>500184</t>
        </is>
      </c>
    </row>
    <row r="43">
      <c r="A43" s="31" t="inlineStr">
        <is>
          <t>NESTLEIND</t>
        </is>
      </c>
      <c r="B43" s="31" t="inlineStr">
        <is>
          <t>Nestle India Limited</t>
        </is>
      </c>
      <c r="C43" s="31" t="inlineStr">
        <is>
          <t>fmcg</t>
        </is>
      </c>
      <c r="D43" s="31" t="inlineStr">
        <is>
          <t>food - processing - mnc</t>
        </is>
      </c>
      <c r="E43" s="31" t="inlineStr">
        <is>
          <t>largecap</t>
        </is>
      </c>
      <c r="F43" s="31" t="n">
        <v>271969.45</v>
      </c>
      <c r="G43" s="31" t="n">
        <v>1438.3</v>
      </c>
      <c r="H43" s="31" t="n">
        <v>1.98</v>
      </c>
      <c r="I43" s="31" t="n">
        <v>2288648</v>
      </c>
      <c r="J43" s="31" t="inlineStr">
        <is>
          <t>500790</t>
        </is>
      </c>
    </row>
    <row r="44">
      <c r="A44" s="31" t="inlineStr">
        <is>
          <t>MSTCLTD</t>
        </is>
      </c>
      <c r="B44" s="31" t="inlineStr">
        <is>
          <t>MSTC Ltd</t>
        </is>
      </c>
      <c r="C44" s="31" t="inlineStr">
        <is>
          <t>i.t</t>
        </is>
      </c>
      <c r="D44" s="31" t="inlineStr">
        <is>
          <t>trading</t>
        </is>
      </c>
      <c r="E44" s="31" t="inlineStr">
        <is>
          <t>smallcap</t>
        </is>
      </c>
      <c r="F44" s="31" t="n">
        <v>3836.45</v>
      </c>
      <c r="G44" s="31" t="n">
        <v>555.75</v>
      </c>
      <c r="H44" s="31" t="n">
        <v>1.98</v>
      </c>
      <c r="I44" s="31" t="n">
        <v>3952050</v>
      </c>
      <c r="J44" s="31" t="inlineStr">
        <is>
          <t>542597</t>
        </is>
      </c>
    </row>
    <row r="45">
      <c r="A45" s="31" t="inlineStr">
        <is>
          <t>GAYAPROJ</t>
        </is>
      </c>
      <c r="B45" s="31" t="inlineStr">
        <is>
          <t>Gayatri Projects Limited</t>
        </is>
      </c>
      <c r="C45" s="31" t="inlineStr">
        <is>
          <t>realty</t>
        </is>
      </c>
      <c r="D45" s="31" t="inlineStr">
        <is>
          <t>construction</t>
        </is>
      </c>
      <c r="E45" s="31" t="inlineStr">
        <is>
          <t>smallcap</t>
        </is>
      </c>
      <c r="F45" s="31" t="n">
        <v>631.79</v>
      </c>
      <c r="G45" s="31" t="n">
        <v>21.75</v>
      </c>
      <c r="H45" s="31" t="n">
        <v>1.97</v>
      </c>
      <c r="I45" s="31" t="n">
        <v>682045</v>
      </c>
      <c r="J45" s="31" t="inlineStr">
        <is>
          <t>532767</t>
        </is>
      </c>
    </row>
    <row r="46">
      <c r="A46" s="31" t="inlineStr">
        <is>
          <t>S&amp;SPOWER</t>
        </is>
      </c>
      <c r="B46" s="31" t="inlineStr">
        <is>
          <t>S &amp; S Power Switchgear Ltd</t>
        </is>
      </c>
      <c r="C46" s="31" t="inlineStr">
        <is>
          <t>industrials</t>
        </is>
      </c>
      <c r="D46" s="31" t="inlineStr">
        <is>
          <t>electric equipment</t>
        </is>
      </c>
      <c r="E46" s="31" t="inlineStr">
        <is>
          <t>smallcap</t>
        </is>
      </c>
      <c r="F46" s="31" t="n">
        <v>504.15</v>
      </c>
      <c r="G46" s="31" t="n">
        <v>416.45</v>
      </c>
      <c r="H46" s="31" t="n">
        <v>1.95</v>
      </c>
      <c r="I46" s="31" t="n">
        <v>9219</v>
      </c>
      <c r="J46" s="31" t="inlineStr">
        <is>
          <t>517273</t>
        </is>
      </c>
    </row>
    <row r="47">
      <c r="A47" s="31" t="inlineStr">
        <is>
          <t>KOVAI</t>
        </is>
      </c>
      <c r="B47" s="31" t="inlineStr">
        <is>
          <t>Kovai Medical Center &amp; Hospital Ltd</t>
        </is>
      </c>
      <c r="C47" s="31" t="inlineStr">
        <is>
          <t>healthcare</t>
        </is>
      </c>
      <c r="D47" s="31" t="inlineStr">
        <is>
          <t>healthcare</t>
        </is>
      </c>
      <c r="E47" s="31" t="inlineStr">
        <is>
          <t>midcap</t>
        </is>
      </c>
      <c r="F47" s="31" t="n">
        <v>6287.42</v>
      </c>
      <c r="G47" s="31" t="n">
        <v>5856.5</v>
      </c>
      <c r="H47" s="31" t="n">
        <v>1.92</v>
      </c>
      <c r="I47" s="31" t="n">
        <v>7372</v>
      </c>
      <c r="J47" s="31" t="inlineStr">
        <is>
          <t>523323</t>
        </is>
      </c>
    </row>
    <row r="48">
      <c r="A48" s="31" t="inlineStr">
        <is>
          <t>KRN</t>
        </is>
      </c>
      <c r="B48" s="31" t="inlineStr">
        <is>
          <t>KRN Heat Exchanger and Refrigeration Ltd</t>
        </is>
      </c>
      <c r="C48" s="31" t="inlineStr">
        <is>
          <t>industrials</t>
        </is>
      </c>
      <c r="D48" s="31" t="inlineStr">
        <is>
          <t>engineering</t>
        </is>
      </c>
      <c r="E48" s="31" t="inlineStr">
        <is>
          <t>midcap</t>
        </is>
      </c>
      <c r="F48" s="31" t="n">
        <v>7657.69</v>
      </c>
      <c r="G48" s="31" t="n">
        <v>1255.7</v>
      </c>
      <c r="H48" s="31" t="n">
        <v>1.92</v>
      </c>
      <c r="I48" s="31" t="n">
        <v>390454</v>
      </c>
      <c r="J48" s="31" t="inlineStr">
        <is>
          <t>544263</t>
        </is>
      </c>
    </row>
    <row r="49">
      <c r="A49" s="31" t="inlineStr">
        <is>
          <t>AJANTPHARM</t>
        </is>
      </c>
      <c r="B49" s="31" t="inlineStr">
        <is>
          <t>Ajanta Pharma Limited</t>
        </is>
      </c>
      <c r="C49" s="31" t="inlineStr">
        <is>
          <t>healthcare</t>
        </is>
      </c>
      <c r="D49" s="31" t="inlineStr">
        <is>
          <t>pharmaceuticals - indian - formulations</t>
        </is>
      </c>
      <c r="E49" s="31" t="inlineStr">
        <is>
          <t>largecap</t>
        </is>
      </c>
      <c r="F49" s="31" t="n">
        <v>37695.58</v>
      </c>
      <c r="G49" s="31" t="n">
        <v>3074.9</v>
      </c>
      <c r="H49" s="31" t="n">
        <v>1.91</v>
      </c>
      <c r="I49" s="31" t="n">
        <v>182466</v>
      </c>
      <c r="J49" s="31" t="inlineStr">
        <is>
          <t>532331</t>
        </is>
      </c>
    </row>
    <row r="50">
      <c r="A50" s="31" t="inlineStr">
        <is>
          <t>UFBL</t>
        </is>
      </c>
      <c r="B50" s="31" t="inlineStr">
        <is>
          <t>United Foodbrands Ltd</t>
        </is>
      </c>
      <c r="C50" s="31" t="inlineStr">
        <is>
          <t>consumer discretionary</t>
        </is>
      </c>
      <c r="D50" s="31" t="inlineStr">
        <is>
          <t>hotels</t>
        </is>
      </c>
      <c r="E50" s="31" t="inlineStr">
        <is>
          <t>smallcap</t>
        </is>
      </c>
      <c r="F50" s="31" t="n">
        <v>2149.56</v>
      </c>
      <c r="G50" s="31" t="n">
        <v>560.4</v>
      </c>
      <c r="H50" s="31" t="n">
        <v>1.9</v>
      </c>
      <c r="I50" s="31" t="n">
        <v>182391</v>
      </c>
      <c r="J50" s="31" t="inlineStr">
        <is>
          <t>543283</t>
        </is>
      </c>
    </row>
    <row r="51">
      <c r="A51" s="31" t="inlineStr">
        <is>
          <t>JSWDULUX</t>
        </is>
      </c>
      <c r="B51" s="31" t="inlineStr">
        <is>
          <t>JSW Dulux Ltd</t>
        </is>
      </c>
      <c r="C51" s="31" t="inlineStr">
        <is>
          <t>building materials</t>
        </is>
      </c>
      <c r="D51" s="31" t="inlineStr">
        <is>
          <t>paints / varnishes</t>
        </is>
      </c>
      <c r="E51" s="31" t="inlineStr">
        <is>
          <t>midcap</t>
        </is>
      </c>
      <c r="F51" s="31" t="n">
        <v>14194.01</v>
      </c>
      <c r="G51" s="31" t="n">
        <v>3175.6</v>
      </c>
      <c r="H51" s="31" t="n">
        <v>1.89</v>
      </c>
      <c r="I51" s="31" t="n">
        <v>15804</v>
      </c>
      <c r="J51" s="31" t="inlineStr">
        <is>
          <t>500710</t>
        </is>
      </c>
    </row>
    <row r="52">
      <c r="A52" s="31" t="inlineStr">
        <is>
          <t>KERNEX</t>
        </is>
      </c>
      <c r="B52" s="31" t="inlineStr">
        <is>
          <t>Kernex Microsystems (india) Limited</t>
        </is>
      </c>
      <c r="C52" s="31" t="inlineStr">
        <is>
          <t>consumer discretionary</t>
        </is>
      </c>
      <c r="D52" s="31" t="inlineStr">
        <is>
          <t>electronics - components</t>
        </is>
      </c>
      <c r="E52" s="31" t="inlineStr">
        <is>
          <t>smallcap</t>
        </is>
      </c>
      <c r="F52" s="31" t="n">
        <v>3175.49</v>
      </c>
      <c r="G52" s="31" t="n">
        <v>1924.9</v>
      </c>
      <c r="H52" s="31" t="n">
        <v>1.85</v>
      </c>
      <c r="I52" s="31" t="n">
        <v>377193</v>
      </c>
      <c r="J52" s="31" t="inlineStr">
        <is>
          <t>532686</t>
        </is>
      </c>
    </row>
    <row r="53">
      <c r="A53" s="31" t="inlineStr">
        <is>
          <t>TATATECH</t>
        </is>
      </c>
      <c r="B53" s="31" t="inlineStr">
        <is>
          <t>Tata Technologies Ltd</t>
        </is>
      </c>
      <c r="C53" s="31" t="inlineStr">
        <is>
          <t>i.t</t>
        </is>
      </c>
      <c r="D53" s="31" t="inlineStr">
        <is>
          <t>computers - software - medium / small</t>
        </is>
      </c>
      <c r="E53" s="31" t="inlineStr">
        <is>
          <t>largecap</t>
        </is>
      </c>
      <c r="F53" s="31" t="n">
        <v>30249.52</v>
      </c>
      <c r="G53" s="31" t="n">
        <v>758.2</v>
      </c>
      <c r="H53" s="31" t="n">
        <v>1.76</v>
      </c>
      <c r="I53" s="31" t="n">
        <v>1378399</v>
      </c>
      <c r="J53" s="31" t="inlineStr">
        <is>
          <t>544028</t>
        </is>
      </c>
    </row>
    <row r="54">
      <c r="A54" s="31" t="inlineStr">
        <is>
          <t>HITECHCORP</t>
        </is>
      </c>
      <c r="B54" s="31" t="inlineStr">
        <is>
          <t>Hitech Corporation</t>
        </is>
      </c>
      <c r="C54" s="31" t="inlineStr">
        <is>
          <t>industrials</t>
        </is>
      </c>
      <c r="D54" s="31" t="inlineStr">
        <is>
          <t>packaging</t>
        </is>
      </c>
      <c r="E54" s="31" t="inlineStr">
        <is>
          <t>smallcap</t>
        </is>
      </c>
      <c r="F54" s="31" t="n">
        <v>531.28</v>
      </c>
      <c r="G54" s="31" t="n">
        <v>314.65</v>
      </c>
      <c r="H54" s="31" t="n">
        <v>1.72</v>
      </c>
      <c r="I54" s="31" t="n">
        <v>40950</v>
      </c>
      <c r="J54" s="31" t="inlineStr">
        <is>
          <t>526217</t>
        </is>
      </c>
    </row>
    <row r="55">
      <c r="A55" s="31" t="inlineStr">
        <is>
          <t>AXISBANK</t>
        </is>
      </c>
      <c r="B55" s="31" t="inlineStr">
        <is>
          <t>Axis Bank Limited</t>
        </is>
      </c>
      <c r="C55" s="31" t="inlineStr">
        <is>
          <t>bank</t>
        </is>
      </c>
      <c r="D55" s="31" t="inlineStr">
        <is>
          <t>banks - private sector</t>
        </is>
      </c>
      <c r="E55" s="31" t="inlineStr">
        <is>
          <t>largecap</t>
        </is>
      </c>
      <c r="F55" s="31" t="n">
        <v>401700.23</v>
      </c>
      <c r="G55" s="31" t="n">
        <v>1314.5</v>
      </c>
      <c r="H55" s="31" t="n">
        <v>1.71</v>
      </c>
      <c r="I55" s="31" t="n">
        <v>12262606</v>
      </c>
      <c r="J55" s="31" t="inlineStr">
        <is>
          <t>532215</t>
        </is>
      </c>
    </row>
    <row r="56">
      <c r="A56" s="31" t="inlineStr">
        <is>
          <t>STEL</t>
        </is>
      </c>
      <c r="B56" s="31" t="inlineStr">
        <is>
          <t>Stel Holdings Limited</t>
        </is>
      </c>
      <c r="C56" s="31" t="inlineStr">
        <is>
          <t>financials</t>
        </is>
      </c>
      <c r="D56" s="31" t="inlineStr">
        <is>
          <t>finance &amp; investments</t>
        </is>
      </c>
      <c r="E56" s="31" t="inlineStr">
        <is>
          <t>smallcap</t>
        </is>
      </c>
      <c r="F56" s="31" t="n">
        <v>968.63</v>
      </c>
      <c r="G56" s="31" t="n">
        <v>533.75</v>
      </c>
      <c r="H56" s="31" t="n">
        <v>1.7</v>
      </c>
      <c r="I56" s="31" t="n">
        <v>11612</v>
      </c>
      <c r="J56" s="31" t="n"/>
    </row>
    <row r="57">
      <c r="A57" s="31" t="inlineStr">
        <is>
          <t>SANSTAR</t>
        </is>
      </c>
      <c r="B57" s="31" t="inlineStr">
        <is>
          <t>Sanstar Ltd</t>
        </is>
      </c>
      <c r="C57" s="31" t="inlineStr">
        <is>
          <t>fmcg</t>
        </is>
      </c>
      <c r="D57" s="31" t="inlineStr">
        <is>
          <t>miscellaneous</t>
        </is>
      </c>
      <c r="E57" s="31" t="inlineStr">
        <is>
          <t>smallcap</t>
        </is>
      </c>
      <c r="F57" s="31" t="n">
        <v>2070.48</v>
      </c>
      <c r="G57" s="31" t="n">
        <v>115.52</v>
      </c>
      <c r="H57" s="31" t="n">
        <v>1.68</v>
      </c>
      <c r="I57" s="31" t="n">
        <v>423751</v>
      </c>
      <c r="J57" s="31" t="inlineStr">
        <is>
          <t>544217</t>
        </is>
      </c>
    </row>
    <row r="58">
      <c r="A58" s="31" t="inlineStr">
        <is>
          <t>GEECEE</t>
        </is>
      </c>
      <c r="B58" s="31" t="inlineStr">
        <is>
          <t>Geecee Ventures Limited</t>
        </is>
      </c>
      <c r="C58" s="31" t="inlineStr">
        <is>
          <t>financials</t>
        </is>
      </c>
      <c r="D58" s="31" t="inlineStr">
        <is>
          <t>finance &amp; investments</t>
        </is>
      </c>
      <c r="E58" s="31" t="inlineStr">
        <is>
          <t>smallcap</t>
        </is>
      </c>
      <c r="F58" s="31" t="n">
        <v>679.11</v>
      </c>
      <c r="G58" s="31" t="n">
        <v>330.2</v>
      </c>
      <c r="H58" s="31" t="n">
        <v>1.68</v>
      </c>
      <c r="I58" s="31" t="n">
        <v>7093</v>
      </c>
      <c r="J58" s="31" t="inlineStr">
        <is>
          <t>532764</t>
        </is>
      </c>
    </row>
    <row r="59">
      <c r="A59" s="31" t="inlineStr">
        <is>
          <t>PIDILITIND</t>
        </is>
      </c>
      <c r="B59" s="31" t="inlineStr">
        <is>
          <t>Pidilite Industries Limited</t>
        </is>
      </c>
      <c r="C59" s="31" t="inlineStr">
        <is>
          <t>chemicals</t>
        </is>
      </c>
      <c r="D59" s="31" t="inlineStr">
        <is>
          <t>chemicals</t>
        </is>
      </c>
      <c r="E59" s="31" t="inlineStr">
        <is>
          <t>largecap</t>
        </is>
      </c>
      <c r="F59" s="31" t="n">
        <v>150812.61</v>
      </c>
      <c r="G59" s="31" t="n">
        <v>1506.5</v>
      </c>
      <c r="H59" s="31" t="n">
        <v>1.67</v>
      </c>
      <c r="I59" s="31" t="n">
        <v>1866212</v>
      </c>
      <c r="J59" s="31" t="inlineStr">
        <is>
          <t>500331</t>
        </is>
      </c>
    </row>
    <row r="60">
      <c r="A60" s="31" t="inlineStr">
        <is>
          <t>DLINKINDIA</t>
        </is>
      </c>
      <c r="B60" s="31" t="inlineStr">
        <is>
          <t>D-link (india) Limited</t>
        </is>
      </c>
      <c r="C60" s="31" t="inlineStr">
        <is>
          <t>services</t>
        </is>
      </c>
      <c r="D60" s="31" t="inlineStr">
        <is>
          <t>trading</t>
        </is>
      </c>
      <c r="E60" s="31" t="inlineStr">
        <is>
          <t>smallcap</t>
        </is>
      </c>
      <c r="F60" s="31" t="n">
        <v>1751.28</v>
      </c>
      <c r="G60" s="31" t="n">
        <v>501.45</v>
      </c>
      <c r="H60" s="31" t="n">
        <v>1.66</v>
      </c>
      <c r="I60" s="31" t="n">
        <v>585794</v>
      </c>
      <c r="J60" s="31" t="inlineStr">
        <is>
          <t>533146</t>
        </is>
      </c>
    </row>
    <row r="61">
      <c r="A61" s="31" t="inlineStr">
        <is>
          <t>SENORES</t>
        </is>
      </c>
      <c r="B61" s="31" t="inlineStr">
        <is>
          <t>Senores Pharmaceuticals Ltd</t>
        </is>
      </c>
      <c r="C61" s="31" t="inlineStr">
        <is>
          <t>healthcare</t>
        </is>
      </c>
      <c r="D61" s="31" t="inlineStr">
        <is>
          <t>pharmaceuticals - indian - formulations</t>
        </is>
      </c>
      <c r="E61" s="31" t="inlineStr">
        <is>
          <t>midcap</t>
        </is>
      </c>
      <c r="F61" s="31" t="n">
        <v>5040.57</v>
      </c>
      <c r="G61" s="31" t="n">
        <v>1112.6</v>
      </c>
      <c r="H61" s="31" t="n">
        <v>1.65</v>
      </c>
      <c r="I61" s="31" t="n">
        <v>491501</v>
      </c>
      <c r="J61" s="31" t="inlineStr">
        <is>
          <t>544319</t>
        </is>
      </c>
    </row>
    <row r="62">
      <c r="A62" s="31" t="inlineStr">
        <is>
          <t>RISHABH</t>
        </is>
      </c>
      <c r="B62" s="31" t="inlineStr">
        <is>
          <t>Rishabh Instruments Ltd</t>
        </is>
      </c>
      <c r="C62" s="31" t="inlineStr">
        <is>
          <t>industrials</t>
        </is>
      </c>
      <c r="D62" s="31" t="inlineStr">
        <is>
          <t>electric equipment</t>
        </is>
      </c>
      <c r="E62" s="31" t="inlineStr">
        <is>
          <t>smallcap</t>
        </is>
      </c>
      <c r="F62" s="31" t="n">
        <v>2024.44</v>
      </c>
      <c r="G62" s="31" t="n">
        <v>533.8</v>
      </c>
      <c r="H62" s="31" t="n">
        <v>1.64</v>
      </c>
      <c r="I62" s="31" t="n">
        <v>281566</v>
      </c>
      <c r="J62" s="31" t="inlineStr">
        <is>
          <t>543977</t>
        </is>
      </c>
    </row>
    <row r="63">
      <c r="A63" s="31" t="inlineStr">
        <is>
          <t>SUVEN</t>
        </is>
      </c>
      <c r="B63" s="31" t="inlineStr">
        <is>
          <t>Suven Life Sciences Limited</t>
        </is>
      </c>
      <c r="C63" s="31" t="inlineStr">
        <is>
          <t>healthcare</t>
        </is>
      </c>
      <c r="D63" s="31" t="inlineStr">
        <is>
          <t>miscellaneous</t>
        </is>
      </c>
      <c r="E63" s="31" t="inlineStr">
        <is>
          <t>midcap</t>
        </is>
      </c>
      <c r="F63" s="31" t="n">
        <v>6974.09</v>
      </c>
      <c r="G63" s="31" t="n">
        <v>268.8</v>
      </c>
      <c r="H63" s="31" t="n">
        <v>1.64</v>
      </c>
      <c r="I63" s="31" t="n">
        <v>1588525</v>
      </c>
      <c r="J63" s="31" t="inlineStr">
        <is>
          <t>530239</t>
        </is>
      </c>
    </row>
    <row r="64">
      <c r="A64" s="31" t="inlineStr">
        <is>
          <t>HONASA</t>
        </is>
      </c>
      <c r="B64" s="31" t="inlineStr">
        <is>
          <t>Honasa Consumer Ltd</t>
        </is>
      </c>
      <c r="C64" s="31" t="inlineStr">
        <is>
          <t>services</t>
        </is>
      </c>
      <c r="D64" s="31" t="inlineStr">
        <is>
          <t>trading</t>
        </is>
      </c>
      <c r="E64" s="31" t="inlineStr">
        <is>
          <t>midcap</t>
        </is>
      </c>
      <c r="F64" s="31" t="n">
        <v>13273.46</v>
      </c>
      <c r="G64" s="31" t="n">
        <v>414.6</v>
      </c>
      <c r="H64" s="31" t="n">
        <v>1.63</v>
      </c>
      <c r="I64" s="31" t="n">
        <v>734236</v>
      </c>
      <c r="J64" s="31" t="inlineStr">
        <is>
          <t>544014</t>
        </is>
      </c>
    </row>
    <row r="65">
      <c r="A65" s="31" t="inlineStr">
        <is>
          <t>MUTHOOTMF</t>
        </is>
      </c>
      <c r="B65" s="31" t="inlineStr">
        <is>
          <t>Muthoot Microfin Ltd</t>
        </is>
      </c>
      <c r="C65" s="31" t="inlineStr">
        <is>
          <t>financials</t>
        </is>
      </c>
      <c r="D65" s="31" t="inlineStr">
        <is>
          <t>finance &amp; investments</t>
        </is>
      </c>
      <c r="E65" s="31" t="inlineStr">
        <is>
          <t>smallcap</t>
        </is>
      </c>
      <c r="F65" s="31" t="n">
        <v>3126.83</v>
      </c>
      <c r="G65" s="31" t="n">
        <v>186.31</v>
      </c>
      <c r="H65" s="31" t="n">
        <v>1.59</v>
      </c>
      <c r="I65" s="31" t="n">
        <v>277661</v>
      </c>
      <c r="J65" s="31" t="inlineStr">
        <is>
          <t>544055</t>
        </is>
      </c>
    </row>
    <row r="66">
      <c r="A66" s="31" t="inlineStr">
        <is>
          <t>MAYURUNIQ</t>
        </is>
      </c>
      <c r="B66" s="31" t="inlineStr">
        <is>
          <t>Mayur Uniquoters Ltd</t>
        </is>
      </c>
      <c r="C66" s="31" t="inlineStr">
        <is>
          <t>consumer discretionary</t>
        </is>
      </c>
      <c r="D66" s="31" t="inlineStr">
        <is>
          <t>leather / leather products</t>
        </is>
      </c>
      <c r="E66" s="31" t="inlineStr">
        <is>
          <t>smallcap</t>
        </is>
      </c>
      <c r="F66" s="31" t="n">
        <v>3471.21</v>
      </c>
      <c r="G66" s="31" t="n">
        <v>811.25</v>
      </c>
      <c r="H66" s="31" t="n">
        <v>1.55</v>
      </c>
      <c r="I66" s="31" t="n">
        <v>1015825</v>
      </c>
      <c r="J66" s="31" t="inlineStr">
        <is>
          <t>522249</t>
        </is>
      </c>
    </row>
    <row r="67">
      <c r="A67" s="31" t="inlineStr">
        <is>
          <t>KPRMILL</t>
        </is>
      </c>
      <c r="B67" s="31" t="inlineStr">
        <is>
          <t>K.p.r. Mill Limited</t>
        </is>
      </c>
      <c r="C67" s="31" t="inlineStr">
        <is>
          <t>consumer discretionary</t>
        </is>
      </c>
      <c r="D67" s="31" t="inlineStr">
        <is>
          <t>textiles - products</t>
        </is>
      </c>
      <c r="E67" s="31" t="inlineStr">
        <is>
          <t>largecap</t>
        </is>
      </c>
      <c r="F67" s="31" t="n">
        <v>35198.3</v>
      </c>
      <c r="G67" s="31" t="n">
        <v>1045.55</v>
      </c>
      <c r="H67" s="31" t="n">
        <v>1.53</v>
      </c>
      <c r="I67" s="31" t="n">
        <v>530120</v>
      </c>
      <c r="J67" s="31" t="inlineStr">
        <is>
          <t>532889</t>
        </is>
      </c>
    </row>
    <row r="68">
      <c r="A68" s="31" t="inlineStr">
        <is>
          <t>MUNJALAU</t>
        </is>
      </c>
      <c r="B68" s="31" t="inlineStr">
        <is>
          <t>Munjal Auto Industries Limited</t>
        </is>
      </c>
      <c r="C68" s="31" t="inlineStr">
        <is>
          <t>auto</t>
        </is>
      </c>
      <c r="D68" s="31" t="inlineStr">
        <is>
          <t>auto ancillaries</t>
        </is>
      </c>
      <c r="E68" s="31" t="inlineStr">
        <is>
          <t>smallcap</t>
        </is>
      </c>
      <c r="F68" s="31" t="n">
        <v>969.9</v>
      </c>
      <c r="G68" s="31" t="n">
        <v>98.45999999999999</v>
      </c>
      <c r="H68" s="31" t="n">
        <v>1.52</v>
      </c>
      <c r="I68" s="31" t="n">
        <v>3117152</v>
      </c>
      <c r="J68" s="31" t="inlineStr">
        <is>
          <t>520059</t>
        </is>
      </c>
    </row>
    <row r="69">
      <c r="A69" s="31" t="inlineStr">
        <is>
          <t>VENUSREM</t>
        </is>
      </c>
      <c r="B69" s="31" t="inlineStr">
        <is>
          <t>Venus Remedies Limited</t>
        </is>
      </c>
      <c r="C69" s="31" t="inlineStr">
        <is>
          <t>healthcare</t>
        </is>
      </c>
      <c r="D69" s="31" t="inlineStr">
        <is>
          <t>pharmaceuticals - indian - formulations</t>
        </is>
      </c>
      <c r="E69" s="31" t="inlineStr">
        <is>
          <t>smallcap</t>
        </is>
      </c>
      <c r="F69" s="31" t="n">
        <v>2153.02</v>
      </c>
      <c r="G69" s="31" t="n">
        <v>1633.5</v>
      </c>
      <c r="H69" s="31" t="n">
        <v>1.42</v>
      </c>
      <c r="I69" s="31" t="n">
        <v>278150</v>
      </c>
      <c r="J69" s="31" t="inlineStr">
        <is>
          <t>526953</t>
        </is>
      </c>
    </row>
    <row r="70">
      <c r="A70" s="31" t="inlineStr">
        <is>
          <t>SANDHAR</t>
        </is>
      </c>
      <c r="B70" s="31" t="inlineStr">
        <is>
          <t>Sandhar Technologies Limited</t>
        </is>
      </c>
      <c r="C70" s="31" t="inlineStr">
        <is>
          <t>auto</t>
        </is>
      </c>
      <c r="D70" s="31" t="inlineStr">
        <is>
          <t>auto ancillaries</t>
        </is>
      </c>
      <c r="E70" s="31" t="inlineStr">
        <is>
          <t>smallcap</t>
        </is>
      </c>
      <c r="F70" s="31" t="n">
        <v>4266.92</v>
      </c>
      <c r="G70" s="31" t="n">
        <v>718.45</v>
      </c>
      <c r="H70" s="31" t="n">
        <v>1.35</v>
      </c>
      <c r="I70" s="31" t="n">
        <v>791992</v>
      </c>
      <c r="J70" s="31" t="inlineStr">
        <is>
          <t>541163</t>
        </is>
      </c>
    </row>
    <row r="71">
      <c r="A71" s="31" t="inlineStr">
        <is>
          <t>BHARATFORG</t>
        </is>
      </c>
      <c r="B71" s="31" t="inlineStr">
        <is>
          <t>Bharat Forge Limited</t>
        </is>
      </c>
      <c r="C71" s="31" t="inlineStr">
        <is>
          <t>industrials</t>
        </is>
      </c>
      <c r="D71" s="31" t="inlineStr">
        <is>
          <t>castings &amp; forgings</t>
        </is>
      </c>
      <c r="E71" s="31" t="inlineStr">
        <is>
          <t>largecap</t>
        </is>
      </c>
      <c r="F71" s="31" t="n">
        <v>92051.19</v>
      </c>
      <c r="G71" s="31" t="n">
        <v>1949.2</v>
      </c>
      <c r="H71" s="31" t="n">
        <v>1.24</v>
      </c>
      <c r="I71" s="31" t="n">
        <v>1923743</v>
      </c>
      <c r="J71" s="31" t="inlineStr">
        <is>
          <t>500493</t>
        </is>
      </c>
    </row>
    <row r="72">
      <c r="A72" s="31" t="inlineStr">
        <is>
          <t>ITDC</t>
        </is>
      </c>
      <c r="B72" s="31" t="inlineStr">
        <is>
          <t>India Tourism Development Corporation Ltd</t>
        </is>
      </c>
      <c r="C72" s="31" t="inlineStr">
        <is>
          <t>services</t>
        </is>
      </c>
      <c r="D72" s="31" t="inlineStr">
        <is>
          <t>hotels</t>
        </is>
      </c>
      <c r="E72" s="31" t="inlineStr">
        <is>
          <t>midcap</t>
        </is>
      </c>
      <c r="F72" s="31" t="n">
        <v>5093.84</v>
      </c>
      <c r="G72" s="31" t="n">
        <v>600.75</v>
      </c>
      <c r="H72" s="31" t="n">
        <v>1.15</v>
      </c>
      <c r="I72" s="31" t="n">
        <v>1692229</v>
      </c>
      <c r="J72" s="31" t="inlineStr">
        <is>
          <t>532189</t>
        </is>
      </c>
    </row>
    <row r="73">
      <c r="A73" s="31" t="inlineStr">
        <is>
          <t>NIVABUPA</t>
        </is>
      </c>
      <c r="B73" s="31" t="inlineStr">
        <is>
          <t>Niva Bupa Health Insurance Company Ltd</t>
        </is>
      </c>
      <c r="C73" s="31" t="inlineStr">
        <is>
          <t>financials</t>
        </is>
      </c>
      <c r="D73" s="31" t="inlineStr">
        <is>
          <t>finance &amp; investments</t>
        </is>
      </c>
      <c r="E73" s="31" t="inlineStr">
        <is>
          <t>midcap</t>
        </is>
      </c>
      <c r="F73" s="31" t="n">
        <v>15383.77</v>
      </c>
      <c r="G73" s="31" t="n">
        <v>84.19</v>
      </c>
      <c r="H73" s="31" t="n">
        <v>1.1</v>
      </c>
      <c r="I73" s="31" t="n">
        <v>1264146</v>
      </c>
      <c r="J73" s="31" t="n"/>
    </row>
    <row r="74">
      <c r="A74" s="31" t="inlineStr">
        <is>
          <t>ATHERENERG</t>
        </is>
      </c>
      <c r="B74" s="31" t="inlineStr">
        <is>
          <t>Ather Energy Ltd</t>
        </is>
      </c>
      <c r="C74" s="31" t="inlineStr">
        <is>
          <t>auto</t>
        </is>
      </c>
      <c r="D74" s="31" t="inlineStr">
        <is>
          <t>automobiles - scooters and 3 - wheelers</t>
        </is>
      </c>
      <c r="E74" s="31" t="inlineStr">
        <is>
          <t>largecap</t>
        </is>
      </c>
      <c r="F74" s="31" t="n">
        <v>39522.48</v>
      </c>
      <c r="G74" s="31" t="n">
        <v>1042</v>
      </c>
      <c r="H74" s="31" t="n">
        <v>0.89</v>
      </c>
      <c r="I74" s="31" t="n">
        <v>4651982</v>
      </c>
      <c r="J74" s="31" t="inlineStr">
        <is>
          <t>544397</t>
        </is>
      </c>
    </row>
    <row r="75">
      <c r="A75" s="31" t="inlineStr">
        <is>
          <t>RICOAUTO</t>
        </is>
      </c>
      <c r="B75" s="31" t="inlineStr">
        <is>
          <t>Rico Auto Industries Limited</t>
        </is>
      </c>
      <c r="C75" s="31" t="inlineStr">
        <is>
          <t>auto</t>
        </is>
      </c>
      <c r="D75" s="31" t="inlineStr">
        <is>
          <t>auto ancillaries</t>
        </is>
      </c>
      <c r="E75" s="31" t="inlineStr">
        <is>
          <t>smallcap</t>
        </is>
      </c>
      <c r="F75" s="31" t="n">
        <v>1807.14</v>
      </c>
      <c r="G75" s="31" t="n">
        <v>134.76</v>
      </c>
      <c r="H75" s="31" t="n">
        <v>0.88</v>
      </c>
      <c r="I75" s="31" t="n">
        <v>10656749</v>
      </c>
      <c r="J75" s="31" t="inlineStr">
        <is>
          <t>520008</t>
        </is>
      </c>
    </row>
    <row r="76">
      <c r="A76" s="31" t="inlineStr">
        <is>
          <t>IBULLSLTD</t>
        </is>
      </c>
      <c r="B76" s="31" t="inlineStr">
        <is>
          <t>Indiabulls Limited</t>
        </is>
      </c>
      <c r="C76" s="31" t="inlineStr">
        <is>
          <t>miscellaneous</t>
        </is>
      </c>
      <c r="D76" s="31" t="inlineStr">
        <is>
          <t>diversified - medium / small</t>
        </is>
      </c>
      <c r="E76" s="31" t="inlineStr">
        <is>
          <t>midcap</t>
        </is>
      </c>
      <c r="F76" s="31" t="n">
        <v>5687.76</v>
      </c>
      <c r="G76" s="31" t="n">
        <v>24.68</v>
      </c>
      <c r="H76" s="31" t="n">
        <v>0.86</v>
      </c>
      <c r="I76" s="31" t="n">
        <v>5472011</v>
      </c>
      <c r="J76" s="31" t="inlineStr">
        <is>
          <t>533520</t>
        </is>
      </c>
    </row>
    <row r="77">
      <c r="A77" s="31" t="inlineStr">
        <is>
          <t>BLISSGVS</t>
        </is>
      </c>
      <c r="B77" s="31" t="inlineStr">
        <is>
          <t>Bliss Gvs Pharma Limited</t>
        </is>
      </c>
      <c r="C77" s="31" t="inlineStr">
        <is>
          <t>healthcare</t>
        </is>
      </c>
      <c r="D77" s="31" t="inlineStr">
        <is>
          <t>pharmaceuticals - indian - formulations</t>
        </is>
      </c>
      <c r="E77" s="31" t="inlineStr">
        <is>
          <t>smallcap</t>
        </is>
      </c>
      <c r="F77" s="31" t="n">
        <v>4460.06</v>
      </c>
      <c r="G77" s="31" t="n">
        <v>424.65</v>
      </c>
      <c r="H77" s="31" t="n">
        <v>0.72</v>
      </c>
      <c r="I77" s="31" t="n">
        <v>1580660</v>
      </c>
      <c r="J77" s="31" t="inlineStr">
        <is>
          <t>506197</t>
        </is>
      </c>
    </row>
    <row r="78">
      <c r="A78" s="31" t="inlineStr">
        <is>
          <t>INDOBORAX</t>
        </is>
      </c>
      <c r="B78" s="31" t="inlineStr">
        <is>
          <t>Indo Borax &amp; Chemicals Ltd</t>
        </is>
      </c>
      <c r="C78" s="31" t="inlineStr">
        <is>
          <t>chemicals</t>
        </is>
      </c>
      <c r="D78" s="31" t="inlineStr">
        <is>
          <t>chemicals</t>
        </is>
      </c>
      <c r="E78" s="31" t="inlineStr">
        <is>
          <t>smallcap</t>
        </is>
      </c>
      <c r="F78" s="31" t="n">
        <v>1152.35</v>
      </c>
      <c r="G78" s="31" t="n">
        <v>361.35</v>
      </c>
      <c r="H78" s="31" t="n">
        <v>0.63</v>
      </c>
      <c r="I78" s="31" t="n">
        <v>98594</v>
      </c>
      <c r="J78" s="31" t="inlineStr">
        <is>
          <t>524342</t>
        </is>
      </c>
    </row>
    <row r="79">
      <c r="A79" s="31" t="inlineStr">
        <is>
          <t>INDSWFTLAB</t>
        </is>
      </c>
      <c r="B79" s="31" t="inlineStr">
        <is>
          <t>Ind-swift Laboratories Limited</t>
        </is>
      </c>
      <c r="C79" s="31" t="inlineStr">
        <is>
          <t>healthcare</t>
        </is>
      </c>
      <c r="D79" s="31" t="inlineStr">
        <is>
          <t>pharmaceuticals - indian - bulk drugs &amp; formln</t>
        </is>
      </c>
      <c r="E79" s="31" t="inlineStr">
        <is>
          <t>smallcap</t>
        </is>
      </c>
      <c r="F79" s="31" t="n">
        <v>1405.62</v>
      </c>
      <c r="G79" s="31" t="n">
        <v>162.86</v>
      </c>
      <c r="H79" s="31" t="n">
        <v>0.61</v>
      </c>
      <c r="I79" s="31" t="n">
        <v>1351221</v>
      </c>
      <c r="J79" s="31" t="inlineStr">
        <is>
          <t>532305</t>
        </is>
      </c>
    </row>
    <row r="80">
      <c r="A80" s="31" t="inlineStr">
        <is>
          <t>CERA</t>
        </is>
      </c>
      <c r="B80" s="31" t="inlineStr">
        <is>
          <t>Cera Sanitaryware Limited</t>
        </is>
      </c>
      <c r="C80" s="31" t="inlineStr">
        <is>
          <t>building materials</t>
        </is>
      </c>
      <c r="D80" s="31" t="inlineStr">
        <is>
          <t>ceramics - tiles / sanitaryware</t>
        </is>
      </c>
      <c r="E80" s="31" t="inlineStr">
        <is>
          <t>midcap</t>
        </is>
      </c>
      <c r="F80" s="31" t="n">
        <v>7525.72</v>
      </c>
      <c r="G80" s="31" t="n">
        <v>5869.5</v>
      </c>
      <c r="H80" s="31" t="n">
        <v>0.59</v>
      </c>
      <c r="I80" s="31" t="n">
        <v>38007</v>
      </c>
      <c r="J80" s="31" t="inlineStr">
        <is>
          <t>532443</t>
        </is>
      </c>
    </row>
    <row r="81">
      <c r="A81" s="31" t="inlineStr">
        <is>
          <t>STARHEALTH</t>
        </is>
      </c>
      <c r="B81" s="31" t="inlineStr">
        <is>
          <t>Star Health &amp; Allied Insurance Company Ltd</t>
        </is>
      </c>
      <c r="C81" s="31" t="inlineStr">
        <is>
          <t>financials</t>
        </is>
      </c>
      <c r="D81" s="31" t="inlineStr">
        <is>
          <t>finance &amp; investments</t>
        </is>
      </c>
      <c r="E81" s="31" t="inlineStr">
        <is>
          <t>largecap</t>
        </is>
      </c>
      <c r="F81" s="31" t="n">
        <v>30679.36</v>
      </c>
      <c r="G81" s="31" t="n">
        <v>524.4</v>
      </c>
      <c r="H81" s="31" t="n">
        <v>0.58</v>
      </c>
      <c r="I81" s="31" t="n">
        <v>418145</v>
      </c>
      <c r="J81" s="31" t="inlineStr">
        <is>
          <t>543412</t>
        </is>
      </c>
    </row>
    <row r="82">
      <c r="A82" s="31" t="inlineStr">
        <is>
          <t>MBAPL</t>
        </is>
      </c>
      <c r="B82" s="31" t="inlineStr">
        <is>
          <t>Madhya Bharat Agro Products Ltd</t>
        </is>
      </c>
      <c r="C82" s="31" t="inlineStr">
        <is>
          <t>chemicals</t>
        </is>
      </c>
      <c r="D82" s="31" t="inlineStr">
        <is>
          <t>fertilizers</t>
        </is>
      </c>
      <c r="E82" s="31" t="inlineStr">
        <is>
          <t>smallcap</t>
        </is>
      </c>
      <c r="F82" s="31" t="n">
        <v>4853.66</v>
      </c>
      <c r="G82" s="31" t="n">
        <v>556.9</v>
      </c>
      <c r="H82" s="31" t="n">
        <v>0.54</v>
      </c>
      <c r="I82" s="31" t="n">
        <v>151935</v>
      </c>
      <c r="J82" s="31" t="inlineStr">
        <is>
          <t>538370</t>
        </is>
      </c>
    </row>
    <row r="83">
      <c r="A83" s="31" t="inlineStr">
        <is>
          <t>GVPIL</t>
        </is>
      </c>
      <c r="B83" s="31" t="inlineStr">
        <is>
          <t>GE Power India Ltd</t>
        </is>
      </c>
      <c r="C83" s="31" t="inlineStr">
        <is>
          <t>realty</t>
        </is>
      </c>
      <c r="D83" s="31" t="inlineStr">
        <is>
          <t>engineering - turnkey services</t>
        </is>
      </c>
      <c r="E83" s="31" t="inlineStr">
        <is>
          <t>midcap</t>
        </is>
      </c>
      <c r="F83" s="31" t="n">
        <v>6087.45</v>
      </c>
      <c r="G83" s="31" t="n">
        <v>909.6</v>
      </c>
      <c r="H83" s="31" t="n">
        <v>0.45</v>
      </c>
      <c r="I83" s="31" t="n">
        <v>407376</v>
      </c>
      <c r="J83" s="31" t="inlineStr">
        <is>
          <t>532309</t>
        </is>
      </c>
    </row>
    <row r="84">
      <c r="A84" s="31" t="inlineStr">
        <is>
          <t>STYLAMIND</t>
        </is>
      </c>
      <c r="B84" s="31" t="inlineStr">
        <is>
          <t>Stylam Industries Ltd</t>
        </is>
      </c>
      <c r="C84" s="31" t="inlineStr">
        <is>
          <t>building materials</t>
        </is>
      </c>
      <c r="D84" s="31" t="inlineStr">
        <is>
          <t>miscellaneous</t>
        </is>
      </c>
      <c r="E84" s="31" t="inlineStr">
        <is>
          <t>midcap</t>
        </is>
      </c>
      <c r="F84" s="31" t="n">
        <v>5259.83</v>
      </c>
      <c r="G84" s="31" t="n">
        <v>3117</v>
      </c>
      <c r="H84" s="31" t="n">
        <v>0.44</v>
      </c>
      <c r="I84" s="31" t="n">
        <v>28810</v>
      </c>
      <c r="J84" s="31" t="inlineStr">
        <is>
          <t>526951</t>
        </is>
      </c>
    </row>
    <row r="85">
      <c r="A85" s="31" t="inlineStr">
        <is>
          <t>PGHL</t>
        </is>
      </c>
      <c r="B85" s="31" t="inlineStr">
        <is>
          <t>Procter &amp; Gamble Health Ltd</t>
        </is>
      </c>
      <c r="C85" s="31" t="inlineStr">
        <is>
          <t>healthcare</t>
        </is>
      </c>
      <c r="D85" s="31" t="inlineStr">
        <is>
          <t>pharmaceuticals - multinational</t>
        </is>
      </c>
      <c r="E85" s="31" t="inlineStr">
        <is>
          <t>midcap</t>
        </is>
      </c>
      <c r="F85" s="31" t="n">
        <v>10312.37</v>
      </c>
      <c r="G85" s="31" t="n">
        <v>6235</v>
      </c>
      <c r="H85" s="31" t="n">
        <v>0.36</v>
      </c>
      <c r="I85" s="31" t="n">
        <v>10670</v>
      </c>
      <c r="J85" s="31" t="inlineStr">
        <is>
          <t>500126</t>
        </is>
      </c>
    </row>
    <row r="86">
      <c r="A86" s="31" t="inlineStr">
        <is>
          <t>ASIANPAINT</t>
        </is>
      </c>
      <c r="B86" s="31" t="inlineStr">
        <is>
          <t>Asian Paints Limited</t>
        </is>
      </c>
      <c r="C86" s="31" t="inlineStr">
        <is>
          <t>building materials</t>
        </is>
      </c>
      <c r="D86" s="31" t="inlineStr">
        <is>
          <t>paints / varnishes</t>
        </is>
      </c>
      <c r="E86" s="31" t="inlineStr">
        <is>
          <t>largecap</t>
        </is>
      </c>
      <c r="F86" s="31" t="n">
        <v>259760.35</v>
      </c>
      <c r="G86" s="31" t="n">
        <v>2715.1</v>
      </c>
      <c r="H86" s="31" t="n">
        <v>0.26</v>
      </c>
      <c r="I86" s="31" t="n">
        <v>1395772</v>
      </c>
      <c r="J86" s="31" t="inlineStr">
        <is>
          <t>500820</t>
        </is>
      </c>
    </row>
    <row r="87">
      <c r="A87" s="31" t="inlineStr">
        <is>
          <t>ACUTAAS</t>
        </is>
      </c>
      <c r="B87" s="31" t="inlineStr">
        <is>
          <t>Acutaas Chemicals Ltd</t>
        </is>
      </c>
      <c r="C87" s="31" t="inlineStr">
        <is>
          <t>healthcare</t>
        </is>
      </c>
      <c r="D87" s="31" t="inlineStr">
        <is>
          <t>pharmaceuticals - indian - bulk drugs</t>
        </is>
      </c>
      <c r="E87" s="31" t="inlineStr">
        <is>
          <t>largecap</t>
        </is>
      </c>
      <c r="F87" s="31" t="n">
        <v>26188.12</v>
      </c>
      <c r="G87" s="31" t="n">
        <v>3207</v>
      </c>
      <c r="H87" s="31" t="n">
        <v>0.26</v>
      </c>
      <c r="I87" s="31" t="n">
        <v>390988</v>
      </c>
      <c r="J87" s="31" t="inlineStr">
        <is>
          <t>543349</t>
        </is>
      </c>
    </row>
    <row r="88">
      <c r="A88" s="31" t="inlineStr">
        <is>
          <t>UNIPARTS</t>
        </is>
      </c>
      <c r="B88" s="31" t="inlineStr">
        <is>
          <t>Uniparts India Ltd</t>
        </is>
      </c>
      <c r="C88" s="31" t="inlineStr">
        <is>
          <t>industrials</t>
        </is>
      </c>
      <c r="D88" s="31" t="inlineStr">
        <is>
          <t>engineering</t>
        </is>
      </c>
      <c r="E88" s="31" t="inlineStr">
        <is>
          <t>smallcap</t>
        </is>
      </c>
      <c r="F88" s="31" t="n">
        <v>2890.51</v>
      </c>
      <c r="G88" s="31" t="n">
        <v>641.95</v>
      </c>
      <c r="H88" s="31" t="n">
        <v>0.26</v>
      </c>
      <c r="I88" s="31" t="n">
        <v>267656</v>
      </c>
      <c r="J88" s="31" t="inlineStr">
        <is>
          <t>543689</t>
        </is>
      </c>
    </row>
    <row r="89">
      <c r="A89" s="31" t="inlineStr">
        <is>
          <t>GAIL</t>
        </is>
      </c>
      <c r="B89" s="31" t="inlineStr">
        <is>
          <t>Gail (india) Limited</t>
        </is>
      </c>
      <c r="C89" s="31" t="inlineStr">
        <is>
          <t>energy</t>
        </is>
      </c>
      <c r="D89" s="31" t="inlineStr">
        <is>
          <t>miscellaneous</t>
        </is>
      </c>
      <c r="E89" s="31" t="inlineStr">
        <is>
          <t>largecap</t>
        </is>
      </c>
      <c r="F89" s="31" t="n">
        <v>110192.09</v>
      </c>
      <c r="G89" s="31" t="n">
        <v>168.01</v>
      </c>
      <c r="H89" s="31" t="n">
        <v>0.25</v>
      </c>
      <c r="I89" s="31" t="n">
        <v>11363717</v>
      </c>
      <c r="J89" s="31" t="inlineStr">
        <is>
          <t>532155</t>
        </is>
      </c>
    </row>
    <row r="90">
      <c r="A90" s="31" t="inlineStr">
        <is>
          <t>MAHABANK</t>
        </is>
      </c>
      <c r="B90" s="31" t="inlineStr">
        <is>
          <t>Bank Of Maharashtra Ltd</t>
        </is>
      </c>
      <c r="C90" s="31" t="inlineStr">
        <is>
          <t>bank</t>
        </is>
      </c>
      <c r="D90" s="31" t="inlineStr">
        <is>
          <t>banks - public sector</t>
        </is>
      </c>
      <c r="E90" s="31" t="inlineStr">
        <is>
          <t>largecap</t>
        </is>
      </c>
      <c r="F90" s="31" t="n">
        <v>64585.99</v>
      </c>
      <c r="G90" s="31" t="n">
        <v>84.18000000000001</v>
      </c>
      <c r="H90" s="31" t="n">
        <v>0.25</v>
      </c>
      <c r="I90" s="31" t="n">
        <v>19378667</v>
      </c>
      <c r="J90" s="31" t="inlineStr">
        <is>
          <t>532525</t>
        </is>
      </c>
    </row>
    <row r="91">
      <c r="A91" s="31" t="inlineStr">
        <is>
          <t>AEROENTER</t>
        </is>
      </c>
      <c r="B91" s="31" t="inlineStr">
        <is>
          <t>Aeroflex Enterprises Ltd</t>
        </is>
      </c>
      <c r="C91" s="31" t="inlineStr">
        <is>
          <t>metals &amp; mining</t>
        </is>
      </c>
      <c r="D91" s="31" t="inlineStr">
        <is>
          <t>steel - medium / small</t>
        </is>
      </c>
      <c r="E91" s="31" t="inlineStr">
        <is>
          <t>smallcap</t>
        </is>
      </c>
      <c r="F91" s="31" t="n">
        <v>1187.96</v>
      </c>
      <c r="G91" s="31" t="n">
        <v>105.25</v>
      </c>
      <c r="H91" s="31" t="n">
        <v>0.19</v>
      </c>
      <c r="I91" s="31" t="n">
        <v>1303705</v>
      </c>
      <c r="J91" s="31" t="inlineStr">
        <is>
          <t>511076</t>
        </is>
      </c>
    </row>
    <row r="92">
      <c r="A92" s="31" t="inlineStr">
        <is>
          <t>MGEL</t>
        </is>
      </c>
      <c r="B92" s="31" t="inlineStr">
        <is>
          <t>Mangalam Global Enterprise Ltd</t>
        </is>
      </c>
      <c r="C92" s="31" t="inlineStr">
        <is>
          <t>services</t>
        </is>
      </c>
      <c r="D92" s="31" t="inlineStr">
        <is>
          <t>trading</t>
        </is>
      </c>
      <c r="E92" s="31" t="inlineStr">
        <is>
          <t>smallcap</t>
        </is>
      </c>
      <c r="F92" s="31" t="n">
        <v>543.11</v>
      </c>
      <c r="G92" s="31" t="n">
        <v>16.51</v>
      </c>
      <c r="H92" s="31" t="n">
        <v>0.18</v>
      </c>
      <c r="I92" s="31" t="n">
        <v>649221</v>
      </c>
      <c r="J92" s="31" t="inlineStr">
        <is>
          <t>535349</t>
        </is>
      </c>
    </row>
    <row r="93">
      <c r="A93" s="31" t="inlineStr">
        <is>
          <t>MINDACORP</t>
        </is>
      </c>
      <c r="B93" s="31" t="inlineStr">
        <is>
          <t>Minda Corporation Limited</t>
        </is>
      </c>
      <c r="C93" s="31" t="inlineStr">
        <is>
          <t>auto</t>
        </is>
      </c>
      <c r="D93" s="31" t="inlineStr">
        <is>
          <t>auto ancillaries</t>
        </is>
      </c>
      <c r="E93" s="31" t="inlineStr">
        <is>
          <t>midcap</t>
        </is>
      </c>
      <c r="F93" s="31" t="n">
        <v>15472.03</v>
      </c>
      <c r="G93" s="31" t="n">
        <v>648.1</v>
      </c>
      <c r="H93" s="31" t="n">
        <v>0.15</v>
      </c>
      <c r="I93" s="31" t="n">
        <v>326968</v>
      </c>
      <c r="J93" s="31" t="inlineStr">
        <is>
          <t>538962</t>
        </is>
      </c>
    </row>
    <row r="94">
      <c r="A94" s="31" t="inlineStr">
        <is>
          <t>TATACOMM</t>
        </is>
      </c>
      <c r="B94" s="31" t="inlineStr">
        <is>
          <t>Tata Communications Limited</t>
        </is>
      </c>
      <c r="C94" s="31" t="inlineStr">
        <is>
          <t>telecom-service</t>
        </is>
      </c>
      <c r="D94" s="31" t="inlineStr">
        <is>
          <t>telecommunications - service provider</t>
        </is>
      </c>
      <c r="E94" s="31" t="inlineStr">
        <is>
          <t>largecap</t>
        </is>
      </c>
      <c r="F94" s="31" t="n">
        <v>56310.3</v>
      </c>
      <c r="G94" s="31" t="n">
        <v>1978.6</v>
      </c>
      <c r="H94" s="31" t="n">
        <v>0.14</v>
      </c>
      <c r="I94" s="31" t="n">
        <v>678230</v>
      </c>
      <c r="J94" s="31" t="inlineStr">
        <is>
          <t>500483</t>
        </is>
      </c>
    </row>
    <row r="95">
      <c r="A95" s="31" t="inlineStr">
        <is>
          <t>PARAS</t>
        </is>
      </c>
      <c r="B95" s="31" t="inlineStr">
        <is>
          <t>Paras Defence and Space Technologies Ltd</t>
        </is>
      </c>
      <c r="C95" s="31" t="inlineStr">
        <is>
          <t>aerospace &amp; defence</t>
        </is>
      </c>
      <c r="D95" s="31" t="inlineStr">
        <is>
          <t>engineering</t>
        </is>
      </c>
      <c r="E95" s="31" t="inlineStr">
        <is>
          <t>midcap</t>
        </is>
      </c>
      <c r="F95" s="31" t="n">
        <v>8374.23</v>
      </c>
      <c r="G95" s="31" t="n">
        <v>1040.5</v>
      </c>
      <c r="H95" s="31" t="n">
        <v>0.13</v>
      </c>
      <c r="I95" s="31" t="n">
        <v>5841234</v>
      </c>
      <c r="J95" s="31" t="inlineStr">
        <is>
          <t>543367</t>
        </is>
      </c>
    </row>
    <row r="96">
      <c r="A96" s="31" t="inlineStr">
        <is>
          <t>SWANDEF</t>
        </is>
      </c>
      <c r="B96" s="31" t="inlineStr">
        <is>
          <t>Swan Defence and Heavy Industries Ltd</t>
        </is>
      </c>
      <c r="C96" s="31" t="inlineStr">
        <is>
          <t>transportation</t>
        </is>
      </c>
      <c r="D96" s="31" t="inlineStr">
        <is>
          <t>miscellaneous</t>
        </is>
      </c>
      <c r="E96" s="31" t="inlineStr">
        <is>
          <t>midcap</t>
        </is>
      </c>
      <c r="F96" s="31" t="n">
        <v>10519.57</v>
      </c>
      <c r="G96" s="31" t="n">
        <v>1997.9</v>
      </c>
      <c r="H96" s="31" t="n">
        <v>0.06</v>
      </c>
      <c r="I96" s="31" t="n">
        <v>4092</v>
      </c>
      <c r="J96" s="31" t="inlineStr">
        <is>
          <t>533107</t>
        </is>
      </c>
    </row>
    <row r="97">
      <c r="A97" s="31" t="inlineStr">
        <is>
          <t>SJS</t>
        </is>
      </c>
      <c r="B97" s="31" t="inlineStr">
        <is>
          <t>S J S Enterprises Ltd</t>
        </is>
      </c>
      <c r="C97" s="31" t="inlineStr">
        <is>
          <t>auto</t>
        </is>
      </c>
      <c r="D97" s="31" t="inlineStr">
        <is>
          <t>plastics products</t>
        </is>
      </c>
      <c r="E97" s="31" t="inlineStr">
        <is>
          <t>midcap</t>
        </is>
      </c>
      <c r="F97" s="31" t="n">
        <v>6649.57</v>
      </c>
      <c r="G97" s="31" t="n">
        <v>2077.8</v>
      </c>
      <c r="H97" s="31" t="n">
        <v>-0.02</v>
      </c>
      <c r="I97" s="31" t="n">
        <v>91448</v>
      </c>
      <c r="J97" s="31" t="inlineStr">
        <is>
          <t>543387</t>
        </is>
      </c>
    </row>
    <row r="98">
      <c r="A98" s="31" t="inlineStr">
        <is>
          <t>UNIMECH</t>
        </is>
      </c>
      <c r="B98" s="31" t="inlineStr">
        <is>
          <t>Unimech Aerospace and Manufacturing Ltd</t>
        </is>
      </c>
      <c r="C98" s="31" t="inlineStr">
        <is>
          <t>aerospace &amp; defence</t>
        </is>
      </c>
      <c r="D98" s="31" t="inlineStr">
        <is>
          <t>engineering</t>
        </is>
      </c>
      <c r="E98" s="31" t="inlineStr">
        <is>
          <t>midcap</t>
        </is>
      </c>
      <c r="F98" s="31" t="n">
        <v>5847.27</v>
      </c>
      <c r="G98" s="31" t="n">
        <v>1148.9</v>
      </c>
      <c r="H98" s="31" t="n">
        <v>-0.07000000000000001</v>
      </c>
      <c r="I98" s="31" t="n">
        <v>360736</v>
      </c>
      <c r="J98" s="31" t="inlineStr">
        <is>
          <t>544322</t>
        </is>
      </c>
    </row>
    <row r="99">
      <c r="A99" s="31" t="inlineStr">
        <is>
          <t>BOSCHLTD</t>
        </is>
      </c>
      <c r="B99" s="31" t="inlineStr">
        <is>
          <t>Bosch Limited</t>
        </is>
      </c>
      <c r="C99" s="31" t="inlineStr">
        <is>
          <t>auto</t>
        </is>
      </c>
      <c r="D99" s="31" t="inlineStr">
        <is>
          <t>auto ancillaries</t>
        </is>
      </c>
      <c r="E99" s="31" t="inlineStr">
        <is>
          <t>largecap</t>
        </is>
      </c>
      <c r="F99" s="31" t="n">
        <v>111544.95</v>
      </c>
      <c r="G99" s="31" t="n">
        <v>37790</v>
      </c>
      <c r="H99" s="31" t="n">
        <v>-0.08</v>
      </c>
      <c r="I99" s="31" t="n">
        <v>48524</v>
      </c>
      <c r="J99" s="31" t="inlineStr">
        <is>
          <t>500530</t>
        </is>
      </c>
    </row>
    <row r="100">
      <c r="A100" s="31" t="inlineStr">
        <is>
          <t>FORTIS</t>
        </is>
      </c>
      <c r="B100" s="31" t="inlineStr">
        <is>
          <t>Fortis Healthcare Limited</t>
        </is>
      </c>
      <c r="C100" s="31" t="inlineStr">
        <is>
          <t>healthcare</t>
        </is>
      </c>
      <c r="D100" s="31" t="inlineStr">
        <is>
          <t>healthcare</t>
        </is>
      </c>
      <c r="E100" s="31" t="inlineStr">
        <is>
          <t>largecap</t>
        </is>
      </c>
      <c r="F100" s="31" t="n">
        <v>74721.98</v>
      </c>
      <c r="G100" s="31" t="n">
        <v>989</v>
      </c>
      <c r="H100" s="31" t="n">
        <v>-0.08</v>
      </c>
      <c r="I100" s="31" t="n">
        <v>1909993</v>
      </c>
      <c r="J100" s="31" t="inlineStr">
        <is>
          <t>532843</t>
        </is>
      </c>
    </row>
    <row r="101">
      <c r="A101" s="31" t="inlineStr">
        <is>
          <t>MONARCH</t>
        </is>
      </c>
      <c r="B101" s="31" t="inlineStr">
        <is>
          <t>Monarch Networth Capital Ltd</t>
        </is>
      </c>
      <c r="C101" s="31" t="inlineStr">
        <is>
          <t>financials</t>
        </is>
      </c>
      <c r="D101" s="31" t="inlineStr">
        <is>
          <t>finance &amp; investments</t>
        </is>
      </c>
      <c r="E101" s="31" t="inlineStr">
        <is>
          <t>smallcap</t>
        </is>
      </c>
      <c r="F101" s="31" t="n">
        <v>2664.21</v>
      </c>
      <c r="G101" s="31" t="n">
        <v>335.7</v>
      </c>
      <c r="H101" s="31" t="n">
        <v>-0.12</v>
      </c>
      <c r="I101" s="31" t="n">
        <v>76977</v>
      </c>
      <c r="J101" s="31" t="inlineStr">
        <is>
          <t>511551</t>
        </is>
      </c>
    </row>
    <row r="102">
      <c r="A102" s="31" t="inlineStr">
        <is>
          <t>HESTERBIO</t>
        </is>
      </c>
      <c r="B102" s="31" t="inlineStr">
        <is>
          <t>Hester Biosciences Limited</t>
        </is>
      </c>
      <c r="C102" s="31" t="inlineStr">
        <is>
          <t>healthcare</t>
        </is>
      </c>
      <c r="D102" s="31" t="inlineStr">
        <is>
          <t>pharmaceuticals - indian - formulations</t>
        </is>
      </c>
      <c r="E102" s="31" t="inlineStr">
        <is>
          <t>smallcap</t>
        </is>
      </c>
      <c r="F102" s="31" t="n">
        <v>1652.37</v>
      </c>
      <c r="G102" s="31" t="n">
        <v>1939.2</v>
      </c>
      <c r="H102" s="31" t="n">
        <v>-0.16</v>
      </c>
      <c r="I102" s="31" t="n">
        <v>4493</v>
      </c>
      <c r="J102" s="31" t="inlineStr">
        <is>
          <t>524669</t>
        </is>
      </c>
    </row>
    <row r="103">
      <c r="A103" s="31" t="inlineStr">
        <is>
          <t>TORNTPHARM</t>
        </is>
      </c>
      <c r="B103" s="31" t="inlineStr">
        <is>
          <t>Torrent Pharmaceuticals Limited</t>
        </is>
      </c>
      <c r="C103" s="31" t="inlineStr">
        <is>
          <t>healthcare</t>
        </is>
      </c>
      <c r="D103" s="31" t="inlineStr">
        <is>
          <t>pharmaceuticals - indian - formulations</t>
        </is>
      </c>
      <c r="E103" s="31" t="inlineStr">
        <is>
          <t>largecap</t>
        </is>
      </c>
      <c r="F103" s="31" t="n">
        <v>151383.26</v>
      </c>
      <c r="G103" s="31" t="n">
        <v>4463.7</v>
      </c>
      <c r="H103" s="31" t="n">
        <v>-0.21</v>
      </c>
      <c r="I103" s="31" t="n">
        <v>349028</v>
      </c>
      <c r="J103" s="31" t="inlineStr">
        <is>
          <t>500420</t>
        </is>
      </c>
    </row>
    <row r="104">
      <c r="A104" s="31" t="inlineStr">
        <is>
          <t>IPCALAB</t>
        </is>
      </c>
      <c r="B104" s="31" t="inlineStr">
        <is>
          <t>Ipca Laboratories Limited</t>
        </is>
      </c>
      <c r="C104" s="31" t="inlineStr">
        <is>
          <t>healthcare</t>
        </is>
      </c>
      <c r="D104" s="31" t="inlineStr">
        <is>
          <t>pharmaceuticals - indian - bulk drugs &amp; formln</t>
        </is>
      </c>
      <c r="E104" s="31" t="inlineStr">
        <is>
          <t>largecap</t>
        </is>
      </c>
      <c r="F104" s="31" t="n">
        <v>41455.27</v>
      </c>
      <c r="G104" s="31" t="n">
        <v>1630.2</v>
      </c>
      <c r="H104" s="31" t="n">
        <v>-0.23</v>
      </c>
      <c r="I104" s="31" t="n">
        <v>172179</v>
      </c>
      <c r="J104" s="31" t="inlineStr">
        <is>
          <t>524494</t>
        </is>
      </c>
    </row>
    <row r="105">
      <c r="A105" s="31" t="inlineStr">
        <is>
          <t>GRWRHITECH</t>
        </is>
      </c>
      <c r="B105" s="31" t="inlineStr">
        <is>
          <t>Garware Hi Tech Films Ltd</t>
        </is>
      </c>
      <c r="C105" s="31" t="inlineStr">
        <is>
          <t>industrials</t>
        </is>
      </c>
      <c r="D105" s="31" t="inlineStr">
        <is>
          <t>packaging</t>
        </is>
      </c>
      <c r="E105" s="31" t="inlineStr">
        <is>
          <t>midcap</t>
        </is>
      </c>
      <c r="F105" s="31" t="n">
        <v>14462.17</v>
      </c>
      <c r="G105" s="31" t="n">
        <v>6208</v>
      </c>
      <c r="H105" s="31" t="n">
        <v>-0.27</v>
      </c>
      <c r="I105" s="31" t="n">
        <v>75224</v>
      </c>
      <c r="J105" s="31" t="inlineStr">
        <is>
          <t>500655</t>
        </is>
      </c>
    </row>
    <row r="106">
      <c r="A106" s="31" t="inlineStr">
        <is>
          <t>CUMMINSIND</t>
        </is>
      </c>
      <c r="B106" s="31" t="inlineStr">
        <is>
          <t>Cummins India Limited</t>
        </is>
      </c>
      <c r="C106" s="31" t="inlineStr">
        <is>
          <t>industrials</t>
        </is>
      </c>
      <c r="D106" s="31" t="inlineStr">
        <is>
          <t>engines</t>
        </is>
      </c>
      <c r="E106" s="31" t="inlineStr">
        <is>
          <t>largecap</t>
        </is>
      </c>
      <c r="F106" s="31" t="n">
        <v>155938.86</v>
      </c>
      <c r="G106" s="31" t="n">
        <v>5609.5</v>
      </c>
      <c r="H106" s="31" t="n">
        <v>-0.28</v>
      </c>
      <c r="I106" s="31" t="n">
        <v>276872</v>
      </c>
      <c r="J106" s="31" t="inlineStr">
        <is>
          <t>500480</t>
        </is>
      </c>
    </row>
    <row r="107">
      <c r="A107" s="31" t="inlineStr">
        <is>
          <t>ADANIPORTS</t>
        </is>
      </c>
      <c r="B107" s="31" t="inlineStr">
        <is>
          <t>Adani Ports And Special Economic Zone Limited</t>
        </is>
      </c>
      <c r="C107" s="31" t="inlineStr">
        <is>
          <t>transportation</t>
        </is>
      </c>
      <c r="D107" s="31" t="inlineStr">
        <is>
          <t>miscellaneous</t>
        </is>
      </c>
      <c r="E107" s="31" t="inlineStr">
        <is>
          <t>largecap</t>
        </is>
      </c>
      <c r="F107" s="31" t="n">
        <v>420795.09</v>
      </c>
      <c r="G107" s="31" t="n">
        <v>1821.2</v>
      </c>
      <c r="H107" s="31" t="n">
        <v>-0.28</v>
      </c>
      <c r="I107" s="31" t="n">
        <v>2933100</v>
      </c>
      <c r="J107" s="31" t="inlineStr">
        <is>
          <t>532921</t>
        </is>
      </c>
    </row>
    <row r="108">
      <c r="A108" s="31" t="inlineStr">
        <is>
          <t>GLOSTERLTD</t>
        </is>
      </c>
      <c r="B108" s="31" t="inlineStr">
        <is>
          <t>Gloster Ltd</t>
        </is>
      </c>
      <c r="C108" s="31" t="inlineStr">
        <is>
          <t>textiles</t>
        </is>
      </c>
      <c r="D108" s="31" t="inlineStr">
        <is>
          <t>textiles - jute - yarn / products</t>
        </is>
      </c>
      <c r="E108" s="31" t="inlineStr">
        <is>
          <t>smallcap</t>
        </is>
      </c>
      <c r="F108" s="31" t="n">
        <v>734.02</v>
      </c>
      <c r="G108" s="31" t="n">
        <v>668.8</v>
      </c>
      <c r="H108" s="31" t="n">
        <v>-0.29</v>
      </c>
      <c r="I108" s="31" t="n">
        <v>6194</v>
      </c>
      <c r="J108" s="31" t="inlineStr">
        <is>
          <t>542351</t>
        </is>
      </c>
    </row>
    <row r="109">
      <c r="A109" s="31" t="inlineStr">
        <is>
          <t>IKS</t>
        </is>
      </c>
      <c r="B109" s="31" t="inlineStr">
        <is>
          <t>Inventurus Knowledge Solutions Ltd</t>
        </is>
      </c>
      <c r="C109" s="31" t="inlineStr">
        <is>
          <t>i.t</t>
        </is>
      </c>
      <c r="D109" s="31" t="inlineStr">
        <is>
          <t>computers - software - medium / small</t>
        </is>
      </c>
      <c r="E109" s="31" t="inlineStr">
        <is>
          <t>largecap</t>
        </is>
      </c>
      <c r="F109" s="31" t="n">
        <v>28884.34</v>
      </c>
      <c r="G109" s="31" t="n">
        <v>1678.5</v>
      </c>
      <c r="H109" s="31" t="n">
        <v>-0.3</v>
      </c>
      <c r="I109" s="31" t="n">
        <v>90810</v>
      </c>
      <c r="J109" s="31" t="inlineStr">
        <is>
          <t>544309</t>
        </is>
      </c>
    </row>
    <row r="110">
      <c r="A110" s="31" t="inlineStr">
        <is>
          <t>ELGIEQUIP</t>
        </is>
      </c>
      <c r="B110" s="31" t="inlineStr">
        <is>
          <t>Elgi Equipments Limited</t>
        </is>
      </c>
      <c r="C110" s="31" t="inlineStr">
        <is>
          <t>industrials</t>
        </is>
      </c>
      <c r="D110" s="31" t="inlineStr">
        <is>
          <t>compressors / drilling equipment</t>
        </is>
      </c>
      <c r="E110" s="31" t="inlineStr">
        <is>
          <t>midcap</t>
        </is>
      </c>
      <c r="F110" s="31" t="n">
        <v>19163.49</v>
      </c>
      <c r="G110" s="31" t="n">
        <v>602.85</v>
      </c>
      <c r="H110" s="31" t="n">
        <v>-0.31</v>
      </c>
      <c r="I110" s="31" t="n">
        <v>263193</v>
      </c>
      <c r="J110" s="31" t="inlineStr">
        <is>
          <t>522074</t>
        </is>
      </c>
    </row>
    <row r="111">
      <c r="A111" s="31" t="inlineStr">
        <is>
          <t>NGLFINE</t>
        </is>
      </c>
      <c r="B111" s="31" t="inlineStr">
        <is>
          <t>NGL Fine Chem Ltd</t>
        </is>
      </c>
      <c r="C111" s="31" t="inlineStr">
        <is>
          <t>healthcare</t>
        </is>
      </c>
      <c r="D111" s="31" t="inlineStr">
        <is>
          <t>pharmaceuticals - indian - bulk drugs</t>
        </is>
      </c>
      <c r="E111" s="31" t="inlineStr">
        <is>
          <t>smallcap</t>
        </is>
      </c>
      <c r="F111" s="31" t="n">
        <v>1742.64</v>
      </c>
      <c r="G111" s="31" t="n">
        <v>2811.8</v>
      </c>
      <c r="H111" s="31" t="n">
        <v>-0.32</v>
      </c>
      <c r="I111" s="31" t="n">
        <v>18459</v>
      </c>
      <c r="J111" s="31" t="inlineStr">
        <is>
          <t>524774</t>
        </is>
      </c>
    </row>
    <row r="112">
      <c r="A112" s="31" t="inlineStr">
        <is>
          <t>CGPOWER</t>
        </is>
      </c>
      <c r="B112" s="31" t="inlineStr">
        <is>
          <t>CG Power and Industrial Solutions Ltd</t>
        </is>
      </c>
      <c r="C112" s="31" t="inlineStr">
        <is>
          <t>industrials</t>
        </is>
      </c>
      <c r="D112" s="31" t="inlineStr">
        <is>
          <t>electric equipment</t>
        </is>
      </c>
      <c r="E112" s="31" t="inlineStr">
        <is>
          <t>largecap</t>
        </is>
      </c>
      <c r="F112" s="31" t="n">
        <v>143506.82</v>
      </c>
      <c r="G112" s="31" t="n">
        <v>908.1</v>
      </c>
      <c r="H112" s="31" t="n">
        <v>-0.34</v>
      </c>
      <c r="I112" s="31" t="n">
        <v>3175483</v>
      </c>
      <c r="J112" s="31" t="inlineStr">
        <is>
          <t>500093</t>
        </is>
      </c>
    </row>
    <row r="113">
      <c r="A113" s="31" t="inlineStr">
        <is>
          <t>PTL</t>
        </is>
      </c>
      <c r="B113" s="31" t="inlineStr">
        <is>
          <t>Ptl Enterprises Limited</t>
        </is>
      </c>
      <c r="C113" s="31" t="inlineStr">
        <is>
          <t>miscellaneous</t>
        </is>
      </c>
      <c r="D113" s="31" t="inlineStr">
        <is>
          <t>miscellaneous</t>
        </is>
      </c>
      <c r="E113" s="31" t="inlineStr">
        <is>
          <t>smallcap</t>
        </is>
      </c>
      <c r="F113" s="31" t="n">
        <v>534.54</v>
      </c>
      <c r="G113" s="31" t="n">
        <v>40.24</v>
      </c>
      <c r="H113" s="31" t="n">
        <v>-0.35</v>
      </c>
      <c r="I113" s="31" t="n">
        <v>49956</v>
      </c>
      <c r="J113" s="31" t="inlineStr">
        <is>
          <t>509220</t>
        </is>
      </c>
    </row>
    <row r="114">
      <c r="A114" s="31" t="inlineStr">
        <is>
          <t>TINNARUBR</t>
        </is>
      </c>
      <c r="B114" s="31" t="inlineStr">
        <is>
          <t>Tinna Rubber &amp; Infrastructure Ltd</t>
        </is>
      </c>
      <c r="C114" s="31" t="inlineStr">
        <is>
          <t>fmcg</t>
        </is>
      </c>
      <c r="D114" s="31" t="inlineStr">
        <is>
          <t>miscellaneous</t>
        </is>
      </c>
      <c r="E114" s="31" t="inlineStr">
        <is>
          <t>smallcap</t>
        </is>
      </c>
      <c r="F114" s="31" t="n">
        <v>1569.17</v>
      </c>
      <c r="G114" s="31" t="n">
        <v>867.9</v>
      </c>
      <c r="H114" s="31" t="n">
        <v>-0.36</v>
      </c>
      <c r="I114" s="31" t="n">
        <v>27433</v>
      </c>
      <c r="J114" s="31" t="inlineStr">
        <is>
          <t>530475</t>
        </is>
      </c>
    </row>
    <row r="115">
      <c r="A115" s="31" t="inlineStr">
        <is>
          <t>IIFLCAPS</t>
        </is>
      </c>
      <c r="B115" s="31" t="inlineStr">
        <is>
          <t>IIFL Capital Services Ltd</t>
        </is>
      </c>
      <c r="C115" s="31" t="inlineStr">
        <is>
          <t>financials</t>
        </is>
      </c>
      <c r="D115" s="31" t="inlineStr">
        <is>
          <t>finance &amp; investments</t>
        </is>
      </c>
      <c r="E115" s="31" t="inlineStr">
        <is>
          <t>midcap</t>
        </is>
      </c>
      <c r="F115" s="31" t="n">
        <v>10739.83</v>
      </c>
      <c r="G115" s="31" t="n">
        <v>343.5</v>
      </c>
      <c r="H115" s="31" t="n">
        <v>-0.39</v>
      </c>
      <c r="I115" s="31" t="n">
        <v>430321</v>
      </c>
      <c r="J115" s="31" t="inlineStr">
        <is>
          <t>542773</t>
        </is>
      </c>
    </row>
    <row r="116">
      <c r="A116" s="31" t="inlineStr">
        <is>
          <t>JBCHEPHARM</t>
        </is>
      </c>
      <c r="B116" s="31" t="inlineStr">
        <is>
          <t>Jb Chemicals &amp; Pharmaceuticals Limited</t>
        </is>
      </c>
      <c r="C116" s="31" t="inlineStr">
        <is>
          <t>healthcare</t>
        </is>
      </c>
      <c r="D116" s="31" t="inlineStr">
        <is>
          <t>pharmaceuticals - indian - bulk drugs &amp; formln</t>
        </is>
      </c>
      <c r="E116" s="31" t="inlineStr">
        <is>
          <t>largecap</t>
        </is>
      </c>
      <c r="F116" s="31" t="n">
        <v>35486.69</v>
      </c>
      <c r="G116" s="31" t="n">
        <v>2201.5</v>
      </c>
      <c r="H116" s="31" t="n">
        <v>-0.39</v>
      </c>
      <c r="I116" s="31" t="n">
        <v>277256</v>
      </c>
      <c r="J116" s="31" t="inlineStr">
        <is>
          <t>506943</t>
        </is>
      </c>
    </row>
    <row r="117">
      <c r="A117" s="31" t="inlineStr">
        <is>
          <t>APOLLOHOSP</t>
        </is>
      </c>
      <c r="B117" s="31" t="inlineStr">
        <is>
          <t>Apollo Hospitals Enterprise Limited</t>
        </is>
      </c>
      <c r="C117" s="31" t="inlineStr">
        <is>
          <t>healthcare</t>
        </is>
      </c>
      <c r="D117" s="31" t="inlineStr">
        <is>
          <t>healthcare</t>
        </is>
      </c>
      <c r="E117" s="31" t="inlineStr">
        <is>
          <t>largecap</t>
        </is>
      </c>
      <c r="F117" s="31" t="n">
        <v>122562.04</v>
      </c>
      <c r="G117" s="31" t="n">
        <v>8488.5</v>
      </c>
      <c r="H117" s="31" t="n">
        <v>-0.42</v>
      </c>
      <c r="I117" s="31" t="n">
        <v>487815</v>
      </c>
      <c r="J117" s="31" t="inlineStr">
        <is>
          <t>508869</t>
        </is>
      </c>
    </row>
    <row r="118">
      <c r="A118" s="31" t="inlineStr">
        <is>
          <t>RRKABEL</t>
        </is>
      </c>
      <c r="B118" s="31" t="inlineStr">
        <is>
          <t>R R Kabel Ltd</t>
        </is>
      </c>
      <c r="C118" s="31" t="inlineStr">
        <is>
          <t>industrials</t>
        </is>
      </c>
      <c r="D118" s="31" t="inlineStr">
        <is>
          <t>cables - power</t>
        </is>
      </c>
      <c r="E118" s="31" t="inlineStr">
        <is>
          <t>largecap</t>
        </is>
      </c>
      <c r="F118" s="31" t="n">
        <v>24623.07</v>
      </c>
      <c r="G118" s="31" t="n">
        <v>2167.5</v>
      </c>
      <c r="H118" s="31" t="n">
        <v>-0.44</v>
      </c>
      <c r="I118" s="31" t="n">
        <v>391527</v>
      </c>
      <c r="J118" s="31" t="inlineStr">
        <is>
          <t>543981</t>
        </is>
      </c>
    </row>
    <row r="119">
      <c r="A119" s="31" t="inlineStr">
        <is>
          <t>SHYAMMETL</t>
        </is>
      </c>
      <c r="B119" s="31" t="inlineStr">
        <is>
          <t>Shyam Metalics &amp; Energy Ltd</t>
        </is>
      </c>
      <c r="C119" s="31" t="inlineStr">
        <is>
          <t>metals &amp; mining</t>
        </is>
      </c>
      <c r="D119" s="31" t="inlineStr">
        <is>
          <t>steel - large</t>
        </is>
      </c>
      <c r="E119" s="31" t="inlineStr">
        <is>
          <t>largecap</t>
        </is>
      </c>
      <c r="F119" s="31" t="n">
        <v>27167.9</v>
      </c>
      <c r="G119" s="31" t="n">
        <v>968.85</v>
      </c>
      <c r="H119" s="31" t="n">
        <v>-0.46</v>
      </c>
      <c r="I119" s="31" t="n">
        <v>434911</v>
      </c>
      <c r="J119" s="31" t="inlineStr">
        <is>
          <t>543299</t>
        </is>
      </c>
    </row>
    <row r="120">
      <c r="A120" s="31" t="inlineStr">
        <is>
          <t>THANGAMAYL</t>
        </is>
      </c>
      <c r="B120" s="31" t="inlineStr">
        <is>
          <t>Thangamayil Jewellery Limited</t>
        </is>
      </c>
      <c r="C120" s="31" t="inlineStr">
        <is>
          <t>consumer discretionary</t>
        </is>
      </c>
      <c r="D120" s="31" t="inlineStr">
        <is>
          <t>diamond cutting / jewellery</t>
        </is>
      </c>
      <c r="E120" s="31" t="inlineStr">
        <is>
          <t>midcap</t>
        </is>
      </c>
      <c r="F120" s="31" t="n">
        <v>17000.31</v>
      </c>
      <c r="G120" s="31" t="n">
        <v>5444.1</v>
      </c>
      <c r="H120" s="31" t="n">
        <v>-0.46</v>
      </c>
      <c r="I120" s="31" t="n">
        <v>107590</v>
      </c>
      <c r="J120" s="31" t="inlineStr">
        <is>
          <t>533158</t>
        </is>
      </c>
    </row>
    <row r="121">
      <c r="A121" s="31" t="inlineStr">
        <is>
          <t>INNOVACAP</t>
        </is>
      </c>
      <c r="B121" s="31" t="inlineStr">
        <is>
          <t>Innova Captab Ltd</t>
        </is>
      </c>
      <c r="C121" s="31" t="inlineStr">
        <is>
          <t>healthcare</t>
        </is>
      </c>
      <c r="D121" s="31" t="inlineStr">
        <is>
          <t>pharmaceuticals - indian - bulk drugs &amp; formln</t>
        </is>
      </c>
      <c r="E121" s="31" t="inlineStr">
        <is>
          <t>midcap</t>
        </is>
      </c>
      <c r="F121" s="31" t="n">
        <v>5234.36</v>
      </c>
      <c r="G121" s="31" t="n">
        <v>910.1</v>
      </c>
      <c r="H121" s="31" t="n">
        <v>-0.5</v>
      </c>
      <c r="I121" s="31" t="n">
        <v>123555</v>
      </c>
      <c r="J121" s="31" t="inlineStr">
        <is>
          <t>544067</t>
        </is>
      </c>
    </row>
    <row r="122">
      <c r="A122" s="31" t="inlineStr">
        <is>
          <t>DIAMONDYD</t>
        </is>
      </c>
      <c r="B122" s="31" t="inlineStr">
        <is>
          <t>Prataap Snacks Ltd</t>
        </is>
      </c>
      <c r="C122" s="31" t="inlineStr">
        <is>
          <t>fmcg</t>
        </is>
      </c>
      <c r="D122" s="31" t="inlineStr">
        <is>
          <t>food - processing - indian</t>
        </is>
      </c>
      <c r="E122" s="31" t="inlineStr">
        <is>
          <t>smallcap</t>
        </is>
      </c>
      <c r="F122" s="31" t="n">
        <v>2706.6</v>
      </c>
      <c r="G122" s="31" t="n">
        <v>1126.3</v>
      </c>
      <c r="H122" s="31" t="n">
        <v>-0.53</v>
      </c>
      <c r="I122" s="31" t="n">
        <v>5123</v>
      </c>
      <c r="J122" s="31" t="inlineStr">
        <is>
          <t>540724</t>
        </is>
      </c>
    </row>
    <row r="123">
      <c r="A123" s="31" t="inlineStr">
        <is>
          <t>SILVERTUC</t>
        </is>
      </c>
      <c r="B123" s="31" t="inlineStr">
        <is>
          <t>Silver Touch Technologies Ltd</t>
        </is>
      </c>
      <c r="C123" s="31" t="inlineStr">
        <is>
          <t>i.t</t>
        </is>
      </c>
      <c r="D123" s="31" t="inlineStr">
        <is>
          <t>computers - software - medium / small</t>
        </is>
      </c>
      <c r="E123" s="31" t="inlineStr">
        <is>
          <t>smallcap</t>
        </is>
      </c>
      <c r="F123" s="31" t="n">
        <v>2358.41</v>
      </c>
      <c r="G123" s="31" t="n">
        <v>184.93</v>
      </c>
      <c r="H123" s="31" t="n">
        <v>-0.5600000000000001</v>
      </c>
      <c r="I123" s="31" t="n">
        <v>560029</v>
      </c>
      <c r="J123" s="31" t="inlineStr">
        <is>
          <t>535031</t>
        </is>
      </c>
    </row>
    <row r="124">
      <c r="A124" s="31" t="inlineStr">
        <is>
          <t>PVP</t>
        </is>
      </c>
      <c r="B124" s="31" t="inlineStr">
        <is>
          <t>Pvp Ventures Limited</t>
        </is>
      </c>
      <c r="C124" s="31" t="inlineStr">
        <is>
          <t>realty</t>
        </is>
      </c>
      <c r="D124" s="31" t="inlineStr">
        <is>
          <t>construction</t>
        </is>
      </c>
      <c r="E124" s="31" t="inlineStr">
        <is>
          <t>smallcap</t>
        </is>
      </c>
      <c r="F124" s="31" t="n">
        <v>854.12</v>
      </c>
      <c r="G124" s="31" t="n">
        <v>32.61</v>
      </c>
      <c r="H124" s="31" t="n">
        <v>-0.58</v>
      </c>
      <c r="I124" s="31" t="n">
        <v>504432</v>
      </c>
      <c r="J124" s="31" t="inlineStr">
        <is>
          <t>517556</t>
        </is>
      </c>
    </row>
    <row r="125">
      <c r="A125" s="31" t="inlineStr">
        <is>
          <t>SANGAMIND</t>
        </is>
      </c>
      <c r="B125" s="31" t="inlineStr">
        <is>
          <t>Sangam (india) Limited</t>
        </is>
      </c>
      <c r="C125" s="31" t="inlineStr">
        <is>
          <t>textiles</t>
        </is>
      </c>
      <c r="D125" s="31" t="inlineStr">
        <is>
          <t>textiles - spinning - synthetic / blended</t>
        </is>
      </c>
      <c r="E125" s="31" t="inlineStr">
        <is>
          <t>smallcap</t>
        </is>
      </c>
      <c r="F125" s="31" t="n">
        <v>2670.35</v>
      </c>
      <c r="G125" s="31" t="n">
        <v>528.15</v>
      </c>
      <c r="H125" s="31" t="n">
        <v>-0.62</v>
      </c>
      <c r="I125" s="31" t="n">
        <v>29569</v>
      </c>
      <c r="J125" s="31" t="inlineStr">
        <is>
          <t>514234</t>
        </is>
      </c>
    </row>
    <row r="126">
      <c r="A126" s="31" t="inlineStr">
        <is>
          <t>NRBBEARING</t>
        </is>
      </c>
      <c r="B126" s="31" t="inlineStr">
        <is>
          <t>Nrb Bearing Limited</t>
        </is>
      </c>
      <c r="C126" s="31" t="inlineStr">
        <is>
          <t>industrials</t>
        </is>
      </c>
      <c r="D126" s="31" t="inlineStr">
        <is>
          <t>bearings</t>
        </is>
      </c>
      <c r="E126" s="31" t="inlineStr">
        <is>
          <t>smallcap</t>
        </is>
      </c>
      <c r="F126" s="31" t="n">
        <v>4254.42</v>
      </c>
      <c r="G126" s="31" t="n">
        <v>436.2</v>
      </c>
      <c r="H126" s="31" t="n">
        <v>-0.63</v>
      </c>
      <c r="I126" s="31" t="n">
        <v>1775425</v>
      </c>
      <c r="J126" s="31" t="inlineStr">
        <is>
          <t>530367</t>
        </is>
      </c>
    </row>
    <row r="127">
      <c r="A127" s="31" t="inlineStr">
        <is>
          <t>LOKESHMACH</t>
        </is>
      </c>
      <c r="B127" s="31" t="inlineStr">
        <is>
          <t>Lokesh Machines Limited</t>
        </is>
      </c>
      <c r="C127" s="31" t="inlineStr">
        <is>
          <t>industrials</t>
        </is>
      </c>
      <c r="D127" s="31" t="inlineStr">
        <is>
          <t>engineering</t>
        </is>
      </c>
      <c r="E127" s="31" t="inlineStr">
        <is>
          <t>smallcap</t>
        </is>
      </c>
      <c r="F127" s="31" t="n">
        <v>564.6799999999999</v>
      </c>
      <c r="G127" s="31" t="n">
        <v>263.45</v>
      </c>
      <c r="H127" s="31" t="n">
        <v>-0.64</v>
      </c>
      <c r="I127" s="31" t="n">
        <v>25510</v>
      </c>
      <c r="J127" s="31" t="inlineStr">
        <is>
          <t>532740</t>
        </is>
      </c>
    </row>
    <row r="128">
      <c r="A128" s="31" t="inlineStr">
        <is>
          <t>PTCIL</t>
        </is>
      </c>
      <c r="B128" s="31" t="inlineStr">
        <is>
          <t>PTC Industries Ltd</t>
        </is>
      </c>
      <c r="C128" s="31" t="inlineStr">
        <is>
          <t>industrials</t>
        </is>
      </c>
      <c r="D128" s="31" t="inlineStr">
        <is>
          <t>castings &amp; forgings</t>
        </is>
      </c>
      <c r="E128" s="31" t="inlineStr">
        <is>
          <t>largecap</t>
        </is>
      </c>
      <c r="F128" s="31" t="n">
        <v>28024.07</v>
      </c>
      <c r="G128" s="31" t="n">
        <v>18571</v>
      </c>
      <c r="H128" s="31" t="n">
        <v>-0.65</v>
      </c>
      <c r="I128" s="31" t="n">
        <v>11801</v>
      </c>
      <c r="J128" s="31" t="inlineStr">
        <is>
          <t>539006</t>
        </is>
      </c>
    </row>
    <row r="129">
      <c r="A129" s="31" t="inlineStr">
        <is>
          <t>GOLDIAM</t>
        </is>
      </c>
      <c r="B129" s="31" t="inlineStr">
        <is>
          <t>Goldiam International Limited</t>
        </is>
      </c>
      <c r="C129" s="31" t="inlineStr">
        <is>
          <t>consumer discretionary</t>
        </is>
      </c>
      <c r="D129" s="31" t="inlineStr">
        <is>
          <t>diamond cutting / jewellery</t>
        </is>
      </c>
      <c r="E129" s="31" t="inlineStr">
        <is>
          <t>smallcap</t>
        </is>
      </c>
      <c r="F129" s="31" t="n">
        <v>4905.72</v>
      </c>
      <c r="G129" s="31" t="n">
        <v>431.6</v>
      </c>
      <c r="H129" s="31" t="n">
        <v>-0.66</v>
      </c>
      <c r="I129" s="31" t="n">
        <v>2181166</v>
      </c>
      <c r="J129" s="31" t="inlineStr">
        <is>
          <t>526729</t>
        </is>
      </c>
    </row>
    <row r="130">
      <c r="A130" s="31" t="inlineStr">
        <is>
          <t>ZYDUSLIFE</t>
        </is>
      </c>
      <c r="B130" s="31" t="inlineStr">
        <is>
          <t>Zydus Lifesciences Ltd</t>
        </is>
      </c>
      <c r="C130" s="31" t="inlineStr">
        <is>
          <t>healthcare</t>
        </is>
      </c>
      <c r="D130" s="31" t="inlineStr">
        <is>
          <t>pharmaceuticals - indian - bulk drugs &amp; formln</t>
        </is>
      </c>
      <c r="E130" s="31" t="inlineStr">
        <is>
          <t>largecap</t>
        </is>
      </c>
      <c r="F130" s="31" t="n">
        <v>111249.23</v>
      </c>
      <c r="G130" s="31" t="n">
        <v>1098.3</v>
      </c>
      <c r="H130" s="31" t="n">
        <v>-0.66</v>
      </c>
      <c r="I130" s="31" t="n">
        <v>598159</v>
      </c>
      <c r="J130" s="31" t="inlineStr">
        <is>
          <t>532321</t>
        </is>
      </c>
    </row>
    <row r="131">
      <c r="A131" s="31" t="inlineStr">
        <is>
          <t>VBL</t>
        </is>
      </c>
      <c r="B131" s="31" t="inlineStr">
        <is>
          <t>Varun Beverages Limited</t>
        </is>
      </c>
      <c r="C131" s="31" t="inlineStr">
        <is>
          <t>fmcg</t>
        </is>
      </c>
      <c r="D131" s="31" t="inlineStr">
        <is>
          <t>food - processing - indian</t>
        </is>
      </c>
      <c r="E131" s="31" t="inlineStr">
        <is>
          <t>largecap</t>
        </is>
      </c>
      <c r="F131" s="31" t="n">
        <v>179166.45</v>
      </c>
      <c r="G131" s="31" t="n">
        <v>526.25</v>
      </c>
      <c r="H131" s="31" t="n">
        <v>-0.66</v>
      </c>
      <c r="I131" s="31" t="n">
        <v>3150329</v>
      </c>
      <c r="J131" s="31" t="inlineStr">
        <is>
          <t>540180</t>
        </is>
      </c>
    </row>
    <row r="132">
      <c r="A132" s="31" t="inlineStr">
        <is>
          <t>PIXTRANS</t>
        </is>
      </c>
      <c r="B132" s="31" t="inlineStr">
        <is>
          <t>Pix Transmission Ltd</t>
        </is>
      </c>
      <c r="C132" s="31" t="inlineStr">
        <is>
          <t>fmcg</t>
        </is>
      </c>
      <c r="D132" s="31" t="inlineStr">
        <is>
          <t>miscellaneous</t>
        </is>
      </c>
      <c r="E132" s="31" t="inlineStr">
        <is>
          <t>smallcap</t>
        </is>
      </c>
      <c r="F132" s="31" t="n">
        <v>2184.39</v>
      </c>
      <c r="G132" s="31" t="n">
        <v>1591.9</v>
      </c>
      <c r="H132" s="31" t="n">
        <v>-0.7</v>
      </c>
      <c r="I132" s="31" t="n">
        <v>5465</v>
      </c>
      <c r="J132" s="31" t="inlineStr">
        <is>
          <t>500333</t>
        </is>
      </c>
    </row>
    <row r="133">
      <c r="A133" s="31" t="inlineStr">
        <is>
          <t>CGCL</t>
        </is>
      </c>
      <c r="B133" s="31" t="inlineStr">
        <is>
          <t>Capri Global Capital Limited</t>
        </is>
      </c>
      <c r="C133" s="31" t="inlineStr">
        <is>
          <t>financials</t>
        </is>
      </c>
      <c r="D133" s="31" t="inlineStr">
        <is>
          <t>finance &amp; investments</t>
        </is>
      </c>
      <c r="E133" s="31" t="inlineStr">
        <is>
          <t>midcap</t>
        </is>
      </c>
      <c r="F133" s="31" t="n">
        <v>19550.97</v>
      </c>
      <c r="G133" s="31" t="n">
        <v>201.72</v>
      </c>
      <c r="H133" s="31" t="n">
        <v>-0.73</v>
      </c>
      <c r="I133" s="31" t="n">
        <v>1570719</v>
      </c>
      <c r="J133" s="31" t="inlineStr">
        <is>
          <t>531595</t>
        </is>
      </c>
    </row>
    <row r="134">
      <c r="A134" s="31" t="inlineStr">
        <is>
          <t>TMB</t>
        </is>
      </c>
      <c r="B134" s="31" t="inlineStr">
        <is>
          <t>Tamilnad Mercantile Bank Ltd</t>
        </is>
      </c>
      <c r="C134" s="31" t="inlineStr">
        <is>
          <t>bank</t>
        </is>
      </c>
      <c r="D134" s="31" t="inlineStr">
        <is>
          <t>banks - private sector</t>
        </is>
      </c>
      <c r="E134" s="31" t="inlineStr">
        <is>
          <t>midcap</t>
        </is>
      </c>
      <c r="F134" s="31" t="n">
        <v>12360.12</v>
      </c>
      <c r="G134" s="31" t="n">
        <v>774.6</v>
      </c>
      <c r="H134" s="31" t="n">
        <v>-0.76</v>
      </c>
      <c r="I134" s="31" t="n">
        <v>194001</v>
      </c>
      <c r="J134" s="31" t="inlineStr">
        <is>
          <t>543596</t>
        </is>
      </c>
    </row>
    <row r="135">
      <c r="A135" s="31" t="inlineStr">
        <is>
          <t>APCOTEXIND</t>
        </is>
      </c>
      <c r="B135" s="31" t="inlineStr">
        <is>
          <t>Apcotex Industries Limited</t>
        </is>
      </c>
      <c r="C135" s="31" t="inlineStr">
        <is>
          <t>chemicals</t>
        </is>
      </c>
      <c r="D135" s="31" t="inlineStr">
        <is>
          <t>miscellaneous</t>
        </is>
      </c>
      <c r="E135" s="31" t="inlineStr">
        <is>
          <t>smallcap</t>
        </is>
      </c>
      <c r="F135" s="31" t="n">
        <v>2794.44</v>
      </c>
      <c r="G135" s="31" t="n">
        <v>534.85</v>
      </c>
      <c r="H135" s="31" t="n">
        <v>-0.77</v>
      </c>
      <c r="I135" s="31" t="n">
        <v>203313</v>
      </c>
      <c r="J135" s="31" t="inlineStr">
        <is>
          <t>523694</t>
        </is>
      </c>
    </row>
    <row r="136">
      <c r="A136" s="31" t="inlineStr">
        <is>
          <t>GRASIM</t>
        </is>
      </c>
      <c r="B136" s="31" t="inlineStr">
        <is>
          <t>Grasim Industries Limited</t>
        </is>
      </c>
      <c r="C136" s="31" t="inlineStr">
        <is>
          <t>textiles</t>
        </is>
      </c>
      <c r="D136" s="31" t="inlineStr">
        <is>
          <t>textiles - manmade</t>
        </is>
      </c>
      <c r="E136" s="31" t="inlineStr">
        <is>
          <t>largecap</t>
        </is>
      </c>
      <c r="F136" s="31" t="n">
        <v>210673.72</v>
      </c>
      <c r="G136" s="31" t="n">
        <v>3071.2</v>
      </c>
      <c r="H136" s="31" t="n">
        <v>-0.79</v>
      </c>
      <c r="I136" s="31" t="n">
        <v>792811</v>
      </c>
      <c r="J136" s="31" t="inlineStr">
        <is>
          <t>500300</t>
        </is>
      </c>
    </row>
    <row r="137">
      <c r="A137" s="31" t="inlineStr">
        <is>
          <t>THERMAX</t>
        </is>
      </c>
      <c r="B137" s="31" t="inlineStr">
        <is>
          <t>Thermax Limited</t>
        </is>
      </c>
      <c r="C137" s="31" t="inlineStr">
        <is>
          <t>industrials</t>
        </is>
      </c>
      <c r="D137" s="31" t="inlineStr">
        <is>
          <t>electric equipment</t>
        </is>
      </c>
      <c r="E137" s="31" t="inlineStr">
        <is>
          <t>largecap</t>
        </is>
      </c>
      <c r="F137" s="31" t="n">
        <v>56478.89</v>
      </c>
      <c r="G137" s="31" t="n">
        <v>4698.8</v>
      </c>
      <c r="H137" s="31" t="n">
        <v>-0.87</v>
      </c>
      <c r="I137" s="31" t="n">
        <v>282455</v>
      </c>
      <c r="J137" s="31" t="inlineStr">
        <is>
          <t>500411</t>
        </is>
      </c>
    </row>
    <row r="138">
      <c r="A138" s="31" t="inlineStr">
        <is>
          <t>GLAND</t>
        </is>
      </c>
      <c r="B138" s="31" t="inlineStr">
        <is>
          <t>Gland Pharma Ltd</t>
        </is>
      </c>
      <c r="C138" s="31" t="inlineStr">
        <is>
          <t>healthcare</t>
        </is>
      </c>
      <c r="D138" s="31" t="inlineStr">
        <is>
          <t>pharmaceuticals - indian - formulations</t>
        </is>
      </c>
      <c r="E138" s="31" t="inlineStr">
        <is>
          <t>largecap</t>
        </is>
      </c>
      <c r="F138" s="31" t="n">
        <v>37704.51</v>
      </c>
      <c r="G138" s="31" t="n">
        <v>2267.8</v>
      </c>
      <c r="H138" s="31" t="n">
        <v>-0.9</v>
      </c>
      <c r="I138" s="31" t="n">
        <v>320379</v>
      </c>
      <c r="J138" s="31" t="inlineStr">
        <is>
          <t>543245</t>
        </is>
      </c>
    </row>
    <row r="139">
      <c r="A139" s="31" t="inlineStr">
        <is>
          <t>RAJRATAN</t>
        </is>
      </c>
      <c r="B139" s="31" t="inlineStr">
        <is>
          <t>Rajratan Global Wire Ltd</t>
        </is>
      </c>
      <c r="C139" s="31" t="inlineStr">
        <is>
          <t>metals &amp; mining</t>
        </is>
      </c>
      <c r="D139" s="31" t="inlineStr">
        <is>
          <t>steel - medium / small</t>
        </is>
      </c>
      <c r="E139" s="31" t="inlineStr">
        <is>
          <t>smallcap</t>
        </is>
      </c>
      <c r="F139" s="31" t="n">
        <v>2262.36</v>
      </c>
      <c r="G139" s="31" t="n">
        <v>441.45</v>
      </c>
      <c r="H139" s="31" t="n">
        <v>-0.93</v>
      </c>
      <c r="I139" s="31" t="n">
        <v>160653</v>
      </c>
      <c r="J139" s="31" t="inlineStr">
        <is>
          <t>517522</t>
        </is>
      </c>
    </row>
    <row r="140">
      <c r="A140" s="31" t="inlineStr">
        <is>
          <t>LMW</t>
        </is>
      </c>
      <c r="B140" s="31" t="inlineStr">
        <is>
          <t>LMW Ltd</t>
        </is>
      </c>
      <c r="C140" s="31" t="inlineStr">
        <is>
          <t>industrials</t>
        </is>
      </c>
      <c r="D140" s="31" t="inlineStr">
        <is>
          <t>textile machinery</t>
        </is>
      </c>
      <c r="E140" s="31" t="inlineStr">
        <is>
          <t>midcap</t>
        </is>
      </c>
      <c r="F140" s="31" t="n">
        <v>16785.13</v>
      </c>
      <c r="G140" s="31" t="n">
        <v>15562</v>
      </c>
      <c r="H140" s="31" t="n">
        <v>-0.95</v>
      </c>
      <c r="I140" s="31" t="n">
        <v>1668</v>
      </c>
      <c r="J140" s="31" t="inlineStr">
        <is>
          <t>500252</t>
        </is>
      </c>
    </row>
    <row r="141">
      <c r="A141" s="31" t="inlineStr">
        <is>
          <t>GRINDWELL</t>
        </is>
      </c>
      <c r="B141" s="31" t="inlineStr">
        <is>
          <t>Grindwell Norton Limited</t>
        </is>
      </c>
      <c r="C141" s="31" t="inlineStr">
        <is>
          <t>industrials</t>
        </is>
      </c>
      <c r="D141" s="31" t="inlineStr">
        <is>
          <t>abrasives and grinding wheels</t>
        </is>
      </c>
      <c r="E141" s="31" t="inlineStr">
        <is>
          <t>largecap</t>
        </is>
      </c>
      <c r="F141" s="31" t="n">
        <v>21404.39</v>
      </c>
      <c r="G141" s="31" t="n">
        <v>1914.8</v>
      </c>
      <c r="H141" s="31" t="n">
        <v>-0.95</v>
      </c>
      <c r="I141" s="31" t="n">
        <v>24917</v>
      </c>
      <c r="J141" s="31" t="inlineStr">
        <is>
          <t>506076</t>
        </is>
      </c>
    </row>
    <row r="142">
      <c r="A142" s="31" t="inlineStr">
        <is>
          <t>IDFCFIRSTB</t>
        </is>
      </c>
      <c r="B142" s="31" t="inlineStr">
        <is>
          <t>IDFC First Bank Ltd</t>
        </is>
      </c>
      <c r="C142" s="31" t="inlineStr">
        <is>
          <t>bank</t>
        </is>
      </c>
      <c r="D142" s="31" t="inlineStr">
        <is>
          <t>banks - private sector</t>
        </is>
      </c>
      <c r="E142" s="31" t="inlineStr">
        <is>
          <t>largecap</t>
        </is>
      </c>
      <c r="F142" s="31" t="n">
        <v>63385.92</v>
      </c>
      <c r="G142" s="31" t="n">
        <v>72.98999999999999</v>
      </c>
      <c r="H142" s="31" t="n">
        <v>-0.95</v>
      </c>
      <c r="I142" s="31" t="n">
        <v>20284845</v>
      </c>
      <c r="J142" s="31" t="inlineStr">
        <is>
          <t>539437</t>
        </is>
      </c>
    </row>
    <row r="143">
      <c r="A143" s="31" t="inlineStr">
        <is>
          <t>POLYCAB</t>
        </is>
      </c>
      <c r="B143" s="31" t="inlineStr">
        <is>
          <t>Polycab India Ltd</t>
        </is>
      </c>
      <c r="C143" s="31" t="inlineStr">
        <is>
          <t>industrials</t>
        </is>
      </c>
      <c r="D143" s="31" t="inlineStr">
        <is>
          <t>cables - power</t>
        </is>
      </c>
      <c r="E143" s="31" t="inlineStr">
        <is>
          <t>largecap</t>
        </is>
      </c>
      <c r="F143" s="31" t="n">
        <v>144761.84</v>
      </c>
      <c r="G143" s="31" t="n">
        <v>9523.5</v>
      </c>
      <c r="H143" s="31" t="n">
        <v>-0.96</v>
      </c>
      <c r="I143" s="31" t="n">
        <v>391667</v>
      </c>
      <c r="J143" s="31" t="inlineStr">
        <is>
          <t>542652</t>
        </is>
      </c>
    </row>
    <row r="144">
      <c r="A144" s="31" t="inlineStr">
        <is>
          <t>GALAPREC</t>
        </is>
      </c>
      <c r="B144" s="31" t="inlineStr">
        <is>
          <t>Gala Precision Engineering Ltd</t>
        </is>
      </c>
      <c r="C144" s="31" t="inlineStr">
        <is>
          <t>industrials</t>
        </is>
      </c>
      <c r="D144" s="31" t="inlineStr">
        <is>
          <t>fasteners</t>
        </is>
      </c>
      <c r="E144" s="31" t="inlineStr">
        <is>
          <t>smallcap</t>
        </is>
      </c>
      <c r="F144" s="31" t="n">
        <v>1152.24</v>
      </c>
      <c r="G144" s="31" t="n">
        <v>894.6</v>
      </c>
      <c r="H144" s="31" t="n">
        <v>-1.01</v>
      </c>
      <c r="I144" s="31" t="n">
        <v>9826</v>
      </c>
      <c r="J144" s="31" t="inlineStr">
        <is>
          <t>544244</t>
        </is>
      </c>
    </row>
    <row r="145">
      <c r="A145" s="31" t="inlineStr">
        <is>
          <t>ORCHPHARMA</t>
        </is>
      </c>
      <c r="B145" s="31" t="inlineStr">
        <is>
          <t>Orchid Pharma Ltd</t>
        </is>
      </c>
      <c r="C145" s="31" t="inlineStr">
        <is>
          <t>healthcare</t>
        </is>
      </c>
      <c r="D145" s="31" t="inlineStr">
        <is>
          <t>pharmaceuticals - indian - bulk drugs &amp; formln</t>
        </is>
      </c>
      <c r="E145" s="31" t="inlineStr">
        <is>
          <t>smallcap</t>
        </is>
      </c>
      <c r="F145" s="31" t="n">
        <v>4360.83</v>
      </c>
      <c r="G145" s="31" t="n">
        <v>850.95</v>
      </c>
      <c r="H145" s="31" t="n">
        <v>-1.03</v>
      </c>
      <c r="I145" s="31" t="n">
        <v>46365</v>
      </c>
      <c r="J145" s="31" t="inlineStr">
        <is>
          <t>524372</t>
        </is>
      </c>
    </row>
    <row r="146">
      <c r="A146" s="31" t="inlineStr">
        <is>
          <t>CENTENKA</t>
        </is>
      </c>
      <c r="B146" s="31" t="inlineStr">
        <is>
          <t>Century Enka Limited</t>
        </is>
      </c>
      <c r="C146" s="31" t="inlineStr">
        <is>
          <t>textiles</t>
        </is>
      </c>
      <c r="D146" s="31" t="inlineStr">
        <is>
          <t>textiles - manmade</t>
        </is>
      </c>
      <c r="E146" s="31" t="inlineStr">
        <is>
          <t>smallcap</t>
        </is>
      </c>
      <c r="F146" s="31" t="n">
        <v>1109.68</v>
      </c>
      <c r="G146" s="31" t="n">
        <v>502.5</v>
      </c>
      <c r="H146" s="31" t="n">
        <v>-1.05</v>
      </c>
      <c r="I146" s="31" t="n">
        <v>38770</v>
      </c>
      <c r="J146" s="31" t="inlineStr">
        <is>
          <t>500280</t>
        </is>
      </c>
    </row>
    <row r="147">
      <c r="A147" s="31" t="inlineStr">
        <is>
          <t>YATHARTH</t>
        </is>
      </c>
      <c r="B147" s="31" t="inlineStr">
        <is>
          <t>Yatharth Hospital &amp; Trauma Care Services Ltd</t>
        </is>
      </c>
      <c r="C147" s="31" t="inlineStr">
        <is>
          <t>healthcare</t>
        </is>
      </c>
      <c r="D147" s="31" t="inlineStr">
        <is>
          <t>healthcare</t>
        </is>
      </c>
      <c r="E147" s="31" t="inlineStr">
        <is>
          <t>midcap</t>
        </is>
      </c>
      <c r="F147" s="31" t="n">
        <v>8085.09</v>
      </c>
      <c r="G147" s="31" t="n">
        <v>830.05</v>
      </c>
      <c r="H147" s="31" t="n">
        <v>-1.08</v>
      </c>
      <c r="I147" s="31" t="n">
        <v>183090</v>
      </c>
      <c r="J147" s="31" t="inlineStr">
        <is>
          <t>543950</t>
        </is>
      </c>
    </row>
    <row r="148">
      <c r="A148" s="31" t="inlineStr">
        <is>
          <t>SUPRIYA</t>
        </is>
      </c>
      <c r="B148" s="31" t="inlineStr">
        <is>
          <t>Supriya Lifescience Ltd</t>
        </is>
      </c>
      <c r="C148" s="31" t="inlineStr">
        <is>
          <t>healthcare</t>
        </is>
      </c>
      <c r="D148" s="31" t="inlineStr">
        <is>
          <t>pharmaceuticals - indian - bulk drugs &amp; formln</t>
        </is>
      </c>
      <c r="E148" s="31" t="inlineStr">
        <is>
          <t>midcap</t>
        </is>
      </c>
      <c r="F148" s="31" t="n">
        <v>7749.69</v>
      </c>
      <c r="G148" s="31" t="n">
        <v>952.4</v>
      </c>
      <c r="H148" s="31" t="n">
        <v>-1.09</v>
      </c>
      <c r="I148" s="31" t="n">
        <v>713702</v>
      </c>
      <c r="J148" s="31" t="inlineStr">
        <is>
          <t>543434</t>
        </is>
      </c>
    </row>
    <row r="149">
      <c r="A149" s="31" t="inlineStr">
        <is>
          <t>PAISALO</t>
        </is>
      </c>
      <c r="B149" s="31" t="inlineStr">
        <is>
          <t>Paisalo Digital Ltd</t>
        </is>
      </c>
      <c r="C149" s="31" t="inlineStr">
        <is>
          <t>financials</t>
        </is>
      </c>
      <c r="D149" s="31" t="inlineStr">
        <is>
          <t>finance &amp; investments</t>
        </is>
      </c>
      <c r="E149" s="31" t="inlineStr">
        <is>
          <t>midcap</t>
        </is>
      </c>
      <c r="F149" s="31" t="n">
        <v>5473.5</v>
      </c>
      <c r="G149" s="31" t="n">
        <v>59.51</v>
      </c>
      <c r="H149" s="31" t="n">
        <v>-1.11</v>
      </c>
      <c r="I149" s="31" t="n">
        <v>9409872</v>
      </c>
      <c r="J149" s="31" t="inlineStr">
        <is>
          <t>532900</t>
        </is>
      </c>
    </row>
    <row r="150">
      <c r="A150" s="31" t="inlineStr">
        <is>
          <t>AIAENG</t>
        </is>
      </c>
      <c r="B150" s="31" t="inlineStr">
        <is>
          <t>Aia Engineering Limited</t>
        </is>
      </c>
      <c r="C150" s="31" t="inlineStr">
        <is>
          <t>industrials</t>
        </is>
      </c>
      <c r="D150" s="31" t="inlineStr">
        <is>
          <t>castings &amp; forgings</t>
        </is>
      </c>
      <c r="E150" s="31" t="inlineStr">
        <is>
          <t>largecap</t>
        </is>
      </c>
      <c r="F150" s="31" t="n">
        <v>41892.45</v>
      </c>
      <c r="G150" s="31" t="n">
        <v>4439</v>
      </c>
      <c r="H150" s="31" t="n">
        <v>-1.12</v>
      </c>
      <c r="I150" s="31" t="n">
        <v>167126</v>
      </c>
      <c r="J150" s="31" t="inlineStr">
        <is>
          <t>532683</t>
        </is>
      </c>
    </row>
    <row r="151">
      <c r="A151" s="31" t="inlineStr">
        <is>
          <t>RBLBANK</t>
        </is>
      </c>
      <c r="B151" s="31" t="inlineStr">
        <is>
          <t>Rbl Bank Limited</t>
        </is>
      </c>
      <c r="C151" s="31" t="inlineStr">
        <is>
          <t>bank</t>
        </is>
      </c>
      <c r="D151" s="31" t="inlineStr">
        <is>
          <t>banks - private sector</t>
        </is>
      </c>
      <c r="E151" s="31" t="inlineStr">
        <is>
          <t>largecap</t>
        </is>
      </c>
      <c r="F151" s="31" t="n">
        <v>22313.82</v>
      </c>
      <c r="G151" s="31" t="n">
        <v>356.95</v>
      </c>
      <c r="H151" s="31" t="n">
        <v>-1.12</v>
      </c>
      <c r="I151" s="31" t="n">
        <v>5685303</v>
      </c>
      <c r="J151" s="31" t="inlineStr">
        <is>
          <t>540065</t>
        </is>
      </c>
    </row>
    <row r="152">
      <c r="A152" s="31" t="inlineStr">
        <is>
          <t>HMVL</t>
        </is>
      </c>
      <c r="B152" s="31" t="inlineStr">
        <is>
          <t>Hindustan Media Ventures Limited</t>
        </is>
      </c>
      <c r="C152" s="31" t="inlineStr">
        <is>
          <t>media</t>
        </is>
      </c>
      <c r="D152" s="31" t="inlineStr">
        <is>
          <t>entertainment / electronic media software</t>
        </is>
      </c>
      <c r="E152" s="31" t="inlineStr">
        <is>
          <t>smallcap</t>
        </is>
      </c>
      <c r="F152" s="31" t="n">
        <v>625.1799999999999</v>
      </c>
      <c r="G152" s="31" t="n">
        <v>83.88</v>
      </c>
      <c r="H152" s="31" t="n">
        <v>-1.15</v>
      </c>
      <c r="I152" s="31" t="n">
        <v>87850</v>
      </c>
      <c r="J152" s="31" t="inlineStr">
        <is>
          <t>533217</t>
        </is>
      </c>
    </row>
    <row r="153">
      <c r="A153" s="31" t="inlineStr">
        <is>
          <t>GPTHEALTH</t>
        </is>
      </c>
      <c r="B153" s="31" t="inlineStr">
        <is>
          <t>GPT Healthcare Ltd</t>
        </is>
      </c>
      <c r="C153" s="31" t="inlineStr">
        <is>
          <t>healthcare</t>
        </is>
      </c>
      <c r="D153" s="31" t="inlineStr">
        <is>
          <t>healthcare</t>
        </is>
      </c>
      <c r="E153" s="31" t="inlineStr">
        <is>
          <t>smallcap</t>
        </is>
      </c>
      <c r="F153" s="31" t="n">
        <v>1230.66</v>
      </c>
      <c r="G153" s="31" t="n">
        <v>148.25</v>
      </c>
      <c r="H153" s="31" t="n">
        <v>-1.15</v>
      </c>
      <c r="I153" s="31" t="n">
        <v>71857</v>
      </c>
      <c r="J153" s="31" t="inlineStr">
        <is>
          <t>544131</t>
        </is>
      </c>
    </row>
    <row r="154">
      <c r="A154" s="31" t="inlineStr">
        <is>
          <t>KIRLPNU</t>
        </is>
      </c>
      <c r="B154" s="31" t="inlineStr">
        <is>
          <t>Kirloskar Pneumatic Company Ltd</t>
        </is>
      </c>
      <c r="C154" s="31" t="inlineStr">
        <is>
          <t>industrials</t>
        </is>
      </c>
      <c r="D154" s="31" t="inlineStr">
        <is>
          <t>compressors / drilling equipment</t>
        </is>
      </c>
      <c r="E154" s="31" t="inlineStr">
        <is>
          <t>midcap</t>
        </is>
      </c>
      <c r="F154" s="31" t="n">
        <v>10685.62</v>
      </c>
      <c r="G154" s="31" t="n">
        <v>1625.7</v>
      </c>
      <c r="H154" s="31" t="n">
        <v>-1.17</v>
      </c>
      <c r="I154" s="31" t="n">
        <v>126637</v>
      </c>
      <c r="J154" s="31" t="inlineStr">
        <is>
          <t>505283</t>
        </is>
      </c>
    </row>
    <row r="155">
      <c r="A155" s="31" t="inlineStr">
        <is>
          <t>NRL</t>
        </is>
      </c>
      <c r="B155" s="31" t="inlineStr">
        <is>
          <t>Nupur Recyclers Ltd</t>
        </is>
      </c>
      <c r="C155" s="31" t="inlineStr">
        <is>
          <t>services</t>
        </is>
      </c>
      <c r="D155" s="31" t="inlineStr">
        <is>
          <t>trading</t>
        </is>
      </c>
      <c r="E155" s="31" t="inlineStr">
        <is>
          <t>smallcap</t>
        </is>
      </c>
      <c r="F155" s="31" t="n">
        <v>526.24</v>
      </c>
      <c r="G155" s="31" t="n">
        <v>75.27</v>
      </c>
      <c r="H155" s="31" t="n">
        <v>-1.21</v>
      </c>
      <c r="I155" s="31" t="n">
        <v>228038</v>
      </c>
      <c r="J155" s="31" t="inlineStr">
        <is>
          <t>535413</t>
        </is>
      </c>
    </row>
    <row r="156">
      <c r="A156" s="31" t="inlineStr">
        <is>
          <t>ZIMLAB</t>
        </is>
      </c>
      <c r="B156" s="31" t="inlineStr">
        <is>
          <t>Zim Laboratories Ltd</t>
        </is>
      </c>
      <c r="C156" s="31" t="inlineStr">
        <is>
          <t>healthcare</t>
        </is>
      </c>
      <c r="D156" s="31" t="inlineStr">
        <is>
          <t>pharmaceuticals - indian - bulk drugs &amp; formln</t>
        </is>
      </c>
      <c r="E156" s="31" t="inlineStr">
        <is>
          <t>smallcap</t>
        </is>
      </c>
      <c r="F156" s="31" t="n">
        <v>604.8200000000001</v>
      </c>
      <c r="G156" s="31" t="n">
        <v>111.66</v>
      </c>
      <c r="H156" s="31" t="n">
        <v>-1.23</v>
      </c>
      <c r="I156" s="31" t="n">
        <v>74288</v>
      </c>
      <c r="J156" s="31" t="inlineStr">
        <is>
          <t>541400</t>
        </is>
      </c>
    </row>
    <row r="157">
      <c r="A157" s="31" t="inlineStr">
        <is>
          <t>FEDERALBNK</t>
        </is>
      </c>
      <c r="B157" s="31" t="inlineStr">
        <is>
          <t>The Federal Bank  Limited</t>
        </is>
      </c>
      <c r="C157" s="31" t="inlineStr">
        <is>
          <t>bank</t>
        </is>
      </c>
      <c r="D157" s="31" t="inlineStr">
        <is>
          <t>banks - private sector</t>
        </is>
      </c>
      <c r="E157" s="31" t="inlineStr">
        <is>
          <t>largecap</t>
        </is>
      </c>
      <c r="F157" s="31" t="n">
        <v>77649.53999999999</v>
      </c>
      <c r="G157" s="31" t="n">
        <v>311.1</v>
      </c>
      <c r="H157" s="31" t="n">
        <v>-1.27</v>
      </c>
      <c r="I157" s="31" t="n">
        <v>7015128</v>
      </c>
      <c r="J157" s="31" t="inlineStr">
        <is>
          <t>500469</t>
        </is>
      </c>
    </row>
    <row r="158">
      <c r="A158" s="31" t="inlineStr">
        <is>
          <t>MOTHERSON</t>
        </is>
      </c>
      <c r="B158" s="31" t="inlineStr">
        <is>
          <t>Samvardhana Motherson International Ltd</t>
        </is>
      </c>
      <c r="C158" s="31" t="inlineStr">
        <is>
          <t>auto</t>
        </is>
      </c>
      <c r="D158" s="31" t="inlineStr">
        <is>
          <t>auto ancillaries</t>
        </is>
      </c>
      <c r="E158" s="31" t="inlineStr">
        <is>
          <t>largecap</t>
        </is>
      </c>
      <c r="F158" s="31" t="n">
        <v>152047.3</v>
      </c>
      <c r="G158" s="31" t="n">
        <v>142.21</v>
      </c>
      <c r="H158" s="31" t="n">
        <v>-1.28</v>
      </c>
      <c r="I158" s="31" t="n">
        <v>18703442</v>
      </c>
      <c r="J158" s="31" t="inlineStr">
        <is>
          <t>517334</t>
        </is>
      </c>
    </row>
    <row r="159">
      <c r="A159" s="31" t="inlineStr">
        <is>
          <t>DIVGIITTS</t>
        </is>
      </c>
      <c r="B159" s="31" t="inlineStr">
        <is>
          <t>Divgi Torqtransfer Systems Ltd</t>
        </is>
      </c>
      <c r="C159" s="31" t="inlineStr">
        <is>
          <t>auto</t>
        </is>
      </c>
      <c r="D159" s="31" t="inlineStr">
        <is>
          <t>auto ancillaries</t>
        </is>
      </c>
      <c r="E159" s="31" t="inlineStr">
        <is>
          <t>smallcap</t>
        </is>
      </c>
      <c r="F159" s="31" t="n">
        <v>2412.23</v>
      </c>
      <c r="G159" s="31" t="n">
        <v>778.55</v>
      </c>
      <c r="H159" s="31" t="n">
        <v>-1.29</v>
      </c>
      <c r="I159" s="31" t="n">
        <v>38205</v>
      </c>
      <c r="J159" s="31" t="inlineStr">
        <is>
          <t>543812</t>
        </is>
      </c>
    </row>
    <row r="160">
      <c r="A160" s="31" t="inlineStr">
        <is>
          <t>NINSYS</t>
        </is>
      </c>
      <c r="B160" s="31" t="inlineStr">
        <is>
          <t>NINtec Systems Ltd</t>
        </is>
      </c>
      <c r="C160" s="31" t="inlineStr">
        <is>
          <t>i.t</t>
        </is>
      </c>
      <c r="D160" s="31" t="inlineStr">
        <is>
          <t>computers - software - medium / small</t>
        </is>
      </c>
      <c r="E160" s="31" t="inlineStr">
        <is>
          <t>smallcap</t>
        </is>
      </c>
      <c r="F160" s="31" t="n">
        <v>1335.43</v>
      </c>
      <c r="G160" s="31" t="n">
        <v>709.45</v>
      </c>
      <c r="H160" s="31" t="n">
        <v>-1.31</v>
      </c>
      <c r="I160" s="31" t="n">
        <v>4142</v>
      </c>
      <c r="J160" s="31" t="inlineStr">
        <is>
          <t>539843</t>
        </is>
      </c>
    </row>
    <row r="161">
      <c r="A161" s="31" t="inlineStr">
        <is>
          <t>SOUTHBANK</t>
        </is>
      </c>
      <c r="B161" s="31" t="inlineStr">
        <is>
          <t>The South Indian Bank Limited</t>
        </is>
      </c>
      <c r="C161" s="31" t="inlineStr">
        <is>
          <t>bank</t>
        </is>
      </c>
      <c r="D161" s="31" t="inlineStr">
        <is>
          <t>banks - private sector</t>
        </is>
      </c>
      <c r="E161" s="31" t="inlineStr">
        <is>
          <t>midcap</t>
        </is>
      </c>
      <c r="F161" s="31" t="n">
        <v>11972.76</v>
      </c>
      <c r="G161" s="31" t="n">
        <v>45.13</v>
      </c>
      <c r="H161" s="31" t="n">
        <v>-1.33</v>
      </c>
      <c r="I161" s="31" t="n">
        <v>15930905</v>
      </c>
      <c r="J161" s="31" t="inlineStr">
        <is>
          <t>532218</t>
        </is>
      </c>
    </row>
    <row r="162">
      <c r="A162" s="31" t="inlineStr">
        <is>
          <t>MEDANTA</t>
        </is>
      </c>
      <c r="B162" s="31" t="inlineStr">
        <is>
          <t>Global Health Ltd</t>
        </is>
      </c>
      <c r="C162" s="31" t="inlineStr">
        <is>
          <t>healthcare</t>
        </is>
      </c>
      <c r="D162" s="31" t="inlineStr">
        <is>
          <t>healthcare</t>
        </is>
      </c>
      <c r="E162" s="31" t="inlineStr">
        <is>
          <t>largecap</t>
        </is>
      </c>
      <c r="F162" s="31" t="n">
        <v>33386.45</v>
      </c>
      <c r="G162" s="31" t="n">
        <v>1225.5</v>
      </c>
      <c r="H162" s="31" t="n">
        <v>-1.34</v>
      </c>
      <c r="I162" s="31" t="n">
        <v>90871</v>
      </c>
      <c r="J162" s="31" t="inlineStr">
        <is>
          <t>543654</t>
        </is>
      </c>
    </row>
    <row r="163">
      <c r="A163" s="31" t="inlineStr">
        <is>
          <t>ARVIND</t>
        </is>
      </c>
      <c r="B163" s="31" t="inlineStr">
        <is>
          <t>Arvind Limited</t>
        </is>
      </c>
      <c r="C163" s="31" t="inlineStr">
        <is>
          <t>textiles</t>
        </is>
      </c>
      <c r="D163" s="31" t="inlineStr">
        <is>
          <t>textiles - cotton/blended</t>
        </is>
      </c>
      <c r="E163" s="31" t="inlineStr">
        <is>
          <t>midcap</t>
        </is>
      </c>
      <c r="F163" s="31" t="n">
        <v>13108.35</v>
      </c>
      <c r="G163" s="31" t="n">
        <v>493.4</v>
      </c>
      <c r="H163" s="31" t="n">
        <v>-1.34</v>
      </c>
      <c r="I163" s="31" t="n">
        <v>316360</v>
      </c>
      <c r="J163" s="31" t="inlineStr">
        <is>
          <t>500101</t>
        </is>
      </c>
    </row>
    <row r="164">
      <c r="A164" s="31" t="inlineStr">
        <is>
          <t>SIS</t>
        </is>
      </c>
      <c r="B164" s="31" t="inlineStr">
        <is>
          <t>Security &amp; Intelligence Services India</t>
        </is>
      </c>
      <c r="C164" s="31" t="inlineStr">
        <is>
          <t>miscellaneous</t>
        </is>
      </c>
      <c r="D164" s="31" t="inlineStr">
        <is>
          <t>miscellaneous</t>
        </is>
      </c>
      <c r="E164" s="31" t="inlineStr">
        <is>
          <t>midcap</t>
        </is>
      </c>
      <c r="F164" s="31" t="n">
        <v>5950.38</v>
      </c>
      <c r="G164" s="31" t="n">
        <v>415.45</v>
      </c>
      <c r="H164" s="31" t="n">
        <v>-1.37</v>
      </c>
      <c r="I164" s="31" t="n">
        <v>119493</v>
      </c>
      <c r="J164" s="31" t="inlineStr">
        <is>
          <t>540673</t>
        </is>
      </c>
    </row>
    <row r="165">
      <c r="A165" s="31" t="inlineStr">
        <is>
          <t>NEULANDLAB</t>
        </is>
      </c>
      <c r="B165" s="31" t="inlineStr">
        <is>
          <t>Neuland Laboratories Limited</t>
        </is>
      </c>
      <c r="C165" s="31" t="inlineStr">
        <is>
          <t>healthcare</t>
        </is>
      </c>
      <c r="D165" s="31" t="inlineStr">
        <is>
          <t>pharmaceuticals - indian - bulk drugs</t>
        </is>
      </c>
      <c r="E165" s="31" t="inlineStr">
        <is>
          <t>largecap</t>
        </is>
      </c>
      <c r="F165" s="31" t="n">
        <v>22052.01</v>
      </c>
      <c r="G165" s="31" t="n">
        <v>16946</v>
      </c>
      <c r="H165" s="31" t="n">
        <v>-1.41</v>
      </c>
      <c r="I165" s="31" t="n">
        <v>17369</v>
      </c>
      <c r="J165" s="31" t="inlineStr">
        <is>
          <t>524558</t>
        </is>
      </c>
    </row>
    <row r="166">
      <c r="A166" s="31" t="inlineStr">
        <is>
          <t>SUPRAJIT</t>
        </is>
      </c>
      <c r="B166" s="31" t="inlineStr">
        <is>
          <t>Suprajit Engineering Limited</t>
        </is>
      </c>
      <c r="C166" s="31" t="inlineStr">
        <is>
          <t>auto</t>
        </is>
      </c>
      <c r="D166" s="31" t="inlineStr">
        <is>
          <t>auto ancillaries</t>
        </is>
      </c>
      <c r="E166" s="31" t="inlineStr">
        <is>
          <t>midcap</t>
        </is>
      </c>
      <c r="F166" s="31" t="n">
        <v>6391.49</v>
      </c>
      <c r="G166" s="31" t="n">
        <v>459.15</v>
      </c>
      <c r="H166" s="31" t="n">
        <v>-1.46</v>
      </c>
      <c r="I166" s="31" t="n">
        <v>98519</v>
      </c>
      <c r="J166" s="31" t="inlineStr">
        <is>
          <t>532509</t>
        </is>
      </c>
    </row>
    <row r="167">
      <c r="A167" s="31" t="inlineStr">
        <is>
          <t>JBMA</t>
        </is>
      </c>
      <c r="B167" s="31" t="inlineStr">
        <is>
          <t>Jbm Auto Limited</t>
        </is>
      </c>
      <c r="C167" s="31" t="inlineStr">
        <is>
          <t>auto</t>
        </is>
      </c>
      <c r="D167" s="31" t="inlineStr">
        <is>
          <t>auto ancillaries</t>
        </is>
      </c>
      <c r="E167" s="31" t="inlineStr">
        <is>
          <t>midcap</t>
        </is>
      </c>
      <c r="F167" s="31" t="n">
        <v>16004.75</v>
      </c>
      <c r="G167" s="31" t="n">
        <v>666.9</v>
      </c>
      <c r="H167" s="31" t="n">
        <v>-1.46</v>
      </c>
      <c r="I167" s="31" t="n">
        <v>846838</v>
      </c>
      <c r="J167" s="31" t="inlineStr">
        <is>
          <t>532605</t>
        </is>
      </c>
    </row>
    <row r="168">
      <c r="A168" s="31" t="inlineStr">
        <is>
          <t>TITAGARH</t>
        </is>
      </c>
      <c r="B168" s="31" t="inlineStr">
        <is>
          <t>Titagarh Rail Systems Ltd</t>
        </is>
      </c>
      <c r="C168" s="31" t="inlineStr">
        <is>
          <t>industrials</t>
        </is>
      </c>
      <c r="D168" s="31" t="inlineStr">
        <is>
          <t>engineering</t>
        </is>
      </c>
      <c r="E168" s="31" t="inlineStr">
        <is>
          <t>midcap</t>
        </is>
      </c>
      <c r="F168" s="31" t="n">
        <v>11396.09</v>
      </c>
      <c r="G168" s="31" t="n">
        <v>833.75</v>
      </c>
      <c r="H168" s="31" t="n">
        <v>-1.47</v>
      </c>
      <c r="I168" s="31" t="n">
        <v>449387</v>
      </c>
      <c r="J168" s="31" t="inlineStr">
        <is>
          <t>532966</t>
        </is>
      </c>
    </row>
    <row r="169">
      <c r="A169" s="31" t="inlineStr">
        <is>
          <t>CEIGALL</t>
        </is>
      </c>
      <c r="B169" s="31" t="inlineStr">
        <is>
          <t>Ceigall India Ltd</t>
        </is>
      </c>
      <c r="C169" s="31" t="inlineStr">
        <is>
          <t>realty</t>
        </is>
      </c>
      <c r="D169" s="31" t="inlineStr">
        <is>
          <t>construction</t>
        </is>
      </c>
      <c r="E169" s="31" t="inlineStr">
        <is>
          <t>midcap</t>
        </is>
      </c>
      <c r="F169" s="31" t="n">
        <v>6382.87</v>
      </c>
      <c r="G169" s="31" t="n">
        <v>360.85</v>
      </c>
      <c r="H169" s="31" t="n">
        <v>-1.51</v>
      </c>
      <c r="I169" s="31" t="n">
        <v>856782</v>
      </c>
      <c r="J169" s="31" t="inlineStr">
        <is>
          <t>544223</t>
        </is>
      </c>
    </row>
    <row r="170">
      <c r="A170" s="31" t="inlineStr">
        <is>
          <t>CRAFTSMAN</t>
        </is>
      </c>
      <c r="B170" s="31" t="inlineStr">
        <is>
          <t>Craftsman Automation Ltd</t>
        </is>
      </c>
      <c r="C170" s="31" t="inlineStr">
        <is>
          <t>auto</t>
        </is>
      </c>
      <c r="D170" s="31" t="inlineStr">
        <is>
          <t>auto ancillaries</t>
        </is>
      </c>
      <c r="E170" s="31" t="inlineStr">
        <is>
          <t>largecap</t>
        </is>
      </c>
      <c r="F170" s="31" t="n">
        <v>21771.8</v>
      </c>
      <c r="G170" s="31" t="n">
        <v>8986.5</v>
      </c>
      <c r="H170" s="31" t="n">
        <v>-1.53</v>
      </c>
      <c r="I170" s="31" t="n">
        <v>63168</v>
      </c>
      <c r="J170" s="31" t="inlineStr">
        <is>
          <t>543276</t>
        </is>
      </c>
    </row>
    <row r="171">
      <c r="A171" s="31" t="inlineStr">
        <is>
          <t>DEEPAKFERT</t>
        </is>
      </c>
      <c r="B171" s="31" t="inlineStr">
        <is>
          <t>Deepak Fertilizers And Petrochemicals Corporation Limited</t>
        </is>
      </c>
      <c r="C171" s="31" t="inlineStr">
        <is>
          <t>chemicals</t>
        </is>
      </c>
      <c r="D171" s="31" t="inlineStr">
        <is>
          <t>chemicals</t>
        </is>
      </c>
      <c r="E171" s="31" t="inlineStr">
        <is>
          <t>midcap</t>
        </is>
      </c>
      <c r="F171" s="31" t="n">
        <v>19170.48</v>
      </c>
      <c r="G171" s="31" t="n">
        <v>1494.9</v>
      </c>
      <c r="H171" s="31" t="n">
        <v>-1.56</v>
      </c>
      <c r="I171" s="31" t="n">
        <v>629479</v>
      </c>
      <c r="J171" s="31" t="inlineStr">
        <is>
          <t>500645</t>
        </is>
      </c>
    </row>
    <row r="172">
      <c r="A172" s="31" t="inlineStr">
        <is>
          <t>SPARC</t>
        </is>
      </c>
      <c r="B172" s="31" t="inlineStr">
        <is>
          <t>Sun Pharma Advanced Research Company Limited</t>
        </is>
      </c>
      <c r="C172" s="31" t="inlineStr">
        <is>
          <t>healthcare</t>
        </is>
      </c>
      <c r="D172" s="31" t="inlineStr">
        <is>
          <t>miscellaneous</t>
        </is>
      </c>
      <c r="E172" s="31" t="inlineStr">
        <is>
          <t>midcap</t>
        </is>
      </c>
      <c r="F172" s="31" t="n">
        <v>6788.67</v>
      </c>
      <c r="G172" s="31" t="n">
        <v>205.92</v>
      </c>
      <c r="H172" s="31" t="n">
        <v>-1.56</v>
      </c>
      <c r="I172" s="31" t="n">
        <v>2080904</v>
      </c>
      <c r="J172" s="31" t="inlineStr">
        <is>
          <t>532872</t>
        </is>
      </c>
    </row>
    <row r="173">
      <c r="A173" s="31" t="inlineStr">
        <is>
          <t>CYIENTDLM</t>
        </is>
      </c>
      <c r="B173" s="31" t="inlineStr">
        <is>
          <t>Cyient DLM Ltd</t>
        </is>
      </c>
      <c r="C173" s="31" t="inlineStr">
        <is>
          <t>consumer discretionary</t>
        </is>
      </c>
      <c r="D173" s="31" t="inlineStr">
        <is>
          <t>electronics - components</t>
        </is>
      </c>
      <c r="E173" s="31" t="inlineStr">
        <is>
          <t>smallcap</t>
        </is>
      </c>
      <c r="F173" s="31" t="n">
        <v>3521</v>
      </c>
      <c r="G173" s="31" t="n">
        <v>436.55</v>
      </c>
      <c r="H173" s="31" t="n">
        <v>-1.6</v>
      </c>
      <c r="I173" s="31" t="n">
        <v>206316</v>
      </c>
      <c r="J173" s="31" t="inlineStr">
        <is>
          <t>543933</t>
        </is>
      </c>
    </row>
    <row r="174">
      <c r="A174" s="31" t="inlineStr">
        <is>
          <t>ADANIENT</t>
        </is>
      </c>
      <c r="B174" s="31" t="inlineStr">
        <is>
          <t>Adani Enterprises Limited</t>
        </is>
      </c>
      <c r="C174" s="31" t="inlineStr">
        <is>
          <t>services</t>
        </is>
      </c>
      <c r="D174" s="31" t="inlineStr">
        <is>
          <t>trading</t>
        </is>
      </c>
      <c r="E174" s="31" t="inlineStr">
        <is>
          <t>largecap</t>
        </is>
      </c>
      <c r="F174" s="31" t="n">
        <v>385206.43</v>
      </c>
      <c r="G174" s="31" t="n">
        <v>2931.1</v>
      </c>
      <c r="H174" s="31" t="n">
        <v>-1.64</v>
      </c>
      <c r="I174" s="31" t="n">
        <v>1475029</v>
      </c>
      <c r="J174" s="31" t="inlineStr">
        <is>
          <t>512599</t>
        </is>
      </c>
    </row>
    <row r="175">
      <c r="A175" s="31" t="inlineStr">
        <is>
          <t>GMRAIRPORT</t>
        </is>
      </c>
      <c r="B175" s="31" t="inlineStr">
        <is>
          <t>GMR Airports Ltd</t>
        </is>
      </c>
      <c r="C175" s="31" t="inlineStr">
        <is>
          <t>miscellaneous</t>
        </is>
      </c>
      <c r="D175" s="31" t="inlineStr">
        <is>
          <t>miscellaneous</t>
        </is>
      </c>
      <c r="E175" s="31" t="inlineStr">
        <is>
          <t>largecap</t>
        </is>
      </c>
      <c r="F175" s="31" t="n">
        <v>108345.65</v>
      </c>
      <c r="G175" s="31" t="n">
        <v>100.92</v>
      </c>
      <c r="H175" s="31" t="n">
        <v>-1.65</v>
      </c>
      <c r="I175" s="31" t="n">
        <v>16309179</v>
      </c>
      <c r="J175" s="31" t="inlineStr">
        <is>
          <t>532754</t>
        </is>
      </c>
    </row>
    <row r="176">
      <c r="A176" s="31" t="inlineStr">
        <is>
          <t>EXIDEIND</t>
        </is>
      </c>
      <c r="B176" s="31" t="inlineStr">
        <is>
          <t>Exide Industries Limited</t>
        </is>
      </c>
      <c r="C176" s="31" t="inlineStr">
        <is>
          <t>auto</t>
        </is>
      </c>
      <c r="D176" s="31" t="inlineStr">
        <is>
          <t>auto ancillaries</t>
        </is>
      </c>
      <c r="E176" s="31" t="inlineStr">
        <is>
          <t>largecap</t>
        </is>
      </c>
      <c r="F176" s="31" t="n">
        <v>33400.75</v>
      </c>
      <c r="G176" s="31" t="n">
        <v>386.35</v>
      </c>
      <c r="H176" s="31" t="n">
        <v>-1.68</v>
      </c>
      <c r="I176" s="31" t="n">
        <v>911449</v>
      </c>
      <c r="J176" s="31" t="inlineStr">
        <is>
          <t>500086</t>
        </is>
      </c>
    </row>
    <row r="177">
      <c r="A177" s="31" t="inlineStr">
        <is>
          <t>RPEL</t>
        </is>
      </c>
      <c r="B177" s="31" t="inlineStr">
        <is>
          <t>Raghav Productivity Enhancers Ltd</t>
        </is>
      </c>
      <c r="C177" s="31" t="inlineStr">
        <is>
          <t>building materials</t>
        </is>
      </c>
      <c r="D177" s="31" t="inlineStr">
        <is>
          <t>refractories / intermediates</t>
        </is>
      </c>
      <c r="E177" s="31" t="inlineStr">
        <is>
          <t>midcap</t>
        </is>
      </c>
      <c r="F177" s="31" t="n">
        <v>5373.99</v>
      </c>
      <c r="G177" s="31" t="n">
        <v>1150.6</v>
      </c>
      <c r="H177" s="31" t="n">
        <v>-1.7</v>
      </c>
      <c r="I177" s="31" t="n">
        <v>225879</v>
      </c>
      <c r="J177" s="31" t="inlineStr">
        <is>
          <t>539837</t>
        </is>
      </c>
    </row>
    <row r="178">
      <c r="A178" s="31" t="inlineStr">
        <is>
          <t>J&amp;KBANK</t>
        </is>
      </c>
      <c r="B178" s="31" t="inlineStr">
        <is>
          <t>The Jammu &amp; Kashmir Bank Limited</t>
        </is>
      </c>
      <c r="C178" s="31" t="inlineStr">
        <is>
          <t>bank</t>
        </is>
      </c>
      <c r="D178" s="31" t="inlineStr">
        <is>
          <t>banks - private sector</t>
        </is>
      </c>
      <c r="E178" s="31" t="inlineStr">
        <is>
          <t>midcap</t>
        </is>
      </c>
      <c r="F178" s="31" t="n">
        <v>17286.36</v>
      </c>
      <c r="G178" s="31" t="n">
        <v>154.31</v>
      </c>
      <c r="H178" s="31" t="n">
        <v>-1.7</v>
      </c>
      <c r="I178" s="31" t="n">
        <v>4052951</v>
      </c>
      <c r="J178" s="31" t="inlineStr">
        <is>
          <t>532209</t>
        </is>
      </c>
    </row>
    <row r="179">
      <c r="A179" s="31" t="inlineStr">
        <is>
          <t>SKIPPER</t>
        </is>
      </c>
      <c r="B179" s="31" t="inlineStr">
        <is>
          <t>Skipper Limited</t>
        </is>
      </c>
      <c r="C179" s="31" t="inlineStr">
        <is>
          <t>industrials</t>
        </is>
      </c>
      <c r="D179" s="31" t="inlineStr">
        <is>
          <t>engineering</t>
        </is>
      </c>
      <c r="E179" s="31" t="inlineStr">
        <is>
          <t>midcap</t>
        </is>
      </c>
      <c r="F179" s="31" t="n">
        <v>6148.19</v>
      </c>
      <c r="G179" s="31" t="n">
        <v>535</v>
      </c>
      <c r="H179" s="31" t="n">
        <v>-1.75</v>
      </c>
      <c r="I179" s="31" t="n">
        <v>498522</v>
      </c>
      <c r="J179" s="31" t="inlineStr">
        <is>
          <t>538562</t>
        </is>
      </c>
    </row>
    <row r="180">
      <c r="A180" s="31" t="inlineStr">
        <is>
          <t>SHILPAMED</t>
        </is>
      </c>
      <c r="B180" s="31" t="inlineStr">
        <is>
          <t>Shilpa Medicare Limited</t>
        </is>
      </c>
      <c r="C180" s="31" t="inlineStr">
        <is>
          <t>healthcare</t>
        </is>
      </c>
      <c r="D180" s="31" t="inlineStr">
        <is>
          <t>pharmaceuticals - indian - formulations</t>
        </is>
      </c>
      <c r="E180" s="31" t="inlineStr">
        <is>
          <t>midcap</t>
        </is>
      </c>
      <c r="F180" s="31" t="n">
        <v>11131.54</v>
      </c>
      <c r="G180" s="31" t="n">
        <v>558.8</v>
      </c>
      <c r="H180" s="31" t="n">
        <v>-1.82</v>
      </c>
      <c r="I180" s="31" t="n">
        <v>1008532</v>
      </c>
      <c r="J180" s="31" t="inlineStr">
        <is>
          <t>530549</t>
        </is>
      </c>
    </row>
    <row r="181">
      <c r="A181" s="31" t="inlineStr">
        <is>
          <t>IDEA</t>
        </is>
      </c>
      <c r="B181" s="31" t="inlineStr">
        <is>
          <t>Vodafone Idea Ltd</t>
        </is>
      </c>
      <c r="C181" s="31" t="inlineStr">
        <is>
          <t>telecom-service</t>
        </is>
      </c>
      <c r="D181" s="31" t="inlineStr">
        <is>
          <t>telecommunications - service provider</t>
        </is>
      </c>
      <c r="E181" s="31" t="inlineStr">
        <is>
          <t>largecap</t>
        </is>
      </c>
      <c r="F181" s="31" t="n">
        <v>153197.05</v>
      </c>
      <c r="G181" s="31" t="n">
        <v>13.88</v>
      </c>
      <c r="H181" s="31" t="n">
        <v>-1.84</v>
      </c>
      <c r="I181" s="31" t="n">
        <v>739573180</v>
      </c>
      <c r="J181" s="31" t="inlineStr">
        <is>
          <t>532822</t>
        </is>
      </c>
    </row>
    <row r="182">
      <c r="A182" s="31" t="inlineStr">
        <is>
          <t>STOVEKRAFT</t>
        </is>
      </c>
      <c r="B182" s="31" t="inlineStr">
        <is>
          <t>Stove Kraft Ltd</t>
        </is>
      </c>
      <c r="C182" s="31" t="inlineStr">
        <is>
          <t>consumer discretionary</t>
        </is>
      </c>
      <c r="D182" s="31" t="inlineStr">
        <is>
          <t>domestic appliances</t>
        </is>
      </c>
      <c r="E182" s="31" t="inlineStr">
        <is>
          <t>smallcap</t>
        </is>
      </c>
      <c r="F182" s="31" t="n">
        <v>2199.98</v>
      </c>
      <c r="G182" s="31" t="n">
        <v>652.05</v>
      </c>
      <c r="H182" s="31" t="n">
        <v>-1.87</v>
      </c>
      <c r="I182" s="31" t="n">
        <v>123264</v>
      </c>
      <c r="J182" s="31" t="inlineStr">
        <is>
          <t>543260</t>
        </is>
      </c>
    </row>
    <row r="183">
      <c r="A183" s="31" t="inlineStr">
        <is>
          <t>ADOR</t>
        </is>
      </c>
      <c r="B183" s="31" t="inlineStr">
        <is>
          <t>Ador Welding Ltd</t>
        </is>
      </c>
      <c r="C183" s="31" t="inlineStr">
        <is>
          <t>industrials</t>
        </is>
      </c>
      <c r="D183" s="31" t="inlineStr">
        <is>
          <t>electrodes - welding equipment</t>
        </is>
      </c>
      <c r="E183" s="31" t="inlineStr">
        <is>
          <t>smallcap</t>
        </is>
      </c>
      <c r="F183" s="31" t="n">
        <v>1981.14</v>
      </c>
      <c r="G183" s="31" t="n">
        <v>1116.9</v>
      </c>
      <c r="H183" s="31" t="n">
        <v>-1.89</v>
      </c>
      <c r="I183" s="31" t="n">
        <v>11343</v>
      </c>
      <c r="J183" s="31" t="inlineStr">
        <is>
          <t>517041</t>
        </is>
      </c>
    </row>
    <row r="184">
      <c r="A184" s="31" t="inlineStr">
        <is>
          <t>XPROINDIA</t>
        </is>
      </c>
      <c r="B184" s="31" t="inlineStr">
        <is>
          <t>Xpro India Limited</t>
        </is>
      </c>
      <c r="C184" s="31" t="inlineStr">
        <is>
          <t>industrials</t>
        </is>
      </c>
      <c r="D184" s="31" t="inlineStr">
        <is>
          <t>packaging</t>
        </is>
      </c>
      <c r="E184" s="31" t="inlineStr">
        <is>
          <t>smallcap</t>
        </is>
      </c>
      <c r="F184" s="31" t="n">
        <v>2789.93</v>
      </c>
      <c r="G184" s="31" t="n">
        <v>1166.2</v>
      </c>
      <c r="H184" s="31" t="n">
        <v>-1.89</v>
      </c>
      <c r="I184" s="31" t="n">
        <v>28837</v>
      </c>
      <c r="J184" s="31" t="inlineStr">
        <is>
          <t>590013</t>
        </is>
      </c>
    </row>
    <row r="185">
      <c r="A185" s="31" t="inlineStr">
        <is>
          <t>PREMIERENE</t>
        </is>
      </c>
      <c r="B185" s="31" t="inlineStr">
        <is>
          <t>Premier Energies Ltd</t>
        </is>
      </c>
      <c r="C185" s="31" t="inlineStr">
        <is>
          <t>services</t>
        </is>
      </c>
      <c r="D185" s="31" t="inlineStr">
        <is>
          <t>trading</t>
        </is>
      </c>
      <c r="E185" s="31" t="inlineStr">
        <is>
          <t>largecap</t>
        </is>
      </c>
      <c r="F185" s="31" t="n">
        <v>49226.9</v>
      </c>
      <c r="G185" s="31" t="n">
        <v>1065.9</v>
      </c>
      <c r="H185" s="31" t="n">
        <v>-1.91</v>
      </c>
      <c r="I185" s="31" t="n">
        <v>802759</v>
      </c>
      <c r="J185" s="31" t="n"/>
    </row>
    <row r="186">
      <c r="A186" s="31" t="inlineStr">
        <is>
          <t>EQUITASBNK</t>
        </is>
      </c>
      <c r="B186" s="31" t="inlineStr">
        <is>
          <t>Equitas Small Finance Bank Ltd</t>
        </is>
      </c>
      <c r="C186" s="31" t="inlineStr">
        <is>
          <t>bank</t>
        </is>
      </c>
      <c r="D186" s="31" t="inlineStr">
        <is>
          <t>banks - private sector</t>
        </is>
      </c>
      <c r="E186" s="31" t="inlineStr">
        <is>
          <t>midcap</t>
        </is>
      </c>
      <c r="F186" s="31" t="n">
        <v>8555.540000000001</v>
      </c>
      <c r="G186" s="31" t="n">
        <v>73.52</v>
      </c>
      <c r="H186" s="31" t="n">
        <v>-1.95</v>
      </c>
      <c r="I186" s="31" t="n">
        <v>2397543</v>
      </c>
      <c r="J186" s="31" t="inlineStr">
        <is>
          <t>543243</t>
        </is>
      </c>
    </row>
    <row r="187">
      <c r="A187" s="31" t="inlineStr">
        <is>
          <t>ABDL</t>
        </is>
      </c>
      <c r="B187" s="31" t="inlineStr">
        <is>
          <t>Allied Blenders &amp; Distillers Ltd</t>
        </is>
      </c>
      <c r="C187" s="31" t="inlineStr">
        <is>
          <t>fmcg</t>
        </is>
      </c>
      <c r="D187" s="31" t="inlineStr">
        <is>
          <t>breweries &amp; distilleries</t>
        </is>
      </c>
      <c r="E187" s="31" t="inlineStr">
        <is>
          <t>midcap</t>
        </is>
      </c>
      <c r="F187" s="31" t="n">
        <v>16309.9</v>
      </c>
      <c r="G187" s="31" t="n">
        <v>571.7</v>
      </c>
      <c r="H187" s="31" t="n">
        <v>-1.96</v>
      </c>
      <c r="I187" s="31" t="n">
        <v>170415</v>
      </c>
      <c r="J187" s="31" t="inlineStr">
        <is>
          <t>544203</t>
        </is>
      </c>
    </row>
    <row r="188">
      <c r="A188" s="31" t="inlineStr">
        <is>
          <t>VIYASH</t>
        </is>
      </c>
      <c r="B188" s="31" t="inlineStr">
        <is>
          <t>Viyash Scientific Ltd</t>
        </is>
      </c>
      <c r="C188" s="31" t="inlineStr">
        <is>
          <t>healthcare</t>
        </is>
      </c>
      <c r="D188" s="31" t="inlineStr">
        <is>
          <t>pharmaceuticals - indian - bulk drugs &amp; formln</t>
        </is>
      </c>
      <c r="E188" s="31" t="inlineStr">
        <is>
          <t>midcap</t>
        </is>
      </c>
      <c r="F188" s="31" t="n">
        <v>11244.54</v>
      </c>
      <c r="G188" s="31" t="n">
        <v>252.3</v>
      </c>
      <c r="H188" s="31" t="n">
        <v>-1.98</v>
      </c>
      <c r="I188" s="31" t="n">
        <v>1817257</v>
      </c>
      <c r="J188" s="31" t="inlineStr">
        <is>
          <t>512529</t>
        </is>
      </c>
    </row>
    <row r="189">
      <c r="A189" s="31" t="inlineStr">
        <is>
          <t>STEELXIND</t>
        </is>
      </c>
      <c r="B189" s="31" t="inlineStr">
        <is>
          <t>Steel Exchange India Ltd</t>
        </is>
      </c>
      <c r="C189" s="31" t="inlineStr">
        <is>
          <t>metals &amp; mining</t>
        </is>
      </c>
      <c r="D189" s="31" t="inlineStr">
        <is>
          <t>steel - medium / small</t>
        </is>
      </c>
      <c r="E189" s="31" t="inlineStr">
        <is>
          <t>smallcap</t>
        </is>
      </c>
      <c r="F189" s="31" t="n">
        <v>1525.52</v>
      </c>
      <c r="G189" s="31" t="n">
        <v>11.72</v>
      </c>
      <c r="H189" s="31" t="n">
        <v>-2.01</v>
      </c>
      <c r="I189" s="31" t="n">
        <v>3781031</v>
      </c>
      <c r="J189" s="31" t="inlineStr">
        <is>
          <t>534748</t>
        </is>
      </c>
    </row>
    <row r="190">
      <c r="A190" s="31" t="inlineStr">
        <is>
          <t>RML</t>
        </is>
      </c>
      <c r="B190" s="31" t="inlineStr">
        <is>
          <t>Rane (madras) Limited</t>
        </is>
      </c>
      <c r="C190" s="31" t="inlineStr">
        <is>
          <t>auto</t>
        </is>
      </c>
      <c r="D190" s="31" t="inlineStr">
        <is>
          <t>auto ancillaries</t>
        </is>
      </c>
      <c r="E190" s="31" t="inlineStr">
        <is>
          <t>smallcap</t>
        </is>
      </c>
      <c r="F190" s="31" t="n">
        <v>2563.34</v>
      </c>
      <c r="G190" s="31" t="n">
        <v>907.7</v>
      </c>
      <c r="H190" s="31" t="n">
        <v>-2.13</v>
      </c>
      <c r="I190" s="31" t="n">
        <v>8342</v>
      </c>
      <c r="J190" s="31" t="inlineStr">
        <is>
          <t>532661</t>
        </is>
      </c>
    </row>
    <row r="191">
      <c r="A191" s="31" t="inlineStr">
        <is>
          <t>ADFFOODS</t>
        </is>
      </c>
      <c r="B191" s="31" t="inlineStr">
        <is>
          <t>Adf Foods Limited</t>
        </is>
      </c>
      <c r="C191" s="31" t="inlineStr">
        <is>
          <t>fmcg</t>
        </is>
      </c>
      <c r="D191" s="31" t="inlineStr">
        <is>
          <t>food - processing - indian</t>
        </is>
      </c>
      <c r="E191" s="31" t="inlineStr">
        <is>
          <t>smallcap</t>
        </is>
      </c>
      <c r="F191" s="31" t="n">
        <v>3147.04</v>
      </c>
      <c r="G191" s="31" t="n">
        <v>280.2</v>
      </c>
      <c r="H191" s="31" t="n">
        <v>-2.18</v>
      </c>
      <c r="I191" s="31" t="n">
        <v>95458</v>
      </c>
      <c r="J191" s="31" t="inlineStr">
        <is>
          <t>519183</t>
        </is>
      </c>
    </row>
    <row r="192">
      <c r="A192" s="31" t="inlineStr">
        <is>
          <t>SASKEN</t>
        </is>
      </c>
      <c r="B192" s="31" t="inlineStr">
        <is>
          <t>Sasken Communication Technologies Limited</t>
        </is>
      </c>
      <c r="C192" s="31" t="inlineStr">
        <is>
          <t>i.t</t>
        </is>
      </c>
      <c r="D192" s="31" t="inlineStr">
        <is>
          <t>computers - software - medium / small</t>
        </is>
      </c>
      <c r="E192" s="31" t="inlineStr">
        <is>
          <t>smallcap</t>
        </is>
      </c>
      <c r="F192" s="31" t="n">
        <v>3514.76</v>
      </c>
      <c r="G192" s="31" t="n">
        <v>2261.6</v>
      </c>
      <c r="H192" s="31" t="n">
        <v>-2.28</v>
      </c>
      <c r="I192" s="31" t="n">
        <v>187681</v>
      </c>
      <c r="J192" s="31" t="inlineStr">
        <is>
          <t>532663</t>
        </is>
      </c>
    </row>
    <row r="193">
      <c r="A193" s="31" t="inlineStr">
        <is>
          <t>ASTRAMICRO</t>
        </is>
      </c>
      <c r="B193" s="31" t="inlineStr">
        <is>
          <t>Astra Microwave Products Limited</t>
        </is>
      </c>
      <c r="C193" s="31" t="inlineStr">
        <is>
          <t>aerospace &amp; defence</t>
        </is>
      </c>
      <c r="D193" s="31" t="inlineStr">
        <is>
          <t>telecommunications - equipment</t>
        </is>
      </c>
      <c r="E193" s="31" t="inlineStr">
        <is>
          <t>midcap</t>
        </is>
      </c>
      <c r="F193" s="31" t="n">
        <v>13840.13</v>
      </c>
      <c r="G193" s="31" t="n">
        <v>1424.4</v>
      </c>
      <c r="H193" s="31" t="n">
        <v>-2.28</v>
      </c>
      <c r="I193" s="31" t="n">
        <v>866021</v>
      </c>
      <c r="J193" s="31" t="inlineStr">
        <is>
          <t>532493</t>
        </is>
      </c>
    </row>
    <row r="194">
      <c r="A194" s="31" t="inlineStr">
        <is>
          <t>WABAG</t>
        </is>
      </c>
      <c r="B194" s="31" t="inlineStr">
        <is>
          <t>Va Tech Wabag Limited</t>
        </is>
      </c>
      <c r="C194" s="31" t="inlineStr">
        <is>
          <t>realty</t>
        </is>
      </c>
      <c r="D194" s="31" t="inlineStr">
        <is>
          <t>engineering - turnkey services</t>
        </is>
      </c>
      <c r="E194" s="31" t="inlineStr">
        <is>
          <t>midcap</t>
        </is>
      </c>
      <c r="F194" s="31" t="n">
        <v>9884.17</v>
      </c>
      <c r="G194" s="31" t="n">
        <v>1550</v>
      </c>
      <c r="H194" s="31" t="n">
        <v>-2.29</v>
      </c>
      <c r="I194" s="31" t="n">
        <v>228655</v>
      </c>
      <c r="J194" s="31" t="inlineStr">
        <is>
          <t>533269</t>
        </is>
      </c>
    </row>
    <row r="195">
      <c r="A195" s="31" t="inlineStr">
        <is>
          <t>SBCL</t>
        </is>
      </c>
      <c r="B195" s="31" t="inlineStr">
        <is>
          <t>Shivalik Bimetal Controls Ltd</t>
        </is>
      </c>
      <c r="C195" s="31" t="inlineStr">
        <is>
          <t>metals &amp; mining</t>
        </is>
      </c>
      <c r="D195" s="31" t="inlineStr">
        <is>
          <t>mining / minerals / metals</t>
        </is>
      </c>
      <c r="E195" s="31" t="inlineStr">
        <is>
          <t>smallcap</t>
        </is>
      </c>
      <c r="F195" s="31" t="n">
        <v>4212.6</v>
      </c>
      <c r="G195" s="31" t="n">
        <v>714.5</v>
      </c>
      <c r="H195" s="31" t="n">
        <v>-2.3</v>
      </c>
      <c r="I195" s="31" t="n">
        <v>313484</v>
      </c>
      <c r="J195" s="31" t="inlineStr">
        <is>
          <t>513097</t>
        </is>
      </c>
    </row>
    <row r="196">
      <c r="A196" s="31" t="inlineStr">
        <is>
          <t>MARKSANS</t>
        </is>
      </c>
      <c r="B196" s="31" t="inlineStr">
        <is>
          <t>Marksans Pharma Limited</t>
        </is>
      </c>
      <c r="C196" s="31" t="inlineStr">
        <is>
          <t>healthcare</t>
        </is>
      </c>
      <c r="D196" s="31" t="inlineStr">
        <is>
          <t>pharmaceuticals - indian - formulations</t>
        </is>
      </c>
      <c r="E196" s="31" t="inlineStr">
        <is>
          <t>midcap</t>
        </is>
      </c>
      <c r="F196" s="31" t="n">
        <v>11453.71</v>
      </c>
      <c r="G196" s="31" t="n">
        <v>246.92</v>
      </c>
      <c r="H196" s="31" t="n">
        <v>-2.31</v>
      </c>
      <c r="I196" s="31" t="n">
        <v>2443581</v>
      </c>
      <c r="J196" s="31" t="inlineStr">
        <is>
          <t>524404</t>
        </is>
      </c>
    </row>
    <row r="197">
      <c r="A197" s="31" t="inlineStr">
        <is>
          <t>BLSE</t>
        </is>
      </c>
      <c r="B197" s="31" t="inlineStr">
        <is>
          <t>BLS E-Services Ltd</t>
        </is>
      </c>
      <c r="C197" s="31" t="inlineStr">
        <is>
          <t>i.t</t>
        </is>
      </c>
      <c r="D197" s="31" t="inlineStr">
        <is>
          <t>computers - software - medium / small</t>
        </is>
      </c>
      <c r="E197" s="31" t="inlineStr">
        <is>
          <t>smallcap</t>
        </is>
      </c>
      <c r="F197" s="31" t="n">
        <v>2100.87</v>
      </c>
      <c r="G197" s="31" t="n">
        <v>225.9</v>
      </c>
      <c r="H197" s="31" t="n">
        <v>-2.31</v>
      </c>
      <c r="I197" s="31" t="n">
        <v>207227</v>
      </c>
      <c r="J197" s="31" t="inlineStr">
        <is>
          <t>544107</t>
        </is>
      </c>
    </row>
    <row r="198">
      <c r="A198" s="31" t="inlineStr">
        <is>
          <t>TALBROAUTO</t>
        </is>
      </c>
      <c r="B198" s="31" t="inlineStr">
        <is>
          <t>Talbros Automotive Components Limited</t>
        </is>
      </c>
      <c r="C198" s="31" t="inlineStr">
        <is>
          <t>auto</t>
        </is>
      </c>
      <c r="D198" s="31" t="inlineStr">
        <is>
          <t>auto ancillaries</t>
        </is>
      </c>
      <c r="E198" s="31" t="inlineStr">
        <is>
          <t>smallcap</t>
        </is>
      </c>
      <c r="F198" s="31" t="n">
        <v>2222.52</v>
      </c>
      <c r="G198" s="31" t="n">
        <v>351.7</v>
      </c>
      <c r="H198" s="31" t="n">
        <v>-2.32</v>
      </c>
      <c r="I198" s="31" t="n">
        <v>127064</v>
      </c>
      <c r="J198" s="31" t="inlineStr">
        <is>
          <t>505160</t>
        </is>
      </c>
    </row>
    <row r="199">
      <c r="A199" s="31" t="inlineStr">
        <is>
          <t>SVLL</t>
        </is>
      </c>
      <c r="B199" s="31" t="inlineStr">
        <is>
          <t>Shree Vasu Logistics Ltd</t>
        </is>
      </c>
      <c r="C199" s="31" t="inlineStr">
        <is>
          <t>transportation</t>
        </is>
      </c>
      <c r="D199" s="31" t="inlineStr">
        <is>
          <t>miscellaneous</t>
        </is>
      </c>
      <c r="E199" s="31" t="inlineStr">
        <is>
          <t>smallcap</t>
        </is>
      </c>
      <c r="F199" s="31" t="n">
        <v>872.14</v>
      </c>
      <c r="G199" s="31" t="n">
        <v>740.05</v>
      </c>
      <c r="H199" s="31" t="n">
        <v>-2.47</v>
      </c>
      <c r="I199" s="31" t="n">
        <v>10344</v>
      </c>
      <c r="J199" s="31" t="inlineStr">
        <is>
          <t>535084</t>
        </is>
      </c>
    </row>
    <row r="200">
      <c r="A200" s="31" t="inlineStr">
        <is>
          <t>SYRMA</t>
        </is>
      </c>
      <c r="B200" s="31" t="inlineStr">
        <is>
          <t>Syrma SGS Technology Ltd</t>
        </is>
      </c>
      <c r="C200" s="31" t="inlineStr">
        <is>
          <t>consumer discretionary</t>
        </is>
      </c>
      <c r="D200" s="31" t="inlineStr">
        <is>
          <t>electronics - components</t>
        </is>
      </c>
      <c r="E200" s="31" t="inlineStr">
        <is>
          <t>largecap</t>
        </is>
      </c>
      <c r="F200" s="31" t="n">
        <v>24234.94</v>
      </c>
      <c r="G200" s="31" t="n">
        <v>1225.8</v>
      </c>
      <c r="H200" s="31" t="n">
        <v>-2.47</v>
      </c>
      <c r="I200" s="31" t="n">
        <v>1016245</v>
      </c>
      <c r="J200" s="31" t="inlineStr">
        <is>
          <t>543573</t>
        </is>
      </c>
    </row>
    <row r="201">
      <c r="A201" s="31" t="inlineStr">
        <is>
          <t>IOLCP</t>
        </is>
      </c>
      <c r="B201" s="31" t="inlineStr">
        <is>
          <t>Iol Chemicals And Pharmaceuticals Limited</t>
        </is>
      </c>
      <c r="C201" s="31" t="inlineStr">
        <is>
          <t>healthcare</t>
        </is>
      </c>
      <c r="D201" s="31" t="inlineStr">
        <is>
          <t>pharmaceuticals - indian - bulk drugs &amp; formln</t>
        </is>
      </c>
      <c r="E201" s="31" t="inlineStr">
        <is>
          <t>smallcap</t>
        </is>
      </c>
      <c r="F201" s="31" t="n">
        <v>3899.22</v>
      </c>
      <c r="G201" s="31" t="n">
        <v>129.54</v>
      </c>
      <c r="H201" s="31" t="n">
        <v>-2.48</v>
      </c>
      <c r="I201" s="31" t="n">
        <v>2078781</v>
      </c>
      <c r="J201" s="31" t="inlineStr">
        <is>
          <t>524164</t>
        </is>
      </c>
    </row>
    <row r="202">
      <c r="A202" s="31" t="inlineStr">
        <is>
          <t>HINDOILEXP</t>
        </is>
      </c>
      <c r="B202" s="31" t="inlineStr">
        <is>
          <t>Hindustan Oil Exploration Company Limited</t>
        </is>
      </c>
      <c r="C202" s="31" t="inlineStr">
        <is>
          <t>energy</t>
        </is>
      </c>
      <c r="D202" s="31" t="inlineStr">
        <is>
          <t>oil drilling / allied services</t>
        </is>
      </c>
      <c r="E202" s="31" t="inlineStr">
        <is>
          <t>smallcap</t>
        </is>
      </c>
      <c r="F202" s="31" t="n">
        <v>2420.45</v>
      </c>
      <c r="G202" s="31" t="n">
        <v>178.45</v>
      </c>
      <c r="H202" s="31" t="n">
        <v>-2.5</v>
      </c>
      <c r="I202" s="31" t="n">
        <v>1395290</v>
      </c>
      <c r="J202" s="31" t="inlineStr">
        <is>
          <t>500186</t>
        </is>
      </c>
    </row>
    <row r="203">
      <c r="A203" s="31" t="inlineStr">
        <is>
          <t>AVTNPL</t>
        </is>
      </c>
      <c r="B203" s="31" t="inlineStr">
        <is>
          <t>Avt Natural Products Limited</t>
        </is>
      </c>
      <c r="C203" s="31" t="inlineStr">
        <is>
          <t>fmcg</t>
        </is>
      </c>
      <c r="D203" s="31" t="inlineStr">
        <is>
          <t>solvent extraction</t>
        </is>
      </c>
      <c r="E203" s="31" t="inlineStr">
        <is>
          <t>smallcap</t>
        </is>
      </c>
      <c r="F203" s="31" t="n">
        <v>1102.69</v>
      </c>
      <c r="G203" s="31" t="n">
        <v>70.56999999999999</v>
      </c>
      <c r="H203" s="31" t="n">
        <v>-2.54</v>
      </c>
      <c r="I203" s="31" t="n">
        <v>72479</v>
      </c>
      <c r="J203" s="31" t="inlineStr">
        <is>
          <t>519105</t>
        </is>
      </c>
    </row>
    <row r="204">
      <c r="A204" s="31" t="inlineStr">
        <is>
          <t>SKMEGGPROD</t>
        </is>
      </c>
      <c r="B204" s="31" t="inlineStr">
        <is>
          <t>Skm Egg Products Export (india) Limited</t>
        </is>
      </c>
      <c r="C204" s="31" t="inlineStr">
        <is>
          <t>fmcg</t>
        </is>
      </c>
      <c r="D204" s="31" t="inlineStr">
        <is>
          <t>food - processing - indian</t>
        </is>
      </c>
      <c r="E204" s="31" t="inlineStr">
        <is>
          <t>smallcap</t>
        </is>
      </c>
      <c r="F204" s="31" t="n">
        <v>1303.7</v>
      </c>
      <c r="G204" s="31" t="n">
        <v>241.24</v>
      </c>
      <c r="H204" s="31" t="n">
        <v>-2.56</v>
      </c>
      <c r="I204" s="31" t="n">
        <v>314638</v>
      </c>
      <c r="J204" s="31" t="inlineStr">
        <is>
          <t>532143</t>
        </is>
      </c>
    </row>
    <row r="205">
      <c r="A205" s="31" t="inlineStr">
        <is>
          <t>UNIVCABLES</t>
        </is>
      </c>
      <c r="B205" s="31" t="inlineStr">
        <is>
          <t>Universal Cables Limited</t>
        </is>
      </c>
      <c r="C205" s="31" t="inlineStr">
        <is>
          <t>industrials</t>
        </is>
      </c>
      <c r="D205" s="31" t="inlineStr">
        <is>
          <t>cables - power</t>
        </is>
      </c>
      <c r="E205" s="31" t="inlineStr">
        <is>
          <t>smallcap</t>
        </is>
      </c>
      <c r="F205" s="31" t="n">
        <v>4244.63</v>
      </c>
      <c r="G205" s="31" t="n">
        <v>1190.9</v>
      </c>
      <c r="H205" s="31" t="n">
        <v>-2.66</v>
      </c>
      <c r="I205" s="31" t="n">
        <v>175614</v>
      </c>
      <c r="J205" s="31" t="inlineStr">
        <is>
          <t>504212</t>
        </is>
      </c>
    </row>
    <row r="206">
      <c r="A206" s="31" t="inlineStr">
        <is>
          <t>YASHO</t>
        </is>
      </c>
      <c r="B206" s="31" t="inlineStr">
        <is>
          <t>Yasho Industries Ltd</t>
        </is>
      </c>
      <c r="C206" s="31" t="inlineStr">
        <is>
          <t>chemicals</t>
        </is>
      </c>
      <c r="D206" s="31" t="inlineStr">
        <is>
          <t>chemicals</t>
        </is>
      </c>
      <c r="E206" s="31" t="inlineStr">
        <is>
          <t>smallcap</t>
        </is>
      </c>
      <c r="F206" s="31" t="n">
        <v>3066.84</v>
      </c>
      <c r="G206" s="31" t="n">
        <v>2475.1</v>
      </c>
      <c r="H206" s="31" t="n">
        <v>-2.69</v>
      </c>
      <c r="I206" s="31" t="n">
        <v>66067</v>
      </c>
      <c r="J206" s="31" t="inlineStr">
        <is>
          <t>541167</t>
        </is>
      </c>
    </row>
    <row r="207">
      <c r="A207" s="31" t="inlineStr">
        <is>
          <t>SANSERA</t>
        </is>
      </c>
      <c r="B207" s="31" t="inlineStr">
        <is>
          <t>Sansera Engineering Ltd</t>
        </is>
      </c>
      <c r="C207" s="31" t="inlineStr">
        <is>
          <t>auto</t>
        </is>
      </c>
      <c r="D207" s="31" t="inlineStr">
        <is>
          <t>auto ancillaries</t>
        </is>
      </c>
      <c r="E207" s="31" t="inlineStr">
        <is>
          <t>midcap</t>
        </is>
      </c>
      <c r="F207" s="31" t="n">
        <v>18459.01</v>
      </c>
      <c r="G207" s="31" t="n">
        <v>2881.3</v>
      </c>
      <c r="H207" s="31" t="n">
        <v>-2.7</v>
      </c>
      <c r="I207" s="31" t="n">
        <v>228544</v>
      </c>
      <c r="J207" s="31" t="inlineStr">
        <is>
          <t>543358</t>
        </is>
      </c>
    </row>
    <row r="208">
      <c r="A208" s="31" t="inlineStr">
        <is>
          <t>DIACABS</t>
        </is>
      </c>
      <c r="B208" s="31" t="inlineStr">
        <is>
          <t>Diamond Power Infrastructure Ltd</t>
        </is>
      </c>
      <c r="C208" s="31" t="inlineStr">
        <is>
          <t>industrials</t>
        </is>
      </c>
      <c r="D208" s="31" t="inlineStr">
        <is>
          <t>cables - power</t>
        </is>
      </c>
      <c r="E208" s="31" t="inlineStr">
        <is>
          <t>midcap</t>
        </is>
      </c>
      <c r="F208" s="31" t="n">
        <v>10669.58</v>
      </c>
      <c r="G208" s="31" t="n">
        <v>197</v>
      </c>
      <c r="H208" s="31" t="n">
        <v>-2.7</v>
      </c>
      <c r="I208" s="31" t="n">
        <v>3311996</v>
      </c>
      <c r="J208" s="31" t="inlineStr">
        <is>
          <t>522163</t>
        </is>
      </c>
    </row>
    <row r="209">
      <c r="A209" s="31" t="inlineStr">
        <is>
          <t>AEROFLEX</t>
        </is>
      </c>
      <c r="B209" s="31" t="inlineStr">
        <is>
          <t>Aeroflex Industries Ltd</t>
        </is>
      </c>
      <c r="C209" s="31" t="inlineStr">
        <is>
          <t>metals &amp; mining</t>
        </is>
      </c>
      <c r="D209" s="31" t="inlineStr">
        <is>
          <t>steel - medium / small</t>
        </is>
      </c>
      <c r="E209" s="31" t="inlineStr">
        <is>
          <t>midcap</t>
        </is>
      </c>
      <c r="F209" s="31" t="n">
        <v>5633.32</v>
      </c>
      <c r="G209" s="31" t="n">
        <v>414.1</v>
      </c>
      <c r="H209" s="31" t="n">
        <v>-2.72</v>
      </c>
      <c r="I209" s="31" t="n">
        <v>1235075</v>
      </c>
      <c r="J209" s="31" t="inlineStr">
        <is>
          <t>543972</t>
        </is>
      </c>
    </row>
    <row r="210">
      <c r="A210" s="31" t="inlineStr">
        <is>
          <t>LAURUSLABS</t>
        </is>
      </c>
      <c r="B210" s="31" t="inlineStr">
        <is>
          <t>Laurus Labs Limited</t>
        </is>
      </c>
      <c r="C210" s="31" t="inlineStr">
        <is>
          <t>healthcare</t>
        </is>
      </c>
      <c r="D210" s="31" t="inlineStr">
        <is>
          <t>pharmaceuticals - indian - bulk drugs &amp; formln</t>
        </is>
      </c>
      <c r="E210" s="31" t="inlineStr">
        <is>
          <t>largecap</t>
        </is>
      </c>
      <c r="F210" s="31" t="n">
        <v>76897.17</v>
      </c>
      <c r="G210" s="31" t="n">
        <v>1385.7</v>
      </c>
      <c r="H210" s="31" t="n">
        <v>-2.72</v>
      </c>
      <c r="I210" s="31" t="n">
        <v>1334485</v>
      </c>
      <c r="J210" s="31" t="inlineStr">
        <is>
          <t>540222</t>
        </is>
      </c>
    </row>
    <row r="211">
      <c r="A211" s="31" t="inlineStr">
        <is>
          <t>ADANIENSOL</t>
        </is>
      </c>
      <c r="B211" s="31" t="inlineStr">
        <is>
          <t>Adani Energy Solutions Ltd</t>
        </is>
      </c>
      <c r="C211" s="31" t="inlineStr">
        <is>
          <t>power &amp; utilities</t>
        </is>
      </c>
      <c r="D211" s="31" t="inlineStr">
        <is>
          <t>power generation and supply</t>
        </is>
      </c>
      <c r="E211" s="31" t="inlineStr">
        <is>
          <t>largecap</t>
        </is>
      </c>
      <c r="F211" s="31" t="n">
        <v>189706.55</v>
      </c>
      <c r="G211" s="31" t="n">
        <v>1535.6</v>
      </c>
      <c r="H211" s="31" t="n">
        <v>-2.76</v>
      </c>
      <c r="I211" s="31" t="n">
        <v>2286852</v>
      </c>
      <c r="J211" s="31" t="inlineStr">
        <is>
          <t>539254</t>
        </is>
      </c>
    </row>
    <row r="212">
      <c r="A212" s="31" t="inlineStr">
        <is>
          <t>NITINSPIN</t>
        </is>
      </c>
      <c r="B212" s="31" t="inlineStr">
        <is>
          <t>Nitin Spinners Limited</t>
        </is>
      </c>
      <c r="C212" s="31" t="inlineStr">
        <is>
          <t>textiles</t>
        </is>
      </c>
      <c r="D212" s="31" t="inlineStr">
        <is>
          <t>textiles - cotton/blended</t>
        </is>
      </c>
      <c r="E212" s="31" t="inlineStr">
        <is>
          <t>smallcap</t>
        </is>
      </c>
      <c r="F212" s="31" t="n">
        <v>3030.26</v>
      </c>
      <c r="G212" s="31" t="n">
        <v>524.1</v>
      </c>
      <c r="H212" s="31" t="n">
        <v>-2.76</v>
      </c>
      <c r="I212" s="31" t="n">
        <v>111714</v>
      </c>
      <c r="J212" s="31" t="inlineStr">
        <is>
          <t>532698</t>
        </is>
      </c>
    </row>
    <row r="213">
      <c r="A213" s="31" t="inlineStr">
        <is>
          <t>THYROCARE</t>
        </is>
      </c>
      <c r="B213" s="31" t="inlineStr">
        <is>
          <t>Thyrocare Technologies Limited</t>
        </is>
      </c>
      <c r="C213" s="31" t="inlineStr">
        <is>
          <t>healthcare</t>
        </is>
      </c>
      <c r="D213" s="31" t="inlineStr">
        <is>
          <t>healthcare</t>
        </is>
      </c>
      <c r="E213" s="31" t="inlineStr">
        <is>
          <t>midcap</t>
        </is>
      </c>
      <c r="F213" s="31" t="n">
        <v>8721.459999999999</v>
      </c>
      <c r="G213" s="31" t="n">
        <v>532.8</v>
      </c>
      <c r="H213" s="31" t="n">
        <v>-2.76</v>
      </c>
      <c r="I213" s="31" t="n">
        <v>336527</v>
      </c>
      <c r="J213" s="31" t="inlineStr">
        <is>
          <t>539871</t>
        </is>
      </c>
    </row>
    <row r="214">
      <c r="A214" s="31" t="inlineStr">
        <is>
          <t>RAIN</t>
        </is>
      </c>
      <c r="B214" s="31" t="inlineStr">
        <is>
          <t>Rain Industries Limited</t>
        </is>
      </c>
      <c r="C214" s="31" t="inlineStr">
        <is>
          <t>miscellaneous</t>
        </is>
      </c>
      <c r="D214" s="31" t="inlineStr">
        <is>
          <t>miscellaneous</t>
        </is>
      </c>
      <c r="E214" s="31" t="inlineStr">
        <is>
          <t>midcap</t>
        </is>
      </c>
      <c r="F214" s="31" t="n">
        <v>6860.44</v>
      </c>
      <c r="G214" s="31" t="n">
        <v>198.33</v>
      </c>
      <c r="H214" s="31" t="n">
        <v>-2.77</v>
      </c>
      <c r="I214" s="31" t="n">
        <v>6391604</v>
      </c>
      <c r="J214" s="31" t="inlineStr">
        <is>
          <t>500339</t>
        </is>
      </c>
    </row>
    <row r="215">
      <c r="A215" s="31" t="inlineStr">
        <is>
          <t>WELINV</t>
        </is>
      </c>
      <c r="B215" s="31" t="inlineStr">
        <is>
          <t>Welspun Investments And Commercials Limited</t>
        </is>
      </c>
      <c r="C215" s="31" t="inlineStr">
        <is>
          <t>financials</t>
        </is>
      </c>
      <c r="D215" s="31" t="inlineStr">
        <is>
          <t>finance &amp; investments</t>
        </is>
      </c>
      <c r="E215" s="31" t="inlineStr">
        <is>
          <t>smallcap</t>
        </is>
      </c>
      <c r="F215" s="31" t="n">
        <v>676.74</v>
      </c>
      <c r="G215" s="31" t="n">
        <v>1800</v>
      </c>
      <c r="H215" s="31" t="n">
        <v>-2.8</v>
      </c>
      <c r="I215" s="31" t="n">
        <v>7101</v>
      </c>
      <c r="J215" s="31" t="inlineStr">
        <is>
          <t>533252</t>
        </is>
      </c>
    </row>
    <row r="216">
      <c r="A216" s="31" t="inlineStr">
        <is>
          <t>SURYODAY</t>
        </is>
      </c>
      <c r="B216" s="31" t="inlineStr">
        <is>
          <t>Suryoday Small Finance Bank Ltd</t>
        </is>
      </c>
      <c r="C216" s="31" t="inlineStr">
        <is>
          <t>bank</t>
        </is>
      </c>
      <c r="D216" s="31" t="inlineStr">
        <is>
          <t>banks - private sector</t>
        </is>
      </c>
      <c r="E216" s="31" t="inlineStr">
        <is>
          <t>smallcap</t>
        </is>
      </c>
      <c r="F216" s="31" t="n">
        <v>1859.75</v>
      </c>
      <c r="G216" s="31" t="n">
        <v>170</v>
      </c>
      <c r="H216" s="31" t="n">
        <v>-2.84</v>
      </c>
      <c r="I216" s="31" t="n">
        <v>220372</v>
      </c>
      <c r="J216" s="31" t="inlineStr">
        <is>
          <t>543279</t>
        </is>
      </c>
    </row>
    <row r="217">
      <c r="A217" s="31" t="inlineStr">
        <is>
          <t>WELCORP</t>
        </is>
      </c>
      <c r="B217" s="31" t="inlineStr">
        <is>
          <t>Welspun Corp Limited</t>
        </is>
      </c>
      <c r="C217" s="31" t="inlineStr">
        <is>
          <t>industrials</t>
        </is>
      </c>
      <c r="D217" s="31" t="inlineStr">
        <is>
          <t>steel - large</t>
        </is>
      </c>
      <c r="E217" s="31" t="inlineStr">
        <is>
          <t>largecap</t>
        </is>
      </c>
      <c r="F217" s="31" t="n">
        <v>37236.69</v>
      </c>
      <c r="G217" s="31" t="n">
        <v>1370.4</v>
      </c>
      <c r="H217" s="31" t="n">
        <v>-2.92</v>
      </c>
      <c r="I217" s="31" t="n">
        <v>1054605</v>
      </c>
      <c r="J217" s="31" t="inlineStr">
        <is>
          <t>532144</t>
        </is>
      </c>
    </row>
    <row r="218">
      <c r="A218" s="31" t="inlineStr">
        <is>
          <t>SOTL</t>
        </is>
      </c>
      <c r="B218" s="31" t="inlineStr">
        <is>
          <t>Savita Oil Technologies Limited</t>
        </is>
      </c>
      <c r="C218" s="31" t="inlineStr">
        <is>
          <t>energy</t>
        </is>
      </c>
      <c r="D218" s="31" t="inlineStr">
        <is>
          <t>petrochemicals</t>
        </is>
      </c>
      <c r="E218" s="31" t="inlineStr">
        <is>
          <t>smallcap</t>
        </is>
      </c>
      <c r="F218" s="31" t="n">
        <v>3894.57</v>
      </c>
      <c r="G218" s="31" t="n">
        <v>550.55</v>
      </c>
      <c r="H218" s="31" t="n">
        <v>-3.08</v>
      </c>
      <c r="I218" s="31" t="n">
        <v>214445</v>
      </c>
      <c r="J218" s="31" t="inlineStr">
        <is>
          <t>524667</t>
        </is>
      </c>
    </row>
    <row r="219">
      <c r="A219" s="31" t="inlineStr">
        <is>
          <t>GOCLCORP</t>
        </is>
      </c>
      <c r="B219" s="31" t="inlineStr">
        <is>
          <t>Gocl Corporation Limited</t>
        </is>
      </c>
      <c r="C219" s="31" t="inlineStr">
        <is>
          <t>miscellaneous</t>
        </is>
      </c>
      <c r="D219" s="31" t="inlineStr">
        <is>
          <t>diversified - medium / small</t>
        </is>
      </c>
      <c r="E219" s="31" t="inlineStr">
        <is>
          <t>smallcap</t>
        </is>
      </c>
      <c r="F219" s="31" t="n">
        <v>1977.2</v>
      </c>
      <c r="G219" s="31" t="n">
        <v>386.25</v>
      </c>
      <c r="H219" s="31" t="n">
        <v>-3.16</v>
      </c>
      <c r="I219" s="31" t="n">
        <v>60997</v>
      </c>
      <c r="J219" s="31" t="inlineStr">
        <is>
          <t>506480</t>
        </is>
      </c>
    </row>
    <row r="220">
      <c r="A220" s="31" t="inlineStr">
        <is>
          <t>ATGL</t>
        </is>
      </c>
      <c r="B220" s="31" t="inlineStr">
        <is>
          <t>Adani Total Gas Ltd</t>
        </is>
      </c>
      <c r="C220" s="31" t="inlineStr">
        <is>
          <t>energy</t>
        </is>
      </c>
      <c r="D220" s="31" t="inlineStr">
        <is>
          <t>miscellaneous</t>
        </is>
      </c>
      <c r="E220" s="31" t="inlineStr">
        <is>
          <t>largecap</t>
        </is>
      </c>
      <c r="F220" s="31" t="n">
        <v>82722.22</v>
      </c>
      <c r="G220" s="31" t="n">
        <v>728.4</v>
      </c>
      <c r="H220" s="31" t="n">
        <v>-3.16</v>
      </c>
      <c r="I220" s="31" t="n">
        <v>5348345</v>
      </c>
      <c r="J220" s="31" t="inlineStr">
        <is>
          <t>542066</t>
        </is>
      </c>
    </row>
    <row r="221">
      <c r="A221" s="31" t="inlineStr">
        <is>
          <t>ICIL</t>
        </is>
      </c>
      <c r="B221" s="31" t="inlineStr">
        <is>
          <t>Indo Count Industries Limited</t>
        </is>
      </c>
      <c r="C221" s="31" t="inlineStr">
        <is>
          <t>textiles</t>
        </is>
      </c>
      <c r="D221" s="31" t="inlineStr">
        <is>
          <t>textiles - cotton/blended</t>
        </is>
      </c>
      <c r="E221" s="31" t="inlineStr">
        <is>
          <t>midcap</t>
        </is>
      </c>
      <c r="F221" s="31" t="n">
        <v>6664.53</v>
      </c>
      <c r="G221" s="31" t="n">
        <v>325.85</v>
      </c>
      <c r="H221" s="31" t="n">
        <v>-3.16</v>
      </c>
      <c r="I221" s="31" t="n">
        <v>365659</v>
      </c>
      <c r="J221" s="31" t="inlineStr">
        <is>
          <t>521016</t>
        </is>
      </c>
    </row>
    <row r="222">
      <c r="A222" s="31" t="inlineStr">
        <is>
          <t>AZAD</t>
        </is>
      </c>
      <c r="B222" s="31" t="inlineStr">
        <is>
          <t>Azad Engineering Ltd</t>
        </is>
      </c>
      <c r="C222" s="31" t="inlineStr">
        <is>
          <t>aerospace &amp; defence</t>
        </is>
      </c>
      <c r="D222" s="31" t="inlineStr">
        <is>
          <t>engineering</t>
        </is>
      </c>
      <c r="E222" s="31" t="inlineStr">
        <is>
          <t>midcap</t>
        </is>
      </c>
      <c r="F222" s="31" t="n">
        <v>14401.73</v>
      </c>
      <c r="G222" s="31" t="n">
        <v>2159.5</v>
      </c>
      <c r="H222" s="31" t="n">
        <v>-3.16</v>
      </c>
      <c r="I222" s="31" t="n">
        <v>553986</v>
      </c>
      <c r="J222" s="31" t="inlineStr">
        <is>
          <t>544061</t>
        </is>
      </c>
    </row>
    <row r="223">
      <c r="A223" s="31" t="inlineStr">
        <is>
          <t>PASUPTAC</t>
        </is>
      </c>
      <c r="B223" s="31" t="inlineStr">
        <is>
          <t>Pasupati Acrylon Ltd</t>
        </is>
      </c>
      <c r="C223" s="31" t="inlineStr">
        <is>
          <t>textiles</t>
        </is>
      </c>
      <c r="D223" s="31" t="inlineStr">
        <is>
          <t>textiles - manmade</t>
        </is>
      </c>
      <c r="E223" s="31" t="inlineStr">
        <is>
          <t>smallcap</t>
        </is>
      </c>
      <c r="F223" s="31" t="n">
        <v>653.97</v>
      </c>
      <c r="G223" s="31" t="n">
        <v>71.03</v>
      </c>
      <c r="H223" s="31" t="n">
        <v>-3.19</v>
      </c>
      <c r="I223" s="31" t="n">
        <v>351307</v>
      </c>
      <c r="J223" s="31" t="inlineStr">
        <is>
          <t>500456</t>
        </is>
      </c>
    </row>
    <row r="224">
      <c r="A224" s="31" t="inlineStr">
        <is>
          <t>SSWL</t>
        </is>
      </c>
      <c r="B224" s="31" t="inlineStr">
        <is>
          <t>Steel Strips Wheels Limited</t>
        </is>
      </c>
      <c r="C224" s="31" t="inlineStr">
        <is>
          <t>auto</t>
        </is>
      </c>
      <c r="D224" s="31" t="inlineStr">
        <is>
          <t>auto ancillaries</t>
        </is>
      </c>
      <c r="E224" s="31" t="inlineStr">
        <is>
          <t>smallcap</t>
        </is>
      </c>
      <c r="F224" s="31" t="n">
        <v>3687.45</v>
      </c>
      <c r="G224" s="31" t="n">
        <v>227.09</v>
      </c>
      <c r="H224" s="31" t="n">
        <v>-3.2</v>
      </c>
      <c r="I224" s="31" t="n">
        <v>444414</v>
      </c>
      <c r="J224" s="31" t="inlineStr">
        <is>
          <t>513262</t>
        </is>
      </c>
    </row>
    <row r="225">
      <c r="A225" s="31" t="inlineStr">
        <is>
          <t>PSPPROJECT</t>
        </is>
      </c>
      <c r="B225" s="31" t="inlineStr">
        <is>
          <t>PSP Projects Ltd</t>
        </is>
      </c>
      <c r="C225" s="31" t="inlineStr">
        <is>
          <t>realty</t>
        </is>
      </c>
      <c r="D225" s="31" t="inlineStr">
        <is>
          <t>construction</t>
        </is>
      </c>
      <c r="E225" s="31" t="inlineStr">
        <is>
          <t>smallcap</t>
        </is>
      </c>
      <c r="F225" s="31" t="n">
        <v>3637.93</v>
      </c>
      <c r="G225" s="31" t="n">
        <v>888.1</v>
      </c>
      <c r="H225" s="31" t="n">
        <v>-3.23</v>
      </c>
      <c r="I225" s="31" t="n">
        <v>228598</v>
      </c>
      <c r="J225" s="31" t="inlineStr">
        <is>
          <t>540544</t>
        </is>
      </c>
    </row>
    <row r="226">
      <c r="A226" s="31" t="inlineStr">
        <is>
          <t>BELRISE</t>
        </is>
      </c>
      <c r="B226" s="31" t="inlineStr">
        <is>
          <t>Belrise Industries Ltd</t>
        </is>
      </c>
      <c r="C226" s="31" t="inlineStr">
        <is>
          <t>auto</t>
        </is>
      </c>
      <c r="D226" s="31" t="inlineStr">
        <is>
          <t>auto ancillaries</t>
        </is>
      </c>
      <c r="E226" s="31" t="inlineStr">
        <is>
          <t>largecap</t>
        </is>
      </c>
      <c r="F226" s="31" t="n">
        <v>20888.13</v>
      </c>
      <c r="G226" s="31" t="n">
        <v>227.13</v>
      </c>
      <c r="H226" s="31" t="n">
        <v>-3.24</v>
      </c>
      <c r="I226" s="31" t="n">
        <v>4999472</v>
      </c>
      <c r="J226" s="31" t="n"/>
    </row>
    <row r="227">
      <c r="A227" s="31" t="inlineStr">
        <is>
          <t>BAJAJCON</t>
        </is>
      </c>
      <c r="B227" s="31" t="inlineStr">
        <is>
          <t>Bajaj Consumer Care Ltd</t>
        </is>
      </c>
      <c r="C227" s="31" t="inlineStr">
        <is>
          <t>fmcg</t>
        </is>
      </c>
      <c r="D227" s="31" t="inlineStr">
        <is>
          <t>personal care - indian</t>
        </is>
      </c>
      <c r="E227" s="31" t="inlineStr">
        <is>
          <t>midcap</t>
        </is>
      </c>
      <c r="F227" s="31" t="n">
        <v>7604.6</v>
      </c>
      <c r="G227" s="31" t="n">
        <v>562.8</v>
      </c>
      <c r="H227" s="31" t="n">
        <v>-3.33</v>
      </c>
      <c r="I227" s="31" t="n">
        <v>635027</v>
      </c>
      <c r="J227" s="31" t="inlineStr">
        <is>
          <t>533229</t>
        </is>
      </c>
    </row>
    <row r="228">
      <c r="A228" s="31" t="inlineStr">
        <is>
          <t>ADANIGREEN</t>
        </is>
      </c>
      <c r="B228" s="31" t="inlineStr">
        <is>
          <t>Adani Green Energy Ltd</t>
        </is>
      </c>
      <c r="C228" s="31" t="inlineStr">
        <is>
          <t>power &amp; utilities</t>
        </is>
      </c>
      <c r="D228" s="31" t="inlineStr">
        <is>
          <t>power generation and supply</t>
        </is>
      </c>
      <c r="E228" s="31" t="inlineStr">
        <is>
          <t>largecap</t>
        </is>
      </c>
      <c r="F228" s="31" t="n">
        <v>252759.18</v>
      </c>
      <c r="G228" s="31" t="n">
        <v>1483</v>
      </c>
      <c r="H228" s="31" t="n">
        <v>-3.36</v>
      </c>
      <c r="I228" s="31" t="n">
        <v>3132337</v>
      </c>
      <c r="J228" s="31" t="inlineStr">
        <is>
          <t>541450</t>
        </is>
      </c>
    </row>
    <row r="229">
      <c r="A229" s="31" t="inlineStr">
        <is>
          <t>TVSSCS</t>
        </is>
      </c>
      <c r="B229" s="31" t="inlineStr">
        <is>
          <t>TVS Supply Chain Solutions Ltd</t>
        </is>
      </c>
      <c r="C229" s="31" t="inlineStr">
        <is>
          <t>transportation</t>
        </is>
      </c>
      <c r="D229" s="31" t="inlineStr">
        <is>
          <t>miscellaneous</t>
        </is>
      </c>
      <c r="E229" s="31" t="inlineStr">
        <is>
          <t>midcap</t>
        </is>
      </c>
      <c r="F229" s="31" t="n">
        <v>5667.84</v>
      </c>
      <c r="G229" s="31" t="n">
        <v>124.14</v>
      </c>
      <c r="H229" s="31" t="n">
        <v>-3.37</v>
      </c>
      <c r="I229" s="31" t="n">
        <v>495126</v>
      </c>
      <c r="J229" s="31" t="inlineStr">
        <is>
          <t>543965</t>
        </is>
      </c>
    </row>
    <row r="230">
      <c r="A230" s="31" t="inlineStr">
        <is>
          <t>ACMESOLAR</t>
        </is>
      </c>
      <c r="B230" s="31" t="inlineStr">
        <is>
          <t>ACME Solar Holdings Ltd</t>
        </is>
      </c>
      <c r="C230" s="31" t="inlineStr">
        <is>
          <t>realty</t>
        </is>
      </c>
      <c r="D230" s="31" t="inlineStr">
        <is>
          <t>engineering - turnkey services</t>
        </is>
      </c>
      <c r="E230" s="31" t="inlineStr">
        <is>
          <t>largecap</t>
        </is>
      </c>
      <c r="F230" s="31" t="n">
        <v>21130.24</v>
      </c>
      <c r="G230" s="31" t="n">
        <v>336.9</v>
      </c>
      <c r="H230" s="31" t="n">
        <v>-3.38</v>
      </c>
      <c r="I230" s="31" t="n">
        <v>1647829</v>
      </c>
      <c r="J230" s="31" t="inlineStr">
        <is>
          <t>544283</t>
        </is>
      </c>
    </row>
    <row r="231">
      <c r="A231" s="31" t="inlineStr">
        <is>
          <t>SAILIFE</t>
        </is>
      </c>
      <c r="B231" s="31" t="inlineStr">
        <is>
          <t>Sai Life Sciences Ltd</t>
        </is>
      </c>
      <c r="C231" s="31" t="inlineStr">
        <is>
          <t>healthcare</t>
        </is>
      </c>
      <c r="D231" s="31" t="inlineStr">
        <is>
          <t>pharmaceuticals - indian - bulk drugs &amp; formln</t>
        </is>
      </c>
      <c r="E231" s="31" t="inlineStr">
        <is>
          <t>largecap</t>
        </is>
      </c>
      <c r="F231" s="31" t="n">
        <v>26042.49</v>
      </c>
      <c r="G231" s="31" t="n">
        <v>1188.1</v>
      </c>
      <c r="H231" s="31" t="n">
        <v>-3.38</v>
      </c>
      <c r="I231" s="31" t="n">
        <v>636693</v>
      </c>
      <c r="J231" s="31" t="inlineStr">
        <is>
          <t>544306</t>
        </is>
      </c>
    </row>
    <row r="232">
      <c r="A232" s="31" t="inlineStr">
        <is>
          <t>CONFIPET</t>
        </is>
      </c>
      <c r="B232" s="31" t="inlineStr">
        <is>
          <t>Confidence Petroleum India Ltd</t>
        </is>
      </c>
      <c r="C232" s="31" t="inlineStr">
        <is>
          <t>miscellaneous</t>
        </is>
      </c>
      <c r="D232" s="31" t="inlineStr">
        <is>
          <t>miscellaneous</t>
        </is>
      </c>
      <c r="E232" s="31" t="inlineStr">
        <is>
          <t>smallcap</t>
        </is>
      </c>
      <c r="F232" s="31" t="n">
        <v>2508.42</v>
      </c>
      <c r="G232" s="31" t="n">
        <v>72.92</v>
      </c>
      <c r="H232" s="31" t="n">
        <v>-3.42</v>
      </c>
      <c r="I232" s="31" t="n">
        <v>3058277</v>
      </c>
      <c r="J232" s="31" t="inlineStr">
        <is>
          <t>526829</t>
        </is>
      </c>
    </row>
    <row r="233">
      <c r="A233" s="31" t="inlineStr">
        <is>
          <t>SATIN</t>
        </is>
      </c>
      <c r="B233" s="31" t="inlineStr">
        <is>
          <t>Satin Creditcare Network Limited</t>
        </is>
      </c>
      <c r="C233" s="31" t="inlineStr">
        <is>
          <t>financials</t>
        </is>
      </c>
      <c r="D233" s="31" t="inlineStr">
        <is>
          <t>finance &amp; investments</t>
        </is>
      </c>
      <c r="E233" s="31" t="inlineStr">
        <is>
          <t>smallcap</t>
        </is>
      </c>
      <c r="F233" s="31" t="n">
        <v>2674.5</v>
      </c>
      <c r="G233" s="31" t="n">
        <v>233.83</v>
      </c>
      <c r="H233" s="31" t="n">
        <v>-3.42</v>
      </c>
      <c r="I233" s="31" t="n">
        <v>451865</v>
      </c>
      <c r="J233" s="31" t="inlineStr">
        <is>
          <t>539404</t>
        </is>
      </c>
    </row>
    <row r="234">
      <c r="A234" s="31" t="inlineStr">
        <is>
          <t>CHENNPETRO</t>
        </is>
      </c>
      <c r="B234" s="31" t="inlineStr">
        <is>
          <t>Chennai Petroleum Corporation Limited</t>
        </is>
      </c>
      <c r="C234" s="31" t="inlineStr">
        <is>
          <t>energy</t>
        </is>
      </c>
      <c r="D234" s="31" t="inlineStr">
        <is>
          <t>refineries</t>
        </is>
      </c>
      <c r="E234" s="31" t="inlineStr">
        <is>
          <t>midcap</t>
        </is>
      </c>
      <c r="F234" s="31" t="n">
        <v>18262.49</v>
      </c>
      <c r="G234" s="31" t="n">
        <v>1184.3</v>
      </c>
      <c r="H234" s="31" t="n">
        <v>-3.43</v>
      </c>
      <c r="I234" s="31" t="n">
        <v>1398690</v>
      </c>
      <c r="J234" s="31" t="inlineStr">
        <is>
          <t>500110</t>
        </is>
      </c>
    </row>
    <row r="235">
      <c r="A235" s="31" t="inlineStr">
        <is>
          <t>VINDHYATEL</t>
        </is>
      </c>
      <c r="B235" s="31" t="inlineStr">
        <is>
          <t>Vindhya Telelinks Limited</t>
        </is>
      </c>
      <c r="C235" s="31" t="inlineStr">
        <is>
          <t>realty</t>
        </is>
      </c>
      <c r="D235" s="31" t="inlineStr">
        <is>
          <t>construction</t>
        </is>
      </c>
      <c r="E235" s="31" t="inlineStr">
        <is>
          <t>smallcap</t>
        </is>
      </c>
      <c r="F235" s="31" t="n">
        <v>2529.8</v>
      </c>
      <c r="G235" s="31" t="n">
        <v>2061.1</v>
      </c>
      <c r="H235" s="31" t="n">
        <v>-3.45</v>
      </c>
      <c r="I235" s="31" t="n">
        <v>58784</v>
      </c>
      <c r="J235" s="31" t="inlineStr">
        <is>
          <t>517015</t>
        </is>
      </c>
    </row>
    <row r="236">
      <c r="A236" s="31" t="inlineStr">
        <is>
          <t>GANESHBE</t>
        </is>
      </c>
      <c r="B236" s="31" t="inlineStr">
        <is>
          <t>Ganesh Benzoplast Ltd</t>
        </is>
      </c>
      <c r="C236" s="31" t="inlineStr">
        <is>
          <t>miscellaneous</t>
        </is>
      </c>
      <c r="D236" s="31" t="inlineStr">
        <is>
          <t>miscellaneous</t>
        </is>
      </c>
      <c r="E236" s="31" t="inlineStr">
        <is>
          <t>smallcap</t>
        </is>
      </c>
      <c r="F236" s="31" t="n">
        <v>796.28</v>
      </c>
      <c r="G236" s="31" t="n">
        <v>106.77</v>
      </c>
      <c r="H236" s="31" t="n">
        <v>-3.47</v>
      </c>
      <c r="I236" s="31" t="n">
        <v>210566</v>
      </c>
      <c r="J236" s="31" t="inlineStr">
        <is>
          <t>500153</t>
        </is>
      </c>
    </row>
    <row r="237">
      <c r="A237" s="31" t="inlineStr">
        <is>
          <t>RSWM</t>
        </is>
      </c>
      <c r="B237" s="31" t="inlineStr">
        <is>
          <t>Rswm Limited</t>
        </is>
      </c>
      <c r="C237" s="31" t="inlineStr">
        <is>
          <t>textiles</t>
        </is>
      </c>
      <c r="D237" s="31" t="inlineStr">
        <is>
          <t>textiles - cotton/blended</t>
        </is>
      </c>
      <c r="E237" s="31" t="inlineStr">
        <is>
          <t>smallcap</t>
        </is>
      </c>
      <c r="F237" s="31" t="n">
        <v>1005.15</v>
      </c>
      <c r="G237" s="31" t="n">
        <v>205.85</v>
      </c>
      <c r="H237" s="31" t="n">
        <v>-3.54</v>
      </c>
      <c r="I237" s="31" t="n">
        <v>501411</v>
      </c>
      <c r="J237" s="31" t="inlineStr">
        <is>
          <t>500350</t>
        </is>
      </c>
    </row>
    <row r="238">
      <c r="A238" s="31" t="inlineStr">
        <is>
          <t>APOLLO</t>
        </is>
      </c>
      <c r="B238" s="31" t="inlineStr">
        <is>
          <t>Apollo Micro Systems Ltd</t>
        </is>
      </c>
      <c r="C238" s="31" t="inlineStr">
        <is>
          <t>aerospace &amp; defence</t>
        </is>
      </c>
      <c r="D238" s="31" t="inlineStr">
        <is>
          <t>electronics - components</t>
        </is>
      </c>
      <c r="E238" s="31" t="inlineStr">
        <is>
          <t>midcap</t>
        </is>
      </c>
      <c r="F238" s="31" t="n">
        <v>14757.96</v>
      </c>
      <c r="G238" s="31" t="n">
        <v>398.05</v>
      </c>
      <c r="H238" s="31" t="n">
        <v>-3.63</v>
      </c>
      <c r="I238" s="31" t="n">
        <v>13662921</v>
      </c>
      <c r="J238" s="31" t="inlineStr">
        <is>
          <t>540879</t>
        </is>
      </c>
    </row>
    <row r="239">
      <c r="A239" s="31" t="inlineStr">
        <is>
          <t>SHAILY</t>
        </is>
      </c>
      <c r="B239" s="31" t="inlineStr">
        <is>
          <t>Shaily Engineering Plastics Ltd</t>
        </is>
      </c>
      <c r="C239" s="31" t="inlineStr">
        <is>
          <t>plastic products</t>
        </is>
      </c>
      <c r="D239" s="31" t="inlineStr">
        <is>
          <t>plastics products</t>
        </is>
      </c>
      <c r="E239" s="31" t="inlineStr">
        <is>
          <t>midcap</t>
        </is>
      </c>
      <c r="F239" s="31" t="n">
        <v>14395.89</v>
      </c>
      <c r="G239" s="31" t="n">
        <v>3018.2</v>
      </c>
      <c r="H239" s="31" t="n">
        <v>-3.65</v>
      </c>
      <c r="I239" s="31" t="n">
        <v>202117</v>
      </c>
      <c r="J239" s="31" t="inlineStr">
        <is>
          <t>501423</t>
        </is>
      </c>
    </row>
    <row r="240">
      <c r="A240" s="31" t="inlineStr">
        <is>
          <t>SAMMAANCAP</t>
        </is>
      </c>
      <c r="B240" s="31" t="inlineStr">
        <is>
          <t>Sammaan Capital Ltd</t>
        </is>
      </c>
      <c r="C240" s="31" t="inlineStr">
        <is>
          <t>financials</t>
        </is>
      </c>
      <c r="D240" s="31" t="inlineStr">
        <is>
          <t>finance - housing</t>
        </is>
      </c>
      <c r="E240" s="31" t="inlineStr">
        <is>
          <t>largecap</t>
        </is>
      </c>
      <c r="F240" s="31" t="n">
        <v>20985.82</v>
      </c>
      <c r="G240" s="31" t="n">
        <v>174.02</v>
      </c>
      <c r="H240" s="31" t="n">
        <v>-3.67</v>
      </c>
      <c r="I240" s="31" t="n">
        <v>8813802</v>
      </c>
      <c r="J240" s="31" t="inlineStr">
        <is>
          <t>535789</t>
        </is>
      </c>
    </row>
    <row r="241">
      <c r="A241" s="31" t="inlineStr">
        <is>
          <t>SPECTRUM</t>
        </is>
      </c>
      <c r="B241" s="31" t="inlineStr">
        <is>
          <t>Spectrum Electrical Industries Ltd</t>
        </is>
      </c>
      <c r="C241" s="31" t="inlineStr">
        <is>
          <t>industrials</t>
        </is>
      </c>
      <c r="D241" s="31" t="inlineStr">
        <is>
          <t>electric equipment</t>
        </is>
      </c>
      <c r="E241" s="31" t="inlineStr">
        <is>
          <t>smallcap</t>
        </is>
      </c>
      <c r="F241" s="31" t="n">
        <v>2645.11</v>
      </c>
      <c r="G241" s="31" t="n">
        <v>1621</v>
      </c>
      <c r="H241" s="31" t="n">
        <v>-3.7</v>
      </c>
      <c r="I241" s="31" t="n">
        <v>16661</v>
      </c>
      <c r="J241" s="31" t="inlineStr">
        <is>
          <t>535112</t>
        </is>
      </c>
    </row>
    <row r="242">
      <c r="A242" s="31" t="inlineStr">
        <is>
          <t>MIDHANI</t>
        </is>
      </c>
      <c r="B242" s="31" t="inlineStr">
        <is>
          <t>Mishra Dhatu Nigam Ltd</t>
        </is>
      </c>
      <c r="C242" s="31" t="inlineStr">
        <is>
          <t>aerospace &amp; defence</t>
        </is>
      </c>
      <c r="D242" s="31" t="inlineStr">
        <is>
          <t>steel - medium / small</t>
        </is>
      </c>
      <c r="E242" s="31" t="inlineStr">
        <is>
          <t>midcap</t>
        </is>
      </c>
      <c r="F242" s="31" t="n">
        <v>8436.860000000001</v>
      </c>
      <c r="G242" s="31" t="n">
        <v>433.4</v>
      </c>
      <c r="H242" s="31" t="n">
        <v>-3.76</v>
      </c>
      <c r="I242" s="31" t="n">
        <v>1674508</v>
      </c>
      <c r="J242" s="31" t="inlineStr">
        <is>
          <t>541195</t>
        </is>
      </c>
    </row>
    <row r="243">
      <c r="A243" s="31" t="inlineStr">
        <is>
          <t>MENONBE</t>
        </is>
      </c>
      <c r="B243" s="31" t="inlineStr">
        <is>
          <t>Menon Bearings Limited</t>
        </is>
      </c>
      <c r="C243" s="31" t="inlineStr">
        <is>
          <t>auto</t>
        </is>
      </c>
      <c r="D243" s="31" t="inlineStr">
        <is>
          <t>auto ancillaries</t>
        </is>
      </c>
      <c r="E243" s="31" t="inlineStr">
        <is>
          <t>smallcap</t>
        </is>
      </c>
      <c r="F243" s="31" t="n">
        <v>951.62</v>
      </c>
      <c r="G243" s="31" t="n">
        <v>163.2</v>
      </c>
      <c r="H243" s="31" t="n">
        <v>-3.89</v>
      </c>
      <c r="I243" s="31" t="n">
        <v>2895887</v>
      </c>
      <c r="J243" s="31" t="inlineStr">
        <is>
          <t>523828</t>
        </is>
      </c>
    </row>
    <row r="244">
      <c r="A244" s="31" t="inlineStr">
        <is>
          <t>SANGHVIMOV</t>
        </is>
      </c>
      <c r="B244" s="31" t="inlineStr">
        <is>
          <t>Sanghvi Movers Limited</t>
        </is>
      </c>
      <c r="C244" s="31" t="inlineStr">
        <is>
          <t>miscellaneous</t>
        </is>
      </c>
      <c r="D244" s="31" t="inlineStr">
        <is>
          <t>miscellaneous</t>
        </is>
      </c>
      <c r="E244" s="31" t="inlineStr">
        <is>
          <t>smallcap</t>
        </is>
      </c>
      <c r="F244" s="31" t="n">
        <v>3391.18</v>
      </c>
      <c r="G244" s="31" t="n">
        <v>376.35</v>
      </c>
      <c r="H244" s="31" t="n">
        <v>-3.92</v>
      </c>
      <c r="I244" s="31" t="n">
        <v>405968</v>
      </c>
      <c r="J244" s="31" t="inlineStr">
        <is>
          <t>530073</t>
        </is>
      </c>
    </row>
    <row r="245">
      <c r="A245" s="31" t="inlineStr">
        <is>
          <t>BHAGERIA</t>
        </is>
      </c>
      <c r="B245" s="31" t="inlineStr">
        <is>
          <t>Bhageria Industries Limited</t>
        </is>
      </c>
      <c r="C245" s="31" t="inlineStr">
        <is>
          <t>chemicals</t>
        </is>
      </c>
      <c r="D245" s="31" t="inlineStr">
        <is>
          <t>dyes and pigments</t>
        </is>
      </c>
      <c r="E245" s="31" t="inlineStr">
        <is>
          <t>smallcap</t>
        </is>
      </c>
      <c r="F245" s="31" t="n">
        <v>944.46</v>
      </c>
      <c r="G245" s="31" t="n">
        <v>207.85</v>
      </c>
      <c r="H245" s="31" t="n">
        <v>-3.95</v>
      </c>
      <c r="I245" s="31" t="n">
        <v>133265</v>
      </c>
      <c r="J245" s="31" t="inlineStr">
        <is>
          <t>530803</t>
        </is>
      </c>
    </row>
    <row r="246">
      <c r="A246" s="31" t="inlineStr">
        <is>
          <t>JAYBARMARU</t>
        </is>
      </c>
      <c r="B246" s="31" t="inlineStr">
        <is>
          <t>Jay Bharat Maruti Limited</t>
        </is>
      </c>
      <c r="C246" s="31" t="inlineStr">
        <is>
          <t>auto</t>
        </is>
      </c>
      <c r="D246" s="31" t="inlineStr">
        <is>
          <t>auto ancillaries</t>
        </is>
      </c>
      <c r="E246" s="31" t="inlineStr">
        <is>
          <t>smallcap</t>
        </is>
      </c>
      <c r="F246" s="31" t="n">
        <v>1502.73</v>
      </c>
      <c r="G246" s="31" t="n">
        <v>133.17</v>
      </c>
      <c r="H246" s="31" t="n">
        <v>-4.07</v>
      </c>
      <c r="I246" s="31" t="n">
        <v>1208272</v>
      </c>
      <c r="J246" s="31" t="inlineStr">
        <is>
          <t>520066</t>
        </is>
      </c>
    </row>
    <row r="247">
      <c r="A247" s="31" t="inlineStr">
        <is>
          <t>ANTELOPUS</t>
        </is>
      </c>
      <c r="B247" s="31" t="inlineStr">
        <is>
          <t>Antelopus Selan Energy Ltd</t>
        </is>
      </c>
      <c r="C247" s="31" t="inlineStr">
        <is>
          <t>energy</t>
        </is>
      </c>
      <c r="D247" s="31" t="inlineStr">
        <is>
          <t>oil drilling / allied services</t>
        </is>
      </c>
      <c r="E247" s="31" t="inlineStr">
        <is>
          <t>smallcap</t>
        </is>
      </c>
      <c r="F247" s="31" t="n">
        <v>3002.34</v>
      </c>
      <c r="G247" s="31" t="n">
        <v>818.8</v>
      </c>
      <c r="H247" s="31" t="n">
        <v>-4.1</v>
      </c>
      <c r="I247" s="31" t="n">
        <v>144826</v>
      </c>
      <c r="J247" s="31" t="inlineStr">
        <is>
          <t>530075</t>
        </is>
      </c>
    </row>
    <row r="248">
      <c r="A248" s="31" t="inlineStr">
        <is>
          <t>ASIANENE</t>
        </is>
      </c>
      <c r="B248" s="31" t="inlineStr">
        <is>
          <t>Asian Energy Services Ltd</t>
        </is>
      </c>
      <c r="C248" s="31" t="inlineStr">
        <is>
          <t>energy</t>
        </is>
      </c>
      <c r="D248" s="31" t="inlineStr">
        <is>
          <t>oil drilling / allied services</t>
        </is>
      </c>
      <c r="E248" s="31" t="inlineStr">
        <is>
          <t>smallcap</t>
        </is>
      </c>
      <c r="F248" s="31" t="n">
        <v>1865.69</v>
      </c>
      <c r="G248" s="31" t="n">
        <v>368</v>
      </c>
      <c r="H248" s="31" t="n">
        <v>-4.12</v>
      </c>
      <c r="I248" s="31" t="n">
        <v>297703</v>
      </c>
      <c r="J248" s="31" t="inlineStr">
        <is>
          <t>530355</t>
        </is>
      </c>
    </row>
    <row r="249">
      <c r="A249" s="31" t="inlineStr">
        <is>
          <t>FCL</t>
        </is>
      </c>
      <c r="B249" s="31" t="inlineStr">
        <is>
          <t>Fineotex Chemical Limited</t>
        </is>
      </c>
      <c r="C249" s="31" t="inlineStr">
        <is>
          <t>chemicals</t>
        </is>
      </c>
      <c r="D249" s="31" t="inlineStr">
        <is>
          <t>chemicals</t>
        </is>
      </c>
      <c r="E249" s="31" t="inlineStr">
        <is>
          <t>smallcap</t>
        </is>
      </c>
      <c r="F249" s="31" t="n">
        <v>4641.7</v>
      </c>
      <c r="G249" s="31" t="n">
        <v>38.1</v>
      </c>
      <c r="H249" s="31" t="n">
        <v>-4.42</v>
      </c>
      <c r="I249" s="31" t="n">
        <v>18694898</v>
      </c>
      <c r="J249" s="31" t="inlineStr">
        <is>
          <t>533333</t>
        </is>
      </c>
    </row>
    <row r="250">
      <c r="A250" s="31" t="inlineStr">
        <is>
          <t>DATAPATTNS</t>
        </is>
      </c>
      <c r="B250" s="31" t="inlineStr">
        <is>
          <t>Data Patterns (India) Ltd</t>
        </is>
      </c>
      <c r="C250" s="31" t="inlineStr">
        <is>
          <t>aerospace &amp; defence</t>
        </is>
      </c>
      <c r="D250" s="31" t="inlineStr">
        <is>
          <t>electronics - components</t>
        </is>
      </c>
      <c r="E250" s="31" t="inlineStr">
        <is>
          <t>largecap</t>
        </is>
      </c>
      <c r="F250" s="31" t="n">
        <v>25520.29</v>
      </c>
      <c r="G250" s="31" t="n">
        <v>4353.8</v>
      </c>
      <c r="H250" s="31" t="n">
        <v>-4.49</v>
      </c>
      <c r="I250" s="31" t="n">
        <v>2525116</v>
      </c>
      <c r="J250" s="31" t="inlineStr">
        <is>
          <t>543428</t>
        </is>
      </c>
    </row>
    <row r="251">
      <c r="A251" s="31" t="inlineStr">
        <is>
          <t>KDDL</t>
        </is>
      </c>
      <c r="B251" s="31" t="inlineStr">
        <is>
          <t>Kddl Limited</t>
        </is>
      </c>
      <c r="C251" s="31" t="inlineStr">
        <is>
          <t>consumer discretionary</t>
        </is>
      </c>
      <c r="D251" s="31" t="inlineStr">
        <is>
          <t>miscellaneous</t>
        </is>
      </c>
      <c r="E251" s="31" t="inlineStr">
        <is>
          <t>smallcap</t>
        </is>
      </c>
      <c r="F251" s="31" t="n">
        <v>3707.13</v>
      </c>
      <c r="G251" s="31" t="n">
        <v>2868.8</v>
      </c>
      <c r="H251" s="31" t="n">
        <v>-4.82</v>
      </c>
      <c r="I251" s="31" t="n">
        <v>25022</v>
      </c>
      <c r="J251" s="31" t="inlineStr">
        <is>
          <t>532054</t>
        </is>
      </c>
    </row>
    <row r="252">
      <c r="A252" s="31" t="inlineStr">
        <is>
          <t>BALAMINES</t>
        </is>
      </c>
      <c r="B252" s="31" t="inlineStr">
        <is>
          <t>Balaji Amines Limited</t>
        </is>
      </c>
      <c r="C252" s="31" t="inlineStr">
        <is>
          <t>chemicals</t>
        </is>
      </c>
      <c r="D252" s="31" t="inlineStr">
        <is>
          <t>chemicals</t>
        </is>
      </c>
      <c r="E252" s="31" t="inlineStr">
        <is>
          <t>midcap</t>
        </is>
      </c>
      <c r="F252" s="31" t="n">
        <v>7264.63</v>
      </c>
      <c r="G252" s="31" t="n">
        <v>2131.1</v>
      </c>
      <c r="H252" s="31" t="n">
        <v>-4.95</v>
      </c>
      <c r="I252" s="31" t="n">
        <v>340226</v>
      </c>
      <c r="J252" s="31" t="inlineStr">
        <is>
          <t>530999</t>
        </is>
      </c>
    </row>
    <row r="253">
      <c r="A253" s="31" t="inlineStr">
        <is>
          <t>DEEDEV</t>
        </is>
      </c>
      <c r="B253" s="31" t="inlineStr">
        <is>
          <t>DEE Development Engineers Ltd</t>
        </is>
      </c>
      <c r="C253" s="31" t="inlineStr">
        <is>
          <t>metals &amp; mining</t>
        </is>
      </c>
      <c r="D253" s="31" t="inlineStr">
        <is>
          <t>steel - medium / small</t>
        </is>
      </c>
      <c r="E253" s="31" t="inlineStr">
        <is>
          <t>smallcap</t>
        </is>
      </c>
      <c r="F253" s="31" t="n">
        <v>4770.17</v>
      </c>
      <c r="G253" s="31" t="n">
        <v>654.3</v>
      </c>
      <c r="H253" s="31" t="n">
        <v>-4.99</v>
      </c>
      <c r="I253" s="31" t="n">
        <v>200815</v>
      </c>
      <c r="J253" s="31" t="n"/>
    </row>
    <row r="254">
      <c r="A254" s="31" t="inlineStr">
        <is>
          <t>MODISONLTD</t>
        </is>
      </c>
      <c r="B254" s="31" t="inlineStr">
        <is>
          <t>Modison Ltd</t>
        </is>
      </c>
      <c r="C254" s="31" t="inlineStr">
        <is>
          <t>industrials</t>
        </is>
      </c>
      <c r="D254" s="31" t="inlineStr">
        <is>
          <t>electric equipment</t>
        </is>
      </c>
      <c r="E254" s="31" t="inlineStr">
        <is>
          <t>smallcap</t>
        </is>
      </c>
      <c r="F254" s="31" t="n">
        <v>1062.41</v>
      </c>
      <c r="G254" s="31" t="n">
        <v>311.05</v>
      </c>
      <c r="H254" s="31" t="n">
        <v>-4.99</v>
      </c>
      <c r="I254" s="31" t="n">
        <v>37289</v>
      </c>
      <c r="J254" s="31" t="inlineStr">
        <is>
          <t>506261</t>
        </is>
      </c>
    </row>
    <row r="255">
      <c r="A255" s="31" t="inlineStr">
        <is>
          <t>HFCL</t>
        </is>
      </c>
      <c r="B255" s="31" t="inlineStr">
        <is>
          <t>HFCL Ltd</t>
        </is>
      </c>
      <c r="C255" s="31" t="inlineStr">
        <is>
          <t>telecom</t>
        </is>
      </c>
      <c r="D255" s="31" t="inlineStr">
        <is>
          <t>cables - telephone</t>
        </is>
      </c>
      <c r="E255" s="31" t="inlineStr">
        <is>
          <t>largecap</t>
        </is>
      </c>
      <c r="F255" s="31" t="n">
        <v>27246.25</v>
      </c>
      <c r="G255" s="31" t="n">
        <v>169.11</v>
      </c>
      <c r="H255" s="31" t="n">
        <v>-5</v>
      </c>
      <c r="I255" s="31" t="n">
        <v>15620529</v>
      </c>
      <c r="J255" s="31" t="inlineStr">
        <is>
          <t>500183</t>
        </is>
      </c>
    </row>
    <row r="256">
      <c r="A256" s="31" t="inlineStr">
        <is>
          <t>STLTECH</t>
        </is>
      </c>
      <c r="B256" s="31" t="inlineStr">
        <is>
          <t>Sterlite Technologies Limited</t>
        </is>
      </c>
      <c r="C256" s="31" t="inlineStr">
        <is>
          <t>industrials</t>
        </is>
      </c>
      <c r="D256" s="31" t="inlineStr">
        <is>
          <t>cables - telephone</t>
        </is>
      </c>
      <c r="E256" s="31" t="inlineStr">
        <is>
          <t>largecap</t>
        </is>
      </c>
      <c r="F256" s="31" t="n">
        <v>29922.52</v>
      </c>
      <c r="G256" s="31" t="n">
        <v>582.35</v>
      </c>
      <c r="H256" s="31" t="n">
        <v>-5</v>
      </c>
      <c r="I256" s="31" t="n">
        <v>2342640</v>
      </c>
      <c r="J256" s="31" t="inlineStr">
        <is>
          <t>532374</t>
        </is>
      </c>
    </row>
    <row r="257">
      <c r="A257" s="31" t="inlineStr">
        <is>
          <t>IDEAFORGE</t>
        </is>
      </c>
      <c r="B257" s="31" t="inlineStr">
        <is>
          <t>Ideaforge Technology Ltd</t>
        </is>
      </c>
      <c r="C257" s="31" t="inlineStr">
        <is>
          <t>aerospace &amp; defence</t>
        </is>
      </c>
      <c r="D257" s="31" t="inlineStr">
        <is>
          <t>engineering</t>
        </is>
      </c>
      <c r="E257" s="31" t="inlineStr">
        <is>
          <t>smallcap</t>
        </is>
      </c>
      <c r="F257" s="31" t="n">
        <v>4175.69</v>
      </c>
      <c r="G257" s="31" t="n">
        <v>916.7</v>
      </c>
      <c r="H257" s="31" t="n">
        <v>-5</v>
      </c>
      <c r="I257" s="31" t="n">
        <v>324588</v>
      </c>
      <c r="J257" s="31" t="inlineStr">
        <is>
          <t>543932</t>
        </is>
      </c>
    </row>
    <row r="258">
      <c r="A258" s="31" t="inlineStr">
        <is>
          <t>PREMEXPLN</t>
        </is>
      </c>
      <c r="B258" s="31" t="inlineStr">
        <is>
          <t>Premier Explosives Limited</t>
        </is>
      </c>
      <c r="C258" s="31" t="inlineStr">
        <is>
          <t>aerospace &amp; defence</t>
        </is>
      </c>
      <c r="D258" s="31" t="inlineStr">
        <is>
          <t>chemicals</t>
        </is>
      </c>
      <c r="E258" s="31" t="inlineStr">
        <is>
          <t>smallcap</t>
        </is>
      </c>
      <c r="F258" s="31" t="n">
        <v>3881.29</v>
      </c>
      <c r="G258" s="31" t="n">
        <v>685.5</v>
      </c>
      <c r="H258" s="31" t="n">
        <v>-5.05</v>
      </c>
      <c r="I258" s="31" t="n">
        <v>804515</v>
      </c>
      <c r="J258" s="31" t="inlineStr">
        <is>
          <t>526247</t>
        </is>
      </c>
    </row>
    <row r="259">
      <c r="A259" s="31" t="inlineStr">
        <is>
          <t>GUFICBIO</t>
        </is>
      </c>
      <c r="B259" s="31" t="inlineStr">
        <is>
          <t>Gufic Biosciences Limited</t>
        </is>
      </c>
      <c r="C259" s="31" t="inlineStr">
        <is>
          <t>healthcare</t>
        </is>
      </c>
      <c r="D259" s="31" t="inlineStr">
        <is>
          <t>pharmaceuticals - indian - bulk drugs &amp; formln</t>
        </is>
      </c>
      <c r="E259" s="31" t="inlineStr">
        <is>
          <t>smallcap</t>
        </is>
      </c>
      <c r="F259" s="31" t="n">
        <v>3878.93</v>
      </c>
      <c r="G259" s="31" t="n">
        <v>364.05</v>
      </c>
      <c r="H259" s="31" t="n">
        <v>-5.88</v>
      </c>
      <c r="I259" s="31" t="n">
        <v>135096</v>
      </c>
      <c r="J259" s="31" t="inlineStr">
        <is>
          <t>509079</t>
        </is>
      </c>
    </row>
    <row r="260">
      <c r="A260" s="31" t="inlineStr">
        <is>
          <t>PARACABLES</t>
        </is>
      </c>
      <c r="B260" s="31" t="inlineStr">
        <is>
          <t>Paramount Communications Limited</t>
        </is>
      </c>
      <c r="C260" s="31" t="inlineStr">
        <is>
          <t>industrials</t>
        </is>
      </c>
      <c r="D260" s="31" t="inlineStr">
        <is>
          <t>cables - power</t>
        </is>
      </c>
      <c r="E260" s="31" t="inlineStr">
        <is>
          <t>smallcap</t>
        </is>
      </c>
      <c r="F260" s="31" t="n">
        <v>2037.28</v>
      </c>
      <c r="G260" s="31" t="n">
        <v>62.66</v>
      </c>
      <c r="H260" s="31" t="n">
        <v>-6.13</v>
      </c>
      <c r="I260" s="31" t="n">
        <v>2713411</v>
      </c>
      <c r="J260" s="31" t="inlineStr">
        <is>
          <t>530555</t>
        </is>
      </c>
    </row>
    <row r="261">
      <c r="A261" s="31" t="inlineStr">
        <is>
          <t>AVALON</t>
        </is>
      </c>
      <c r="B261" s="31" t="inlineStr">
        <is>
          <t>Avalon Technologies Ltd</t>
        </is>
      </c>
      <c r="C261" s="31" t="inlineStr">
        <is>
          <t>consumer discretionary</t>
        </is>
      </c>
      <c r="D261" s="31" t="inlineStr">
        <is>
          <t>electronics - components</t>
        </is>
      </c>
      <c r="E261" s="31" t="inlineStr">
        <is>
          <t>midcap</t>
        </is>
      </c>
      <c r="F261" s="31" t="n">
        <v>10946.31</v>
      </c>
      <c r="G261" s="31" t="n">
        <v>1532.5</v>
      </c>
      <c r="H261" s="31" t="n">
        <v>-6.53</v>
      </c>
      <c r="I261" s="31" t="n">
        <v>428724</v>
      </c>
      <c r="J261" s="31" t="inlineStr">
        <is>
          <t>543896</t>
        </is>
      </c>
    </row>
    <row r="262">
      <c r="A262" s="31" t="inlineStr">
        <is>
          <t>IFCI</t>
        </is>
      </c>
      <c r="B262" s="31" t="inlineStr">
        <is>
          <t>Ifci Limited</t>
        </is>
      </c>
      <c r="C262" s="31" t="inlineStr">
        <is>
          <t>financials</t>
        </is>
      </c>
      <c r="D262" s="31" t="inlineStr">
        <is>
          <t>finance - term-lending institutions</t>
        </is>
      </c>
      <c r="E262" s="31" t="inlineStr">
        <is>
          <t>largecap</t>
        </is>
      </c>
      <c r="F262" s="31" t="n">
        <v>20765.08</v>
      </c>
      <c r="G262" s="31" t="n">
        <v>71.83</v>
      </c>
      <c r="H262" s="31" t="n">
        <v>-6.8</v>
      </c>
      <c r="I262" s="31" t="n">
        <v>35150395</v>
      </c>
      <c r="J262" s="31" t="inlineStr">
        <is>
          <t>500106</t>
        </is>
      </c>
    </row>
    <row r="263">
      <c r="A263" s="31" t="inlineStr">
        <is>
          <t>OCCLLTD</t>
        </is>
      </c>
      <c r="B263" s="31" t="inlineStr">
        <is>
          <t>OCCL Ltd</t>
        </is>
      </c>
      <c r="C263" s="31" t="inlineStr">
        <is>
          <t>chemicals</t>
        </is>
      </c>
      <c r="D263" s="31" t="inlineStr">
        <is>
          <t>chemicals</t>
        </is>
      </c>
      <c r="E263" s="31" t="inlineStr">
        <is>
          <t>smallcap</t>
        </is>
      </c>
      <c r="F263" s="31" t="n">
        <v>698.91</v>
      </c>
      <c r="G263" s="31" t="n">
        <v>128.44</v>
      </c>
      <c r="H263" s="31" t="n">
        <v>-8.199999999999999</v>
      </c>
      <c r="I263" s="31" t="n">
        <v>381003</v>
      </c>
      <c r="J263" s="31" t="inlineStr">
        <is>
          <t>544278</t>
        </is>
      </c>
    </row>
    <row r="264">
      <c r="A264" s="31" t="inlineStr">
        <is>
          <t>PANACEABIO</t>
        </is>
      </c>
      <c r="B264" s="31" t="inlineStr">
        <is>
          <t>Panacea Biotec Limited</t>
        </is>
      </c>
      <c r="C264" s="31" t="inlineStr">
        <is>
          <t>healthcare</t>
        </is>
      </c>
      <c r="D264" s="31" t="inlineStr">
        <is>
          <t>pharmaceuticals - indian - bulk drugs &amp; formln</t>
        </is>
      </c>
      <c r="E264" s="31" t="inlineStr">
        <is>
          <t>smallcap</t>
        </is>
      </c>
      <c r="F264" s="31" t="n">
        <v>3722.51</v>
      </c>
      <c r="G264" s="31" t="n">
        <v>547</v>
      </c>
      <c r="H264" s="31" t="n">
        <v>-10</v>
      </c>
      <c r="I264" s="31" t="n">
        <v>1922029</v>
      </c>
      <c r="J264" s="31" t="inlineStr">
        <is>
          <t>531349</t>
        </is>
      </c>
    </row>
  </sheetData>
  <autoFilter ref="A1:J2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IBULLSLTD</t>
        </is>
      </c>
      <c r="E2" s="31" t="inlineStr">
        <is>
          <t>Indiabulls Limited</t>
        </is>
      </c>
      <c r="F2" s="31" t="inlineStr">
        <is>
          <t>Diversified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22</v>
      </c>
      <c r="K2" s="31" t="n">
        <v>26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CUPID</t>
        </is>
      </c>
      <c r="E3" s="31" t="inlineStr">
        <is>
          <t>Cupid Limited</t>
        </is>
      </c>
      <c r="F3" s="31" t="inlineStr">
        <is>
          <t>Contraceptives/Protectives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20</v>
      </c>
      <c r="K3" s="31" t="n">
        <v>29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GAYAPROJ</t>
        </is>
      </c>
      <c r="E4" s="31" t="inlineStr">
        <is>
          <t>Gayatri Projects Limited</t>
        </is>
      </c>
      <c r="F4" s="31" t="inlineStr">
        <is>
          <t>Construction - Civil/Turnkey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19</v>
      </c>
      <c r="K4" s="31" t="n">
        <v>23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GVPIL</t>
        </is>
      </c>
      <c r="E5" s="31" t="inlineStr">
        <is>
          <t>GE Power India Ltd</t>
        </is>
      </c>
      <c r="F5" s="31" t="inlineStr">
        <is>
          <t>Infra - General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21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RATEGAIN</t>
        </is>
      </c>
      <c r="E6" s="31" t="inlineStr">
        <is>
          <t>Rategain Travel Technologies Ltd</t>
        </is>
      </c>
      <c r="F6" s="31" t="inlineStr">
        <is>
          <t>IT Product Companies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22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UNIPARTS</t>
        </is>
      </c>
      <c r="E7" s="31" t="inlineStr">
        <is>
          <t>Uniparts India Ltd</t>
        </is>
      </c>
      <c r="F7" s="31" t="inlineStr">
        <is>
          <t>Castings, Forgings &amp; Fastners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27</v>
      </c>
      <c r="K7" s="31" t="n">
        <v>29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MAYURUNIQ</t>
        </is>
      </c>
      <c r="E8" s="31" t="inlineStr">
        <is>
          <t>Mayur Uniquoters Ltd</t>
        </is>
      </c>
      <c r="F8" s="31" t="inlineStr">
        <is>
          <t>Plastics - Plastic &amp; Plastic Products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19</v>
      </c>
      <c r="K8" s="31" t="n">
        <v>30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HSCL</t>
        </is>
      </c>
      <c r="E9" s="31" t="inlineStr">
        <is>
          <t>Himadri Speciality Chemical Limited</t>
        </is>
      </c>
      <c r="F9" s="31" t="inlineStr">
        <is>
          <t>Carbon Black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18</v>
      </c>
      <c r="K9" s="31" t="n">
        <v>27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CEMPRO</t>
        </is>
      </c>
      <c r="E10" s="31" t="inlineStr">
        <is>
          <t>Cemindia Projects Ltd</t>
        </is>
      </c>
      <c r="F10" s="31" t="inlineStr">
        <is>
          <t>Infra - Construction &amp; Contracting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20</v>
      </c>
      <c r="K10" s="31" t="n">
        <v>30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SIGMAADV</t>
        </is>
      </c>
      <c r="E11" s="31" t="inlineStr">
        <is>
          <t>Sigma Advanced System Ltd</t>
        </is>
      </c>
      <c r="F11" s="31" t="inlineStr">
        <is>
          <t>Aerospace &amp; Defence - Equipments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30</v>
      </c>
      <c r="K11" s="31" t="n">
        <v>30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KERNEX</t>
        </is>
      </c>
      <c r="E12" s="31" t="inlineStr">
        <is>
          <t>Kernex Microsystems (india) Limited</t>
        </is>
      </c>
      <c r="F12" s="31" t="inlineStr">
        <is>
          <t>Railways - Kavach/Springs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25</v>
      </c>
      <c r="K12" s="31" t="n">
        <v>26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MINDACORP</t>
        </is>
      </c>
      <c r="E13" s="31" t="inlineStr">
        <is>
          <t>Minda Corporation Limited</t>
        </is>
      </c>
      <c r="F13" s="31" t="inlineStr">
        <is>
          <t>Auto Ancillaries - Diversified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25</v>
      </c>
      <c r="K13" s="31" t="n">
        <v>18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SANDHAR</t>
        </is>
      </c>
      <c r="E14" s="31" t="inlineStr">
        <is>
          <t>Sandhar Technologies Limited</t>
        </is>
      </c>
      <c r="F14" s="31" t="inlineStr">
        <is>
          <t>Auto Ancillaries - 2&amp;3 Wheelers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21</v>
      </c>
      <c r="K14" s="31" t="n">
        <v>24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SATIN</t>
        </is>
      </c>
      <c r="E15" s="31" t="inlineStr">
        <is>
          <t>Satin Creditcare Network Limited</t>
        </is>
      </c>
      <c r="F15" s="31" t="inlineStr">
        <is>
          <t>Finance &amp; Investments - Microfinance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23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MAHABANK</t>
        </is>
      </c>
      <c r="E16" s="31" t="inlineStr">
        <is>
          <t>Bank Of Maharashtra Ltd</t>
        </is>
      </c>
      <c r="F16" s="31" t="inlineStr">
        <is>
          <t>Banks - PSU</t>
        </is>
      </c>
      <c r="G16" s="31" t="n">
        <v>2</v>
      </c>
      <c r="H16" s="31" t="inlineStr">
        <is>
          <t>52W Breakout</t>
        </is>
      </c>
      <c r="I16" s="31" t="inlineStr">
        <is>
          <t>Yes</t>
        </is>
      </c>
      <c r="J16" s="31" t="n">
        <v>16</v>
      </c>
      <c r="K16" s="31" t="n">
        <v>13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BAJAJCON</t>
        </is>
      </c>
      <c r="E17" s="31" t="inlineStr">
        <is>
          <t>Bajaj Consumer Care Ltd</t>
        </is>
      </c>
      <c r="F17" s="31" t="inlineStr">
        <is>
          <t>FMCG - Personal Care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24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VENUSREM</t>
        </is>
      </c>
      <c r="E18" s="31" t="inlineStr">
        <is>
          <t>Venus Remedies Limited</t>
        </is>
      </c>
      <c r="F18" s="31" t="inlineStr">
        <is>
          <t>Pharmaceuticals - I V Fluids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26</v>
      </c>
      <c r="K18" s="31" t="n">
        <v>22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BLISSGVS</t>
        </is>
      </c>
      <c r="E19" s="31" t="inlineStr">
        <is>
          <t>Bliss Gvs Pharma Limited</t>
        </is>
      </c>
      <c r="F19" s="31" t="inlineStr">
        <is>
          <t>Pharma - Formulators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22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STYLAMIND</t>
        </is>
      </c>
      <c r="E20" s="31" t="inlineStr">
        <is>
          <t>Stylam Industries Ltd</t>
        </is>
      </c>
      <c r="F20" s="31" t="inlineStr">
        <is>
          <t>Plywood Boards/Laminates</t>
        </is>
      </c>
      <c r="G20" s="31" t="n">
        <v>2</v>
      </c>
      <c r="H20" s="31" t="inlineStr">
        <is>
          <t>52W Breakout</t>
        </is>
      </c>
      <c r="I20" s="31" t="inlineStr">
        <is>
          <t>Yes</t>
        </is>
      </c>
      <c r="J20" s="31" t="n">
        <v>13</v>
      </c>
      <c r="K20" s="31" t="n">
        <v>30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ATHERENERG</t>
        </is>
      </c>
      <c r="E21" s="31" t="inlineStr">
        <is>
          <t>Ather Energy Ltd</t>
        </is>
      </c>
      <c r="F21" s="31" t="inlineStr">
        <is>
          <t>Auto - 2 &amp; 3 Wheelers</t>
        </is>
      </c>
      <c r="G21" s="31" t="n">
        <v>2</v>
      </c>
      <c r="H21" s="31" t="inlineStr">
        <is>
          <t>52W Breakout</t>
        </is>
      </c>
      <c r="I21" s="31" t="inlineStr">
        <is>
          <t>Yes</t>
        </is>
      </c>
      <c r="J21" s="31" t="n">
        <v>17</v>
      </c>
      <c r="K21" s="31" t="n">
        <v>22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PGHL</t>
        </is>
      </c>
      <c r="E22" s="31" t="inlineStr">
        <is>
          <t>Procter &amp; Gamble Health Ltd</t>
        </is>
      </c>
      <c r="F22" s="31" t="inlineStr">
        <is>
          <t>Pharma - MNC bulk Drugs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21</v>
      </c>
      <c r="K22" s="31" t="n">
        <v>19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CARYSIL</t>
        </is>
      </c>
      <c r="E23" s="31" t="inlineStr">
        <is>
          <t>Carysil Ltd</t>
        </is>
      </c>
      <c r="F23" s="31" t="inlineStr">
        <is>
          <t>Building Material USA</t>
        </is>
      </c>
      <c r="G23" s="31" t="n">
        <v>2</v>
      </c>
      <c r="H23" s="31" t="inlineStr">
        <is>
          <t>52W Breakout</t>
        </is>
      </c>
      <c r="I23" s="31" t="inlineStr">
        <is>
          <t>Yes</t>
        </is>
      </c>
      <c r="J23" s="31" t="n">
        <v>14</v>
      </c>
      <c r="K23" s="31" t="n">
        <v>26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SJS</t>
        </is>
      </c>
      <c r="E24" s="31" t="inlineStr">
        <is>
          <t>S J S Enterprises Ltd</t>
        </is>
      </c>
      <c r="F24" s="31" t="inlineStr">
        <is>
          <t>unknown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0</v>
      </c>
      <c r="K24" s="31" t="n">
        <v>28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SAKAR</t>
        </is>
      </c>
      <c r="E25" s="31" t="inlineStr">
        <is>
          <t>Sakar Healthcare Ltd</t>
        </is>
      </c>
      <c r="F25" s="31" t="inlineStr">
        <is>
          <t>Hospitals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19</v>
      </c>
      <c r="K25" s="31" t="n">
        <v>23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ACUTAAS</t>
        </is>
      </c>
      <c r="E26" s="31" t="inlineStr">
        <is>
          <t>Acutaas Chemicals Ltd</t>
        </is>
      </c>
      <c r="F26" s="31" t="inlineStr">
        <is>
          <t>Pharma - API &amp; CRAMS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25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AVALON</t>
        </is>
      </c>
      <c r="E27" s="31" t="inlineStr">
        <is>
          <t>Avalon Technologies Ltd</t>
        </is>
      </c>
      <c r="F27" s="31" t="inlineStr">
        <is>
          <t>Consumer Electronics - EMS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20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SYRMA</t>
        </is>
      </c>
      <c r="E28" s="31" t="inlineStr">
        <is>
          <t>Syrma SGS Technology Ltd</t>
        </is>
      </c>
      <c r="F28" s="31" t="inlineStr">
        <is>
          <t>Consumer Electronics - EMS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21</v>
      </c>
      <c r="K28" s="31" t="n">
        <v>27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ABSLAMC</t>
        </is>
      </c>
      <c r="E29" s="31" t="inlineStr">
        <is>
          <t>Aditya Birla Sun Life AMC Ltd</t>
        </is>
      </c>
      <c r="F29" s="31" t="inlineStr">
        <is>
          <t>Finance - AMC</t>
        </is>
      </c>
      <c r="G29" s="31" t="n">
        <v>2</v>
      </c>
      <c r="H29" s="31" t="inlineStr">
        <is>
          <t>52W Breakout</t>
        </is>
      </c>
      <c r="I29" s="31" t="inlineStr">
        <is>
          <t>Yes</t>
        </is>
      </c>
      <c r="J29" s="31" t="n">
        <v>10</v>
      </c>
      <c r="K29" s="31" t="n">
        <v>11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NGLFINE</t>
        </is>
      </c>
      <c r="E30" s="31" t="inlineStr">
        <is>
          <t>NGL Fine Chem Ltd</t>
        </is>
      </c>
      <c r="F30" s="31" t="inlineStr">
        <is>
          <t>Pharma - Animal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22</v>
      </c>
      <c r="K30" s="31" t="n">
        <v>21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THANGAMAYL</t>
        </is>
      </c>
      <c r="E31" s="31" t="inlineStr">
        <is>
          <t>Thangamayil Jewellery Limited</t>
        </is>
      </c>
      <c r="F31" s="31" t="inlineStr">
        <is>
          <t>Diamond, Gems &amp; Jewellery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32</v>
      </c>
      <c r="K31" s="31" t="n">
        <v>16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MODISONLTD</t>
        </is>
      </c>
      <c r="E32" s="31" t="inlineStr">
        <is>
          <t>Modison Ltd</t>
        </is>
      </c>
      <c r="F32" s="31" t="inlineStr">
        <is>
          <t>Capital Goods - Electric General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26</v>
      </c>
      <c r="K32" s="31" t="n">
        <v>29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SANSERA</t>
        </is>
      </c>
      <c r="E33" s="31" t="inlineStr">
        <is>
          <t>Sansera Engineering Ltd</t>
        </is>
      </c>
      <c r="F33" s="31" t="inlineStr">
        <is>
          <t>Auto Ancillaries - Diversified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17</v>
      </c>
      <c r="K33" s="31" t="n">
        <v>24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ASTERDM</t>
        </is>
      </c>
      <c r="E34" s="31" t="inlineStr">
        <is>
          <t>Aster DM Healthcare Ltd</t>
        </is>
      </c>
      <c r="F34" s="31" t="inlineStr">
        <is>
          <t>Hospitals</t>
        </is>
      </c>
      <c r="G34" s="31" t="n">
        <v>2</v>
      </c>
      <c r="H34" s="31" t="inlineStr">
        <is>
          <t>52W Breakout</t>
        </is>
      </c>
      <c r="I34" s="31" t="inlineStr">
        <is>
          <t>Yes</t>
        </is>
      </c>
      <c r="J34" s="31" t="n">
        <v>13</v>
      </c>
      <c r="K34" s="31" t="n">
        <v>21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SUPRIYA</t>
        </is>
      </c>
      <c r="E35" s="31" t="inlineStr">
        <is>
          <t>Supriya Lifescience Ltd</t>
        </is>
      </c>
      <c r="F35" s="31" t="inlineStr">
        <is>
          <t>Pharma - API &amp; CRAMS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24</v>
      </c>
      <c r="K35" s="31" t="n">
        <v>27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SHILPAMED</t>
        </is>
      </c>
      <c r="E36" s="31" t="inlineStr">
        <is>
          <t>Shilpa Medicare Limited</t>
        </is>
      </c>
      <c r="F36" s="31" t="inlineStr">
        <is>
          <t>Pharma - API &amp; CRAMS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21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SIS</t>
        </is>
      </c>
      <c r="E37" s="31" t="inlineStr">
        <is>
          <t>Security &amp; Intelligence Services India</t>
        </is>
      </c>
      <c r="F37" s="31" t="inlineStr">
        <is>
          <t>Facility Management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21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IDEAFORGE</t>
        </is>
      </c>
      <c r="E38" s="31" t="inlineStr">
        <is>
          <t>Ideaforge Technology Ltd</t>
        </is>
      </c>
      <c r="F38" s="31" t="inlineStr">
        <is>
          <t>Aerospace &amp; Defence - Equipments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17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PARAS</t>
        </is>
      </c>
      <c r="E39" s="31" t="inlineStr">
        <is>
          <t>Paras Defence and Space Technologies Ltd</t>
        </is>
      </c>
      <c r="F39" s="31" t="inlineStr">
        <is>
          <t>Aerospace &amp; Defence - Equipments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23</v>
      </c>
      <c r="K39" s="31" t="n">
        <v>21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WHEELS</t>
        </is>
      </c>
      <c r="E40" s="31" t="inlineStr">
        <is>
          <t>Wheels India Limited</t>
        </is>
      </c>
      <c r="F40" s="31" t="inlineStr">
        <is>
          <t>Auto Ancillaries - Wheels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21</v>
      </c>
      <c r="K40" s="31" t="n">
        <v>29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RAIN</t>
        </is>
      </c>
      <c r="E41" s="31" t="inlineStr">
        <is>
          <t>Rain Industries Limited</t>
        </is>
      </c>
      <c r="F41" s="31" t="inlineStr">
        <is>
          <t>Cement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19</v>
      </c>
      <c r="K41" s="31" t="n">
        <v>28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ASTRAMICRO</t>
        </is>
      </c>
      <c r="E42" s="31" t="inlineStr">
        <is>
          <t>Astra Microwave Products Limited</t>
        </is>
      </c>
      <c r="F42" s="31" t="inlineStr">
        <is>
          <t>Aerospace &amp; Defence - Equipments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18</v>
      </c>
      <c r="K42" s="31" t="n">
        <v>27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NRBBEARING</t>
        </is>
      </c>
      <c r="E43" s="31" t="inlineStr">
        <is>
          <t>Nrb Bearing Limited</t>
        </is>
      </c>
      <c r="F43" s="31" t="inlineStr">
        <is>
          <t>Bearings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PAISALO</t>
        </is>
      </c>
      <c r="E44" s="31" t="inlineStr">
        <is>
          <t>Paisalo Digital Ltd</t>
        </is>
      </c>
      <c r="F44" s="31" t="inlineStr">
        <is>
          <t>Finance - Capital Markets - Brokers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24</v>
      </c>
      <c r="K44" s="31" t="n">
        <v>28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PANACEABIO</t>
        </is>
      </c>
      <c r="E45" s="31" t="inlineStr">
        <is>
          <t>Panacea Biotec Limited</t>
        </is>
      </c>
      <c r="F45" s="31" t="inlineStr">
        <is>
          <t>Pharma - Others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19</v>
      </c>
      <c r="K45" s="31" t="n">
        <v>7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MARKSANS</t>
        </is>
      </c>
      <c r="E46" s="31" t="inlineStr">
        <is>
          <t>Marksans Pharma Limited</t>
        </is>
      </c>
      <c r="F46" s="31" t="inlineStr">
        <is>
          <t>Pharma - Formulators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22</v>
      </c>
      <c r="K46" s="31" t="n">
        <v>20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SENORES</t>
        </is>
      </c>
      <c r="E47" s="31" t="inlineStr">
        <is>
          <t>Senores Pharmaceuticals Ltd</t>
        </is>
      </c>
      <c r="F47" s="31" t="inlineStr">
        <is>
          <t>Pharma - API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22</v>
      </c>
      <c r="K47" s="31" t="n">
        <v>23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SKMEGGPROD</t>
        </is>
      </c>
      <c r="E48" s="31" t="inlineStr">
        <is>
          <t>Skm Egg Products Export (india) Limited</t>
        </is>
      </c>
      <c r="F48" s="31" t="inlineStr">
        <is>
          <t>FMCG - Animal/Polutry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28</v>
      </c>
      <c r="K48" s="31" t="n">
        <v>18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RRKABEL</t>
        </is>
      </c>
      <c r="E49" s="31" t="inlineStr">
        <is>
          <t>R R Kabel Ltd</t>
        </is>
      </c>
      <c r="F49" s="31" t="inlineStr">
        <is>
          <t>Cables - Power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24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RPEL</t>
        </is>
      </c>
      <c r="E50" s="31" t="inlineStr">
        <is>
          <t>Raghav Productivity Enhancers Ltd</t>
        </is>
      </c>
      <c r="F50" s="31" t="inlineStr">
        <is>
          <t>Steel Products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23</v>
      </c>
      <c r="K50" s="31" t="n">
        <v>22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VADILALIND</t>
        </is>
      </c>
      <c r="E51" s="31" t="inlineStr">
        <is>
          <t>Vadilal Industries Limited</t>
        </is>
      </c>
      <c r="F51" s="31" t="inlineStr">
        <is>
          <t>FMCG - Dairy Products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30</v>
      </c>
      <c r="K51" s="31" t="n">
        <v>10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VIYASH</t>
        </is>
      </c>
      <c r="E52" s="31" t="inlineStr">
        <is>
          <t>Viyash Scientific Ltd</t>
        </is>
      </c>
      <c r="F52" s="31" t="inlineStr">
        <is>
          <t>Pharma - Animal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20</v>
      </c>
      <c r="K52" s="31" t="n">
        <v>29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APOLLO</t>
        </is>
      </c>
      <c r="E53" s="31" t="inlineStr">
        <is>
          <t>Apollo Micro Systems Ltd</t>
        </is>
      </c>
      <c r="F53" s="31" t="inlineStr">
        <is>
          <t>Aerospace &amp; Defence - Equipments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21</v>
      </c>
      <c r="K53" s="31" t="n">
        <v>30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CRAFTSMAN</t>
        </is>
      </c>
      <c r="E54" s="31" t="inlineStr">
        <is>
          <t>Craftsman Automation Ltd</t>
        </is>
      </c>
      <c r="F54" s="31" t="inlineStr">
        <is>
          <t>Auto &amp; Auto Ancl - CV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20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PSPPROJECT</t>
        </is>
      </c>
      <c r="E55" s="31" t="inlineStr">
        <is>
          <t>PSP Projects Ltd</t>
        </is>
      </c>
      <c r="F55" s="31" t="inlineStr">
        <is>
          <t>Construction &amp; Contracting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22</v>
      </c>
      <c r="K55" s="31" t="n">
        <v>18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SKIPPER</t>
        </is>
      </c>
      <c r="E56" s="31" t="inlineStr">
        <is>
          <t>Skipper Limited</t>
        </is>
      </c>
      <c r="F56" s="31" t="inlineStr">
        <is>
          <t>Electrical Equipments/HVDC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27</v>
      </c>
      <c r="K56" s="31" t="n">
        <v>19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HONASA</t>
        </is>
      </c>
      <c r="E57" s="31" t="inlineStr">
        <is>
          <t>Honasa Consumer Ltd</t>
        </is>
      </c>
      <c r="F57" s="31" t="inlineStr">
        <is>
          <t>New age - Platform - E-Retail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18</v>
      </c>
      <c r="K57" s="31" t="n">
        <v>30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KIRLPNU</t>
        </is>
      </c>
      <c r="E58" s="31" t="inlineStr">
        <is>
          <t>Kirloskar Pneumatic Company Ltd</t>
        </is>
      </c>
      <c r="F58" s="31" t="inlineStr">
        <is>
          <t>Compressors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19</v>
      </c>
      <c r="K58" s="31" t="n">
        <v>29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RUBYMILLS</t>
        </is>
      </c>
      <c r="E59" s="31" t="inlineStr">
        <is>
          <t>The Ruby Mills Limited</t>
        </is>
      </c>
      <c r="F59" s="31" t="inlineStr">
        <is>
          <t>Textiles - Composite Mills</t>
        </is>
      </c>
      <c r="G59" s="31" t="n">
        <v>2</v>
      </c>
      <c r="H59" s="31" t="inlineStr">
        <is>
          <t>52W Breakout</t>
        </is>
      </c>
      <c r="I59" s="31" t="inlineStr">
        <is>
          <t>Yes</t>
        </is>
      </c>
      <c r="J59" s="31" t="n">
        <v>15</v>
      </c>
      <c r="K59" s="31" t="n">
        <v>20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SASKEN</t>
        </is>
      </c>
      <c r="E60" s="31" t="inlineStr">
        <is>
          <t>Sasken Communication Technologies Limited</t>
        </is>
      </c>
      <c r="F60" s="31" t="inlineStr">
        <is>
          <t>IT - Software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20</v>
      </c>
      <c r="K60" s="31" t="n">
        <v>30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DIACABS</t>
        </is>
      </c>
      <c r="E61" s="31" t="inlineStr">
        <is>
          <t>Diamond Power Infrastructure Ltd</t>
        </is>
      </c>
      <c r="F61" s="31" t="inlineStr">
        <is>
          <t>Cables - Power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22</v>
      </c>
      <c r="K61" s="31" t="n">
        <v>29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PREMIERENE</t>
        </is>
      </c>
      <c r="E62" s="31" t="inlineStr">
        <is>
          <t>Premier Energies Ltd</t>
        </is>
      </c>
      <c r="F62" s="31" t="inlineStr">
        <is>
          <t>Capital Goods - Solar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18</v>
      </c>
      <c r="K62" s="31" t="n">
        <v>21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AEROFLEX</t>
        </is>
      </c>
      <c r="E63" s="31" t="inlineStr">
        <is>
          <t>Aeroflex Industries Ltd</t>
        </is>
      </c>
      <c r="F63" s="31" t="inlineStr">
        <is>
          <t>Stainless Steel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18</v>
      </c>
      <c r="K63" s="31" t="n">
        <v>26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INOXINDIA</t>
        </is>
      </c>
      <c r="E64" s="31" t="inlineStr">
        <is>
          <t>Inox India Ltd</t>
        </is>
      </c>
      <c r="F64" s="31" t="inlineStr">
        <is>
          <t>Industrial Gas</t>
        </is>
      </c>
      <c r="G64" s="31" t="n">
        <v>2</v>
      </c>
      <c r="H64" s="31" t="inlineStr">
        <is>
          <t>52W Breakout</t>
        </is>
      </c>
      <c r="I64" s="31" t="inlineStr">
        <is>
          <t>Yes</t>
        </is>
      </c>
      <c r="J64" s="31" t="n">
        <v>17</v>
      </c>
      <c r="K64" s="31" t="n">
        <v>16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APARINDS</t>
        </is>
      </c>
      <c r="E65" s="31" t="inlineStr">
        <is>
          <t>Apar Industries Limited</t>
        </is>
      </c>
      <c r="F65" s="31" t="inlineStr">
        <is>
          <t>Cables - Power</t>
        </is>
      </c>
      <c r="G65" s="31" t="n">
        <v>2</v>
      </c>
      <c r="H65" s="31" t="inlineStr">
        <is>
          <t>52W Breakout</t>
        </is>
      </c>
      <c r="I65" s="31" t="inlineStr">
        <is>
          <t>Yes</t>
        </is>
      </c>
      <c r="J65" s="31" t="n">
        <v>8</v>
      </c>
      <c r="K65" s="31" t="n">
        <v>29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GUFICBIO</t>
        </is>
      </c>
      <c r="E66" s="31" t="inlineStr">
        <is>
          <t>Gufic Biosciences Limited</t>
        </is>
      </c>
      <c r="F66" s="31" t="inlineStr">
        <is>
          <t>Pharma - Formulators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18</v>
      </c>
      <c r="K66" s="31" t="n">
        <v>13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SOTL</t>
        </is>
      </c>
      <c r="E67" s="31" t="inlineStr">
        <is>
          <t>Savita Oil Technologies Limited</t>
        </is>
      </c>
      <c r="F67" s="31" t="inlineStr">
        <is>
          <t>Petrochem - Others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25</v>
      </c>
      <c r="K67" s="31" t="n">
        <v>30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JAYBARMARU</t>
        </is>
      </c>
      <c r="E68" s="31" t="inlineStr">
        <is>
          <t>Jay Bharat Maruti Limited</t>
        </is>
      </c>
      <c r="F68" s="31" t="inlineStr">
        <is>
          <t>Auto Ancillaries - Diversified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23</v>
      </c>
      <c r="K68" s="31" t="n">
        <v>22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JNKINDIA</t>
        </is>
      </c>
      <c r="E69" s="31" t="inlineStr">
        <is>
          <t>JNK India Ltd</t>
        </is>
      </c>
      <c r="F69" s="31" t="inlineStr">
        <is>
          <t>Capital Goods - Engineering Heavy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33</v>
      </c>
      <c r="K69" s="31" t="n">
        <v>24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BHAGYANGR</t>
        </is>
      </c>
      <c r="E70" s="31" t="inlineStr">
        <is>
          <t>Bhagyanagar India</t>
        </is>
      </c>
      <c r="F70" s="31" t="inlineStr">
        <is>
          <t>Recycling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20</v>
      </c>
      <c r="K70" s="31" t="n">
        <v>23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SPECTRUM</t>
        </is>
      </c>
      <c r="E71" s="31" t="inlineStr">
        <is>
          <t>Spectrum Electrical Industries Ltd</t>
        </is>
      </c>
      <c r="F71" s="31" t="inlineStr">
        <is>
          <t>unknown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0</v>
      </c>
      <c r="K71" s="31" t="n">
        <v>16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HFCL</t>
        </is>
      </c>
      <c r="E72" s="31" t="inlineStr">
        <is>
          <t>HFCL Ltd</t>
        </is>
      </c>
      <c r="F72" s="31" t="inlineStr">
        <is>
          <t>unknown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0</v>
      </c>
      <c r="K72" s="31" t="n">
        <v>30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SFL</t>
        </is>
      </c>
      <c r="E73" s="31" t="inlineStr">
        <is>
          <t>Sheela Foam Limited</t>
        </is>
      </c>
      <c r="F73" s="31" t="inlineStr">
        <is>
          <t>Mattress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20</v>
      </c>
      <c r="K73" s="31" t="n">
        <v>12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PREMEXPLN</t>
        </is>
      </c>
      <c r="E74" s="31" t="inlineStr">
        <is>
          <t>Premier Explosives Limited</t>
        </is>
      </c>
      <c r="F74" s="31" t="inlineStr">
        <is>
          <t>Industrial Explosives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18</v>
      </c>
      <c r="K74" s="31" t="n">
        <v>23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SHYAMMETL</t>
        </is>
      </c>
      <c r="E75" s="31" t="inlineStr">
        <is>
          <t>Shyam Metalics &amp; Energy Ltd</t>
        </is>
      </c>
      <c r="F75" s="31" t="inlineStr">
        <is>
          <t>Steel Products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20</v>
      </c>
      <c r="K75" s="31" t="n">
        <v>26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FCL</t>
        </is>
      </c>
      <c r="E76" s="31" t="inlineStr">
        <is>
          <t>Fineotex Chemical Limited</t>
        </is>
      </c>
      <c r="F76" s="31" t="inlineStr">
        <is>
          <t>Speciality Chemicals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21</v>
      </c>
      <c r="K76" s="31" t="n">
        <v>22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PTCIL</t>
        </is>
      </c>
      <c r="E77" s="31" t="inlineStr">
        <is>
          <t>PTC Industries Ltd</t>
        </is>
      </c>
      <c r="F77" s="31" t="inlineStr">
        <is>
          <t>Castings - Steel/Alloy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23</v>
      </c>
      <c r="K77" s="31" t="n">
        <v>16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ASIANENE</t>
        </is>
      </c>
      <c r="E78" s="31" t="inlineStr">
        <is>
          <t>Asian Energy Services Ltd</t>
        </is>
      </c>
      <c r="F78" s="31" t="inlineStr">
        <is>
          <t>Oil Drilling &amp; Exploration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18</v>
      </c>
      <c r="K78" s="31" t="n">
        <v>22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PANAMAPET</t>
        </is>
      </c>
      <c r="E79" s="31" t="inlineStr">
        <is>
          <t>Panama Petrochem Limited</t>
        </is>
      </c>
      <c r="F79" s="31" t="inlineStr">
        <is>
          <t>Speciality Chemicals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24</v>
      </c>
      <c r="K79" s="31" t="n">
        <v>17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SILVERTUC</t>
        </is>
      </c>
      <c r="E80" s="31" t="inlineStr">
        <is>
          <t>Silver Touch Technologies Ltd</t>
        </is>
      </c>
      <c r="F80" s="31" t="inlineStr">
        <is>
          <t>IT - Software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19</v>
      </c>
      <c r="K80" s="31" t="n">
        <v>20</v>
      </c>
    </row>
  </sheetData>
  <autoFilter ref="A1:K80"/>
  <conditionalFormatting sqref="G2:G8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0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3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IF(B2=0,"",RANK(B2,$B$2:$B$239,0))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 - medium / small</t>
        </is>
      </c>
      <c r="G2" s="31" t="inlineStr">
        <is>
          <t>midcap</t>
        </is>
      </c>
      <c r="H2" s="32" t="n">
        <v>5687.76</v>
      </c>
      <c r="I2" s="32" t="n">
        <v>24.68</v>
      </c>
      <c r="J2" s="32" t="n">
        <v>0.86</v>
      </c>
      <c r="K2" s="32" t="n">
        <v>5472011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73.90000000000001</v>
      </c>
      <c r="P2" s="32" t="n">
        <v>35.6</v>
      </c>
      <c r="Q2" s="32" t="n">
        <v>17.44</v>
      </c>
      <c r="R2" s="31" t="inlineStr">
        <is>
          <t>Near 52W High Breakout</t>
        </is>
      </c>
      <c r="S2" s="31" t="inlineStr">
        <is>
          <t>Nifty 50</t>
        </is>
      </c>
      <c r="T2" s="32" t="n">
        <v>-6.08</v>
      </c>
      <c r="U2" s="32" t="n">
        <v>33.77</v>
      </c>
      <c r="V2" s="32" t="n">
        <v>42.43</v>
      </c>
      <c r="W2" s="32" t="n">
        <v>52.26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Between 50% to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IF(B3=0,"",RANK(B3,$B$2:$B$239,0))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MBAPL</t>
        </is>
      </c>
      <c r="D3" s="31" t="inlineStr">
        <is>
          <t>Madhya Bharat Agro Products Ltd</t>
        </is>
      </c>
      <c r="E3" s="31" t="inlineStr">
        <is>
          <t>chemicals</t>
        </is>
      </c>
      <c r="F3" s="31" t="inlineStr">
        <is>
          <t>fertilizers</t>
        </is>
      </c>
      <c r="G3" s="31" t="inlineStr">
        <is>
          <t>smallcap</t>
        </is>
      </c>
      <c r="H3" s="32" t="n">
        <v>4853.66</v>
      </c>
      <c r="I3" s="32" t="n">
        <v>556.9</v>
      </c>
      <c r="J3" s="32" t="n">
        <v>0.54</v>
      </c>
      <c r="K3" s="32" t="n">
        <v>151935</v>
      </c>
      <c r="L3" s="31" t="n">
        <v>51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66.45999999999999</v>
      </c>
      <c r="P3" s="32" t="n">
        <v>46.62</v>
      </c>
      <c r="Q3" s="32" t="n">
        <v>457.95</v>
      </c>
      <c r="R3" s="31" t="inlineStr">
        <is>
          <t>Near 52W High Breakout</t>
        </is>
      </c>
      <c r="S3" s="31" t="inlineStr">
        <is>
          <t>Nifty 50</t>
        </is>
      </c>
      <c r="T3" s="32" t="n">
        <v>-6.08</v>
      </c>
      <c r="U3" s="32" t="n">
        <v>59.96</v>
      </c>
      <c r="V3" s="32" t="n">
        <v>70.31999999999999</v>
      </c>
      <c r="W3" s="32" t="n">
        <v>15.32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IF(B4=0,"",RANK(B4,$B$2:$B$239,0))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BAJAJCON</t>
        </is>
      </c>
      <c r="D4" s="31" t="inlineStr">
        <is>
          <t>Bajaj Consumer Care Ltd</t>
        </is>
      </c>
      <c r="E4" s="31" t="inlineStr">
        <is>
          <t>fmcg</t>
        </is>
      </c>
      <c r="F4" s="31" t="inlineStr">
        <is>
          <t>personal care - indian</t>
        </is>
      </c>
      <c r="G4" s="31" t="inlineStr">
        <is>
          <t>midcap</t>
        </is>
      </c>
      <c r="H4" s="32" t="n">
        <v>7604.6</v>
      </c>
      <c r="I4" s="32" t="n">
        <v>562.8</v>
      </c>
      <c r="J4" s="32" t="n">
        <v>-3.33</v>
      </c>
      <c r="K4" s="32" t="n">
        <v>635027</v>
      </c>
      <c r="L4" s="31" t="n">
        <v>92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75.16</v>
      </c>
      <c r="P4" s="32" t="n">
        <v>53.13</v>
      </c>
      <c r="Q4" s="32" t="n">
        <v>440.45</v>
      </c>
      <c r="R4" s="31" t="inlineStr">
        <is>
          <t>Near 52W High Breakout</t>
        </is>
      </c>
      <c r="S4" s="31" t="inlineStr">
        <is>
          <t>Nifty FMCG</t>
        </is>
      </c>
      <c r="T4" s="32" t="n">
        <v>-10.22</v>
      </c>
      <c r="U4" s="32" t="n">
        <v>217.32</v>
      </c>
      <c r="V4" s="32" t="n">
        <v>253.42</v>
      </c>
      <c r="W4" s="32" t="n">
        <v>41.62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IF(B5=0,"",RANK(B5,$B$2:$B$239,0))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VENUSREM</t>
        </is>
      </c>
      <c r="D5" s="31" t="inlineStr">
        <is>
          <t>Venus Remedies Limited</t>
        </is>
      </c>
      <c r="E5" s="31" t="inlineStr">
        <is>
          <t>healthcare</t>
        </is>
      </c>
      <c r="F5" s="31" t="inlineStr">
        <is>
          <t>pharmaceuticals - indian - formulations</t>
        </is>
      </c>
      <c r="G5" s="31" t="inlineStr">
        <is>
          <t>smallcap</t>
        </is>
      </c>
      <c r="H5" s="32" t="n">
        <v>2153.02</v>
      </c>
      <c r="I5" s="32" t="n">
        <v>1633.5</v>
      </c>
      <c r="J5" s="32" t="n">
        <v>1.42</v>
      </c>
      <c r="K5" s="32" t="n">
        <v>278150</v>
      </c>
      <c r="L5" s="31" t="n">
        <v>95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80.31999999999999</v>
      </c>
      <c r="P5" s="32" t="n">
        <v>50.28</v>
      </c>
      <c r="Q5" s="32" t="n">
        <v>1226.3</v>
      </c>
      <c r="R5" s="31" t="inlineStr">
        <is>
          <t>Volume Spike &amp; Near 52W High Breakout</t>
        </is>
      </c>
      <c r="S5" s="31" t="inlineStr">
        <is>
          <t>Nifty Pharma</t>
        </is>
      </c>
      <c r="T5" s="32" t="n">
        <v>9.9</v>
      </c>
      <c r="U5" s="32" t="n">
        <v>257.21</v>
      </c>
      <c r="V5" s="32" t="n">
        <v>225.04</v>
      </c>
      <c r="W5" s="32" t="n">
        <v>50.99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IF(B6=0,"",RANK(B6,$B$2:$B$239,0))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BLISSGVS</t>
        </is>
      </c>
      <c r="D6" s="31" t="inlineStr">
        <is>
          <t>Bliss Gvs Pharma Limited</t>
        </is>
      </c>
      <c r="E6" s="31" t="inlineStr">
        <is>
          <t>healthcare</t>
        </is>
      </c>
      <c r="F6" s="31" t="inlineStr">
        <is>
          <t>pharmaceuticals - indian - formulations</t>
        </is>
      </c>
      <c r="G6" s="31" t="inlineStr">
        <is>
          <t>smallcap</t>
        </is>
      </c>
      <c r="H6" s="32" t="n">
        <v>4460.06</v>
      </c>
      <c r="I6" s="32" t="n">
        <v>424.65</v>
      </c>
      <c r="J6" s="32" t="n">
        <v>0.72</v>
      </c>
      <c r="K6" s="32" t="n">
        <v>1580660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83.75</v>
      </c>
      <c r="P6" s="32" t="n">
        <v>60.22</v>
      </c>
      <c r="Q6" s="32" t="n">
        <v>333.22</v>
      </c>
      <c r="R6" s="31" t="inlineStr">
        <is>
          <t>Near 52W High Breakout</t>
        </is>
      </c>
      <c r="S6" s="31" t="inlineStr">
        <is>
          <t>Nifty Pharma</t>
        </is>
      </c>
      <c r="T6" s="32" t="n">
        <v>9.9</v>
      </c>
      <c r="U6" s="32" t="n">
        <v>185.96</v>
      </c>
      <c r="V6" s="32" t="n">
        <v>160.21</v>
      </c>
      <c r="W6" s="32" t="n">
        <v>51.19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IF(B7=0,"",RANK(B7,$B$2:$B$239,0))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IOLCP</t>
        </is>
      </c>
      <c r="D7" s="31" t="inlineStr">
        <is>
          <t>Iol Chemicals And Pharmaceuticals Limited</t>
        </is>
      </c>
      <c r="E7" s="31" t="inlineStr">
        <is>
          <t>healthcare</t>
        </is>
      </c>
      <c r="F7" s="31" t="inlineStr">
        <is>
          <t>pharmaceuticals - indian - bulk drugs &amp; formln</t>
        </is>
      </c>
      <c r="G7" s="31" t="inlineStr">
        <is>
          <t>smallcap</t>
        </is>
      </c>
      <c r="H7" s="32" t="n">
        <v>3899.22</v>
      </c>
      <c r="I7" s="32" t="n">
        <v>129.54</v>
      </c>
      <c r="J7" s="32" t="n">
        <v>-2.48</v>
      </c>
      <c r="K7" s="32" t="n">
        <v>2078781</v>
      </c>
      <c r="L7" s="31" t="n">
        <v>86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77.62</v>
      </c>
      <c r="P7" s="32" t="n">
        <v>40.13</v>
      </c>
      <c r="Q7" s="32" t="n">
        <v>98.73999999999999</v>
      </c>
      <c r="R7" s="31" t="inlineStr">
        <is>
          <t>Near 52W High Breakout</t>
        </is>
      </c>
      <c r="S7" s="31" t="inlineStr">
        <is>
          <t>Nifty Pharma</t>
        </is>
      </c>
      <c r="T7" s="32" t="n">
        <v>9.9</v>
      </c>
      <c r="U7" s="32" t="n">
        <v>47.94</v>
      </c>
      <c r="V7" s="32" t="n">
        <v>34.62</v>
      </c>
      <c r="W7" s="32" t="n">
        <v>32.52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IF(B8=0,"",RANK(B8,$B$2:$B$239,0))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ATHERENERG</t>
        </is>
      </c>
      <c r="D8" s="31" t="inlineStr">
        <is>
          <t>Ather Energy Ltd</t>
        </is>
      </c>
      <c r="E8" s="31" t="inlineStr">
        <is>
          <t>auto</t>
        </is>
      </c>
      <c r="F8" s="31" t="inlineStr">
        <is>
          <t>automobiles - scooters and 3 - wheelers</t>
        </is>
      </c>
      <c r="G8" s="31" t="inlineStr">
        <is>
          <t>largecap</t>
        </is>
      </c>
      <c r="H8" s="32" t="n">
        <v>39522.48</v>
      </c>
      <c r="I8" s="32" t="n">
        <v>1042</v>
      </c>
      <c r="J8" s="32" t="n">
        <v>0.89</v>
      </c>
      <c r="K8" s="32" t="n">
        <v>4651982</v>
      </c>
      <c r="L8" s="31" t="n">
        <v>91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74.12</v>
      </c>
      <c r="P8" s="32" t="n">
        <v>47.45</v>
      </c>
      <c r="Q8" s="32" t="n">
        <v>791.1900000000001</v>
      </c>
      <c r="R8" s="31" t="inlineStr">
        <is>
          <t>Near 52W High Breakout</t>
        </is>
      </c>
      <c r="S8" s="31" t="inlineStr">
        <is>
          <t>Nifty Auto</t>
        </is>
      </c>
      <c r="T8" s="32" t="n">
        <v>10.74</v>
      </c>
      <c r="U8" s="32" t="n">
        <v>231.85</v>
      </c>
      <c r="V8" s="32" t="n">
        <v>199.65</v>
      </c>
      <c r="W8" s="32" t="n">
        <v>39.32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Negative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IF(B9=0,"",RANK(B9,$B$2:$B$239,0))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INDOBORAX</t>
        </is>
      </c>
      <c r="D9" s="31" t="inlineStr">
        <is>
          <t>Indo Borax &amp; Chemicals Ltd</t>
        </is>
      </c>
      <c r="E9" s="31" t="inlineStr">
        <is>
          <t>chemicals</t>
        </is>
      </c>
      <c r="F9" s="31" t="inlineStr">
        <is>
          <t>chemicals</t>
        </is>
      </c>
      <c r="G9" s="31" t="inlineStr">
        <is>
          <t>smallcap</t>
        </is>
      </c>
      <c r="H9" s="32" t="n">
        <v>1152.35</v>
      </c>
      <c r="I9" s="32" t="n">
        <v>361.35</v>
      </c>
      <c r="J9" s="32" t="n">
        <v>0.63</v>
      </c>
      <c r="K9" s="32" t="n">
        <v>98594</v>
      </c>
      <c r="L9" s="31" t="n">
        <v>73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78.61</v>
      </c>
      <c r="P9" s="32" t="n">
        <v>49.18</v>
      </c>
      <c r="Q9" s="32" t="n">
        <v>289.7</v>
      </c>
      <c r="R9" s="31" t="inlineStr">
        <is>
          <t>Near 52W High Breakout</t>
        </is>
      </c>
      <c r="S9" s="31" t="inlineStr">
        <is>
          <t>Nifty 50</t>
        </is>
      </c>
      <c r="T9" s="32" t="n">
        <v>-6.08</v>
      </c>
      <c r="U9" s="32" t="n">
        <v>77.39</v>
      </c>
      <c r="V9" s="32" t="n">
        <v>88.88</v>
      </c>
      <c r="W9" s="32" t="n">
        <v>23.46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IF(B10=0,"",RANK(B10,$B$2:$B$239,0))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STYLAMIND</t>
        </is>
      </c>
      <c r="D10" s="31" t="inlineStr">
        <is>
          <t>Stylam Industries Ltd</t>
        </is>
      </c>
      <c r="E10" s="31" t="inlineStr">
        <is>
          <t>building materials</t>
        </is>
      </c>
      <c r="F10" s="31" t="inlineStr">
        <is>
          <t>miscellaneous</t>
        </is>
      </c>
      <c r="G10" s="31" t="inlineStr">
        <is>
          <t>midcap</t>
        </is>
      </c>
      <c r="H10" s="32" t="n">
        <v>5259.83</v>
      </c>
      <c r="I10" s="32" t="n">
        <v>3117</v>
      </c>
      <c r="J10" s="32" t="n">
        <v>0.44</v>
      </c>
      <c r="K10" s="32" t="n">
        <v>28810</v>
      </c>
      <c r="L10" s="31" t="n">
        <v>68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89.63</v>
      </c>
      <c r="P10" s="32" t="n">
        <v>56.62</v>
      </c>
      <c r="Q10" s="32" t="n">
        <v>2646.95</v>
      </c>
      <c r="R10" s="31" t="inlineStr">
        <is>
          <t>Near 52W High Breakout</t>
        </is>
      </c>
      <c r="S10" s="31" t="inlineStr">
        <is>
          <t>Nifty Infra</t>
        </is>
      </c>
      <c r="T10" s="32" t="n">
        <v>0.99</v>
      </c>
      <c r="U10" s="32" t="n">
        <v>81.09</v>
      </c>
      <c r="V10" s="32" t="n">
        <v>79.31</v>
      </c>
      <c r="W10" s="32" t="n">
        <v>22.11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IF(B11=0,"",RANK(B11,$B$2:$B$239,0))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MOTHERSON</t>
        </is>
      </c>
      <c r="D11" s="31" t="inlineStr">
        <is>
          <t>Samvardhana Motherson International Ltd</t>
        </is>
      </c>
      <c r="E11" s="31" t="inlineStr">
        <is>
          <t>auto</t>
        </is>
      </c>
      <c r="F11" s="31" t="inlineStr">
        <is>
          <t>auto ancillaries</t>
        </is>
      </c>
      <c r="G11" s="31" t="inlineStr">
        <is>
          <t>largecap</t>
        </is>
      </c>
      <c r="H11" s="32" t="n">
        <v>152047.3</v>
      </c>
      <c r="I11" s="32" t="n">
        <v>142.21</v>
      </c>
      <c r="J11" s="32" t="n">
        <v>-1.28</v>
      </c>
      <c r="K11" s="32" t="n">
        <v>18703442</v>
      </c>
      <c r="L11" s="31" t="n">
        <v>40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64.67</v>
      </c>
      <c r="P11" s="32" t="n">
        <v>20.07</v>
      </c>
      <c r="Q11" s="32" t="n">
        <v>116.24</v>
      </c>
      <c r="R11" s="31" t="inlineStr">
        <is>
          <t>Near 52W High Breakout</t>
        </is>
      </c>
      <c r="S11" s="31" t="inlineStr">
        <is>
          <t>Nifty Auto</t>
        </is>
      </c>
      <c r="T11" s="32" t="n">
        <v>10.74</v>
      </c>
      <c r="U11" s="32" t="n">
        <v>39.26</v>
      </c>
      <c r="V11" s="32" t="n">
        <v>25.75</v>
      </c>
      <c r="W11" s="32" t="n">
        <v>12.51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IF(B12=0,"",RANK(B12,$B$2:$B$239,0))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CONFIPET</t>
        </is>
      </c>
      <c r="D12" s="31" t="inlineStr">
        <is>
          <t>Confidence Petroleum India Ltd</t>
        </is>
      </c>
      <c r="E12" s="31" t="inlineStr">
        <is>
          <t>miscellaneous</t>
        </is>
      </c>
      <c r="F12" s="31" t="inlineStr">
        <is>
          <t>miscellaneous</t>
        </is>
      </c>
      <c r="G12" s="31" t="inlineStr">
        <is>
          <t>smallcap</t>
        </is>
      </c>
      <c r="H12" s="32" t="n">
        <v>2508.42</v>
      </c>
      <c r="I12" s="32" t="n">
        <v>72.92</v>
      </c>
      <c r="J12" s="32" t="n">
        <v>-3.42</v>
      </c>
      <c r="K12" s="32" t="n">
        <v>3058277</v>
      </c>
      <c r="L12" s="31" t="n">
        <v>86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71.93000000000001</v>
      </c>
      <c r="P12" s="32" t="n">
        <v>47.51</v>
      </c>
      <c r="Q12" s="32" t="n">
        <v>52.79</v>
      </c>
      <c r="R12" s="31" t="inlineStr">
        <is>
          <t>Earnings / Momentum Support</t>
        </is>
      </c>
      <c r="S12" s="31" t="inlineStr">
        <is>
          <t>Nifty Energy</t>
        </is>
      </c>
      <c r="T12" s="32" t="n">
        <v>8.98</v>
      </c>
      <c r="U12" s="32" t="n">
        <v>22.98</v>
      </c>
      <c r="V12" s="32" t="n">
        <v>12.85</v>
      </c>
      <c r="W12" s="32" t="n">
        <v>31.72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IF(B13=0,"",RANK(B13,$B$2:$B$239,0))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CCL</t>
        </is>
      </c>
      <c r="D13" s="31" t="inlineStr">
        <is>
          <t>Ccl Products (india) Limited</t>
        </is>
      </c>
      <c r="E13" s="31" t="inlineStr">
        <is>
          <t>fmcg</t>
        </is>
      </c>
      <c r="F13" s="31" t="inlineStr">
        <is>
          <t>tea</t>
        </is>
      </c>
      <c r="G13" s="31" t="inlineStr">
        <is>
          <t>midcap</t>
        </is>
      </c>
      <c r="H13" s="32" t="n">
        <v>15343.69</v>
      </c>
      <c r="I13" s="32" t="n">
        <v>1193.4</v>
      </c>
      <c r="J13" s="32" t="n">
        <v>3.86</v>
      </c>
      <c r="K13" s="32" t="n">
        <v>2727692</v>
      </c>
      <c r="L13" s="31" t="n">
        <v>37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68.34</v>
      </c>
      <c r="P13" s="32" t="n">
        <v>40.3</v>
      </c>
      <c r="Q13" s="32" t="n">
        <v>950.11</v>
      </c>
      <c r="R13" s="31" t="inlineStr">
        <is>
          <t>Volume Spike &amp; Near 52W High Breakout</t>
        </is>
      </c>
      <c r="S13" s="31" t="inlineStr">
        <is>
          <t>Nifty FMCG</t>
        </is>
      </c>
      <c r="T13" s="32" t="n">
        <v>-10.22</v>
      </c>
      <c r="U13" s="32" t="n">
        <v>44.37</v>
      </c>
      <c r="V13" s="32" t="n">
        <v>60.79</v>
      </c>
      <c r="W13" s="32" t="n">
        <v>11.2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Between 12 to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IF(B14=0,"",RANK(B14,$B$2:$B$239,0))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CUPID</t>
        </is>
      </c>
      <c r="D14" s="31" t="inlineStr">
        <is>
          <t>Cupid Limited</t>
        </is>
      </c>
      <c r="E14" s="31" t="inlineStr">
        <is>
          <t>fmcg</t>
        </is>
      </c>
      <c r="F14" s="31" t="inlineStr">
        <is>
          <t>personal care - indian</t>
        </is>
      </c>
      <c r="G14" s="31" t="inlineStr">
        <is>
          <t>midcap</t>
        </is>
      </c>
      <c r="H14" s="32" t="n">
        <v>19613.22</v>
      </c>
      <c r="I14" s="32" t="n">
        <v>150.59</v>
      </c>
      <c r="J14" s="32" t="n">
        <v>3.24</v>
      </c>
      <c r="K14" s="32" t="n">
        <v>23289241</v>
      </c>
      <c r="L14" s="31" t="n">
        <v>98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79.68000000000001</v>
      </c>
      <c r="P14" s="32" t="n">
        <v>44.87</v>
      </c>
      <c r="Q14" s="32" t="n">
        <v>116.35</v>
      </c>
      <c r="R14" s="31" t="inlineStr">
        <is>
          <t>Near 52W High Breakout</t>
        </is>
      </c>
      <c r="S14" s="31" t="inlineStr">
        <is>
          <t>Nifty FMCG</t>
        </is>
      </c>
      <c r="T14" s="32" t="n">
        <v>-10.22</v>
      </c>
      <c r="U14" s="32" t="n">
        <v>678.48</v>
      </c>
      <c r="V14" s="32" t="n">
        <v>767.0599999999999</v>
      </c>
      <c r="W14" s="32" t="n">
        <v>79.09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Less than 50%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IF(B15=0,"",RANK(B15,$B$2:$B$239,0))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PGHL</t>
        </is>
      </c>
      <c r="D15" s="31" t="inlineStr">
        <is>
          <t>Procter &amp; Gamble Health Ltd</t>
        </is>
      </c>
      <c r="E15" s="31" t="inlineStr">
        <is>
          <t>healthcare</t>
        </is>
      </c>
      <c r="F15" s="31" t="inlineStr">
        <is>
          <t>pharmaceuticals - multinational</t>
        </is>
      </c>
      <c r="G15" s="31" t="inlineStr">
        <is>
          <t>midcap</t>
        </is>
      </c>
      <c r="H15" s="32" t="n">
        <v>10312.37</v>
      </c>
      <c r="I15" s="32" t="n">
        <v>6235</v>
      </c>
      <c r="J15" s="32" t="n">
        <v>0.36</v>
      </c>
      <c r="K15" s="32" t="n">
        <v>10670</v>
      </c>
      <c r="L15" s="31" t="n">
        <v>26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74.62</v>
      </c>
      <c r="P15" s="32" t="n">
        <v>34.75</v>
      </c>
      <c r="Q15" s="32" t="n">
        <v>5270.03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9.9</v>
      </c>
      <c r="U15" s="32" t="n">
        <v>10.93</v>
      </c>
      <c r="V15" s="32" t="n">
        <v>0.9399999999999999</v>
      </c>
      <c r="W15" s="32" t="n">
        <v>8.779999999999999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IF(B16=0,"",RANK(B16,$B$2:$B$239,0))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CARYSIL</t>
        </is>
      </c>
      <c r="D16" s="31" t="inlineStr">
        <is>
          <t>Carysil Ltd</t>
        </is>
      </c>
      <c r="E16" s="31" t="inlineStr">
        <is>
          <t>consumer discretionary</t>
        </is>
      </c>
      <c r="F16" s="31" t="inlineStr">
        <is>
          <t>domestic appliances</t>
        </is>
      </c>
      <c r="G16" s="31" t="inlineStr">
        <is>
          <t>smallcap</t>
        </is>
      </c>
      <c r="H16" s="32" t="n">
        <v>3195.81</v>
      </c>
      <c r="I16" s="32" t="n">
        <v>1191.9</v>
      </c>
      <c r="J16" s="32" t="n">
        <v>6.08</v>
      </c>
      <c r="K16" s="32" t="n">
        <v>665811</v>
      </c>
      <c r="L16" s="31" t="n">
        <v>60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71.81999999999999</v>
      </c>
      <c r="P16" s="32" t="n">
        <v>20.44</v>
      </c>
      <c r="Q16" s="32" t="n">
        <v>896.1799999999999</v>
      </c>
      <c r="R16" s="31" t="inlineStr">
        <is>
          <t>Near 52W High Breakout</t>
        </is>
      </c>
      <c r="S16" s="31" t="inlineStr">
        <is>
          <t>Nifty 50</t>
        </is>
      </c>
      <c r="T16" s="32" t="n">
        <v>-6.08</v>
      </c>
      <c r="U16" s="32" t="n">
        <v>28.61</v>
      </c>
      <c r="V16" s="32" t="n">
        <v>36.94</v>
      </c>
      <c r="W16" s="32" t="n">
        <v>17.68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IF(B17=0,"",RANK(B17,$B$2:$B$239,0))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GAYAPROJ</t>
        </is>
      </c>
      <c r="D17" s="31" t="inlineStr">
        <is>
          <t>Gayatri Projects Limited</t>
        </is>
      </c>
      <c r="E17" s="31" t="inlineStr">
        <is>
          <t>realty</t>
        </is>
      </c>
      <c r="F17" s="31" t="inlineStr">
        <is>
          <t>construction</t>
        </is>
      </c>
      <c r="G17" s="31" t="inlineStr">
        <is>
          <t>smallcap</t>
        </is>
      </c>
      <c r="H17" s="32" t="n">
        <v>631.79</v>
      </c>
      <c r="I17" s="32" t="n">
        <v>21.75</v>
      </c>
      <c r="J17" s="32" t="n">
        <v>1.97</v>
      </c>
      <c r="K17" s="32" t="n">
        <v>682045</v>
      </c>
      <c r="L17" s="31" t="n">
        <v>88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75.43000000000001</v>
      </c>
      <c r="P17" s="32" t="n">
        <v>61.18</v>
      </c>
      <c r="Q17" s="32" t="n">
        <v>17.42</v>
      </c>
      <c r="R17" s="31" t="inlineStr">
        <is>
          <t>Near 52W High Breakout</t>
        </is>
      </c>
      <c r="S17" s="31" t="inlineStr">
        <is>
          <t>Nifty Realty</t>
        </is>
      </c>
      <c r="T17" s="32" t="n">
        <v>-25.71</v>
      </c>
      <c r="U17" s="32" t="n">
        <v>145.21</v>
      </c>
      <c r="V17" s="32" t="n">
        <v>230.06</v>
      </c>
      <c r="W17" s="32" t="n">
        <v>36.14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IF(B18=0,"",RANK(B18,$B$2:$B$239,0))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SJS</t>
        </is>
      </c>
      <c r="D18" s="31" t="inlineStr">
        <is>
          <t>S J S Enterprises Ltd</t>
        </is>
      </c>
      <c r="E18" s="31" t="inlineStr">
        <is>
          <t>auto</t>
        </is>
      </c>
      <c r="F18" s="31" t="inlineStr">
        <is>
          <t>plastics products</t>
        </is>
      </c>
      <c r="G18" s="31" t="inlineStr">
        <is>
          <t>midcap</t>
        </is>
      </c>
      <c r="H18" s="32" t="n">
        <v>6649.57</v>
      </c>
      <c r="I18" s="32" t="n">
        <v>2077.8</v>
      </c>
      <c r="J18" s="32" t="n">
        <v>-0.02</v>
      </c>
      <c r="K18" s="32" t="n">
        <v>91448</v>
      </c>
      <c r="L18" s="31" t="n">
        <v>63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62.86</v>
      </c>
      <c r="P18" s="32" t="n">
        <v>21.09</v>
      </c>
      <c r="Q18" s="32" t="n">
        <v>1630.08</v>
      </c>
      <c r="R18" s="31" t="inlineStr">
        <is>
          <t>Near 52W High Breakout</t>
        </is>
      </c>
      <c r="S18" s="31" t="inlineStr">
        <is>
          <t>Nifty Auto</t>
        </is>
      </c>
      <c r="T18" s="32" t="n">
        <v>10.74</v>
      </c>
      <c r="U18" s="32" t="n">
        <v>70.76000000000001</v>
      </c>
      <c r="V18" s="32" t="n">
        <v>54.19</v>
      </c>
      <c r="W18" s="32" t="n">
        <v>18.99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IF(B19=0,"",RANK(B19,$B$2:$B$239,0))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OCCLLTD</t>
        </is>
      </c>
      <c r="D19" s="31" t="inlineStr">
        <is>
          <t>OCCL Ltd</t>
        </is>
      </c>
      <c r="E19" s="31" t="inlineStr">
        <is>
          <t>chemicals</t>
        </is>
      </c>
      <c r="F19" s="31" t="inlineStr">
        <is>
          <t>chemicals</t>
        </is>
      </c>
      <c r="G19" s="31" t="inlineStr">
        <is>
          <t>smallcap</t>
        </is>
      </c>
      <c r="H19" s="32" t="n">
        <v>698.91</v>
      </c>
      <c r="I19" s="32" t="n">
        <v>128.44</v>
      </c>
      <c r="J19" s="32" t="n">
        <v>-8.199999999999999</v>
      </c>
      <c r="K19" s="32" t="n">
        <v>381003</v>
      </c>
      <c r="L19" s="31" t="n">
        <v>46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68.58</v>
      </c>
      <c r="P19" s="32" t="n">
        <v>22.99</v>
      </c>
      <c r="Q19" s="32" t="n">
        <v>90.52</v>
      </c>
      <c r="R19" s="31" t="inlineStr">
        <is>
          <t>Volume Spike / Accumulation</t>
        </is>
      </c>
      <c r="S19" s="31" t="inlineStr">
        <is>
          <t>Nifty 50</t>
        </is>
      </c>
      <c r="T19" s="32" t="n">
        <v>-6.08</v>
      </c>
      <c r="U19" s="32" t="n">
        <v>7.15</v>
      </c>
      <c r="V19" s="32" t="n">
        <v>14.09</v>
      </c>
      <c r="W19" s="32" t="n">
        <v>14.15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IF(B20=0,"",RANK(B20,$B$2:$B$239,0))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RATEGAIN</t>
        </is>
      </c>
      <c r="D20" s="31" t="inlineStr">
        <is>
          <t>Rategain Travel Technologies Ltd</t>
        </is>
      </c>
      <c r="E20" s="31" t="inlineStr">
        <is>
          <t>i.t</t>
        </is>
      </c>
      <c r="F20" s="31" t="inlineStr">
        <is>
          <t>computers - software - medium / small</t>
        </is>
      </c>
      <c r="G20" s="31" t="inlineStr">
        <is>
          <t>midcap</t>
        </is>
      </c>
      <c r="H20" s="32" t="n">
        <v>8868.32</v>
      </c>
      <c r="I20" s="32" t="n">
        <v>783.6</v>
      </c>
      <c r="J20" s="32" t="n">
        <v>4.41</v>
      </c>
      <c r="K20" s="32" t="n">
        <v>766286</v>
      </c>
      <c r="L20" s="31" t="n">
        <v>81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72.44</v>
      </c>
      <c r="P20" s="32" t="n">
        <v>25.67</v>
      </c>
      <c r="Q20" s="32" t="n">
        <v>602.3</v>
      </c>
      <c r="R20" s="31" t="inlineStr">
        <is>
          <t>Near 52W High Breakout</t>
        </is>
      </c>
      <c r="S20" s="31" t="inlineStr">
        <is>
          <t>Nifty IT</t>
        </is>
      </c>
      <c r="T20" s="32" t="n">
        <v>-26.49</v>
      </c>
      <c r="U20" s="32" t="n">
        <v>77.08</v>
      </c>
      <c r="V20" s="32" t="n">
        <v>140.89</v>
      </c>
      <c r="W20" s="32" t="n">
        <v>27.92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Between 1.5 to 2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IF(B21=0,"",RANK(B21,$B$2:$B$239,0))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SAKAR</t>
        </is>
      </c>
      <c r="D21" s="31" t="inlineStr">
        <is>
          <t>Sakar Healthcare Ltd</t>
        </is>
      </c>
      <c r="E21" s="31" t="inlineStr">
        <is>
          <t>healthcare</t>
        </is>
      </c>
      <c r="F21" s="31" t="inlineStr">
        <is>
          <t>pharmaceuticals - indian - bulk drugs &amp; formln</t>
        </is>
      </c>
      <c r="G21" s="31" t="inlineStr">
        <is>
          <t>smallcap</t>
        </is>
      </c>
      <c r="H21" s="32" t="n">
        <v>1810.25</v>
      </c>
      <c r="I21" s="32" t="n">
        <v>839</v>
      </c>
      <c r="J21" s="32" t="n">
        <v>3.12</v>
      </c>
      <c r="K21" s="32" t="n">
        <v>253504</v>
      </c>
      <c r="L21" s="31" t="n">
        <v>88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77.19</v>
      </c>
      <c r="P21" s="32" t="n">
        <v>53.29</v>
      </c>
      <c r="Q21" s="32" t="n">
        <v>600.33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9.9</v>
      </c>
      <c r="U21" s="32" t="n">
        <v>167.79</v>
      </c>
      <c r="V21" s="32" t="n">
        <v>143.68</v>
      </c>
      <c r="W21" s="32" t="n">
        <v>35.87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IF(B22=0,"",RANK(B22,$B$2:$B$239,0))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NESTLEIND</t>
        </is>
      </c>
      <c r="D22" s="31" t="inlineStr">
        <is>
          <t>Nestle India Limited</t>
        </is>
      </c>
      <c r="E22" s="31" t="inlineStr">
        <is>
          <t>fmcg</t>
        </is>
      </c>
      <c r="F22" s="31" t="inlineStr">
        <is>
          <t>food - processing - mnc</t>
        </is>
      </c>
      <c r="G22" s="31" t="inlineStr">
        <is>
          <t>largecap</t>
        </is>
      </c>
      <c r="H22" s="32" t="n">
        <v>271969.45</v>
      </c>
      <c r="I22" s="32" t="n">
        <v>1438.3</v>
      </c>
      <c r="J22" s="32" t="n">
        <v>1.98</v>
      </c>
      <c r="K22" s="32" t="n">
        <v>2288648</v>
      </c>
      <c r="L22" s="31" t="n">
        <v>23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64.38</v>
      </c>
      <c r="P22" s="32" t="n">
        <v>26.19</v>
      </c>
      <c r="Q22" s="32" t="n">
        <v>1301.48</v>
      </c>
      <c r="R22" s="31" t="inlineStr">
        <is>
          <t>Near 52W High Breakout</t>
        </is>
      </c>
      <c r="S22" s="31" t="inlineStr">
        <is>
          <t>Nifty FMCG</t>
        </is>
      </c>
      <c r="T22" s="32" t="n">
        <v>-10.22</v>
      </c>
      <c r="U22" s="32" t="n">
        <v>22.19</v>
      </c>
      <c r="V22" s="32" t="n">
        <v>36.1</v>
      </c>
      <c r="W22" s="32" t="n">
        <v>8.289999999999999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IF(B23=0,"",RANK(B23,$B$2:$B$239,0))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GVPIL</t>
        </is>
      </c>
      <c r="D23" s="31" t="inlineStr">
        <is>
          <t>GE Power India Ltd</t>
        </is>
      </c>
      <c r="E23" s="31" t="inlineStr">
        <is>
          <t>realty</t>
        </is>
      </c>
      <c r="F23" s="31" t="inlineStr">
        <is>
          <t>engineering - turnkey services</t>
        </is>
      </c>
      <c r="G23" s="31" t="inlineStr">
        <is>
          <t>midcap</t>
        </is>
      </c>
      <c r="H23" s="32" t="n">
        <v>6087.45</v>
      </c>
      <c r="I23" s="32" t="n">
        <v>909.6</v>
      </c>
      <c r="J23" s="32" t="n">
        <v>0.45</v>
      </c>
      <c r="K23" s="32" t="n">
        <v>407376</v>
      </c>
      <c r="L23" s="31" t="n">
        <v>95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87.73999999999999</v>
      </c>
      <c r="P23" s="32" t="n">
        <v>56.06</v>
      </c>
      <c r="Q23" s="32" t="n">
        <v>692.01</v>
      </c>
      <c r="R23" s="31" t="inlineStr">
        <is>
          <t>Near 52W High Breakout</t>
        </is>
      </c>
      <c r="S23" s="31" t="inlineStr">
        <is>
          <t>Nifty Realty</t>
        </is>
      </c>
      <c r="T23" s="32" t="n">
        <v>-25.71</v>
      </c>
      <c r="U23" s="32" t="n">
        <v>187.8</v>
      </c>
      <c r="V23" s="32" t="n">
        <v>287.4</v>
      </c>
      <c r="W23" s="32" t="n">
        <v>50.74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Duopoly That Cooperate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Shallow Cyclical (2 to 3 Years Growth)</t>
        </is>
      </c>
      <c r="AG23" s="31">
        <f>IF(AF23="Structural (10 Years Consistency)",10,IF(AF23="Shallow Cyclical (2 to 3 years growth)",5,0))</f>
        <v/>
      </c>
      <c r="AH23" s="31" t="inlineStr">
        <is>
          <t>Yes due to Product Mix change or Operating Leverage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Fully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only for next 1 to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Between 0.7 to 1.2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IF(B24=0,"",RANK(B24,$B$2:$B$239,0))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ACUTAAS</t>
        </is>
      </c>
      <c r="D24" s="31" t="inlineStr">
        <is>
          <t>Acutaas Chemicals Ltd</t>
        </is>
      </c>
      <c r="E24" s="31" t="inlineStr">
        <is>
          <t>healthcare</t>
        </is>
      </c>
      <c r="F24" s="31" t="inlineStr">
        <is>
          <t>pharmaceuticals - indian - bulk drugs</t>
        </is>
      </c>
      <c r="G24" s="31" t="inlineStr">
        <is>
          <t>largecap</t>
        </is>
      </c>
      <c r="H24" s="32" t="n">
        <v>26188.12</v>
      </c>
      <c r="I24" s="32" t="n">
        <v>3207</v>
      </c>
      <c r="J24" s="32" t="n">
        <v>0.26</v>
      </c>
      <c r="K24" s="32" t="n">
        <v>390988</v>
      </c>
      <c r="L24" s="31" t="n">
        <v>88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74.16</v>
      </c>
      <c r="P24" s="32" t="n">
        <v>65.37</v>
      </c>
      <c r="Q24" s="32" t="n">
        <v>2592.43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9.9</v>
      </c>
      <c r="U24" s="32" t="n">
        <v>190.6</v>
      </c>
      <c r="V24" s="32" t="n">
        <v>164.43</v>
      </c>
      <c r="W24" s="32" t="n">
        <v>35.82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IF(B25=0,"",RANK(B25,$B$2:$B$239,0))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GLAND</t>
        </is>
      </c>
      <c r="D25" s="31" t="inlineStr">
        <is>
          <t>Gland Pharma Ltd</t>
        </is>
      </c>
      <c r="E25" s="31" t="inlineStr">
        <is>
          <t>healthcare</t>
        </is>
      </c>
      <c r="F25" s="31" t="inlineStr">
        <is>
          <t>pharmaceuticals - indian - formulations</t>
        </is>
      </c>
      <c r="G25" s="31" t="inlineStr">
        <is>
          <t>largecap</t>
        </is>
      </c>
      <c r="H25" s="32" t="n">
        <v>37704.51</v>
      </c>
      <c r="I25" s="32" t="n">
        <v>2267.8</v>
      </c>
      <c r="J25" s="32" t="n">
        <v>-0.9</v>
      </c>
      <c r="K25" s="32" t="n">
        <v>320379</v>
      </c>
      <c r="L25" s="31" t="n">
        <v>54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68.70999999999999</v>
      </c>
      <c r="P25" s="32" t="n">
        <v>29.62</v>
      </c>
      <c r="Q25" s="32" t="n">
        <v>1889.8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9.9</v>
      </c>
      <c r="U25" s="32" t="n">
        <v>35.46</v>
      </c>
      <c r="V25" s="32" t="n">
        <v>23.27</v>
      </c>
      <c r="W25" s="32" t="n">
        <v>15.9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IF(B26=0,"",RANK(B26,$B$2:$B$239,0))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ADFFOODS</t>
        </is>
      </c>
      <c r="D26" s="31" t="inlineStr">
        <is>
          <t>Adf Foods Limited</t>
        </is>
      </c>
      <c r="E26" s="31" t="inlineStr">
        <is>
          <t>fmcg</t>
        </is>
      </c>
      <c r="F26" s="31" t="inlineStr">
        <is>
          <t>food - processing - indian</t>
        </is>
      </c>
      <c r="G26" s="31" t="inlineStr">
        <is>
          <t>smallcap</t>
        </is>
      </c>
      <c r="H26" s="32" t="n">
        <v>3147.04</v>
      </c>
      <c r="I26" s="32" t="n">
        <v>280.2</v>
      </c>
      <c r="J26" s="32" t="n">
        <v>-2.18</v>
      </c>
      <c r="K26" s="32" t="n">
        <v>95458</v>
      </c>
      <c r="L26" s="31" t="n">
        <v>46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63.26</v>
      </c>
      <c r="P26" s="32" t="n">
        <v>28.98</v>
      </c>
      <c r="Q26" s="32" t="n">
        <v>203.56</v>
      </c>
      <c r="R26" s="31" t="inlineStr">
        <is>
          <t>Near 52W High Breakout</t>
        </is>
      </c>
      <c r="S26" s="31" t="inlineStr">
        <is>
          <t>Nifty FMCG</t>
        </is>
      </c>
      <c r="T26" s="32" t="n">
        <v>-10.22</v>
      </c>
      <c r="U26" s="32" t="n">
        <v>1.4</v>
      </c>
      <c r="V26" s="32" t="n">
        <v>12.93</v>
      </c>
      <c r="W26" s="32" t="n">
        <v>14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IF(B27=0,"",RANK(B27,$B$2:$B$239,0))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GALAPREC</t>
        </is>
      </c>
      <c r="D27" s="31" t="inlineStr">
        <is>
          <t>Gala Precision Engineering Ltd</t>
        </is>
      </c>
      <c r="E27" s="31" t="inlineStr">
        <is>
          <t>industrials</t>
        </is>
      </c>
      <c r="F27" s="31" t="inlineStr">
        <is>
          <t>fasteners</t>
        </is>
      </c>
      <c r="G27" s="31" t="inlineStr">
        <is>
          <t>smallcap</t>
        </is>
      </c>
      <c r="H27" s="32" t="n">
        <v>1152.24</v>
      </c>
      <c r="I27" s="32" t="n">
        <v>894.6</v>
      </c>
      <c r="J27" s="32" t="n">
        <v>-1.01</v>
      </c>
      <c r="K27" s="32" t="n">
        <v>9826</v>
      </c>
      <c r="L27" s="31" t="n">
        <v>7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61.4</v>
      </c>
      <c r="P27" s="32" t="n">
        <v>20.28</v>
      </c>
      <c r="Q27" s="32" t="n">
        <v>702.34</v>
      </c>
      <c r="R27" s="31" t="inlineStr">
        <is>
          <t>Near 52W High Breakout</t>
        </is>
      </c>
      <c r="S27" s="31" t="inlineStr">
        <is>
          <t>Nifty 50</t>
        </is>
      </c>
      <c r="T27" s="32" t="n">
        <v>-6.08</v>
      </c>
      <c r="U27" s="32" t="n">
        <v>-0.53</v>
      </c>
      <c r="V27" s="32" t="n">
        <v>5.91</v>
      </c>
      <c r="W27" s="32" t="n">
        <v>4.23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IF(B28=0,"",RANK(B28,$B$2:$B$239,0))</f>
        <v/>
      </c>
      <c r="B28" s="32">
        <f>SUM(N28,Y28,AA28,AC28,AE28,AG28,AI28,AK28,AM28,AO28,AQ28,AS28,AU28,AW28,AY28,BA28,BC28,BE28,BG28,BI28,BK28,BM28,BO28,BQ28,BS28,BU28,BW28,BY28,CA28,CC28,CE28)</f>
        <v/>
      </c>
      <c r="C28" s="33" t="inlineStr">
        <is>
          <t>NRL</t>
        </is>
      </c>
      <c r="D28" s="33" t="inlineStr">
        <is>
          <t>Nupur Recyclers Ltd</t>
        </is>
      </c>
      <c r="E28" s="31" t="inlineStr">
        <is>
          <t>services</t>
        </is>
      </c>
      <c r="F28" s="31" t="inlineStr">
        <is>
          <t>trading</t>
        </is>
      </c>
      <c r="G28" s="31" t="inlineStr">
        <is>
          <t>smallcap</t>
        </is>
      </c>
      <c r="H28" s="32" t="n">
        <v>526.24</v>
      </c>
      <c r="I28" s="32" t="n">
        <v>75.27</v>
      </c>
      <c r="J28" s="32" t="n">
        <v>-1.21</v>
      </c>
      <c r="K28" s="32" t="n">
        <v>228038</v>
      </c>
      <c r="L28" s="31" t="n">
        <v>34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70.88</v>
      </c>
      <c r="P28" s="32" t="n">
        <v>32.24</v>
      </c>
      <c r="Q28" s="32" t="n">
        <v>56.63</v>
      </c>
      <c r="R28" s="31" t="inlineStr">
        <is>
          <t>Volume Spike / Accumulation</t>
        </is>
      </c>
      <c r="S28" s="31" t="inlineStr">
        <is>
          <t>Nifty 50</t>
        </is>
      </c>
      <c r="T28" s="32" t="n">
        <v>-6.08</v>
      </c>
      <c r="U28" s="32" t="n">
        <v>-11.64</v>
      </c>
      <c r="V28" s="32" t="n">
        <v>-5.92</v>
      </c>
      <c r="W28" s="32" t="n">
        <v>10.16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IF(B29=0,"",RANK(B29,$B$2:$B$239,0))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ADOR</t>
        </is>
      </c>
      <c r="D29" s="31" t="inlineStr">
        <is>
          <t>Ador Welding Ltd</t>
        </is>
      </c>
      <c r="E29" s="31" t="inlineStr">
        <is>
          <t>industrials</t>
        </is>
      </c>
      <c r="F29" s="31" t="inlineStr">
        <is>
          <t>electrodes - welding equipment</t>
        </is>
      </c>
      <c r="G29" s="31" t="inlineStr">
        <is>
          <t>smallcap</t>
        </is>
      </c>
      <c r="H29" s="32" t="n">
        <v>1981.14</v>
      </c>
      <c r="I29" s="32" t="n">
        <v>1116.9</v>
      </c>
      <c r="J29" s="32" t="n">
        <v>-1.89</v>
      </c>
      <c r="K29" s="32" t="n">
        <v>11343</v>
      </c>
      <c r="L29" s="31" t="n">
        <v>13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58.95</v>
      </c>
      <c r="P29" s="32" t="n">
        <v>20.72</v>
      </c>
      <c r="Q29" s="32" t="n">
        <v>878.22</v>
      </c>
      <c r="R29" s="31" t="inlineStr">
        <is>
          <t>Near 52W High Breakout</t>
        </is>
      </c>
      <c r="S29" s="31" t="inlineStr">
        <is>
          <t>Nifty Infra</t>
        </is>
      </c>
      <c r="T29" s="32" t="n">
        <v>0.99</v>
      </c>
      <c r="U29" s="32" t="n">
        <v>11.44</v>
      </c>
      <c r="V29" s="32" t="n">
        <v>10.34</v>
      </c>
      <c r="W29" s="32" t="n">
        <v>5.91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IF(B30=0,"",RANK(B30,$B$2:$B$239,0))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SYRMA</t>
        </is>
      </c>
      <c r="D30" s="31" t="inlineStr">
        <is>
          <t>Syrma SGS Technology Ltd</t>
        </is>
      </c>
      <c r="E30" s="31" t="inlineStr">
        <is>
          <t>consumer discretionary</t>
        </is>
      </c>
      <c r="F30" s="31" t="inlineStr">
        <is>
          <t>electronics - components</t>
        </is>
      </c>
      <c r="G30" s="31" t="inlineStr">
        <is>
          <t>largecap</t>
        </is>
      </c>
      <c r="H30" s="32" t="n">
        <v>24234.94</v>
      </c>
      <c r="I30" s="32" t="n">
        <v>1225.8</v>
      </c>
      <c r="J30" s="32" t="n">
        <v>-2.47</v>
      </c>
      <c r="K30" s="32" t="n">
        <v>1016245</v>
      </c>
      <c r="L30" s="31" t="n">
        <v>89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72.92</v>
      </c>
      <c r="P30" s="32" t="n">
        <v>33.51</v>
      </c>
      <c r="Q30" s="32" t="n">
        <v>944.05</v>
      </c>
      <c r="R30" s="31" t="inlineStr">
        <is>
          <t>Near 52W High Breakout</t>
        </is>
      </c>
      <c r="S30" s="31" t="inlineStr">
        <is>
          <t>Nifty 50</t>
        </is>
      </c>
      <c r="T30" s="32" t="n">
        <v>-6.08</v>
      </c>
      <c r="U30" s="32" t="n">
        <v>134.92</v>
      </c>
      <c r="V30" s="32" t="n">
        <v>150.14</v>
      </c>
      <c r="W30" s="32" t="n">
        <v>36.8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Between 1.5 to 2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IF(B31=0,"",RANK(B31,$B$2:$B$239,0))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NITINSPIN</t>
        </is>
      </c>
      <c r="D31" s="31" t="inlineStr">
        <is>
          <t>Nitin Spinners Limited</t>
        </is>
      </c>
      <c r="E31" s="31" t="inlineStr">
        <is>
          <t>textiles</t>
        </is>
      </c>
      <c r="F31" s="31" t="inlineStr">
        <is>
          <t>textiles - cotton/blended</t>
        </is>
      </c>
      <c r="G31" s="31" t="inlineStr">
        <is>
          <t>smallcap</t>
        </is>
      </c>
      <c r="H31" s="32" t="n">
        <v>3030.26</v>
      </c>
      <c r="I31" s="32" t="n">
        <v>524.1</v>
      </c>
      <c r="J31" s="32" t="n">
        <v>-2.76</v>
      </c>
      <c r="K31" s="32" t="n">
        <v>111714</v>
      </c>
      <c r="L31" s="31" t="n">
        <v>59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75.02</v>
      </c>
      <c r="P31" s="32" t="n">
        <v>53.87</v>
      </c>
      <c r="Q31" s="32" t="n">
        <v>415.25</v>
      </c>
      <c r="R31" s="31" t="inlineStr">
        <is>
          <t>Near 52W High Breakout</t>
        </is>
      </c>
      <c r="S31" s="31" t="inlineStr">
        <is>
          <t>Nifty 50</t>
        </is>
      </c>
      <c r="T31" s="32" t="n">
        <v>-6.08</v>
      </c>
      <c r="U31" s="32" t="n">
        <v>35.32</v>
      </c>
      <c r="V31" s="32" t="n">
        <v>44.09</v>
      </c>
      <c r="W31" s="32" t="n">
        <v>17.18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IF(B32=0,"",RANK(B32,$B$2:$B$239,0))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BELRISE</t>
        </is>
      </c>
      <c r="D32" s="31" t="inlineStr">
        <is>
          <t>Belrise Industries Ltd</t>
        </is>
      </c>
      <c r="E32" s="31" t="inlineStr">
        <is>
          <t>auto</t>
        </is>
      </c>
      <c r="F32" s="31" t="inlineStr">
        <is>
          <t>auto ancillaries</t>
        </is>
      </c>
      <c r="G32" s="31" t="inlineStr">
        <is>
          <t>largecap</t>
        </is>
      </c>
      <c r="H32" s="32" t="n">
        <v>20888.13</v>
      </c>
      <c r="I32" s="32" t="n">
        <v>227.13</v>
      </c>
      <c r="J32" s="32" t="n">
        <v>-3.24</v>
      </c>
      <c r="K32" s="32" t="n">
        <v>4999472</v>
      </c>
      <c r="L32" s="31" t="n">
        <v>75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69.47</v>
      </c>
      <c r="P32" s="32" t="n">
        <v>51.29</v>
      </c>
      <c r="Q32" s="32" t="n">
        <v>177.69</v>
      </c>
      <c r="R32" s="31" t="inlineStr">
        <is>
          <t>Volume Spike &amp; Near 52W High Breakout</t>
        </is>
      </c>
      <c r="S32" s="31" t="inlineStr">
        <is>
          <t>Nifty Auto</t>
        </is>
      </c>
      <c r="T32" s="32" t="n">
        <v>10.74</v>
      </c>
      <c r="U32" s="32" t="n">
        <v>123.66</v>
      </c>
      <c r="V32" s="32" t="n">
        <v>101.96</v>
      </c>
      <c r="W32" s="32" t="n">
        <v>24.09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Less than 12%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IF(B33=0,"",RANK(B33,$B$2:$B$239,0))</f>
        <v/>
      </c>
      <c r="B33" s="32">
        <f>SUM(N33,Y33,AA33,AC33,AE33,AG33,AI33,AK33,AM33,AO33,AQ33,AS33,AU33,AW33,AY33,BA33,BC33,BE33,BG33,BI33,BK33,BM33,BO33,BQ33,BS33,BU33,BW33,BY33,CA33,CC33,CE33)</f>
        <v/>
      </c>
      <c r="C33" s="33" t="inlineStr">
        <is>
          <t>GANESHBE</t>
        </is>
      </c>
      <c r="D33" s="33" t="inlineStr">
        <is>
          <t>Ganesh Benzoplast Ltd</t>
        </is>
      </c>
      <c r="E33" s="31" t="inlineStr">
        <is>
          <t>miscellaneous</t>
        </is>
      </c>
      <c r="F33" s="31" t="inlineStr">
        <is>
          <t>miscellaneous</t>
        </is>
      </c>
      <c r="G33" s="31" t="inlineStr">
        <is>
          <t>smallcap</t>
        </is>
      </c>
      <c r="H33" s="32" t="n">
        <v>796.28</v>
      </c>
      <c r="I33" s="32" t="n">
        <v>106.77</v>
      </c>
      <c r="J33" s="32" t="n">
        <v>-3.47</v>
      </c>
      <c r="K33" s="32" t="n">
        <v>210566</v>
      </c>
      <c r="L33" s="31" t="n">
        <v>24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62.57</v>
      </c>
      <c r="P33" s="32" t="n">
        <v>22.92</v>
      </c>
      <c r="Q33" s="32" t="n">
        <v>82.52</v>
      </c>
      <c r="R33" s="31" t="inlineStr">
        <is>
          <t>Near 52W High Breakout</t>
        </is>
      </c>
      <c r="S33" s="31" t="inlineStr">
        <is>
          <t>Nifty Energy</t>
        </is>
      </c>
      <c r="T33" s="32" t="n">
        <v>8.98</v>
      </c>
      <c r="U33" s="32" t="n">
        <v>-0.07000000000000001</v>
      </c>
      <c r="V33" s="32" t="n">
        <v>-8.300000000000001</v>
      </c>
      <c r="W33" s="32" t="n">
        <v>8.32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IF(B34=0,"",RANK(B34,$B$2:$B$239,0))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SHAILY</t>
        </is>
      </c>
      <c r="D34" s="31" t="inlineStr">
        <is>
          <t>Shaily Engineering Plastics Ltd</t>
        </is>
      </c>
      <c r="E34" s="31" t="inlineStr">
        <is>
          <t>plastic products</t>
        </is>
      </c>
      <c r="F34" s="31" t="inlineStr">
        <is>
          <t>plastics products</t>
        </is>
      </c>
      <c r="G34" s="31" t="inlineStr">
        <is>
          <t>midcap</t>
        </is>
      </c>
      <c r="H34" s="32" t="n">
        <v>14395.89</v>
      </c>
      <c r="I34" s="32" t="n">
        <v>3018.2</v>
      </c>
      <c r="J34" s="32" t="n">
        <v>-3.65</v>
      </c>
      <c r="K34" s="32" t="n">
        <v>202117</v>
      </c>
      <c r="L34" s="31" t="n">
        <v>77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67.70999999999999</v>
      </c>
      <c r="P34" s="32" t="n">
        <v>25.58</v>
      </c>
      <c r="Q34" s="32" t="n">
        <v>2186.39</v>
      </c>
      <c r="R34" s="31" t="inlineStr">
        <is>
          <t>Near 52W High Breakout</t>
        </is>
      </c>
      <c r="S34" s="31" t="inlineStr">
        <is>
          <t>Nifty 50</t>
        </is>
      </c>
      <c r="T34" s="32" t="n">
        <v>-6.08</v>
      </c>
      <c r="U34" s="32" t="n">
        <v>73.8</v>
      </c>
      <c r="V34" s="32" t="n">
        <v>85.05</v>
      </c>
      <c r="W34" s="32" t="n">
        <v>25.77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Between 1.5 to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IF(B35=0,"",RANK(B35,$B$2:$B$239,0))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MENONBE</t>
        </is>
      </c>
      <c r="D35" s="31" t="inlineStr">
        <is>
          <t>Menon Bearings Limited</t>
        </is>
      </c>
      <c r="E35" s="31" t="inlineStr">
        <is>
          <t>auto</t>
        </is>
      </c>
      <c r="F35" s="31" t="inlineStr">
        <is>
          <t>auto ancillaries</t>
        </is>
      </c>
      <c r="G35" s="31" t="inlineStr">
        <is>
          <t>smallcap</t>
        </is>
      </c>
      <c r="H35" s="32" t="n">
        <v>951.62</v>
      </c>
      <c r="I35" s="32" t="n">
        <v>163.2</v>
      </c>
      <c r="J35" s="32" t="n">
        <v>-3.89</v>
      </c>
      <c r="K35" s="32" t="n">
        <v>2895887</v>
      </c>
      <c r="L35" s="31" t="n">
        <v>46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69.58</v>
      </c>
      <c r="P35" s="32" t="n">
        <v>30.06</v>
      </c>
      <c r="Q35" s="32" t="n">
        <v>118.17</v>
      </c>
      <c r="R35" s="31" t="inlineStr">
        <is>
          <t>Volume Spike &amp; Near 52W High Breakout</t>
        </is>
      </c>
      <c r="S35" s="31" t="inlineStr">
        <is>
          <t>Nifty Auto</t>
        </is>
      </c>
      <c r="T35" s="32" t="n">
        <v>10.74</v>
      </c>
      <c r="U35" s="32" t="n">
        <v>34.04</v>
      </c>
      <c r="V35" s="32" t="n">
        <v>21.04</v>
      </c>
      <c r="W35" s="32" t="n">
        <v>14.09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IF(B36=0,"",RANK(B36,$B$2:$B$239,0))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AVALON</t>
        </is>
      </c>
      <c r="D36" s="31" t="inlineStr">
        <is>
          <t>Avalon Technologies Ltd</t>
        </is>
      </c>
      <c r="E36" s="31" t="inlineStr">
        <is>
          <t>consumer discretionary</t>
        </is>
      </c>
      <c r="F36" s="31" t="inlineStr">
        <is>
          <t>electronics - components</t>
        </is>
      </c>
      <c r="G36" s="31" t="inlineStr">
        <is>
          <t>midcap</t>
        </is>
      </c>
      <c r="H36" s="32" t="n">
        <v>10946.31</v>
      </c>
      <c r="I36" s="32" t="n">
        <v>1532.5</v>
      </c>
      <c r="J36" s="32" t="n">
        <v>-6.53</v>
      </c>
      <c r="K36" s="32" t="n">
        <v>428724</v>
      </c>
      <c r="L36" s="31" t="n">
        <v>85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69.09999999999999</v>
      </c>
      <c r="P36" s="32" t="n">
        <v>32.64</v>
      </c>
      <c r="Q36" s="32" t="n">
        <v>1153.3</v>
      </c>
      <c r="R36" s="31" t="inlineStr">
        <is>
          <t>Near 52W High Breakout</t>
        </is>
      </c>
      <c r="S36" s="31" t="inlineStr">
        <is>
          <t>Nifty 50</t>
        </is>
      </c>
      <c r="T36" s="32" t="n">
        <v>-6.08</v>
      </c>
      <c r="U36" s="32" t="n">
        <v>84.38</v>
      </c>
      <c r="V36" s="32" t="n">
        <v>96.33</v>
      </c>
      <c r="W36" s="32" t="n">
        <v>31.21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Less than 50%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IF(B37=0,"",RANK(B37,$B$2:$B$239,0))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MANORAMA</t>
        </is>
      </c>
      <c r="D37" s="31" t="inlineStr">
        <is>
          <t>Manorama Industries Ltd</t>
        </is>
      </c>
      <c r="E37" s="31" t="inlineStr">
        <is>
          <t>fmcg</t>
        </is>
      </c>
      <c r="F37" s="31" t="inlineStr">
        <is>
          <t>food - processing - indian</t>
        </is>
      </c>
      <c r="G37" s="31" t="inlineStr">
        <is>
          <t>midcap</t>
        </is>
      </c>
      <c r="H37" s="32" t="n">
        <v>8901.35</v>
      </c>
      <c r="I37" s="32" t="n">
        <v>1540.7</v>
      </c>
      <c r="J37" s="32" t="n">
        <v>3.35</v>
      </c>
      <c r="K37" s="32" t="n">
        <v>310920</v>
      </c>
      <c r="L37" s="31" t="n">
        <v>14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58.54</v>
      </c>
      <c r="P37" s="32" t="n">
        <v>14.25</v>
      </c>
      <c r="Q37" s="32" t="n">
        <v>1180.32</v>
      </c>
      <c r="R37" s="31" t="inlineStr">
        <is>
          <t>Near 52W High Breakout</t>
        </is>
      </c>
      <c r="S37" s="31" t="inlineStr">
        <is>
          <t>Nifty FMCG</t>
        </is>
      </c>
      <c r="T37" s="32" t="n">
        <v>-10.22</v>
      </c>
      <c r="U37" s="32" t="n">
        <v>8.550000000000001</v>
      </c>
      <c r="V37" s="32" t="n">
        <v>20.9</v>
      </c>
      <c r="W37" s="32" t="n">
        <v>6.22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B2C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0 to 20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IF(B38=0,"",RANK(B38,$B$2:$B$239,0))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ASTERDM</t>
        </is>
      </c>
      <c r="D38" s="31" t="inlineStr">
        <is>
          <t>Aster DM Healthcare Ltd</t>
        </is>
      </c>
      <c r="E38" s="31" t="inlineStr">
        <is>
          <t>healthcare</t>
        </is>
      </c>
      <c r="F38" s="31" t="inlineStr">
        <is>
          <t>healthcare</t>
        </is>
      </c>
      <c r="G38" s="31" t="inlineStr">
        <is>
          <t>largecap</t>
        </is>
      </c>
      <c r="H38" s="32" t="n">
        <v>40949.7</v>
      </c>
      <c r="I38" s="32" t="n">
        <v>812.9</v>
      </c>
      <c r="J38" s="32" t="n">
        <v>2.85</v>
      </c>
      <c r="K38" s="32" t="n">
        <v>2258113</v>
      </c>
      <c r="L38" s="31" t="n">
        <v>39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71.8</v>
      </c>
      <c r="P38" s="32" t="n">
        <v>36.94</v>
      </c>
      <c r="Q38" s="32" t="n">
        <v>666.08</v>
      </c>
      <c r="R38" s="31" t="inlineStr">
        <is>
          <t>Volume Spike &amp; Near 52W High Breakout</t>
        </is>
      </c>
      <c r="S38" s="31" t="inlineStr">
        <is>
          <t>Nifty Pharma</t>
        </is>
      </c>
      <c r="T38" s="32" t="n">
        <v>9.9</v>
      </c>
      <c r="U38" s="32" t="n">
        <v>43.55</v>
      </c>
      <c r="V38" s="32" t="n">
        <v>30.63</v>
      </c>
      <c r="W38" s="32" t="n">
        <v>12.32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Between 1.5 to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IF(B39=0,"",RANK(B39,$B$2:$B$239,0))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SANSTAR</t>
        </is>
      </c>
      <c r="D39" s="31" t="inlineStr">
        <is>
          <t>Sanstar Ltd</t>
        </is>
      </c>
      <c r="E39" s="31" t="inlineStr">
        <is>
          <t>fmcg</t>
        </is>
      </c>
      <c r="F39" s="31" t="inlineStr">
        <is>
          <t>miscellaneous</t>
        </is>
      </c>
      <c r="G39" s="31" t="inlineStr">
        <is>
          <t>smallcap</t>
        </is>
      </c>
      <c r="H39" s="32" t="n">
        <v>2070.48</v>
      </c>
      <c r="I39" s="32" t="n">
        <v>115.52</v>
      </c>
      <c r="J39" s="32" t="n">
        <v>1.68</v>
      </c>
      <c r="K39" s="32" t="n">
        <v>423751</v>
      </c>
      <c r="L39" s="31" t="n">
        <v>43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71.37</v>
      </c>
      <c r="P39" s="32" t="n">
        <v>28.94</v>
      </c>
      <c r="Q39" s="32" t="n">
        <v>93.03</v>
      </c>
      <c r="R39" s="31" t="inlineStr">
        <is>
          <t>Near 52W High Breakout</t>
        </is>
      </c>
      <c r="S39" s="31" t="inlineStr">
        <is>
          <t>Nifty FMCG</t>
        </is>
      </c>
      <c r="T39" s="32" t="n">
        <v>-10.22</v>
      </c>
      <c r="U39" s="32" t="n">
        <v>25.5</v>
      </c>
      <c r="V39" s="32" t="n">
        <v>39.78</v>
      </c>
      <c r="W39" s="32" t="n">
        <v>13.31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IF(B40=0,"",RANK(B40,$B$2:$B$239,0))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NGLFINE</t>
        </is>
      </c>
      <c r="D40" s="31" t="inlineStr">
        <is>
          <t>NGL Fine Chem Ltd</t>
        </is>
      </c>
      <c r="E40" s="31" t="inlineStr">
        <is>
          <t>healthcare</t>
        </is>
      </c>
      <c r="F40" s="31" t="inlineStr">
        <is>
          <t>pharmaceuticals - indian - bulk drugs</t>
        </is>
      </c>
      <c r="G40" s="31" t="inlineStr">
        <is>
          <t>smallcap</t>
        </is>
      </c>
      <c r="H40" s="32" t="n">
        <v>1742.64</v>
      </c>
      <c r="I40" s="32" t="n">
        <v>2811.8</v>
      </c>
      <c r="J40" s="32" t="n">
        <v>-0.32</v>
      </c>
      <c r="K40" s="32" t="n">
        <v>18459</v>
      </c>
      <c r="L40" s="31" t="n">
        <v>85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75.87</v>
      </c>
      <c r="P40" s="32" t="n">
        <v>65.39</v>
      </c>
      <c r="Q40" s="32" t="n">
        <v>1833.78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9.9</v>
      </c>
      <c r="U40" s="32" t="n">
        <v>168.18</v>
      </c>
      <c r="V40" s="32" t="n">
        <v>144.03</v>
      </c>
      <c r="W40" s="32" t="n">
        <v>30.66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IF(B41=0,"",RANK(B41,$B$2:$B$239,0))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TINNARUBR</t>
        </is>
      </c>
      <c r="D41" s="31" t="inlineStr">
        <is>
          <t>Tinna Rubber &amp; Infrastructure Ltd</t>
        </is>
      </c>
      <c r="E41" s="31" t="inlineStr">
        <is>
          <t>fmcg</t>
        </is>
      </c>
      <c r="F41" s="31" t="inlineStr">
        <is>
          <t>miscellaneous</t>
        </is>
      </c>
      <c r="G41" s="31" t="inlineStr">
        <is>
          <t>smallcap</t>
        </is>
      </c>
      <c r="H41" s="32" t="n">
        <v>1569.17</v>
      </c>
      <c r="I41" s="32" t="n">
        <v>867.9</v>
      </c>
      <c r="J41" s="32" t="n">
        <v>-0.36</v>
      </c>
      <c r="K41" s="32" t="n">
        <v>27433</v>
      </c>
      <c r="L41" s="31" t="n">
        <v>18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58.64</v>
      </c>
      <c r="P41" s="32" t="n">
        <v>21.5</v>
      </c>
      <c r="Q41" s="32" t="n">
        <v>611.22</v>
      </c>
      <c r="R41" s="31" t="inlineStr">
        <is>
          <t>Earnings / Momentum Support</t>
        </is>
      </c>
      <c r="S41" s="31" t="inlineStr">
        <is>
          <t>Nifty FMCG</t>
        </is>
      </c>
      <c r="T41" s="32" t="n">
        <v>-10.22</v>
      </c>
      <c r="U41" s="32" t="n">
        <v>-6.35</v>
      </c>
      <c r="V41" s="32" t="n">
        <v>4.31</v>
      </c>
      <c r="W41" s="32" t="n">
        <v>6.95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B2C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Between 50% to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IF(B42=0,"",RANK(B42,$B$2:$B$239,0))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NINSYS</t>
        </is>
      </c>
      <c r="D42" s="31" t="inlineStr">
        <is>
          <t>NINtec Systems Ltd</t>
        </is>
      </c>
      <c r="E42" s="31" t="inlineStr">
        <is>
          <t>i.t</t>
        </is>
      </c>
      <c r="F42" s="31" t="inlineStr">
        <is>
          <t>computers - software - medium / small</t>
        </is>
      </c>
      <c r="G42" s="31" t="inlineStr">
        <is>
          <t>smallcap</t>
        </is>
      </c>
      <c r="H42" s="32" t="n">
        <v>1335.43</v>
      </c>
      <c r="I42" s="32" t="n">
        <v>709.45</v>
      </c>
      <c r="J42" s="32" t="n">
        <v>-1.31</v>
      </c>
      <c r="K42" s="32" t="n">
        <v>4142</v>
      </c>
      <c r="L42" s="31" t="n">
        <v>94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82.56</v>
      </c>
      <c r="P42" s="32" t="n">
        <v>50.63</v>
      </c>
      <c r="Q42" s="32" t="n">
        <v>545.8200000000001</v>
      </c>
      <c r="R42" s="31" t="inlineStr">
        <is>
          <t>Near 52W High Breakout</t>
        </is>
      </c>
      <c r="S42" s="31" t="inlineStr">
        <is>
          <t>Nifty IT</t>
        </is>
      </c>
      <c r="T42" s="32" t="n">
        <v>-26.49</v>
      </c>
      <c r="U42" s="32" t="n">
        <v>53.01</v>
      </c>
      <c r="V42" s="32" t="n">
        <v>108.15</v>
      </c>
      <c r="W42" s="32" t="n">
        <v>49.11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Between 12 to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IF(B43=0,"",RANK(B43,$B$2:$B$239,0))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PIDILITIND</t>
        </is>
      </c>
      <c r="D43" s="31" t="inlineStr">
        <is>
          <t>Pidilite Industries Limited</t>
        </is>
      </c>
      <c r="E43" s="31" t="inlineStr">
        <is>
          <t>chemicals</t>
        </is>
      </c>
      <c r="F43" s="31" t="inlineStr">
        <is>
          <t>chemicals</t>
        </is>
      </c>
      <c r="G43" s="31" t="inlineStr">
        <is>
          <t>largecap</t>
        </is>
      </c>
      <c r="H43" s="32" t="n">
        <v>150812.61</v>
      </c>
      <c r="I43" s="32" t="n">
        <v>1506.5</v>
      </c>
      <c r="J43" s="32" t="n">
        <v>1.67</v>
      </c>
      <c r="K43" s="32" t="n">
        <v>1866212</v>
      </c>
      <c r="L43" s="31" t="n">
        <v>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58.95</v>
      </c>
      <c r="P43" s="32" t="n">
        <v>20.72</v>
      </c>
      <c r="Q43" s="32" t="n">
        <v>1296.41</v>
      </c>
      <c r="R43" s="31" t="inlineStr">
        <is>
          <t>Near 52W High Breakout</t>
        </is>
      </c>
      <c r="S43" s="31" t="inlineStr">
        <is>
          <t>Nifty 50</t>
        </is>
      </c>
      <c r="T43" s="32" t="n">
        <v>-6.08</v>
      </c>
      <c r="U43" s="32" t="n">
        <v>0.7</v>
      </c>
      <c r="V43" s="32" t="n">
        <v>7.23</v>
      </c>
      <c r="W43" s="32" t="n">
        <v>2.88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Between 1.5 to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IF(B44=0,"",RANK(B44,$B$2:$B$239,0))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RISHABH</t>
        </is>
      </c>
      <c r="D44" s="31" t="inlineStr">
        <is>
          <t>Rishabh Instruments Ltd</t>
        </is>
      </c>
      <c r="E44" s="31" t="inlineStr">
        <is>
          <t>industrials</t>
        </is>
      </c>
      <c r="F44" s="31" t="inlineStr">
        <is>
          <t>electric equipment</t>
        </is>
      </c>
      <c r="G44" s="31" t="inlineStr">
        <is>
          <t>smallcap</t>
        </is>
      </c>
      <c r="H44" s="32" t="n">
        <v>2024.44</v>
      </c>
      <c r="I44" s="32" t="n">
        <v>533.8</v>
      </c>
      <c r="J44" s="32" t="n">
        <v>1.64</v>
      </c>
      <c r="K44" s="32" t="n">
        <v>281566</v>
      </c>
      <c r="L44" s="31" t="n">
        <v>67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63.11</v>
      </c>
      <c r="P44" s="32" t="n">
        <v>29.07</v>
      </c>
      <c r="Q44" s="32" t="n">
        <v>367.57</v>
      </c>
      <c r="R44" s="31" t="inlineStr">
        <is>
          <t>Near 52W High Breakout</t>
        </is>
      </c>
      <c r="S44" s="31" t="inlineStr">
        <is>
          <t>Nifty Infra</t>
        </is>
      </c>
      <c r="T44" s="32" t="n">
        <v>0.99</v>
      </c>
      <c r="U44" s="32" t="n">
        <v>79.48999999999999</v>
      </c>
      <c r="V44" s="32" t="n">
        <v>77.72</v>
      </c>
      <c r="W44" s="32" t="n">
        <v>21.62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IF(B45=0,"",RANK(B45,$B$2:$B$239,0))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MAYURUNIQ</t>
        </is>
      </c>
      <c r="D45" s="31" t="inlineStr">
        <is>
          <t>Mayur Uniquoters Ltd</t>
        </is>
      </c>
      <c r="E45" s="31" t="inlineStr">
        <is>
          <t>consumer discretionary</t>
        </is>
      </c>
      <c r="F45" s="31" t="inlineStr">
        <is>
          <t>leather / leather products</t>
        </is>
      </c>
      <c r="G45" s="31" t="inlineStr">
        <is>
          <t>smallcap</t>
        </is>
      </c>
      <c r="H45" s="32" t="n">
        <v>3471.21</v>
      </c>
      <c r="I45" s="32" t="n">
        <v>811.25</v>
      </c>
      <c r="J45" s="32" t="n">
        <v>1.55</v>
      </c>
      <c r="K45" s="32" t="n">
        <v>1015825</v>
      </c>
      <c r="L45" s="31" t="n">
        <v>68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78.56</v>
      </c>
      <c r="P45" s="32" t="n">
        <v>35.68</v>
      </c>
      <c r="Q45" s="32" t="n">
        <v>631.4400000000001</v>
      </c>
      <c r="R45" s="31" t="inlineStr">
        <is>
          <t>Volume Spike &amp; Near 52W High Breakout</t>
        </is>
      </c>
      <c r="S45" s="31" t="inlineStr">
        <is>
          <t>Nifty 50</t>
        </is>
      </c>
      <c r="T45" s="32" t="n">
        <v>-6.08</v>
      </c>
      <c r="U45" s="32" t="n">
        <v>41.52</v>
      </c>
      <c r="V45" s="32" t="n">
        <v>50.69</v>
      </c>
      <c r="W45" s="32" t="n">
        <v>21.96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IF(B46=0,"",RANK(B46,$B$2:$B$239,0))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UNIPARTS</t>
        </is>
      </c>
      <c r="D46" s="31" t="inlineStr">
        <is>
          <t>Uniparts India Ltd</t>
        </is>
      </c>
      <c r="E46" s="31" t="inlineStr">
        <is>
          <t>industrials</t>
        </is>
      </c>
      <c r="F46" s="31" t="inlineStr">
        <is>
          <t>engineering</t>
        </is>
      </c>
      <c r="G46" s="31" t="inlineStr">
        <is>
          <t>smallcap</t>
        </is>
      </c>
      <c r="H46" s="32" t="n">
        <v>2890.51</v>
      </c>
      <c r="I46" s="32" t="n">
        <v>641.95</v>
      </c>
      <c r="J46" s="32" t="n">
        <v>0.26</v>
      </c>
      <c r="K46" s="32" t="n">
        <v>267656</v>
      </c>
      <c r="L46" s="31" t="n">
        <v>72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72.42</v>
      </c>
      <c r="P46" s="32" t="n">
        <v>34.24</v>
      </c>
      <c r="Q46" s="32" t="n">
        <v>493.17</v>
      </c>
      <c r="R46" s="31" t="inlineStr">
        <is>
          <t>Near 52W High Breakout</t>
        </is>
      </c>
      <c r="S46" s="31" t="inlineStr">
        <is>
          <t>Nifty 50</t>
        </is>
      </c>
      <c r="T46" s="32" t="n">
        <v>-6.08</v>
      </c>
      <c r="U46" s="32" t="n">
        <v>79.59999999999999</v>
      </c>
      <c r="V46" s="32" t="n">
        <v>91.23</v>
      </c>
      <c r="W46" s="32" t="n">
        <v>23.13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IF(B47=0,"",RANK(B47,$B$2:$B$239,0))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GRWRHITECH</t>
        </is>
      </c>
      <c r="D47" s="31" t="inlineStr">
        <is>
          <t>Garware Hi Tech Films Ltd</t>
        </is>
      </c>
      <c r="E47" s="31" t="inlineStr">
        <is>
          <t>industrials</t>
        </is>
      </c>
      <c r="F47" s="31" t="inlineStr">
        <is>
          <t>packaging</t>
        </is>
      </c>
      <c r="G47" s="31" t="inlineStr">
        <is>
          <t>midcap</t>
        </is>
      </c>
      <c r="H47" s="32" t="n">
        <v>14462.17</v>
      </c>
      <c r="I47" s="32" t="n">
        <v>6208</v>
      </c>
      <c r="J47" s="32" t="n">
        <v>-0.27</v>
      </c>
      <c r="K47" s="32" t="n">
        <v>75224</v>
      </c>
      <c r="L47" s="31" t="n">
        <v>73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74.40000000000001</v>
      </c>
      <c r="P47" s="32" t="n">
        <v>27.82</v>
      </c>
      <c r="Q47" s="32" t="n">
        <v>4576.25</v>
      </c>
      <c r="R47" s="31" t="inlineStr">
        <is>
          <t>Near 52W High Breakout</t>
        </is>
      </c>
      <c r="S47" s="31" t="inlineStr">
        <is>
          <t>Nifty 50</t>
        </is>
      </c>
      <c r="T47" s="32" t="n">
        <v>-6.08</v>
      </c>
      <c r="U47" s="32" t="n">
        <v>45.65</v>
      </c>
      <c r="V47" s="32" t="n">
        <v>55.09</v>
      </c>
      <c r="W47" s="32" t="n">
        <v>23.48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IF(B48=0,"",RANK(B48,$B$2:$B$239,0))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CUMMINSIND</t>
        </is>
      </c>
      <c r="D48" s="31" t="inlineStr">
        <is>
          <t>Cummins India Limited</t>
        </is>
      </c>
      <c r="E48" s="31" t="inlineStr">
        <is>
          <t>industrials</t>
        </is>
      </c>
      <c r="F48" s="31" t="inlineStr">
        <is>
          <t>engines</t>
        </is>
      </c>
      <c r="G48" s="31" t="inlineStr">
        <is>
          <t>largecap</t>
        </is>
      </c>
      <c r="H48" s="32" t="n">
        <v>155938.86</v>
      </c>
      <c r="I48" s="32" t="n">
        <v>5609.5</v>
      </c>
      <c r="J48" s="32" t="n">
        <v>-0.28</v>
      </c>
      <c r="K48" s="32" t="n">
        <v>276872</v>
      </c>
      <c r="L48" s="31" t="n">
        <v>54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69.04000000000001</v>
      </c>
      <c r="P48" s="32" t="n">
        <v>40.58</v>
      </c>
      <c r="Q48" s="32" t="n">
        <v>4961.74</v>
      </c>
      <c r="R48" s="31" t="inlineStr">
        <is>
          <t>Near 52W High Breakout</t>
        </is>
      </c>
      <c r="S48" s="31" t="inlineStr">
        <is>
          <t>Nifty 50</t>
        </is>
      </c>
      <c r="T48" s="32" t="n">
        <v>-6.08</v>
      </c>
      <c r="U48" s="32" t="n">
        <v>71.84999999999999</v>
      </c>
      <c r="V48" s="32" t="n">
        <v>82.98</v>
      </c>
      <c r="W48" s="32" t="n">
        <v>15.97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Between 50% to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IF(B49=0,"",RANK(B49,$B$2:$B$239,0))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THANGAMAYL</t>
        </is>
      </c>
      <c r="D49" s="31" t="inlineStr">
        <is>
          <t>Thangamayil Jewellery Limited</t>
        </is>
      </c>
      <c r="E49" s="31" t="inlineStr">
        <is>
          <t>consumer discretionary</t>
        </is>
      </c>
      <c r="F49" s="31" t="inlineStr">
        <is>
          <t>diamond cutting / jewellery</t>
        </is>
      </c>
      <c r="G49" s="31" t="inlineStr">
        <is>
          <t>midcap</t>
        </is>
      </c>
      <c r="H49" s="32" t="n">
        <v>17000.31</v>
      </c>
      <c r="I49" s="32" t="n">
        <v>5444.1</v>
      </c>
      <c r="J49" s="32" t="n">
        <v>-0.46</v>
      </c>
      <c r="K49" s="32" t="n">
        <v>107590</v>
      </c>
      <c r="L49" s="31" t="n">
        <v>89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70.95</v>
      </c>
      <c r="P49" s="32" t="n">
        <v>39.43</v>
      </c>
      <c r="Q49" s="32" t="n">
        <v>3921.19</v>
      </c>
      <c r="R49" s="31" t="inlineStr">
        <is>
          <t>Near 52W High Breakout</t>
        </is>
      </c>
      <c r="S49" s="31" t="inlineStr">
        <is>
          <t>Nifty 50</t>
        </is>
      </c>
      <c r="T49" s="32" t="n">
        <v>-6.08</v>
      </c>
      <c r="U49" s="32" t="n">
        <v>195.88</v>
      </c>
      <c r="V49" s="32" t="n">
        <v>215.05</v>
      </c>
      <c r="W49" s="32" t="n">
        <v>37.07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IF(B50=0,"",RANK(B50,$B$2:$B$239,0))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GOLDIAM</t>
        </is>
      </c>
      <c r="D50" s="31" t="inlineStr">
        <is>
          <t>Goldiam International Limited</t>
        </is>
      </c>
      <c r="E50" s="31" t="inlineStr">
        <is>
          <t>consumer discretionary</t>
        </is>
      </c>
      <c r="F50" s="31" t="inlineStr">
        <is>
          <t>diamond cutting / jewellery</t>
        </is>
      </c>
      <c r="G50" s="31" t="inlineStr">
        <is>
          <t>smallcap</t>
        </is>
      </c>
      <c r="H50" s="32" t="n">
        <v>4905.72</v>
      </c>
      <c r="I50" s="32" t="n">
        <v>431.6</v>
      </c>
      <c r="J50" s="32" t="n">
        <v>-0.66</v>
      </c>
      <c r="K50" s="32" t="n">
        <v>2181166</v>
      </c>
      <c r="L50" s="31" t="n">
        <v>51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59.89</v>
      </c>
      <c r="P50" s="32" t="n">
        <v>24.96</v>
      </c>
      <c r="Q50" s="32" t="n">
        <v>305.11</v>
      </c>
      <c r="R50" s="31" t="inlineStr">
        <is>
          <t>Near 52W High Breakout</t>
        </is>
      </c>
      <c r="S50" s="31" t="inlineStr">
        <is>
          <t>Nifty 50</t>
        </is>
      </c>
      <c r="T50" s="32" t="n">
        <v>-6.08</v>
      </c>
      <c r="U50" s="32" t="n">
        <v>21.37</v>
      </c>
      <c r="V50" s="32" t="n">
        <v>29.23</v>
      </c>
      <c r="W50" s="32" t="n">
        <v>15.19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Less than 50%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IF(B51=0,"",RANK(B51,$B$2:$B$239,0))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CENTENKA</t>
        </is>
      </c>
      <c r="D51" s="31" t="inlineStr">
        <is>
          <t>Century Enka Limited</t>
        </is>
      </c>
      <c r="E51" s="31" t="inlineStr">
        <is>
          <t>textiles</t>
        </is>
      </c>
      <c r="F51" s="31" t="inlineStr">
        <is>
          <t>textiles - manmade</t>
        </is>
      </c>
      <c r="G51" s="31" t="inlineStr">
        <is>
          <t>smallcap</t>
        </is>
      </c>
      <c r="H51" s="32" t="n">
        <v>1109.68</v>
      </c>
      <c r="I51" s="32" t="n">
        <v>502.5</v>
      </c>
      <c r="J51" s="32" t="n">
        <v>-1.05</v>
      </c>
      <c r="K51" s="32" t="n">
        <v>38770</v>
      </c>
      <c r="L51" s="31" t="n">
        <v>16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58.6</v>
      </c>
      <c r="P51" s="32" t="n">
        <v>28.09</v>
      </c>
      <c r="Q51" s="32" t="n">
        <v>405.26</v>
      </c>
      <c r="R51" s="31" t="inlineStr">
        <is>
          <t>Near 52W High Breakout</t>
        </is>
      </c>
      <c r="S51" s="31" t="inlineStr">
        <is>
          <t>Nifty 50</t>
        </is>
      </c>
      <c r="T51" s="32" t="n">
        <v>-6.08</v>
      </c>
      <c r="U51" s="32" t="n">
        <v>6.16</v>
      </c>
      <c r="V51" s="32" t="n">
        <v>13.03</v>
      </c>
      <c r="W51" s="32" t="n">
        <v>6.47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IF(B52=0,"",RANK(B52,$B$2:$B$239,0))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CEIGALL</t>
        </is>
      </c>
      <c r="D52" s="31" t="inlineStr">
        <is>
          <t>Ceigall India Ltd</t>
        </is>
      </c>
      <c r="E52" s="31" t="inlineStr">
        <is>
          <t>realty</t>
        </is>
      </c>
      <c r="F52" s="31" t="inlineStr">
        <is>
          <t>construction</t>
        </is>
      </c>
      <c r="G52" s="31" t="inlineStr">
        <is>
          <t>midcap</t>
        </is>
      </c>
      <c r="H52" s="32" t="n">
        <v>6382.87</v>
      </c>
      <c r="I52" s="32" t="n">
        <v>360.85</v>
      </c>
      <c r="J52" s="32" t="n">
        <v>-1.51</v>
      </c>
      <c r="K52" s="32" t="n">
        <v>856782</v>
      </c>
      <c r="L52" s="31" t="n">
        <v>55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69.31</v>
      </c>
      <c r="P52" s="32" t="n">
        <v>43.83</v>
      </c>
      <c r="Q52" s="32" t="n">
        <v>297.15</v>
      </c>
      <c r="R52" s="31" t="inlineStr">
        <is>
          <t>Near 52W High Breakout</t>
        </is>
      </c>
      <c r="S52" s="31" t="inlineStr">
        <is>
          <t>Nifty Realty</t>
        </is>
      </c>
      <c r="T52" s="32" t="n">
        <v>-25.71</v>
      </c>
      <c r="U52" s="32" t="n">
        <v>45.04</v>
      </c>
      <c r="V52" s="32" t="n">
        <v>95.23</v>
      </c>
      <c r="W52" s="32" t="n">
        <v>16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Negative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IF(B53=0,"",RANK(B53,$B$2:$B$239,0))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IDEA</t>
        </is>
      </c>
      <c r="D53" s="31" t="inlineStr">
        <is>
          <t>Vodafone Idea Ltd</t>
        </is>
      </c>
      <c r="E53" s="31" t="inlineStr">
        <is>
          <t>telecom-service</t>
        </is>
      </c>
      <c r="F53" s="31" t="inlineStr">
        <is>
          <t>telecommunications - service provider</t>
        </is>
      </c>
      <c r="G53" s="31" t="inlineStr">
        <is>
          <t>largecap</t>
        </is>
      </c>
      <c r="H53" s="32" t="n">
        <v>153197.05</v>
      </c>
      <c r="I53" s="32" t="n">
        <v>13.88</v>
      </c>
      <c r="J53" s="32" t="n">
        <v>-1.84</v>
      </c>
      <c r="K53" s="32" t="n">
        <v>739573180</v>
      </c>
      <c r="L53" s="31" t="n">
        <v>83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66.31999999999999</v>
      </c>
      <c r="P53" s="32" t="n">
        <v>26.06</v>
      </c>
      <c r="Q53" s="32" t="n">
        <v>11.69</v>
      </c>
      <c r="R53" s="31" t="inlineStr">
        <is>
          <t>Earnings / Momentum Support</t>
        </is>
      </c>
      <c r="S53" s="31" t="inlineStr">
        <is>
          <t>Nifty 500</t>
        </is>
      </c>
      <c r="T53" s="32" t="n">
        <v>-2.94</v>
      </c>
      <c r="U53" s="32" t="n">
        <v>108.1</v>
      </c>
      <c r="V53" s="32" t="n">
        <v>114.39</v>
      </c>
      <c r="W53" s="32" t="n">
        <v>29.18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IF(B54=0,"",RANK(B54,$B$2:$B$239,0))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TALBROAUTO</t>
        </is>
      </c>
      <c r="D54" s="31" t="inlineStr">
        <is>
          <t>Talbros Automotive Components Limited</t>
        </is>
      </c>
      <c r="E54" s="31" t="inlineStr">
        <is>
          <t>auto</t>
        </is>
      </c>
      <c r="F54" s="31" t="inlineStr">
        <is>
          <t>auto ancillaries</t>
        </is>
      </c>
      <c r="G54" s="31" t="inlineStr">
        <is>
          <t>smallcap</t>
        </is>
      </c>
      <c r="H54" s="32" t="n">
        <v>2222.52</v>
      </c>
      <c r="I54" s="32" t="n">
        <v>351.7</v>
      </c>
      <c r="J54" s="32" t="n">
        <v>-2.32</v>
      </c>
      <c r="K54" s="32" t="n">
        <v>127064</v>
      </c>
      <c r="L54" s="31" t="n">
        <v>41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67.26000000000001</v>
      </c>
      <c r="P54" s="32" t="n">
        <v>27.63</v>
      </c>
      <c r="Q54" s="32" t="n">
        <v>268.13</v>
      </c>
      <c r="R54" s="31" t="inlineStr">
        <is>
          <t>Near 52W High Breakout</t>
        </is>
      </c>
      <c r="S54" s="31" t="inlineStr">
        <is>
          <t>Nifty Auto</t>
        </is>
      </c>
      <c r="T54" s="32" t="n">
        <v>10.74</v>
      </c>
      <c r="U54" s="32" t="n">
        <v>16.35</v>
      </c>
      <c r="V54" s="32" t="n">
        <v>5.06</v>
      </c>
      <c r="W54" s="32" t="n">
        <v>13.01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Between 12 to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Between 50% to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IF(B55=0,"",RANK(B55,$B$2:$B$239,0))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SANSERA</t>
        </is>
      </c>
      <c r="D55" s="31" t="inlineStr">
        <is>
          <t>Sansera Engineering Ltd</t>
        </is>
      </c>
      <c r="E55" s="31" t="inlineStr">
        <is>
          <t>auto</t>
        </is>
      </c>
      <c r="F55" s="31" t="inlineStr">
        <is>
          <t>auto ancillaries</t>
        </is>
      </c>
      <c r="G55" s="31" t="inlineStr">
        <is>
          <t>midcap</t>
        </is>
      </c>
      <c r="H55" s="32" t="n">
        <v>18459.01</v>
      </c>
      <c r="I55" s="32" t="n">
        <v>2881.3</v>
      </c>
      <c r="J55" s="32" t="n">
        <v>-2.7</v>
      </c>
      <c r="K55" s="32" t="n">
        <v>228544</v>
      </c>
      <c r="L55" s="31" t="n">
        <v>81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71.55</v>
      </c>
      <c r="P55" s="32" t="n">
        <v>39.85</v>
      </c>
      <c r="Q55" s="32" t="n">
        <v>2290.73</v>
      </c>
      <c r="R55" s="31" t="inlineStr">
        <is>
          <t>Near 52W High Breakout</t>
        </is>
      </c>
      <c r="S55" s="31" t="inlineStr">
        <is>
          <t>Nifty Auto</t>
        </is>
      </c>
      <c r="T55" s="32" t="n">
        <v>10.74</v>
      </c>
      <c r="U55" s="32" t="n">
        <v>119.74</v>
      </c>
      <c r="V55" s="32" t="n">
        <v>98.43000000000001</v>
      </c>
      <c r="W55" s="32" t="n">
        <v>27.6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Between 50% to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IF(B56=0,"",RANK(B56,$B$2:$B$239,0))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MODISONLTD</t>
        </is>
      </c>
      <c r="D56" s="31" t="inlineStr">
        <is>
          <t>Modison Ltd</t>
        </is>
      </c>
      <c r="E56" s="31" t="inlineStr">
        <is>
          <t>industrials</t>
        </is>
      </c>
      <c r="F56" s="31" t="inlineStr">
        <is>
          <t>electric equipment</t>
        </is>
      </c>
      <c r="G56" s="31" t="inlineStr">
        <is>
          <t>smallcap</t>
        </is>
      </c>
      <c r="H56" s="32" t="n">
        <v>1062.41</v>
      </c>
      <c r="I56" s="32" t="n">
        <v>311.05</v>
      </c>
      <c r="J56" s="32" t="n">
        <v>-4.99</v>
      </c>
      <c r="K56" s="32" t="n">
        <v>37289</v>
      </c>
      <c r="L56" s="31" t="n">
        <v>97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72.63</v>
      </c>
      <c r="P56" s="32" t="n">
        <v>34.44</v>
      </c>
      <c r="Q56" s="32" t="n">
        <v>274.32</v>
      </c>
      <c r="R56" s="31" t="inlineStr">
        <is>
          <t>Earnings / Momentum Support</t>
        </is>
      </c>
      <c r="S56" s="31" t="inlineStr">
        <is>
          <t>Nifty 50</t>
        </is>
      </c>
      <c r="T56" s="32" t="n">
        <v>-6.08</v>
      </c>
      <c r="U56" s="32" t="n">
        <v>95.23999999999999</v>
      </c>
      <c r="V56" s="32" t="n">
        <v>107.89</v>
      </c>
      <c r="W56" s="32" t="n">
        <v>59.84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IF(B57=0,"",RANK(B57,$B$2:$B$239,0))</f>
        <v/>
      </c>
      <c r="B57" s="32">
        <f>SUM(N57,Y57,AA57,AC57,AE57,AG57,AI57,AK57,AM57,AO57,AQ57,AS57,AU57,AW57,AY57,BA57,BC57,BE57,BG57,BI57,BK57,BM57,BO57,BQ57,BS57,BU57,BW57,BY57,CA57,CC57,CE57)</f>
        <v/>
      </c>
      <c r="C57" s="33" t="inlineStr">
        <is>
          <t>INNOVACAP</t>
        </is>
      </c>
      <c r="D57" s="33" t="inlineStr">
        <is>
          <t>Innova Captab Ltd</t>
        </is>
      </c>
      <c r="E57" s="31" t="inlineStr">
        <is>
          <t>healthcare</t>
        </is>
      </c>
      <c r="F57" s="31" t="inlineStr">
        <is>
          <t>pharmaceuticals - indian - bulk drugs &amp; formln</t>
        </is>
      </c>
      <c r="G57" s="31" t="inlineStr">
        <is>
          <t>midcap</t>
        </is>
      </c>
      <c r="H57" s="32" t="n">
        <v>5234.36</v>
      </c>
      <c r="I57" s="32" t="n">
        <v>910.1</v>
      </c>
      <c r="J57" s="32" t="n">
        <v>-0.5</v>
      </c>
      <c r="K57" s="32" t="n">
        <v>123555</v>
      </c>
      <c r="L57" s="31" t="n">
        <v>16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68.98999999999999</v>
      </c>
      <c r="P57" s="32" t="n">
        <v>27.28</v>
      </c>
      <c r="Q57" s="32" t="n">
        <v>711.38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9.9</v>
      </c>
      <c r="U57" s="32" t="n">
        <v>0.61</v>
      </c>
      <c r="V57" s="32" t="n">
        <v>-8.449999999999999</v>
      </c>
      <c r="W57" s="32" t="n">
        <v>6.59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Between 50% to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IF(B58=0,"",RANK(B58,$B$2:$B$239,0))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PIXTRANS</t>
        </is>
      </c>
      <c r="D58" s="31" t="inlineStr">
        <is>
          <t>Pix Transmission Ltd</t>
        </is>
      </c>
      <c r="E58" s="31" t="inlineStr">
        <is>
          <t>fmcg</t>
        </is>
      </c>
      <c r="F58" s="31" t="inlineStr">
        <is>
          <t>miscellaneous</t>
        </is>
      </c>
      <c r="G58" s="31" t="inlineStr">
        <is>
          <t>smallcap</t>
        </is>
      </c>
      <c r="H58" s="32" t="n">
        <v>2184.39</v>
      </c>
      <c r="I58" s="32" t="n">
        <v>1591.9</v>
      </c>
      <c r="J58" s="32" t="n">
        <v>-0.7</v>
      </c>
      <c r="K58" s="32" t="n">
        <v>5465</v>
      </c>
      <c r="L58" s="31" t="n">
        <v>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58.5</v>
      </c>
      <c r="P58" s="32" t="n">
        <v>20.2</v>
      </c>
      <c r="Q58" s="32" t="n">
        <v>1316.56</v>
      </c>
      <c r="R58" s="31" t="inlineStr">
        <is>
          <t>Near 52W High Breakout</t>
        </is>
      </c>
      <c r="S58" s="31" t="inlineStr">
        <is>
          <t>Nifty FMCG</t>
        </is>
      </c>
      <c r="T58" s="32" t="n">
        <v>-10.22</v>
      </c>
      <c r="U58" s="32" t="n">
        <v>2.41</v>
      </c>
      <c r="V58" s="32" t="n">
        <v>14.06</v>
      </c>
      <c r="W58" s="32" t="n">
        <v>3.45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B2C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Less than 12%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IF(B59=0,"",RANK(B59,$B$2:$B$239,0))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SUPRIYA</t>
        </is>
      </c>
      <c r="D59" s="31" t="inlineStr">
        <is>
          <t>Supriya Lifescience Ltd</t>
        </is>
      </c>
      <c r="E59" s="31" t="inlineStr">
        <is>
          <t>healthcare</t>
        </is>
      </c>
      <c r="F59" s="31" t="inlineStr">
        <is>
          <t>pharmaceuticals - indian - bulk drugs &amp; formln</t>
        </is>
      </c>
      <c r="G59" s="31" t="inlineStr">
        <is>
          <t>midcap</t>
        </is>
      </c>
      <c r="H59" s="32" t="n">
        <v>7749.69</v>
      </c>
      <c r="I59" s="32" t="n">
        <v>952.4</v>
      </c>
      <c r="J59" s="32" t="n">
        <v>-1.09</v>
      </c>
      <c r="K59" s="32" t="n">
        <v>713702</v>
      </c>
      <c r="L59" s="31" t="n">
        <v>73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75.84999999999999</v>
      </c>
      <c r="P59" s="32" t="n">
        <v>33.96</v>
      </c>
      <c r="Q59" s="32" t="n">
        <v>732.62</v>
      </c>
      <c r="R59" s="31" t="inlineStr">
        <is>
          <t>Near 52W High Breakout</t>
        </is>
      </c>
      <c r="S59" s="31" t="inlineStr">
        <is>
          <t>Nifty Pharma</t>
        </is>
      </c>
      <c r="T59" s="32" t="n">
        <v>9.9</v>
      </c>
      <c r="U59" s="32" t="n">
        <v>38.33</v>
      </c>
      <c r="V59" s="32" t="n">
        <v>25.87</v>
      </c>
      <c r="W59" s="32" t="n">
        <v>23.34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IF(B60=0,"",RANK(B60,$B$2:$B$239,0))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NEULANDLAB</t>
        </is>
      </c>
      <c r="D60" s="31" t="inlineStr">
        <is>
          <t>Neuland Laboratories Limited</t>
        </is>
      </c>
      <c r="E60" s="31" t="inlineStr">
        <is>
          <t>healthcare</t>
        </is>
      </c>
      <c r="F60" s="31" t="inlineStr">
        <is>
          <t>pharmaceuticals - indian - bulk drugs</t>
        </is>
      </c>
      <c r="G60" s="31" t="inlineStr">
        <is>
          <t>largecap</t>
        </is>
      </c>
      <c r="H60" s="32" t="n">
        <v>22052.01</v>
      </c>
      <c r="I60" s="32" t="n">
        <v>16946</v>
      </c>
      <c r="J60" s="32" t="n">
        <v>-1.41</v>
      </c>
      <c r="K60" s="32" t="n">
        <v>17369</v>
      </c>
      <c r="L60" s="31" t="n">
        <v>51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61.11</v>
      </c>
      <c r="P60" s="32" t="n">
        <v>31.15</v>
      </c>
      <c r="Q60" s="32" t="n">
        <v>13826.53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9.9</v>
      </c>
      <c r="U60" s="32" t="n">
        <v>28.55</v>
      </c>
      <c r="V60" s="32" t="n">
        <v>16.98</v>
      </c>
      <c r="W60" s="32" t="n">
        <v>15.28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IF(B61=0,"",RANK(B61,$B$2:$B$239,0))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SPARC</t>
        </is>
      </c>
      <c r="D61" s="31" t="inlineStr">
        <is>
          <t>Sun Pharma Advanced Research Company Limited</t>
        </is>
      </c>
      <c r="E61" s="31" t="inlineStr">
        <is>
          <t>healthcare</t>
        </is>
      </c>
      <c r="F61" s="31" t="inlineStr">
        <is>
          <t>miscellaneous</t>
        </is>
      </c>
      <c r="G61" s="31" t="inlineStr">
        <is>
          <t>midcap</t>
        </is>
      </c>
      <c r="H61" s="32" t="n">
        <v>6788.67</v>
      </c>
      <c r="I61" s="32" t="n">
        <v>205.92</v>
      </c>
      <c r="J61" s="32" t="n">
        <v>-1.56</v>
      </c>
      <c r="K61" s="32" t="n">
        <v>2080904</v>
      </c>
      <c r="L61" s="31" t="n">
        <v>74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70.19</v>
      </c>
      <c r="P61" s="32" t="n">
        <v>46.16</v>
      </c>
      <c r="Q61" s="32" t="n">
        <v>147.23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9.9</v>
      </c>
      <c r="U61" s="32" t="n">
        <v>24.12</v>
      </c>
      <c r="V61" s="32" t="n">
        <v>12.95</v>
      </c>
      <c r="W61" s="32" t="n">
        <v>23.95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Negative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IF(B62=0,"",RANK(B62,$B$2:$B$239,0))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SHILPAMED</t>
        </is>
      </c>
      <c r="D62" s="31" t="inlineStr">
        <is>
          <t>Shilpa Medicare Limited</t>
        </is>
      </c>
      <c r="E62" s="31" t="inlineStr">
        <is>
          <t>healthcare</t>
        </is>
      </c>
      <c r="F62" s="31" t="inlineStr">
        <is>
          <t>pharmaceuticals - indian - formulations</t>
        </is>
      </c>
      <c r="G62" s="31" t="inlineStr">
        <is>
          <t>midcap</t>
        </is>
      </c>
      <c r="H62" s="32" t="n">
        <v>11131.54</v>
      </c>
      <c r="I62" s="32" t="n">
        <v>558.8</v>
      </c>
      <c r="J62" s="32" t="n">
        <v>-1.82</v>
      </c>
      <c r="K62" s="32" t="n">
        <v>1008532</v>
      </c>
      <c r="L62" s="31" t="n">
        <v>72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80.5</v>
      </c>
      <c r="P62" s="32" t="n">
        <v>44.75</v>
      </c>
      <c r="Q62" s="32" t="n">
        <v>435.98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9.9</v>
      </c>
      <c r="U62" s="32" t="n">
        <v>13.51</v>
      </c>
      <c r="V62" s="32" t="n">
        <v>3.29</v>
      </c>
      <c r="W62" s="32" t="n">
        <v>23.16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IF(B63=0,"",RANK(B63,$B$2:$B$239,0))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AVTNPL</t>
        </is>
      </c>
      <c r="D63" s="31" t="inlineStr">
        <is>
          <t>Avt Natural Products Limited</t>
        </is>
      </c>
      <c r="E63" s="31" t="inlineStr">
        <is>
          <t>fmcg</t>
        </is>
      </c>
      <c r="F63" s="31" t="inlineStr">
        <is>
          <t>solvent extraction</t>
        </is>
      </c>
      <c r="G63" s="31" t="inlineStr">
        <is>
          <t>smallcap</t>
        </is>
      </c>
      <c r="H63" s="32" t="n">
        <v>1102.69</v>
      </c>
      <c r="I63" s="32" t="n">
        <v>70.56999999999999</v>
      </c>
      <c r="J63" s="32" t="n">
        <v>-2.54</v>
      </c>
      <c r="K63" s="32" t="n">
        <v>72479</v>
      </c>
      <c r="L63" s="31" t="n">
        <v>14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57.17</v>
      </c>
      <c r="P63" s="32" t="n">
        <v>23.51</v>
      </c>
      <c r="Q63" s="32" t="n">
        <v>55.01</v>
      </c>
      <c r="R63" s="31" t="inlineStr">
        <is>
          <t>Earnings / Momentum Support</t>
        </is>
      </c>
      <c r="S63" s="31" t="inlineStr">
        <is>
          <t>Nifty FMCG</t>
        </is>
      </c>
      <c r="T63" s="32" t="n">
        <v>-10.22</v>
      </c>
      <c r="U63" s="32" t="n">
        <v>9.51</v>
      </c>
      <c r="V63" s="32" t="n">
        <v>21.97</v>
      </c>
      <c r="W63" s="32" t="n">
        <v>6.11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B2C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Less than 50%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IF(B64=0,"",RANK(B64,$B$2:$B$239,0))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THYROCARE</t>
        </is>
      </c>
      <c r="D64" s="31" t="inlineStr">
        <is>
          <t>Thyrocare Technologies Limited</t>
        </is>
      </c>
      <c r="E64" s="31" t="inlineStr">
        <is>
          <t>healthcare</t>
        </is>
      </c>
      <c r="F64" s="31" t="inlineStr">
        <is>
          <t>healthcare</t>
        </is>
      </c>
      <c r="G64" s="31" t="inlineStr">
        <is>
          <t>midcap</t>
        </is>
      </c>
      <c r="H64" s="32" t="n">
        <v>8721.459999999999</v>
      </c>
      <c r="I64" s="32" t="n">
        <v>532.8</v>
      </c>
      <c r="J64" s="32" t="n">
        <v>-2.76</v>
      </c>
      <c r="K64" s="32" t="n">
        <v>336527</v>
      </c>
      <c r="L64" s="31" t="n">
        <v>68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69.43000000000001</v>
      </c>
      <c r="P64" s="32" t="n">
        <v>25.68</v>
      </c>
      <c r="Q64" s="32" t="n">
        <v>399.42</v>
      </c>
      <c r="R64" s="31" t="inlineStr">
        <is>
          <t>Near 52W High Breakout</t>
        </is>
      </c>
      <c r="S64" s="31" t="inlineStr">
        <is>
          <t>Nifty Pharma</t>
        </is>
      </c>
      <c r="T64" s="32" t="n">
        <v>9.9</v>
      </c>
      <c r="U64" s="32" t="n">
        <v>59.87</v>
      </c>
      <c r="V64" s="32" t="n">
        <v>45.47</v>
      </c>
      <c r="W64" s="32" t="n">
        <v>22.16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IF(B65=0,"",RANK(B65,$B$2:$B$239,0))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WHEELS</t>
        </is>
      </c>
      <c r="D65" s="31" t="inlineStr">
        <is>
          <t>Wheels India Limited</t>
        </is>
      </c>
      <c r="E65" s="31" t="inlineStr">
        <is>
          <t>auto</t>
        </is>
      </c>
      <c r="F65" s="31" t="inlineStr">
        <is>
          <t>auto ancillaries</t>
        </is>
      </c>
      <c r="G65" s="31" t="inlineStr">
        <is>
          <t>smallcap</t>
        </is>
      </c>
      <c r="H65" s="32" t="n">
        <v>3683.52</v>
      </c>
      <c r="I65" s="32" t="n">
        <v>1583.6</v>
      </c>
      <c r="J65" s="32" t="n">
        <v>5.04</v>
      </c>
      <c r="K65" s="32" t="n">
        <v>306591</v>
      </c>
      <c r="L65" s="31" t="n">
        <v>87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72.14</v>
      </c>
      <c r="P65" s="32" t="n">
        <v>50.12</v>
      </c>
      <c r="Q65" s="32" t="n">
        <v>1290.66</v>
      </c>
      <c r="R65" s="31" t="inlineStr">
        <is>
          <t>Earnings / Momentum Support</t>
        </is>
      </c>
      <c r="S65" s="31" t="inlineStr">
        <is>
          <t>Nifty Auto</t>
        </is>
      </c>
      <c r="T65" s="32" t="n">
        <v>10.74</v>
      </c>
      <c r="U65" s="32" t="n">
        <v>114.61</v>
      </c>
      <c r="V65" s="32" t="n">
        <v>93.79000000000001</v>
      </c>
      <c r="W65" s="32" t="n">
        <v>34.64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Less than 12%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IF(B66=0,"",RANK(B66,$B$2:$B$239,0))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CEMPRO</t>
        </is>
      </c>
      <c r="D66" s="31" t="inlineStr">
        <is>
          <t>Cemindia Projects Ltd</t>
        </is>
      </c>
      <c r="E66" s="31" t="inlineStr">
        <is>
          <t>realty</t>
        </is>
      </c>
      <c r="F66" s="31" t="inlineStr">
        <is>
          <t>construction</t>
        </is>
      </c>
      <c r="G66" s="31" t="inlineStr">
        <is>
          <t>largecap</t>
        </is>
      </c>
      <c r="H66" s="32" t="n">
        <v>20679.79</v>
      </c>
      <c r="I66" s="32" t="n">
        <v>1237.1</v>
      </c>
      <c r="J66" s="32" t="n">
        <v>2.77</v>
      </c>
      <c r="K66" s="32" t="n">
        <v>2035514</v>
      </c>
      <c r="L66" s="31" t="n">
        <v>93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78.63</v>
      </c>
      <c r="P66" s="32" t="n">
        <v>37.3</v>
      </c>
      <c r="Q66" s="32" t="n">
        <v>945.61</v>
      </c>
      <c r="R66" s="31" t="inlineStr">
        <is>
          <t>Near 52W High Breakout</t>
        </is>
      </c>
      <c r="S66" s="31" t="inlineStr">
        <is>
          <t>Nifty Realty</t>
        </is>
      </c>
      <c r="T66" s="32" t="n">
        <v>-25.71</v>
      </c>
      <c r="U66" s="32" t="n">
        <v>61.1</v>
      </c>
      <c r="V66" s="32" t="n">
        <v>116.85</v>
      </c>
      <c r="W66" s="32" t="n">
        <v>46.29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Less than 50%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IF(B67=0,"",RANK(B67,$B$2:$B$239,0))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HSCL</t>
        </is>
      </c>
      <c r="D67" s="31" t="inlineStr">
        <is>
          <t>Himadri Speciality Chemical Limited</t>
        </is>
      </c>
      <c r="E67" s="31" t="inlineStr">
        <is>
          <t>chemicals</t>
        </is>
      </c>
      <c r="F67" s="31" t="inlineStr">
        <is>
          <t>chemicals</t>
        </is>
      </c>
      <c r="G67" s="31" t="inlineStr">
        <is>
          <t>largecap</t>
        </is>
      </c>
      <c r="H67" s="32" t="n">
        <v>34283.6</v>
      </c>
      <c r="I67" s="32" t="n">
        <v>693</v>
      </c>
      <c r="J67" s="32" t="n">
        <v>1.99</v>
      </c>
      <c r="K67" s="32" t="n">
        <v>21296979</v>
      </c>
      <c r="L67" s="31" t="n">
        <v>67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74.59</v>
      </c>
      <c r="P67" s="32" t="n">
        <v>30.36</v>
      </c>
      <c r="Q67" s="32" t="n">
        <v>529.55</v>
      </c>
      <c r="R67" s="31" t="inlineStr">
        <is>
          <t>Near 52W High Breakout</t>
        </is>
      </c>
      <c r="S67" s="31" t="inlineStr">
        <is>
          <t>Nifty 50</t>
        </is>
      </c>
      <c r="T67" s="32" t="n">
        <v>-6.08</v>
      </c>
      <c r="U67" s="32" t="n">
        <v>47.82</v>
      </c>
      <c r="V67" s="32" t="n">
        <v>57.39</v>
      </c>
      <c r="W67" s="32" t="n">
        <v>21.94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Between 1.5 to 2</t>
        </is>
      </c>
      <c r="BU67" s="31">
        <f>IF(BT67="Above 2",0,IF(BT67="Between 1.5 to 2",5,IF(BT67="Less than 1.5",10,0)))</f>
        <v/>
      </c>
      <c r="BV67" s="31" t="inlineStr">
        <is>
          <t>Less than 50%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IF(B68=0,"",RANK(B68,$B$2:$B$239,0))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HITECHCORP</t>
        </is>
      </c>
      <c r="D68" s="31" t="inlineStr">
        <is>
          <t>Hitech Corporation</t>
        </is>
      </c>
      <c r="E68" s="31" t="inlineStr">
        <is>
          <t>industrials</t>
        </is>
      </c>
      <c r="F68" s="31" t="inlineStr">
        <is>
          <t>packaging</t>
        </is>
      </c>
      <c r="G68" s="31" t="inlineStr">
        <is>
          <t>smallcap</t>
        </is>
      </c>
      <c r="H68" s="32" t="n">
        <v>531.28</v>
      </c>
      <c r="I68" s="32" t="n">
        <v>314.65</v>
      </c>
      <c r="J68" s="32" t="n">
        <v>1.72</v>
      </c>
      <c r="K68" s="32" t="n">
        <v>40950</v>
      </c>
      <c r="L68" s="31" t="n">
        <v>94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82.06999999999999</v>
      </c>
      <c r="P68" s="32" t="n">
        <v>34.95</v>
      </c>
      <c r="Q68" s="32" t="n">
        <v>233.98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-6.08</v>
      </c>
      <c r="U68" s="32" t="n">
        <v>66.06999999999999</v>
      </c>
      <c r="V68" s="32" t="n">
        <v>76.81999999999999</v>
      </c>
      <c r="W68" s="32" t="n">
        <v>48.54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Between 50% to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IF(B69=0,"",RANK(B69,$B$2:$B$239,0))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PARAS</t>
        </is>
      </c>
      <c r="D69" s="31" t="inlineStr">
        <is>
          <t>Paras Defence and Space Technologies Ltd</t>
        </is>
      </c>
      <c r="E69" s="31" t="inlineStr">
        <is>
          <t>aerospace &amp; defence</t>
        </is>
      </c>
      <c r="F69" s="31" t="inlineStr">
        <is>
          <t>engineering</t>
        </is>
      </c>
      <c r="G69" s="31" t="inlineStr">
        <is>
          <t>midcap</t>
        </is>
      </c>
      <c r="H69" s="32" t="n">
        <v>8374.23</v>
      </c>
      <c r="I69" s="32" t="n">
        <v>1040.5</v>
      </c>
      <c r="J69" s="32" t="n">
        <v>0.13</v>
      </c>
      <c r="K69" s="32" t="n">
        <v>5841234</v>
      </c>
      <c r="L69" s="31" t="n">
        <v>65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70.89</v>
      </c>
      <c r="P69" s="32" t="n">
        <v>38.03</v>
      </c>
      <c r="Q69" s="32" t="n">
        <v>766.4</v>
      </c>
      <c r="R69" s="31" t="inlineStr">
        <is>
          <t>Volume Spike &amp; Near 52W High Breakout</t>
        </is>
      </c>
      <c r="S69" s="31" t="inlineStr">
        <is>
          <t>Nifty 50</t>
        </is>
      </c>
      <c r="T69" s="32" t="n">
        <v>-6.08</v>
      </c>
      <c r="U69" s="32" t="n">
        <v>28.14</v>
      </c>
      <c r="V69" s="32" t="n">
        <v>36.44</v>
      </c>
      <c r="W69" s="32" t="n">
        <v>20.62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IF(B70=0,"",RANK(B70,$B$2:$B$239,0))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ADANIPORTS</t>
        </is>
      </c>
      <c r="D70" s="31" t="inlineStr">
        <is>
          <t>Adani Ports And Special Economic Zone Limited</t>
        </is>
      </c>
      <c r="E70" s="31" t="inlineStr">
        <is>
          <t>transportation</t>
        </is>
      </c>
      <c r="F70" s="31" t="inlineStr">
        <is>
          <t>miscellaneous</t>
        </is>
      </c>
      <c r="G70" s="31" t="inlineStr">
        <is>
          <t>largecap</t>
        </is>
      </c>
      <c r="H70" s="32" t="n">
        <v>420795.09</v>
      </c>
      <c r="I70" s="32" t="n">
        <v>1821.2</v>
      </c>
      <c r="J70" s="32" t="n">
        <v>-0.28</v>
      </c>
      <c r="K70" s="32" t="n">
        <v>2933100</v>
      </c>
      <c r="L70" s="31" t="n">
        <v>42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71.88</v>
      </c>
      <c r="P70" s="32" t="n">
        <v>27.31</v>
      </c>
      <c r="Q70" s="32" t="n">
        <v>1546.93</v>
      </c>
      <c r="R70" s="31" t="inlineStr">
        <is>
          <t>Near 52W High Breakout</t>
        </is>
      </c>
      <c r="S70" s="31" t="inlineStr">
        <is>
          <t>Nifty 50</t>
        </is>
      </c>
      <c r="T70" s="32" t="n">
        <v>-6.08</v>
      </c>
      <c r="U70" s="32" t="n">
        <v>30.25</v>
      </c>
      <c r="V70" s="32" t="n">
        <v>38.69</v>
      </c>
      <c r="W70" s="32" t="n">
        <v>13.13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Less than 12%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IF(B71=0,"",RANK(B71,$B$2:$B$239,0))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PTL</t>
        </is>
      </c>
      <c r="D71" s="31" t="inlineStr">
        <is>
          <t>Ptl Enterprises Limited</t>
        </is>
      </c>
      <c r="E71" s="31" t="inlineStr">
        <is>
          <t>miscellaneous</t>
        </is>
      </c>
      <c r="F71" s="31" t="inlineStr">
        <is>
          <t>miscellaneous</t>
        </is>
      </c>
      <c r="G71" s="31" t="inlineStr">
        <is>
          <t>smallcap</t>
        </is>
      </c>
      <c r="H71" s="32" t="n">
        <v>534.54</v>
      </c>
      <c r="I71" s="32" t="n">
        <v>40.24</v>
      </c>
      <c r="J71" s="32" t="n">
        <v>-0.35</v>
      </c>
      <c r="K71" s="32" t="n">
        <v>49956</v>
      </c>
      <c r="L71" s="31" t="n">
        <v>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57.31</v>
      </c>
      <c r="P71" s="32" t="n">
        <v>11.53</v>
      </c>
      <c r="Q71" s="32" t="n">
        <v>34.84</v>
      </c>
      <c r="R71" s="31" t="inlineStr">
        <is>
          <t>Near 52W High Breakout</t>
        </is>
      </c>
      <c r="S71" s="31" t="inlineStr">
        <is>
          <t>Nifty 50</t>
        </is>
      </c>
      <c r="T71" s="32" t="n">
        <v>-6.08</v>
      </c>
      <c r="U71" s="32" t="n">
        <v>3.41</v>
      </c>
      <c r="V71" s="32" t="n">
        <v>10.11</v>
      </c>
      <c r="W71" s="32" t="n">
        <v>2.36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0 to 20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IF(B72=0,"",RANK(B72,$B$2:$B$239,0))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SANGAMIND</t>
        </is>
      </c>
      <c r="D72" s="31" t="inlineStr">
        <is>
          <t>Sangam (india) Limited</t>
        </is>
      </c>
      <c r="E72" s="31" t="inlineStr">
        <is>
          <t>textiles</t>
        </is>
      </c>
      <c r="F72" s="31" t="inlineStr">
        <is>
          <t>textiles - spinning - synthetic / blended</t>
        </is>
      </c>
      <c r="G72" s="31" t="inlineStr">
        <is>
          <t>smallcap</t>
        </is>
      </c>
      <c r="H72" s="32" t="n">
        <v>2670.35</v>
      </c>
      <c r="I72" s="32" t="n">
        <v>528.15</v>
      </c>
      <c r="J72" s="32" t="n">
        <v>-0.62</v>
      </c>
      <c r="K72" s="32" t="n">
        <v>29569</v>
      </c>
      <c r="L72" s="31" t="n">
        <v>34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64.09999999999999</v>
      </c>
      <c r="P72" s="32" t="n">
        <v>28.64</v>
      </c>
      <c r="Q72" s="32" t="n">
        <v>406.84</v>
      </c>
      <c r="R72" s="31" t="inlineStr">
        <is>
          <t>Near 52W High Breakout</t>
        </is>
      </c>
      <c r="S72" s="31" t="inlineStr">
        <is>
          <t>Nifty 50</t>
        </is>
      </c>
      <c r="T72" s="32" t="n">
        <v>-6.08</v>
      </c>
      <c r="U72" s="32" t="n">
        <v>26.47</v>
      </c>
      <c r="V72" s="32" t="n">
        <v>34.66</v>
      </c>
      <c r="W72" s="32" t="n">
        <v>10.2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IF(B73=0,"",RANK(B73,$B$2:$B$239,0))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NRBBEARING</t>
        </is>
      </c>
      <c r="D73" s="31" t="inlineStr">
        <is>
          <t>Nrb Bearing Limited</t>
        </is>
      </c>
      <c r="E73" s="31" t="inlineStr">
        <is>
          <t>industrials</t>
        </is>
      </c>
      <c r="F73" s="31" t="inlineStr">
        <is>
          <t>bearings</t>
        </is>
      </c>
      <c r="G73" s="31" t="inlineStr">
        <is>
          <t>smallcap</t>
        </is>
      </c>
      <c r="H73" s="32" t="n">
        <v>4254.42</v>
      </c>
      <c r="I73" s="32" t="n">
        <v>436.2</v>
      </c>
      <c r="J73" s="32" t="n">
        <v>-0.63</v>
      </c>
      <c r="K73" s="32" t="n">
        <v>1775425</v>
      </c>
      <c r="L73" s="31" t="n">
        <v>85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79.90000000000001</v>
      </c>
      <c r="P73" s="32" t="n">
        <v>29.49</v>
      </c>
      <c r="Q73" s="32" t="n">
        <v>341.23</v>
      </c>
      <c r="R73" s="31" t="inlineStr">
        <is>
          <t>Volume Spike &amp; Near 52W High Breakout</t>
        </is>
      </c>
      <c r="S73" s="31" t="inlineStr">
        <is>
          <t>Nifty 50</t>
        </is>
      </c>
      <c r="T73" s="32" t="n">
        <v>-6.08</v>
      </c>
      <c r="U73" s="32" t="n">
        <v>78.28</v>
      </c>
      <c r="V73" s="32" t="n">
        <v>89.83</v>
      </c>
      <c r="W73" s="32" t="n">
        <v>30.03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IF(B74=0,"",RANK(B74,$B$2:$B$239,0))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GRINDWELL</t>
        </is>
      </c>
      <c r="D74" s="31" t="inlineStr">
        <is>
          <t>Grindwell Norton Limited</t>
        </is>
      </c>
      <c r="E74" s="31" t="inlineStr">
        <is>
          <t>industrials</t>
        </is>
      </c>
      <c r="F74" s="31" t="inlineStr">
        <is>
          <t>abrasives and grinding wheels</t>
        </is>
      </c>
      <c r="G74" s="31" t="inlineStr">
        <is>
          <t>largecap</t>
        </is>
      </c>
      <c r="H74" s="32" t="n">
        <v>21404.39</v>
      </c>
      <c r="I74" s="32" t="n">
        <v>1914.8</v>
      </c>
      <c r="J74" s="32" t="n">
        <v>-0.95</v>
      </c>
      <c r="K74" s="32" t="n">
        <v>24917</v>
      </c>
      <c r="L74" s="31" t="n">
        <v>29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63.56</v>
      </c>
      <c r="P74" s="32" t="n">
        <v>28.25</v>
      </c>
      <c r="Q74" s="32" t="n">
        <v>1592.76</v>
      </c>
      <c r="R74" s="31" t="inlineStr">
        <is>
          <t>Near 52W High Breakout</t>
        </is>
      </c>
      <c r="S74" s="31" t="inlineStr">
        <is>
          <t>Nifty Infra</t>
        </is>
      </c>
      <c r="T74" s="32" t="n">
        <v>0.99</v>
      </c>
      <c r="U74" s="32" t="n">
        <v>8.58</v>
      </c>
      <c r="V74" s="32" t="n">
        <v>7.51</v>
      </c>
      <c r="W74" s="32" t="n">
        <v>9.41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Between 1.5 to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IF(B75=0,"",RANK(B75,$B$2:$B$239,0))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DIVGIITTS</t>
        </is>
      </c>
      <c r="D75" s="31" t="inlineStr">
        <is>
          <t>Divgi Torqtransfer Systems Ltd</t>
        </is>
      </c>
      <c r="E75" s="31" t="inlineStr">
        <is>
          <t>auto</t>
        </is>
      </c>
      <c r="F75" s="31" t="inlineStr">
        <is>
          <t>auto ancillaries</t>
        </is>
      </c>
      <c r="G75" s="31" t="inlineStr">
        <is>
          <t>smallcap</t>
        </is>
      </c>
      <c r="H75" s="32" t="n">
        <v>2412.23</v>
      </c>
      <c r="I75" s="32" t="n">
        <v>778.55</v>
      </c>
      <c r="J75" s="32" t="n">
        <v>-1.29</v>
      </c>
      <c r="K75" s="32" t="n">
        <v>38205</v>
      </c>
      <c r="L75" s="31" t="n">
        <v>26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58.06</v>
      </c>
      <c r="P75" s="32" t="n">
        <v>27.21</v>
      </c>
      <c r="Q75" s="32" t="n">
        <v>592.27</v>
      </c>
      <c r="R75" s="31" t="inlineStr">
        <is>
          <t>Near 52W High Breakout</t>
        </is>
      </c>
      <c r="S75" s="31" t="inlineStr">
        <is>
          <t>Nifty Auto</t>
        </is>
      </c>
      <c r="T75" s="32" t="n">
        <v>10.74</v>
      </c>
      <c r="U75" s="32" t="n">
        <v>29.88</v>
      </c>
      <c r="V75" s="32" t="n">
        <v>17.28</v>
      </c>
      <c r="W75" s="32" t="n">
        <v>8.9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IF(B76=0,"",RANK(B76,$B$2:$B$239,0))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SIS</t>
        </is>
      </c>
      <c r="D76" s="31" t="inlineStr">
        <is>
          <t>Security &amp; Intelligence Services India</t>
        </is>
      </c>
      <c r="E76" s="31" t="inlineStr">
        <is>
          <t>miscellaneous</t>
        </is>
      </c>
      <c r="F76" s="31" t="inlineStr">
        <is>
          <t>miscellaneous</t>
        </is>
      </c>
      <c r="G76" s="31" t="inlineStr">
        <is>
          <t>midcap</t>
        </is>
      </c>
      <c r="H76" s="32" t="n">
        <v>5950.38</v>
      </c>
      <c r="I76" s="32" t="n">
        <v>415.45</v>
      </c>
      <c r="J76" s="32" t="n">
        <v>-1.37</v>
      </c>
      <c r="K76" s="32" t="n">
        <v>119493</v>
      </c>
      <c r="L76" s="31" t="n">
        <v>47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74.5</v>
      </c>
      <c r="P76" s="32" t="n">
        <v>38.48</v>
      </c>
      <c r="Q76" s="32" t="n">
        <v>332.87</v>
      </c>
      <c r="R76" s="31" t="inlineStr">
        <is>
          <t>Near 52W High Breakout</t>
        </is>
      </c>
      <c r="S76" s="31" t="inlineStr">
        <is>
          <t>Nifty 50</t>
        </is>
      </c>
      <c r="T76" s="32" t="n">
        <v>-6.08</v>
      </c>
      <c r="U76" s="32" t="n">
        <v>14.51</v>
      </c>
      <c r="V76" s="32" t="n">
        <v>21.93</v>
      </c>
      <c r="W76" s="32" t="n">
        <v>14.5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IF(B77=0,"",RANK(B77,$B$2:$B$239,0))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RAIN</t>
        </is>
      </c>
      <c r="D77" s="31" t="inlineStr">
        <is>
          <t>Rain Industries Limited</t>
        </is>
      </c>
      <c r="E77" s="31" t="inlineStr">
        <is>
          <t>miscellaneous</t>
        </is>
      </c>
      <c r="F77" s="31" t="inlineStr">
        <is>
          <t>miscellaneous</t>
        </is>
      </c>
      <c r="G77" s="31" t="inlineStr">
        <is>
          <t>midcap</t>
        </is>
      </c>
      <c r="H77" s="32" t="n">
        <v>6860.44</v>
      </c>
      <c r="I77" s="32" t="n">
        <v>198.33</v>
      </c>
      <c r="J77" s="32" t="n">
        <v>-2.77</v>
      </c>
      <c r="K77" s="32" t="n">
        <v>6391604</v>
      </c>
      <c r="L77" s="31" t="n">
        <v>78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72.8</v>
      </c>
      <c r="P77" s="32" t="n">
        <v>22.01</v>
      </c>
      <c r="Q77" s="32" t="n">
        <v>147.88</v>
      </c>
      <c r="R77" s="31" t="inlineStr">
        <is>
          <t>Near 52W High Breakout</t>
        </is>
      </c>
      <c r="S77" s="31" t="inlineStr">
        <is>
          <t>Nifty 50</t>
        </is>
      </c>
      <c r="T77" s="32" t="n">
        <v>-6.08</v>
      </c>
      <c r="U77" s="32" t="n">
        <v>33.93</v>
      </c>
      <c r="V77" s="32" t="n">
        <v>42.61</v>
      </c>
      <c r="W77" s="32" t="n">
        <v>25.86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IF(B78=0,"",RANK(B78,$B$2:$B$239,0))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ICIL</t>
        </is>
      </c>
      <c r="D78" s="31" t="inlineStr">
        <is>
          <t>Indo Count Industries Limited</t>
        </is>
      </c>
      <c r="E78" s="31" t="inlineStr">
        <is>
          <t>textiles</t>
        </is>
      </c>
      <c r="F78" s="31" t="inlineStr">
        <is>
          <t>textiles - cotton/blended</t>
        </is>
      </c>
      <c r="G78" s="31" t="inlineStr">
        <is>
          <t>midcap</t>
        </is>
      </c>
      <c r="H78" s="32" t="n">
        <v>6664.53</v>
      </c>
      <c r="I78" s="32" t="n">
        <v>325.85</v>
      </c>
      <c r="J78" s="32" t="n">
        <v>-3.16</v>
      </c>
      <c r="K78" s="32" t="n">
        <v>365659</v>
      </c>
      <c r="L78" s="31" t="n">
        <v>42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60.92</v>
      </c>
      <c r="P78" s="32" t="n">
        <v>24.39</v>
      </c>
      <c r="Q78" s="32" t="n">
        <v>232.63</v>
      </c>
      <c r="R78" s="31" t="inlineStr">
        <is>
          <t>Near 52W High Breakout</t>
        </is>
      </c>
      <c r="S78" s="31" t="inlineStr">
        <is>
          <t>Nifty 50</t>
        </is>
      </c>
      <c r="T78" s="32" t="n">
        <v>-6.08</v>
      </c>
      <c r="U78" s="32" t="n">
        <v>20.21</v>
      </c>
      <c r="V78" s="32" t="n">
        <v>28</v>
      </c>
      <c r="W78" s="32" t="n">
        <v>13.08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IF(B79=0,"",RANK(B79,$B$2:$B$239,0))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PASUPTAC</t>
        </is>
      </c>
      <c r="D79" s="31" t="inlineStr">
        <is>
          <t>Pasupati Acrylon Ltd</t>
        </is>
      </c>
      <c r="E79" s="31" t="inlineStr">
        <is>
          <t>textiles</t>
        </is>
      </c>
      <c r="F79" s="31" t="inlineStr">
        <is>
          <t>textiles - manmade</t>
        </is>
      </c>
      <c r="G79" s="31" t="inlineStr">
        <is>
          <t>smallcap</t>
        </is>
      </c>
      <c r="H79" s="32" t="n">
        <v>653.97</v>
      </c>
      <c r="I79" s="32" t="n">
        <v>71.03</v>
      </c>
      <c r="J79" s="32" t="n">
        <v>-3.19</v>
      </c>
      <c r="K79" s="32" t="n">
        <v>351307</v>
      </c>
      <c r="L79" s="31" t="n">
        <v>70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69.8</v>
      </c>
      <c r="P79" s="32" t="n">
        <v>31.02</v>
      </c>
      <c r="Q79" s="32" t="n">
        <v>53.79</v>
      </c>
      <c r="R79" s="31" t="inlineStr">
        <is>
          <t>Near 52W High Breakout</t>
        </is>
      </c>
      <c r="S79" s="31" t="inlineStr">
        <is>
          <t>Nifty 50</t>
        </is>
      </c>
      <c r="T79" s="32" t="n">
        <v>-6.08</v>
      </c>
      <c r="U79" s="32" t="n">
        <v>49.98</v>
      </c>
      <c r="V79" s="32" t="n">
        <v>59.69</v>
      </c>
      <c r="W79" s="32" t="n">
        <v>22.6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IF(B80=0,"",RANK(B80,$B$2:$B$239,0))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IDEAFORGE</t>
        </is>
      </c>
      <c r="D80" s="31" t="inlineStr">
        <is>
          <t>Ideaforge Technology Ltd</t>
        </is>
      </c>
      <c r="E80" s="31" t="inlineStr">
        <is>
          <t>aerospace &amp; defence</t>
        </is>
      </c>
      <c r="F80" s="31" t="inlineStr">
        <is>
          <t>engineering</t>
        </is>
      </c>
      <c r="G80" s="31" t="inlineStr">
        <is>
          <t>smallcap</t>
        </is>
      </c>
      <c r="H80" s="32" t="n">
        <v>4175.69</v>
      </c>
      <c r="I80" s="32" t="n">
        <v>916.7</v>
      </c>
      <c r="J80" s="32" t="n">
        <v>-5</v>
      </c>
      <c r="K80" s="32" t="n">
        <v>324588</v>
      </c>
      <c r="L80" s="31" t="n">
        <v>93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77.02</v>
      </c>
      <c r="P80" s="32" t="n">
        <v>42.43</v>
      </c>
      <c r="Q80" s="32" t="n">
        <v>684.03</v>
      </c>
      <c r="R80" s="31" t="inlineStr">
        <is>
          <t>Near 52W High Breakout</t>
        </is>
      </c>
      <c r="S80" s="31" t="inlineStr">
        <is>
          <t>Nifty Infra</t>
        </is>
      </c>
      <c r="T80" s="32" t="n">
        <v>0.99</v>
      </c>
      <c r="U80" s="32" t="n">
        <v>55.36</v>
      </c>
      <c r="V80" s="32" t="n">
        <v>53.83</v>
      </c>
      <c r="W80" s="32" t="n">
        <v>43.6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IF(B81=0,"",RANK(B81,$B$2:$B$239,0))</f>
        <v/>
      </c>
      <c r="B81" s="32">
        <f>SUM(N81,Y81,AA81,AC81,AE81,AG81,AI81,AK81,AM81,AO81,AQ81,AS81,AU81,AW81,AY81,BA81,BC81,BE81,BG81,BI81,BK81,BM81,BO81,BQ81,BS81,BU81,BW81,BY81,CA81,CC81,CE81)</f>
        <v/>
      </c>
      <c r="C81" s="33" t="inlineStr">
        <is>
          <t>CAPLIPOINT</t>
        </is>
      </c>
      <c r="D81" s="33" t="inlineStr">
        <is>
          <t>Caplin Point Laboratories Limited</t>
        </is>
      </c>
      <c r="E81" s="31" t="inlineStr">
        <is>
          <t>healthcare</t>
        </is>
      </c>
      <c r="F81" s="31" t="inlineStr">
        <is>
          <t>pharmaceuticals - indian - formulations</t>
        </is>
      </c>
      <c r="G81" s="31" t="inlineStr">
        <is>
          <t>midcap</t>
        </is>
      </c>
      <c r="H81" s="32" t="n">
        <v>17142.16</v>
      </c>
      <c r="I81" s="32" t="n">
        <v>2309.4</v>
      </c>
      <c r="J81" s="32" t="n">
        <v>2.4</v>
      </c>
      <c r="K81" s="32" t="n">
        <v>861544</v>
      </c>
      <c r="L81" s="31" t="n">
        <v>36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74.12</v>
      </c>
      <c r="P81" s="32" t="n">
        <v>24.15</v>
      </c>
      <c r="Q81" s="32" t="n">
        <v>1881.32</v>
      </c>
      <c r="R81" s="31" t="inlineStr">
        <is>
          <t>Volume Spike &amp; Near 52W High Breakout</t>
        </is>
      </c>
      <c r="S81" s="31" t="inlineStr">
        <is>
          <t>Nifty Pharma</t>
        </is>
      </c>
      <c r="T81" s="32" t="n">
        <v>9.9</v>
      </c>
      <c r="U81" s="32" t="n">
        <v>8.26</v>
      </c>
      <c r="V81" s="32" t="n">
        <v>-1.49</v>
      </c>
      <c r="W81" s="32" t="n">
        <v>11.11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Between 12 to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Between 50% to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IF(B82=0,"",RANK(B82,$B$2:$B$239,0))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SENORES</t>
        </is>
      </c>
      <c r="D82" s="31" t="inlineStr">
        <is>
          <t>Senores Pharmaceuticals Ltd</t>
        </is>
      </c>
      <c r="E82" s="31" t="inlineStr">
        <is>
          <t>healthcare</t>
        </is>
      </c>
      <c r="F82" s="31" t="inlineStr">
        <is>
          <t>pharmaceuticals - indian - formulations</t>
        </is>
      </c>
      <c r="G82" s="31" t="inlineStr">
        <is>
          <t>midcap</t>
        </is>
      </c>
      <c r="H82" s="32" t="n">
        <v>5040.57</v>
      </c>
      <c r="I82" s="32" t="n">
        <v>1112.6</v>
      </c>
      <c r="J82" s="32" t="n">
        <v>1.65</v>
      </c>
      <c r="K82" s="32" t="n">
        <v>491501</v>
      </c>
      <c r="L82" s="31" t="n">
        <v>80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70.44</v>
      </c>
      <c r="P82" s="32" t="n">
        <v>39.45</v>
      </c>
      <c r="Q82" s="32" t="n">
        <v>854.29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9.9</v>
      </c>
      <c r="U82" s="32" t="n">
        <v>99.77</v>
      </c>
      <c r="V82" s="32" t="n">
        <v>81.78</v>
      </c>
      <c r="W82" s="32" t="n">
        <v>27.27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IF(B83=0,"",RANK(B83,$B$2:$B$239,0))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SUVEN</t>
        </is>
      </c>
      <c r="D83" s="31" t="inlineStr">
        <is>
          <t>Suven Life Sciences Limited</t>
        </is>
      </c>
      <c r="E83" s="31" t="inlineStr">
        <is>
          <t>healthcare</t>
        </is>
      </c>
      <c r="F83" s="31" t="inlineStr">
        <is>
          <t>miscellaneous</t>
        </is>
      </c>
      <c r="G83" s="31" t="inlineStr">
        <is>
          <t>midcap</t>
        </is>
      </c>
      <c r="H83" s="32" t="n">
        <v>6974.09</v>
      </c>
      <c r="I83" s="32" t="n">
        <v>268.8</v>
      </c>
      <c r="J83" s="32" t="n">
        <v>1.64</v>
      </c>
      <c r="K83" s="32" t="n">
        <v>1588525</v>
      </c>
      <c r="L83" s="31" t="n">
        <v>83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66.33</v>
      </c>
      <c r="P83" s="32" t="n">
        <v>33.85</v>
      </c>
      <c r="Q83" s="32" t="n">
        <v>192.28</v>
      </c>
      <c r="R83" s="31" t="inlineStr">
        <is>
          <t>Earnings / Momentum Support</t>
        </is>
      </c>
      <c r="S83" s="31" t="inlineStr">
        <is>
          <t>Nifty Pharma</t>
        </is>
      </c>
      <c r="T83" s="32" t="n">
        <v>9.9</v>
      </c>
      <c r="U83" s="32" t="n">
        <v>13.88</v>
      </c>
      <c r="V83" s="32" t="n">
        <v>3.63</v>
      </c>
      <c r="W83" s="32" t="n">
        <v>28.49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IF(B84=0,"",RANK(B84,$B$2:$B$239,0))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IPCALAB</t>
        </is>
      </c>
      <c r="D84" s="31" t="inlineStr">
        <is>
          <t>Ipca Laboratories Limited</t>
        </is>
      </c>
      <c r="E84" s="31" t="inlineStr">
        <is>
          <t>healthcare</t>
        </is>
      </c>
      <c r="F84" s="31" t="inlineStr">
        <is>
          <t>pharmaceuticals - indian - bulk drugs &amp; formln</t>
        </is>
      </c>
      <c r="G84" s="31" t="inlineStr">
        <is>
          <t>largecap</t>
        </is>
      </c>
      <c r="H84" s="32" t="n">
        <v>41455.27</v>
      </c>
      <c r="I84" s="32" t="n">
        <v>1630.2</v>
      </c>
      <c r="J84" s="32" t="n">
        <v>-0.23</v>
      </c>
      <c r="K84" s="32" t="n">
        <v>172179</v>
      </c>
      <c r="L84" s="31" t="n">
        <v>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58.82</v>
      </c>
      <c r="P84" s="32" t="n">
        <v>33.29</v>
      </c>
      <c r="Q84" s="32" t="n">
        <v>1318.43</v>
      </c>
      <c r="R84" s="31" t="inlineStr">
        <is>
          <t>Near 52W High Breakout</t>
        </is>
      </c>
      <c r="S84" s="31" t="inlineStr">
        <is>
          <t>Nifty Pharma</t>
        </is>
      </c>
      <c r="T84" s="32" t="n">
        <v>9.9</v>
      </c>
      <c r="U84" s="32" t="n">
        <v>19.3</v>
      </c>
      <c r="V84" s="32" t="n">
        <v>8.550000000000001</v>
      </c>
      <c r="W84" s="32" t="n">
        <v>4.61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Between 50% to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IF(B85=0,"",RANK(B85,$B$2:$B$239,0))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VBL</t>
        </is>
      </c>
      <c r="D85" s="31" t="inlineStr">
        <is>
          <t>Varun Beverages Limited</t>
        </is>
      </c>
      <c r="E85" s="31" t="inlineStr">
        <is>
          <t>fmcg</t>
        </is>
      </c>
      <c r="F85" s="31" t="inlineStr">
        <is>
          <t>food - processing - indian</t>
        </is>
      </c>
      <c r="G85" s="31" t="inlineStr">
        <is>
          <t>largecap</t>
        </is>
      </c>
      <c r="H85" s="32" t="n">
        <v>179166.45</v>
      </c>
      <c r="I85" s="32" t="n">
        <v>526.25</v>
      </c>
      <c r="J85" s="32" t="n">
        <v>-0.66</v>
      </c>
      <c r="K85" s="32" t="n">
        <v>3150329</v>
      </c>
      <c r="L85" s="31" t="n">
        <v>31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62.13</v>
      </c>
      <c r="P85" s="32" t="n">
        <v>28.85</v>
      </c>
      <c r="Q85" s="32" t="n">
        <v>447.61</v>
      </c>
      <c r="R85" s="31" t="inlineStr">
        <is>
          <t>Near 52W High Breakout</t>
        </is>
      </c>
      <c r="S85" s="31" t="inlineStr">
        <is>
          <t>Nifty FMCG</t>
        </is>
      </c>
      <c r="T85" s="32" t="n">
        <v>-10.22</v>
      </c>
      <c r="U85" s="32" t="n">
        <v>12.35</v>
      </c>
      <c r="V85" s="32" t="n">
        <v>25.13</v>
      </c>
      <c r="W85" s="32" t="n">
        <v>9.74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Duopoly That Cooperate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Shallow Cyclical (2 to 3 Years Growth)</t>
        </is>
      </c>
      <c r="AG85" s="31">
        <f>IF(AF85="Structural (10 Years Consistency)",10,IF(AF85="Shallow Cyclical (2 to 3 years growth)",5,0))</f>
        <v/>
      </c>
      <c r="AH85" s="31" t="inlineStr">
        <is>
          <t>Yes due to Product Mix change or Operating Leverage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Fully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only for next 1 to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IF(B86=0,"",RANK(B86,$B$2:$B$239,0))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ORCHPHARMA</t>
        </is>
      </c>
      <c r="D86" s="31" t="inlineStr">
        <is>
          <t>Orchid Pharma Ltd</t>
        </is>
      </c>
      <c r="E86" s="31" t="inlineStr">
        <is>
          <t>healthcare</t>
        </is>
      </c>
      <c r="F86" s="31" t="inlineStr">
        <is>
          <t>pharmaceuticals - indian - bulk drugs &amp; formln</t>
        </is>
      </c>
      <c r="G86" s="31" t="inlineStr">
        <is>
          <t>smallcap</t>
        </is>
      </c>
      <c r="H86" s="32" t="n">
        <v>4360.83</v>
      </c>
      <c r="I86" s="32" t="n">
        <v>850.95</v>
      </c>
      <c r="J86" s="32" t="n">
        <v>-1.03</v>
      </c>
      <c r="K86" s="32" t="n">
        <v>46365</v>
      </c>
      <c r="L86" s="31" t="n">
        <v>69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67.62</v>
      </c>
      <c r="P86" s="32" t="n">
        <v>35.32</v>
      </c>
      <c r="Q86" s="32" t="n">
        <v>644.96</v>
      </c>
      <c r="R86" s="31" t="inlineStr">
        <is>
          <t>Near 52W High Breakout</t>
        </is>
      </c>
      <c r="S86" s="31" t="inlineStr">
        <is>
          <t>Nifty Pharma</t>
        </is>
      </c>
      <c r="T86" s="32" t="n">
        <v>9.9</v>
      </c>
      <c r="U86" s="32" t="n">
        <v>19.16</v>
      </c>
      <c r="V86" s="32" t="n">
        <v>8.43</v>
      </c>
      <c r="W86" s="32" t="n">
        <v>22.34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IF(B87=0,"",RANK(B87,$B$2:$B$239,0))</f>
        <v/>
      </c>
      <c r="B87" s="32">
        <f>SUM(N87,Y87,AA87,AC87,AE87,AG87,AI87,AK87,AM87,AO87,AQ87,AS87,AU87,AW87,AY87,BA87,BC87,BE87,BG87,BI87,BK87,BM87,BO87,BQ87,BS87,BU87,BW87,BY87,CA87,CC87,CE87)</f>
        <v/>
      </c>
      <c r="C87" s="33" t="inlineStr">
        <is>
          <t>MARKSANS</t>
        </is>
      </c>
      <c r="D87" s="33" t="inlineStr">
        <is>
          <t>Marksans Pharma Limited</t>
        </is>
      </c>
      <c r="E87" s="31" t="inlineStr">
        <is>
          <t>healthcare</t>
        </is>
      </c>
      <c r="F87" s="31" t="inlineStr">
        <is>
          <t>pharmaceuticals - indian - formulations</t>
        </is>
      </c>
      <c r="G87" s="31" t="inlineStr">
        <is>
          <t>midcap</t>
        </is>
      </c>
      <c r="H87" s="32" t="n">
        <v>11453.71</v>
      </c>
      <c r="I87" s="32" t="n">
        <v>246.92</v>
      </c>
      <c r="J87" s="32" t="n">
        <v>-2.31</v>
      </c>
      <c r="K87" s="32" t="n">
        <v>2443581</v>
      </c>
      <c r="L87" s="31" t="n">
        <v>39</v>
      </c>
      <c r="M87" s="31" t="inlineStr">
        <is>
          <t>Underperforming</t>
        </is>
      </c>
      <c r="N87" s="32">
        <f>IF(M87="Underperforming",-5,IF(L87&gt;=95,15,IF(L87&gt;=90,10,IF(L87&gt;=80,5,0))))</f>
        <v/>
      </c>
      <c r="O87" s="32" t="n">
        <v>70.7</v>
      </c>
      <c r="P87" s="32" t="n">
        <v>28.52</v>
      </c>
      <c r="Q87" s="32" t="n">
        <v>189.1</v>
      </c>
      <c r="R87" s="31" t="inlineStr">
        <is>
          <t>Earnings / Momentum Support</t>
        </is>
      </c>
      <c r="S87" s="31" t="inlineStr">
        <is>
          <t>Nifty Pharma</t>
        </is>
      </c>
      <c r="T87" s="32" t="n">
        <v>9.9</v>
      </c>
      <c r="U87" s="32" t="n">
        <v>-4.42</v>
      </c>
      <c r="V87" s="32" t="n">
        <v>-13.03</v>
      </c>
      <c r="W87" s="32" t="n">
        <v>12.18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IF(B88=0,"",RANK(B88,$B$2:$B$239,0))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SKMEGGPROD</t>
        </is>
      </c>
      <c r="D88" s="31" t="inlineStr">
        <is>
          <t>Skm Egg Products Export (india) Limited</t>
        </is>
      </c>
      <c r="E88" s="31" t="inlineStr">
        <is>
          <t>fmcg</t>
        </is>
      </c>
      <c r="F88" s="31" t="inlineStr">
        <is>
          <t>food - processing - indian</t>
        </is>
      </c>
      <c r="G88" s="31" t="inlineStr">
        <is>
          <t>smallcap</t>
        </is>
      </c>
      <c r="H88" s="32" t="n">
        <v>1303.7</v>
      </c>
      <c r="I88" s="32" t="n">
        <v>241.24</v>
      </c>
      <c r="J88" s="32" t="n">
        <v>-2.56</v>
      </c>
      <c r="K88" s="32" t="n">
        <v>314638</v>
      </c>
      <c r="L88" s="31" t="n">
        <v>84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69.34</v>
      </c>
      <c r="P88" s="32" t="n">
        <v>19.27</v>
      </c>
      <c r="Q88" s="32" t="n">
        <v>171.46</v>
      </c>
      <c r="R88" s="31" t="inlineStr">
        <is>
          <t>Near 52W High Breakout</t>
        </is>
      </c>
      <c r="S88" s="31" t="inlineStr">
        <is>
          <t>Nifty FMCG</t>
        </is>
      </c>
      <c r="T88" s="32" t="n">
        <v>-10.22</v>
      </c>
      <c r="U88" s="32" t="n">
        <v>87.92</v>
      </c>
      <c r="V88" s="32" t="n">
        <v>109.3</v>
      </c>
      <c r="W88" s="32" t="n">
        <v>29.29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0 to 20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Less than 50%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IF(B89=0,"",RANK(B89,$B$2:$B$239,0))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LAURUSLABS</t>
        </is>
      </c>
      <c r="D89" s="31" t="inlineStr">
        <is>
          <t>Laurus Labs Limited</t>
        </is>
      </c>
      <c r="E89" s="31" t="inlineStr">
        <is>
          <t>healthcare</t>
        </is>
      </c>
      <c r="F89" s="31" t="inlineStr">
        <is>
          <t>pharmaceuticals - indian - bulk drugs &amp; formln</t>
        </is>
      </c>
      <c r="G89" s="31" t="inlineStr">
        <is>
          <t>largecap</t>
        </is>
      </c>
      <c r="H89" s="32" t="n">
        <v>76897.17</v>
      </c>
      <c r="I89" s="32" t="n">
        <v>1385.7</v>
      </c>
      <c r="J89" s="32" t="n">
        <v>-2.72</v>
      </c>
      <c r="K89" s="32" t="n">
        <v>1334485</v>
      </c>
      <c r="L89" s="31" t="n">
        <v>76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71.95</v>
      </c>
      <c r="P89" s="32" t="n">
        <v>32.85</v>
      </c>
      <c r="Q89" s="32" t="n">
        <v>1224.04</v>
      </c>
      <c r="R89" s="31" t="inlineStr">
        <is>
          <t>Near 52W High Breakout</t>
        </is>
      </c>
      <c r="S89" s="31" t="inlineStr">
        <is>
          <t>Nifty Pharma</t>
        </is>
      </c>
      <c r="T89" s="32" t="n">
        <v>9.9</v>
      </c>
      <c r="U89" s="32" t="n">
        <v>108.25</v>
      </c>
      <c r="V89" s="32" t="n">
        <v>89.5</v>
      </c>
      <c r="W89" s="32" t="n">
        <v>24.62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Between 12 to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IF(B90=0,"",RANK(B90,$B$2:$B$239,0))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SAILIFE</t>
        </is>
      </c>
      <c r="D90" s="31" t="inlineStr">
        <is>
          <t>Sai Life Sciences Ltd</t>
        </is>
      </c>
      <c r="E90" s="31" t="inlineStr">
        <is>
          <t>healthcare</t>
        </is>
      </c>
      <c r="F90" s="31" t="inlineStr">
        <is>
          <t>pharmaceuticals - indian - bulk drugs &amp; formln</t>
        </is>
      </c>
      <c r="G90" s="31" t="inlineStr">
        <is>
          <t>largecap</t>
        </is>
      </c>
      <c r="H90" s="32" t="n">
        <v>26042.49</v>
      </c>
      <c r="I90" s="32" t="n">
        <v>1188.1</v>
      </c>
      <c r="J90" s="32" t="n">
        <v>-3.38</v>
      </c>
      <c r="K90" s="32" t="n">
        <v>636693</v>
      </c>
      <c r="L90" s="31" t="n">
        <v>47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70.22</v>
      </c>
      <c r="P90" s="32" t="n">
        <v>29.32</v>
      </c>
      <c r="Q90" s="32" t="n">
        <v>941.04</v>
      </c>
      <c r="R90" s="31" t="inlineStr">
        <is>
          <t>Near 52W High Breakout</t>
        </is>
      </c>
      <c r="S90" s="31" t="inlineStr">
        <is>
          <t>Nifty Pharma</t>
        </is>
      </c>
      <c r="T90" s="32" t="n">
        <v>9.9</v>
      </c>
      <c r="U90" s="32" t="n">
        <v>54.3</v>
      </c>
      <c r="V90" s="32" t="n">
        <v>40.4</v>
      </c>
      <c r="W90" s="32" t="n">
        <v>14.34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Between 12 to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IF(B91=0,"",RANK(B91,$B$2:$B$239,0))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PANACEABIO</t>
        </is>
      </c>
      <c r="D91" s="31" t="inlineStr">
        <is>
          <t>Panacea Biotec Limited</t>
        </is>
      </c>
      <c r="E91" s="31" t="inlineStr">
        <is>
          <t>healthcare</t>
        </is>
      </c>
      <c r="F91" s="31" t="inlineStr">
        <is>
          <t>pharmaceuticals - indian - bulk drugs &amp; formln</t>
        </is>
      </c>
      <c r="G91" s="31" t="inlineStr">
        <is>
          <t>smallcap</t>
        </is>
      </c>
      <c r="H91" s="32" t="n">
        <v>3722.51</v>
      </c>
      <c r="I91" s="32" t="n">
        <v>547</v>
      </c>
      <c r="J91" s="32" t="n">
        <v>-10</v>
      </c>
      <c r="K91" s="32" t="n">
        <v>1922029</v>
      </c>
      <c r="L91" s="31" t="n">
        <v>66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76.94</v>
      </c>
      <c r="P91" s="32" t="n">
        <v>23.72</v>
      </c>
      <c r="Q91" s="32" t="n">
        <v>378.63</v>
      </c>
      <c r="R91" s="31" t="inlineStr">
        <is>
          <t>Volume Spike &amp; Near 52W High Breakout</t>
        </is>
      </c>
      <c r="S91" s="31" t="inlineStr">
        <is>
          <t>Nifty Pharma</t>
        </is>
      </c>
      <c r="T91" s="32" t="n">
        <v>9.9</v>
      </c>
      <c r="U91" s="32" t="n">
        <v>21.29</v>
      </c>
      <c r="V91" s="32" t="n">
        <v>10.36</v>
      </c>
      <c r="W91" s="32" t="n">
        <v>21.14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Less than 12%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IF(B92=0,"",RANK(B92,$B$2:$B$239,0))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SIGMAADV</t>
        </is>
      </c>
      <c r="D92" s="31" t="inlineStr">
        <is>
          <t>Sigma Advanced System Ltd</t>
        </is>
      </c>
      <c r="E92" s="31" t="inlineStr">
        <is>
          <t>aerospace &amp; defence</t>
        </is>
      </c>
      <c r="F92" s="31" t="inlineStr">
        <is>
          <t>electronics - components</t>
        </is>
      </c>
      <c r="G92" s="31" t="inlineStr">
        <is>
          <t>midcap</t>
        </is>
      </c>
      <c r="H92" s="32" t="n">
        <v>7709.61</v>
      </c>
      <c r="I92" s="32" t="n">
        <v>459.3</v>
      </c>
      <c r="J92" s="32" t="n">
        <v>4.99</v>
      </c>
      <c r="K92" s="32" t="n">
        <v>143436</v>
      </c>
      <c r="L92" s="31" t="n">
        <v>99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85.2</v>
      </c>
      <c r="P92" s="32" t="n">
        <v>38.76</v>
      </c>
      <c r="Q92" s="32" t="n">
        <v>349.57</v>
      </c>
      <c r="R92" s="31" t="inlineStr">
        <is>
          <t>Near 52W High Breakout</t>
        </is>
      </c>
      <c r="S92" s="31" t="inlineStr">
        <is>
          <t>Nifty 50</t>
        </is>
      </c>
      <c r="T92" s="32" t="n">
        <v>-6.08</v>
      </c>
      <c r="U92" s="32" t="n">
        <v>364.03</v>
      </c>
      <c r="V92" s="32" t="n">
        <v>394.09</v>
      </c>
      <c r="W92" s="32" t="n">
        <v>97.43000000000001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Negative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IF(B93=0,"",RANK(B93,$B$2:$B$239,0))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SOUTHWEST</t>
        </is>
      </c>
      <c r="D93" s="31" t="inlineStr">
        <is>
          <t>South West Pinnacle Exploration Ltd</t>
        </is>
      </c>
      <c r="E93" s="31" t="inlineStr">
        <is>
          <t>metals &amp; mining</t>
        </is>
      </c>
      <c r="F93" s="31" t="inlineStr">
        <is>
          <t>mining / minerals / metals</t>
        </is>
      </c>
      <c r="G93" s="31" t="inlineStr">
        <is>
          <t>smallcap</t>
        </is>
      </c>
      <c r="H93" s="32" t="n">
        <v>776.03</v>
      </c>
      <c r="I93" s="32" t="n">
        <v>267.75</v>
      </c>
      <c r="J93" s="32" t="n">
        <v>2.92</v>
      </c>
      <c r="K93" s="32" t="n">
        <v>1247291</v>
      </c>
      <c r="L93" s="31" t="n">
        <v>69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65.83</v>
      </c>
      <c r="P93" s="32" t="n">
        <v>47.16</v>
      </c>
      <c r="Q93" s="32" t="n">
        <v>180</v>
      </c>
      <c r="R93" s="31" t="inlineStr">
        <is>
          <t>Near 52W High Breakout</t>
        </is>
      </c>
      <c r="S93" s="31" t="inlineStr">
        <is>
          <t>Nifty Metal</t>
        </is>
      </c>
      <c r="T93" s="32" t="n">
        <v>37.88</v>
      </c>
      <c r="U93" s="32" t="n">
        <v>82.78</v>
      </c>
      <c r="V93" s="32" t="n">
        <v>32.56</v>
      </c>
      <c r="W93" s="32" t="n">
        <v>22.33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Less than 50%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IF(B94=0,"",RANK(B94,$B$2:$B$239,0))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KERNEX</t>
        </is>
      </c>
      <c r="D94" s="31" t="inlineStr">
        <is>
          <t>Kernex Microsystems (india) Limited</t>
        </is>
      </c>
      <c r="E94" s="31" t="inlineStr">
        <is>
          <t>consumer discretionary</t>
        </is>
      </c>
      <c r="F94" s="31" t="inlineStr">
        <is>
          <t>electronics - components</t>
        </is>
      </c>
      <c r="G94" s="31" t="inlineStr">
        <is>
          <t>smallcap</t>
        </is>
      </c>
      <c r="H94" s="32" t="n">
        <v>3175.49</v>
      </c>
      <c r="I94" s="32" t="n">
        <v>1924.9</v>
      </c>
      <c r="J94" s="32" t="n">
        <v>1.85</v>
      </c>
      <c r="K94" s="32" t="n">
        <v>377193</v>
      </c>
      <c r="L94" s="31" t="n">
        <v>87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72.06</v>
      </c>
      <c r="P94" s="32" t="n">
        <v>30.93</v>
      </c>
      <c r="Q94" s="32" t="n">
        <v>1406.93</v>
      </c>
      <c r="R94" s="31" t="inlineStr">
        <is>
          <t>Near 52W High Breakout</t>
        </is>
      </c>
      <c r="S94" s="31" t="inlineStr">
        <is>
          <t>Nifty 50</t>
        </is>
      </c>
      <c r="T94" s="32" t="n">
        <v>-6.08</v>
      </c>
      <c r="U94" s="32" t="n">
        <v>47.92</v>
      </c>
      <c r="V94" s="32" t="n">
        <v>57.5</v>
      </c>
      <c r="W94" s="32" t="n">
        <v>33.07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Negative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IF(B95=0,"",RANK(B95,$B$2:$B$239,0))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MUNJALAU</t>
        </is>
      </c>
      <c r="D95" s="31" t="inlineStr">
        <is>
          <t>Munjal Auto Industries Limited</t>
        </is>
      </c>
      <c r="E95" s="31" t="inlineStr">
        <is>
          <t>auto</t>
        </is>
      </c>
      <c r="F95" s="31" t="inlineStr">
        <is>
          <t>auto ancillaries</t>
        </is>
      </c>
      <c r="G95" s="31" t="inlineStr">
        <is>
          <t>smallcap</t>
        </is>
      </c>
      <c r="H95" s="32" t="n">
        <v>969.9</v>
      </c>
      <c r="I95" s="32" t="n">
        <v>98.45999999999999</v>
      </c>
      <c r="J95" s="32" t="n">
        <v>1.52</v>
      </c>
      <c r="K95" s="32" t="n">
        <v>3117152</v>
      </c>
      <c r="L95" s="31" t="n">
        <v>40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67.98</v>
      </c>
      <c r="P95" s="32" t="n">
        <v>21.61</v>
      </c>
      <c r="Q95" s="32" t="n">
        <v>73.84</v>
      </c>
      <c r="R95" s="31" t="inlineStr">
        <is>
          <t>Volume Spike / Accumulation</t>
        </is>
      </c>
      <c r="S95" s="31" t="inlineStr">
        <is>
          <t>Nifty Auto</t>
        </is>
      </c>
      <c r="T95" s="32" t="n">
        <v>10.74</v>
      </c>
      <c r="U95" s="32" t="n">
        <v>30.12</v>
      </c>
      <c r="V95" s="32" t="n">
        <v>17.5</v>
      </c>
      <c r="W95" s="32" t="n">
        <v>12.56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Less than 50%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Between 0.7 to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IF(B96=0,"",RANK(B96,$B$2:$B$239,0))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RRKABEL</t>
        </is>
      </c>
      <c r="D96" s="31" t="inlineStr">
        <is>
          <t>R R Kabel Ltd</t>
        </is>
      </c>
      <c r="E96" s="31" t="inlineStr">
        <is>
          <t>industrials</t>
        </is>
      </c>
      <c r="F96" s="31" t="inlineStr">
        <is>
          <t>cables - power</t>
        </is>
      </c>
      <c r="G96" s="31" t="inlineStr">
        <is>
          <t>largecap</t>
        </is>
      </c>
      <c r="H96" s="32" t="n">
        <v>24623.07</v>
      </c>
      <c r="I96" s="32" t="n">
        <v>2167.5</v>
      </c>
      <c r="J96" s="32" t="n">
        <v>-0.44</v>
      </c>
      <c r="K96" s="32" t="n">
        <v>391527</v>
      </c>
      <c r="L96" s="31" t="n">
        <v>76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74.73</v>
      </c>
      <c r="P96" s="32" t="n">
        <v>35.45</v>
      </c>
      <c r="Q96" s="32" t="n">
        <v>1768.62</v>
      </c>
      <c r="R96" s="31" t="inlineStr">
        <is>
          <t>Near 52W High Breakout</t>
        </is>
      </c>
      <c r="S96" s="31" t="inlineStr">
        <is>
          <t>Nifty Energy</t>
        </is>
      </c>
      <c r="T96" s="32" t="n">
        <v>8.98</v>
      </c>
      <c r="U96" s="32" t="n">
        <v>60.05</v>
      </c>
      <c r="V96" s="32" t="n">
        <v>46.87</v>
      </c>
      <c r="W96" s="32" t="n">
        <v>24.69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Between 1.5 to 2</t>
        </is>
      </c>
      <c r="BU96" s="31">
        <f>IF(BT96="Above 2",0,IF(BT96="Between 1.5 to 2",5,IF(BT96="Less than 1.5",10,0)))</f>
        <v/>
      </c>
      <c r="BV96" s="31" t="inlineStr">
        <is>
          <t>Less than 50%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IF(B97=0,"",RANK(B97,$B$2:$B$239,0))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RPEL</t>
        </is>
      </c>
      <c r="D97" s="31" t="inlineStr">
        <is>
          <t>Raghav Productivity Enhancers Ltd</t>
        </is>
      </c>
      <c r="E97" s="31" t="inlineStr">
        <is>
          <t>building materials</t>
        </is>
      </c>
      <c r="F97" s="31" t="inlineStr">
        <is>
          <t>refractories / intermediates</t>
        </is>
      </c>
      <c r="G97" s="31" t="inlineStr">
        <is>
          <t>midcap</t>
        </is>
      </c>
      <c r="H97" s="32" t="n">
        <v>5373.99</v>
      </c>
      <c r="I97" s="32" t="n">
        <v>1150.6</v>
      </c>
      <c r="J97" s="32" t="n">
        <v>-1.7</v>
      </c>
      <c r="K97" s="32" t="n">
        <v>225879</v>
      </c>
      <c r="L97" s="31" t="n">
        <v>86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75.79000000000001</v>
      </c>
      <c r="P97" s="32" t="n">
        <v>30.26</v>
      </c>
      <c r="Q97" s="32" t="n">
        <v>871.67</v>
      </c>
      <c r="R97" s="31" t="inlineStr">
        <is>
          <t>Near 52W High Breakout</t>
        </is>
      </c>
      <c r="S97" s="31" t="inlineStr">
        <is>
          <t>Nifty Infra</t>
        </is>
      </c>
      <c r="T97" s="32" t="n">
        <v>0.99</v>
      </c>
      <c r="U97" s="32" t="n">
        <v>63.26</v>
      </c>
      <c r="V97" s="32" t="n">
        <v>61.65</v>
      </c>
      <c r="W97" s="32" t="n">
        <v>32.5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Between 1.5 to 2</t>
        </is>
      </c>
      <c r="BU97" s="31">
        <f>IF(BT97="Above 2",0,IF(BT97="Between 1.5 to 2",5,IF(BT97="Less than 1.5",10,0)))</f>
        <v/>
      </c>
      <c r="BV97" s="31" t="inlineStr">
        <is>
          <t>Less than 50%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IF(B98=0,"",RANK(B98,$B$2:$B$239,0))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ASTRAMICRO</t>
        </is>
      </c>
      <c r="D98" s="31" t="inlineStr">
        <is>
          <t>Astra Microwave Products Limited</t>
        </is>
      </c>
      <c r="E98" s="31" t="inlineStr">
        <is>
          <t>aerospace &amp; defence</t>
        </is>
      </c>
      <c r="F98" s="31" t="inlineStr">
        <is>
          <t>telecommunications - equipment</t>
        </is>
      </c>
      <c r="G98" s="31" t="inlineStr">
        <is>
          <t>midcap</t>
        </is>
      </c>
      <c r="H98" s="32" t="n">
        <v>13840.13</v>
      </c>
      <c r="I98" s="32" t="n">
        <v>1424.4</v>
      </c>
      <c r="J98" s="32" t="n">
        <v>-2.28</v>
      </c>
      <c r="K98" s="32" t="n">
        <v>866021</v>
      </c>
      <c r="L98" s="31" t="n">
        <v>53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75.59</v>
      </c>
      <c r="P98" s="32" t="n">
        <v>29.58</v>
      </c>
      <c r="Q98" s="32" t="n">
        <v>1114.04</v>
      </c>
      <c r="R98" s="31" t="inlineStr">
        <is>
          <t>Near 52W High Breakout</t>
        </is>
      </c>
      <c r="S98" s="31" t="inlineStr">
        <is>
          <t>Nifty 50</t>
        </is>
      </c>
      <c r="T98" s="32" t="n">
        <v>-6.08</v>
      </c>
      <c r="U98" s="32" t="n">
        <v>24.93</v>
      </c>
      <c r="V98" s="32" t="n">
        <v>33.02</v>
      </c>
      <c r="W98" s="32" t="n">
        <v>15.55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Oligopoly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Between 1.5 to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IF(B99=0,"",RANK(B99,$B$2:$B$239,0))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UNIVCABLES</t>
        </is>
      </c>
      <c r="D99" s="31" t="inlineStr">
        <is>
          <t>Universal Cables Limited</t>
        </is>
      </c>
      <c r="E99" s="31" t="inlineStr">
        <is>
          <t>industrials</t>
        </is>
      </c>
      <c r="F99" s="31" t="inlineStr">
        <is>
          <t>cables - power</t>
        </is>
      </c>
      <c r="G99" s="31" t="inlineStr">
        <is>
          <t>smallcap</t>
        </is>
      </c>
      <c r="H99" s="32" t="n">
        <v>4244.63</v>
      </c>
      <c r="I99" s="32" t="n">
        <v>1190.9</v>
      </c>
      <c r="J99" s="32" t="n">
        <v>-2.66</v>
      </c>
      <c r="K99" s="32" t="n">
        <v>175614</v>
      </c>
      <c r="L99" s="31" t="n">
        <v>91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67.17</v>
      </c>
      <c r="P99" s="32" t="n">
        <v>35.75</v>
      </c>
      <c r="Q99" s="32" t="n">
        <v>845.96</v>
      </c>
      <c r="R99" s="31" t="inlineStr">
        <is>
          <t>Near 52W High Breakout</t>
        </is>
      </c>
      <c r="S99" s="31" t="inlineStr">
        <is>
          <t>Nifty Energy</t>
        </is>
      </c>
      <c r="T99" s="32" t="n">
        <v>8.98</v>
      </c>
      <c r="U99" s="32" t="n">
        <v>84.93000000000001</v>
      </c>
      <c r="V99" s="32" t="n">
        <v>69.7</v>
      </c>
      <c r="W99" s="32" t="n">
        <v>39.69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Less than 50%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IF(B100=0,"",RANK(B100,$B$2:$B$239,0))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WELCORP</t>
        </is>
      </c>
      <c r="D100" s="31" t="inlineStr">
        <is>
          <t>Welspun Corp Limited</t>
        </is>
      </c>
      <c r="E100" s="31" t="inlineStr">
        <is>
          <t>industrials</t>
        </is>
      </c>
      <c r="F100" s="31" t="inlineStr">
        <is>
          <t>steel - large</t>
        </is>
      </c>
      <c r="G100" s="31" t="inlineStr">
        <is>
          <t>largecap</t>
        </is>
      </c>
      <c r="H100" s="32" t="n">
        <v>37236.69</v>
      </c>
      <c r="I100" s="32" t="n">
        <v>1370.4</v>
      </c>
      <c r="J100" s="32" t="n">
        <v>-2.92</v>
      </c>
      <c r="K100" s="32" t="n">
        <v>1054605</v>
      </c>
      <c r="L100" s="31" t="n">
        <v>79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79.09999999999999</v>
      </c>
      <c r="P100" s="32" t="n">
        <v>50.01</v>
      </c>
      <c r="Q100" s="32" t="n">
        <v>1128.06</v>
      </c>
      <c r="R100" s="31" t="inlineStr">
        <is>
          <t>Near 52W High Breakout</t>
        </is>
      </c>
      <c r="S100" s="31" t="inlineStr">
        <is>
          <t>Nifty Metal</t>
        </is>
      </c>
      <c r="T100" s="32" t="n">
        <v>37.88</v>
      </c>
      <c r="U100" s="32" t="n">
        <v>52.16</v>
      </c>
      <c r="V100" s="32" t="n">
        <v>10.35</v>
      </c>
      <c r="W100" s="32" t="n">
        <v>26.25</v>
      </c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Less than 12%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IF(B101=0,"",RANK(B101,$B$2:$B$239,0))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GOCLCORP</t>
        </is>
      </c>
      <c r="D101" s="31" t="inlineStr">
        <is>
          <t>Gocl Corporation Limited</t>
        </is>
      </c>
      <c r="E101" s="31" t="inlineStr">
        <is>
          <t>miscellaneous</t>
        </is>
      </c>
      <c r="F101" s="31" t="inlineStr">
        <is>
          <t>diversified - medium / small</t>
        </is>
      </c>
      <c r="G101" s="31" t="inlineStr">
        <is>
          <t>smallcap</t>
        </is>
      </c>
      <c r="H101" s="32" t="n">
        <v>1977.2</v>
      </c>
      <c r="I101" s="32" t="n">
        <v>386.25</v>
      </c>
      <c r="J101" s="32" t="n">
        <v>-3.16</v>
      </c>
      <c r="K101" s="32" t="n">
        <v>60997</v>
      </c>
      <c r="L101" s="31" t="n">
        <v>57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64.75</v>
      </c>
      <c r="P101" s="32" t="n">
        <v>26.78</v>
      </c>
      <c r="Q101" s="32" t="n">
        <v>302.29</v>
      </c>
      <c r="R101" s="31" t="inlineStr">
        <is>
          <t>Earnings / Momentum Support</t>
        </is>
      </c>
      <c r="S101" s="31" t="inlineStr">
        <is>
          <t>Nifty IT</t>
        </is>
      </c>
      <c r="T101" s="32" t="n">
        <v>-26.49</v>
      </c>
      <c r="U101" s="32" t="n">
        <v>1.82</v>
      </c>
      <c r="V101" s="32" t="n">
        <v>38.51</v>
      </c>
      <c r="W101" s="32" t="n">
        <v>16.89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IF(B102=0,"",RANK(B102,$B$2:$B$239,0))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RSWM</t>
        </is>
      </c>
      <c r="D102" s="31" t="inlineStr">
        <is>
          <t>Rswm Limited</t>
        </is>
      </c>
      <c r="E102" s="31" t="inlineStr">
        <is>
          <t>textiles</t>
        </is>
      </c>
      <c r="F102" s="31" t="inlineStr">
        <is>
          <t>textiles - cotton/blended</t>
        </is>
      </c>
      <c r="G102" s="31" t="inlineStr">
        <is>
          <t>smallcap</t>
        </is>
      </c>
      <c r="H102" s="32" t="n">
        <v>1005.15</v>
      </c>
      <c r="I102" s="32" t="n">
        <v>205.85</v>
      </c>
      <c r="J102" s="32" t="n">
        <v>-3.54</v>
      </c>
      <c r="K102" s="32" t="n">
        <v>501411</v>
      </c>
      <c r="L102" s="31" t="n">
        <v>52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70.08</v>
      </c>
      <c r="P102" s="32" t="n">
        <v>23.36</v>
      </c>
      <c r="Q102" s="32" t="n">
        <v>153.94</v>
      </c>
      <c r="R102" s="31" t="inlineStr">
        <is>
          <t>Volume Spike &amp; Near 52W High Breakout</t>
        </is>
      </c>
      <c r="S102" s="31" t="inlineStr">
        <is>
          <t>Nifty 50</t>
        </is>
      </c>
      <c r="T102" s="32" t="n">
        <v>-6.08</v>
      </c>
      <c r="U102" s="32" t="n">
        <v>18.22</v>
      </c>
      <c r="V102" s="32" t="n">
        <v>25.87</v>
      </c>
      <c r="W102" s="32" t="n">
        <v>15.44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More than 1.2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IF(B103=0,"",RANK(B103,$B$2:$B$239,0))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3" t="inlineStr">
        <is>
          <t>MIDHANI</t>
        </is>
      </c>
      <c r="D103" s="33" t="inlineStr">
        <is>
          <t>Mishra Dhatu Nigam Ltd</t>
        </is>
      </c>
      <c r="E103" s="31" t="inlineStr">
        <is>
          <t>aerospace &amp; defence</t>
        </is>
      </c>
      <c r="F103" s="31" t="inlineStr">
        <is>
          <t>steel - medium / small</t>
        </is>
      </c>
      <c r="G103" s="31" t="inlineStr">
        <is>
          <t>midcap</t>
        </is>
      </c>
      <c r="H103" s="32" t="n">
        <v>8436.860000000001</v>
      </c>
      <c r="I103" s="32" t="n">
        <v>433.4</v>
      </c>
      <c r="J103" s="32" t="n">
        <v>-3.76</v>
      </c>
      <c r="K103" s="32" t="n">
        <v>1674508</v>
      </c>
      <c r="L103" s="31" t="n">
        <v>30</v>
      </c>
      <c r="M103" s="31" t="inlineStr">
        <is>
          <t>Underperforming</t>
        </is>
      </c>
      <c r="N103" s="32">
        <f>IF(M103="Underperforming",-5,IF(L103&gt;=95,15,IF(L103&gt;=90,10,IF(L103&gt;=80,5,0))))</f>
        <v/>
      </c>
      <c r="O103" s="32" t="n">
        <v>65.48</v>
      </c>
      <c r="P103" s="32" t="n">
        <v>25.19</v>
      </c>
      <c r="Q103" s="32" t="n">
        <v>324.29</v>
      </c>
      <c r="R103" s="31" t="inlineStr">
        <is>
          <t>Near 52W High Breakout</t>
        </is>
      </c>
      <c r="S103" s="31" t="inlineStr">
        <is>
          <t>Nifty Metal</t>
        </is>
      </c>
      <c r="T103" s="32" t="n">
        <v>37.88</v>
      </c>
      <c r="U103" s="32" t="n">
        <v>-1.15</v>
      </c>
      <c r="V103" s="32" t="n">
        <v>-28.31</v>
      </c>
      <c r="W103" s="32" t="n">
        <v>9.6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Between 1.5 to 2</t>
        </is>
      </c>
      <c r="BU103" s="31">
        <f>IF(BT103="Above 2",0,IF(BT103="Between 1.5 to 2",5,IF(BT103="Less than 1.5",10,0)))</f>
        <v/>
      </c>
      <c r="BV103" s="31" t="inlineStr">
        <is>
          <t>Between 50% to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IF(B104=0,"",RANK(B104,$B$2:$B$239,0))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SANGHVIMOV</t>
        </is>
      </c>
      <c r="D104" s="31" t="inlineStr">
        <is>
          <t>Sanghvi Movers Limited</t>
        </is>
      </c>
      <c r="E104" s="31" t="inlineStr">
        <is>
          <t>miscellaneous</t>
        </is>
      </c>
      <c r="F104" s="31" t="inlineStr">
        <is>
          <t>miscellaneous</t>
        </is>
      </c>
      <c r="G104" s="31" t="inlineStr">
        <is>
          <t>smallcap</t>
        </is>
      </c>
      <c r="H104" s="32" t="n">
        <v>3391.18</v>
      </c>
      <c r="I104" s="32" t="n">
        <v>376.35</v>
      </c>
      <c r="J104" s="32" t="n">
        <v>-3.92</v>
      </c>
      <c r="K104" s="32" t="n">
        <v>405968</v>
      </c>
      <c r="L104" s="31" t="n">
        <v>66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62.66</v>
      </c>
      <c r="P104" s="32" t="n">
        <v>19.88</v>
      </c>
      <c r="Q104" s="32" t="n">
        <v>264.67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-6.08</v>
      </c>
      <c r="U104" s="32" t="n">
        <v>30.05</v>
      </c>
      <c r="V104" s="32" t="n">
        <v>38.48</v>
      </c>
      <c r="W104" s="32" t="n">
        <v>21.33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0 to 20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Between 50% to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IF(B105=0,"",RANK(B105,$B$2:$B$239,0))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DATAPATTNS</t>
        </is>
      </c>
      <c r="D105" s="31" t="inlineStr">
        <is>
          <t>Data Patterns (India) Ltd</t>
        </is>
      </c>
      <c r="E105" s="31" t="inlineStr">
        <is>
          <t>aerospace &amp; defence</t>
        </is>
      </c>
      <c r="F105" s="31" t="inlineStr">
        <is>
          <t>electronics - components</t>
        </is>
      </c>
      <c r="G105" s="31" t="inlineStr">
        <is>
          <t>largecap</t>
        </is>
      </c>
      <c r="H105" s="32" t="n">
        <v>25520.29</v>
      </c>
      <c r="I105" s="32" t="n">
        <v>4353.8</v>
      </c>
      <c r="J105" s="32" t="n">
        <v>-4.49</v>
      </c>
      <c r="K105" s="32" t="n">
        <v>2525116</v>
      </c>
      <c r="L105" s="31" t="n">
        <v>56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71.83</v>
      </c>
      <c r="P105" s="32" t="n">
        <v>29.47</v>
      </c>
      <c r="Q105" s="32" t="n">
        <v>3112.67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-6.08</v>
      </c>
      <c r="U105" s="32" t="n">
        <v>45.44</v>
      </c>
      <c r="V105" s="32" t="n">
        <v>54.86</v>
      </c>
      <c r="W105" s="32" t="n">
        <v>16.21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Less than 50%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IF(B106=0,"",RANK(B106,$B$2:$B$239,0))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VADILALIND</t>
        </is>
      </c>
      <c r="D106" s="31" t="inlineStr">
        <is>
          <t>Vadilal Industries Limited</t>
        </is>
      </c>
      <c r="E106" s="31" t="inlineStr">
        <is>
          <t>fmcg</t>
        </is>
      </c>
      <c r="F106" s="31" t="inlineStr">
        <is>
          <t>food - processing - indian</t>
        </is>
      </c>
      <c r="G106" s="31" t="inlineStr">
        <is>
          <t>smallcap</t>
        </is>
      </c>
      <c r="H106" s="32" t="n">
        <v>4138.47</v>
      </c>
      <c r="I106" s="32" t="n">
        <v>5926.8</v>
      </c>
      <c r="J106" s="32" t="n">
        <v>2.94</v>
      </c>
      <c r="K106" s="32" t="n">
        <v>56325</v>
      </c>
      <c r="L106" s="31" t="n">
        <v>23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65.58</v>
      </c>
      <c r="P106" s="32" t="n">
        <v>12.68</v>
      </c>
      <c r="Q106" s="32" t="n">
        <v>4543.06</v>
      </c>
      <c r="R106" s="31" t="inlineStr">
        <is>
          <t>Near 52W High Breakout</t>
        </is>
      </c>
      <c r="S106" s="31" t="inlineStr">
        <is>
          <t>Nifty FMCG</t>
        </is>
      </c>
      <c r="T106" s="32" t="n">
        <v>-10.22</v>
      </c>
      <c r="U106" s="32" t="n">
        <v>11.5</v>
      </c>
      <c r="V106" s="32" t="n">
        <v>24.19</v>
      </c>
      <c r="W106" s="32" t="n">
        <v>8.279999999999999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B2C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0 to 20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Between 50% to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IF(B107=0,"",RANK(B107,$B$2:$B$239,0))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TATATECH</t>
        </is>
      </c>
      <c r="D107" s="31" t="inlineStr">
        <is>
          <t>Tata Technologies Ltd</t>
        </is>
      </c>
      <c r="E107" s="31" t="inlineStr">
        <is>
          <t>i.t</t>
        </is>
      </c>
      <c r="F107" s="31" t="inlineStr">
        <is>
          <t>computers - software - medium / small</t>
        </is>
      </c>
      <c r="G107" s="31" t="inlineStr">
        <is>
          <t>largecap</t>
        </is>
      </c>
      <c r="H107" s="32" t="n">
        <v>30249.52</v>
      </c>
      <c r="I107" s="32" t="n">
        <v>758.2</v>
      </c>
      <c r="J107" s="32" t="n">
        <v>1.76</v>
      </c>
      <c r="K107" s="32" t="n">
        <v>1378399</v>
      </c>
      <c r="L107" s="31" t="n">
        <v>34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69.7</v>
      </c>
      <c r="P107" s="32" t="n">
        <v>34.75</v>
      </c>
      <c r="Q107" s="32" t="n">
        <v>635.47</v>
      </c>
      <c r="R107" s="31" t="inlineStr">
        <is>
          <t>Near 52W High Breakout</t>
        </is>
      </c>
      <c r="S107" s="31" t="inlineStr">
        <is>
          <t>Nifty IT</t>
        </is>
      </c>
      <c r="T107" s="32" t="n">
        <v>-26.49</v>
      </c>
      <c r="U107" s="32" t="n">
        <v>2.21</v>
      </c>
      <c r="V107" s="32" t="n">
        <v>39.04</v>
      </c>
      <c r="W107" s="32" t="n">
        <v>10.23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IF(B108=0,"",RANK(B108,$B$2:$B$239,0))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YATHARTH</t>
        </is>
      </c>
      <c r="D108" s="31" t="inlineStr">
        <is>
          <t>Yatharth Hospital &amp; Trauma Care Services Ltd</t>
        </is>
      </c>
      <c r="E108" s="31" t="inlineStr">
        <is>
          <t>healthcare</t>
        </is>
      </c>
      <c r="F108" s="31" t="inlineStr">
        <is>
          <t>healthcare</t>
        </is>
      </c>
      <c r="G108" s="31" t="inlineStr">
        <is>
          <t>midcap</t>
        </is>
      </c>
      <c r="H108" s="32" t="n">
        <v>8085.09</v>
      </c>
      <c r="I108" s="32" t="n">
        <v>830.05</v>
      </c>
      <c r="J108" s="32" t="n">
        <v>-1.08</v>
      </c>
      <c r="K108" s="32" t="n">
        <v>183090</v>
      </c>
      <c r="L108" s="31" t="n">
        <v>58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59.35</v>
      </c>
      <c r="P108" s="32" t="n">
        <v>25.5</v>
      </c>
      <c r="Q108" s="32" t="n">
        <v>664.49</v>
      </c>
      <c r="R108" s="31" t="inlineStr">
        <is>
          <t>Near 52W High Breakout</t>
        </is>
      </c>
      <c r="S108" s="31" t="inlineStr">
        <is>
          <t>Nifty Pharma</t>
        </is>
      </c>
      <c r="T108" s="32" t="n">
        <v>9.9</v>
      </c>
      <c r="U108" s="32" t="n">
        <v>59.38</v>
      </c>
      <c r="V108" s="32" t="n">
        <v>45.03</v>
      </c>
      <c r="W108" s="32" t="n">
        <v>16.98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Yes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Between 12 to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Between 50% to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IF(B109=0,"",RANK(B109,$B$2:$B$239,0))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HMVL</t>
        </is>
      </c>
      <c r="D109" s="31" t="inlineStr">
        <is>
          <t>Hindustan Media Ventures Limited</t>
        </is>
      </c>
      <c r="E109" s="31" t="inlineStr">
        <is>
          <t>media</t>
        </is>
      </c>
      <c r="F109" s="31" t="inlineStr">
        <is>
          <t>entertainment / electronic media software</t>
        </is>
      </c>
      <c r="G109" s="31" t="inlineStr">
        <is>
          <t>smallcap</t>
        </is>
      </c>
      <c r="H109" s="32" t="n">
        <v>625.1799999999999</v>
      </c>
      <c r="I109" s="32" t="n">
        <v>83.88</v>
      </c>
      <c r="J109" s="32" t="n">
        <v>-1.15</v>
      </c>
      <c r="K109" s="32" t="n">
        <v>87850</v>
      </c>
      <c r="L109" s="31" t="n">
        <v>22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67.01000000000001</v>
      </c>
      <c r="P109" s="32" t="n">
        <v>29.15</v>
      </c>
      <c r="Q109" s="32" t="n">
        <v>63.28</v>
      </c>
      <c r="R109" s="31" t="inlineStr">
        <is>
          <t>Volume Spike / Accumulation</t>
        </is>
      </c>
      <c r="S109" s="31" t="inlineStr">
        <is>
          <t>Nifty IT</t>
        </is>
      </c>
      <c r="T109" s="32" t="n">
        <v>-26.49</v>
      </c>
      <c r="U109" s="32" t="n">
        <v>-4.56</v>
      </c>
      <c r="V109" s="32" t="n">
        <v>29.82</v>
      </c>
      <c r="W109" s="32" t="n">
        <v>7.99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Less than 12%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Between 50% to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IF(B110=0,"",RANK(B110,$B$2:$B$239,0))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VIYASH</t>
        </is>
      </c>
      <c r="D110" s="31" t="inlineStr">
        <is>
          <t>Viyash Scientific Ltd</t>
        </is>
      </c>
      <c r="E110" s="31" t="inlineStr">
        <is>
          <t>healthcare</t>
        </is>
      </c>
      <c r="F110" s="31" t="inlineStr">
        <is>
          <t>pharmaceuticals - indian - bulk drugs &amp; formln</t>
        </is>
      </c>
      <c r="G110" s="31" t="inlineStr">
        <is>
          <t>midcap</t>
        </is>
      </c>
      <c r="H110" s="32" t="n">
        <v>11244.54</v>
      </c>
      <c r="I110" s="32" t="n">
        <v>252.3</v>
      </c>
      <c r="J110" s="32" t="n">
        <v>-1.98</v>
      </c>
      <c r="K110" s="32" t="n">
        <v>1817257</v>
      </c>
      <c r="L110" s="31" t="n">
        <v>37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66.53</v>
      </c>
      <c r="P110" s="32" t="n">
        <v>30.46</v>
      </c>
      <c r="Q110" s="32" t="n">
        <v>197.49</v>
      </c>
      <c r="R110" s="31" t="inlineStr">
        <is>
          <t>Near 52W High Breakout</t>
        </is>
      </c>
      <c r="S110" s="31" t="inlineStr">
        <is>
          <t>Nifty Pharma</t>
        </is>
      </c>
      <c r="T110" s="32" t="n">
        <v>9.9</v>
      </c>
      <c r="U110" s="32" t="n">
        <v>27.9</v>
      </c>
      <c r="V110" s="32" t="n">
        <v>16.39</v>
      </c>
      <c r="W110" s="32" t="n">
        <v>11.45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Less than 50%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IF(B111=0,"",RANK(B111,$B$2:$B$239,0))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SBCL</t>
        </is>
      </c>
      <c r="D111" s="31" t="inlineStr">
        <is>
          <t>Shivalik Bimetal Controls Ltd</t>
        </is>
      </c>
      <c r="E111" s="31" t="inlineStr">
        <is>
          <t>metals &amp; mining</t>
        </is>
      </c>
      <c r="F111" s="31" t="inlineStr">
        <is>
          <t>mining / minerals / metals</t>
        </is>
      </c>
      <c r="G111" s="31" t="inlineStr">
        <is>
          <t>smallcap</t>
        </is>
      </c>
      <c r="H111" s="32" t="n">
        <v>4212.6</v>
      </c>
      <c r="I111" s="32" t="n">
        <v>714.5</v>
      </c>
      <c r="J111" s="32" t="n">
        <v>-2.3</v>
      </c>
      <c r="K111" s="32" t="n">
        <v>313484</v>
      </c>
      <c r="L111" s="31" t="n">
        <v>78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70.04000000000001</v>
      </c>
      <c r="P111" s="32" t="n">
        <v>34.31</v>
      </c>
      <c r="Q111" s="32" t="n">
        <v>554.75</v>
      </c>
      <c r="R111" s="31" t="inlineStr">
        <is>
          <t>Near 52W High Breakout</t>
        </is>
      </c>
      <c r="S111" s="31" t="inlineStr">
        <is>
          <t>Nifty Metal</t>
        </is>
      </c>
      <c r="T111" s="32" t="n">
        <v>37.88</v>
      </c>
      <c r="U111" s="32" t="n">
        <v>47.76</v>
      </c>
      <c r="V111" s="32" t="n">
        <v>7.16</v>
      </c>
      <c r="W111" s="32" t="n">
        <v>26.07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Monopoly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Shallow Cyclical (2 to 3 Years Growth)</t>
        </is>
      </c>
      <c r="AG111" s="31">
        <f>IF(AF111="Structural (10 Years Consistency)",10,IF(AF111="Shallow Cyclical (2 to 3 years growth)",5,0))</f>
        <v/>
      </c>
      <c r="AH111" s="31" t="inlineStr">
        <is>
          <t>Yes due to Product Mix change or Operating Leverage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Fully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Yes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Between 1.5 to 2</t>
        </is>
      </c>
      <c r="BU111" s="31">
        <f>IF(BT111="Above 2",0,IF(BT111="Between 1.5 to 2",5,IF(BT111="Less than 1.5",10,0)))</f>
        <v/>
      </c>
      <c r="BV111" s="31" t="inlineStr">
        <is>
          <t>Less than 50%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IF(B112=0,"",RANK(B112,$B$2:$B$239,0))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BLSE</t>
        </is>
      </c>
      <c r="D112" s="31" t="inlineStr">
        <is>
          <t>BLS E-Services Ltd</t>
        </is>
      </c>
      <c r="E112" s="31" t="inlineStr">
        <is>
          <t>i.t</t>
        </is>
      </c>
      <c r="F112" s="31" t="inlineStr">
        <is>
          <t>computers - software - medium / small</t>
        </is>
      </c>
      <c r="G112" s="31" t="inlineStr">
        <is>
          <t>smallcap</t>
        </is>
      </c>
      <c r="H112" s="32" t="n">
        <v>2100.87</v>
      </c>
      <c r="I112" s="32" t="n">
        <v>225.9</v>
      </c>
      <c r="J112" s="32" t="n">
        <v>-2.31</v>
      </c>
      <c r="K112" s="32" t="n">
        <v>207227</v>
      </c>
      <c r="L112" s="31" t="n">
        <v>62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67.04000000000001</v>
      </c>
      <c r="P112" s="32" t="n">
        <v>21.72</v>
      </c>
      <c r="Q112" s="32" t="n">
        <v>177.16</v>
      </c>
      <c r="R112" s="31" t="inlineStr">
        <is>
          <t>Near 52W High Breakout</t>
        </is>
      </c>
      <c r="S112" s="31" t="inlineStr">
        <is>
          <t>Nifty IT</t>
        </is>
      </c>
      <c r="T112" s="32" t="n">
        <v>-26.49</v>
      </c>
      <c r="U112" s="32" t="n">
        <v>9.630000000000001</v>
      </c>
      <c r="V112" s="32" t="n">
        <v>49.13</v>
      </c>
      <c r="W112" s="32" t="n">
        <v>18.66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Less than 12%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Between 50% to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IF(B113=0,"",RANK(B113,$B$2:$B$239,0))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APOLLO</t>
        </is>
      </c>
      <c r="D113" s="31" t="inlineStr">
        <is>
          <t>Apollo Micro Systems Ltd</t>
        </is>
      </c>
      <c r="E113" s="31" t="inlineStr">
        <is>
          <t>aerospace &amp; defence</t>
        </is>
      </c>
      <c r="F113" s="31" t="inlineStr">
        <is>
          <t>electronics - components</t>
        </is>
      </c>
      <c r="G113" s="31" t="inlineStr">
        <is>
          <t>midcap</t>
        </is>
      </c>
      <c r="H113" s="32" t="n">
        <v>14757.96</v>
      </c>
      <c r="I113" s="32" t="n">
        <v>398.05</v>
      </c>
      <c r="J113" s="32" t="n">
        <v>-3.63</v>
      </c>
      <c r="K113" s="32" t="n">
        <v>13662921</v>
      </c>
      <c r="L113" s="31" t="n">
        <v>93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69.14</v>
      </c>
      <c r="P113" s="32" t="n">
        <v>34.57</v>
      </c>
      <c r="Q113" s="32" t="n">
        <v>302.33</v>
      </c>
      <c r="R113" s="31" t="inlineStr">
        <is>
          <t>Earnings / Momentum Support</t>
        </is>
      </c>
      <c r="S113" s="31" t="inlineStr">
        <is>
          <t>Nifty 50</t>
        </is>
      </c>
      <c r="T113" s="32" t="n">
        <v>-6.08</v>
      </c>
      <c r="U113" s="32" t="n">
        <v>105.33</v>
      </c>
      <c r="V113" s="32" t="n">
        <v>118.63</v>
      </c>
      <c r="W113" s="32" t="n">
        <v>44.23</v>
      </c>
      <c r="X113" s="31" t="inlineStr">
        <is>
          <t>Cyclical in an Upturn</t>
        </is>
      </c>
      <c r="Y113" s="31">
        <f>IF(X113="Growing Industry",10,IF(X113="Cyclical in an Upturn",5,0))</f>
        <v/>
      </c>
      <c r="Z113" s="31" t="inlineStr">
        <is>
          <t>Oligopoly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Cyclical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B2C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Fully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Yes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Between 1.5 to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IF(B114=0,"",RANK(B114,$B$2:$B$239,0))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WELENT</t>
        </is>
      </c>
      <c r="D114" s="31" t="inlineStr">
        <is>
          <t>Welspun Enterprises Limited</t>
        </is>
      </c>
      <c r="E114" s="31" t="inlineStr">
        <is>
          <t>realty</t>
        </is>
      </c>
      <c r="F114" s="31" t="inlineStr">
        <is>
          <t>construction</t>
        </is>
      </c>
      <c r="G114" s="31" t="inlineStr">
        <is>
          <t>midcap</t>
        </is>
      </c>
      <c r="H114" s="32" t="n">
        <v>7482.65</v>
      </c>
      <c r="I114" s="32" t="n">
        <v>556.1</v>
      </c>
      <c r="J114" s="32" t="n">
        <v>2.87</v>
      </c>
      <c r="K114" s="32" t="n">
        <v>801537</v>
      </c>
      <c r="L114" s="31" t="n">
        <v>12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63.33</v>
      </c>
      <c r="P114" s="32" t="n">
        <v>13.15</v>
      </c>
      <c r="Q114" s="32" t="n">
        <v>434.61</v>
      </c>
      <c r="R114" s="31" t="inlineStr">
        <is>
          <t>Near 52W High Breakout</t>
        </is>
      </c>
      <c r="S114" s="31" t="inlineStr">
        <is>
          <t>Nifty Realty</t>
        </is>
      </c>
      <c r="T114" s="32" t="n">
        <v>-25.71</v>
      </c>
      <c r="U114" s="32" t="n">
        <v>8.630000000000001</v>
      </c>
      <c r="V114" s="32" t="n">
        <v>46.23</v>
      </c>
      <c r="W114" s="32" t="n">
        <v>5.67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0 to 20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Less than 50%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IF(B115=0,"",RANK(B115,$B$2:$B$239,0))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RUBYMILLS</t>
        </is>
      </c>
      <c r="D115" s="31" t="inlineStr">
        <is>
          <t>The Ruby Mills Limited</t>
        </is>
      </c>
      <c r="E115" s="31" t="inlineStr">
        <is>
          <t>textiles</t>
        </is>
      </c>
      <c r="F115" s="31" t="inlineStr">
        <is>
          <t>textiles - composite</t>
        </is>
      </c>
      <c r="G115" s="31" t="inlineStr">
        <is>
          <t>smallcap</t>
        </is>
      </c>
      <c r="H115" s="32" t="n">
        <v>1152.68</v>
      </c>
      <c r="I115" s="32" t="n">
        <v>353.25</v>
      </c>
      <c r="J115" s="32" t="n">
        <v>2.48</v>
      </c>
      <c r="K115" s="32" t="n">
        <v>62684</v>
      </c>
      <c r="L115" s="31" t="n">
        <v>84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78.39</v>
      </c>
      <c r="P115" s="32" t="n">
        <v>38.42</v>
      </c>
      <c r="Q115" s="32" t="n">
        <v>267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-6.08</v>
      </c>
      <c r="U115" s="32" t="n">
        <v>63.93</v>
      </c>
      <c r="V115" s="32" t="n">
        <v>74.54000000000001</v>
      </c>
      <c r="W115" s="32" t="n">
        <v>29.9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Between 50% to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IF(B116=0,"",RANK(B116,$B$2:$B$239,0))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AEGISLOG</t>
        </is>
      </c>
      <c r="D116" s="31" t="inlineStr">
        <is>
          <t>Aegis Logistics Ltd</t>
        </is>
      </c>
      <c r="E116" s="31" t="inlineStr">
        <is>
          <t>services</t>
        </is>
      </c>
      <c r="F116" s="31" t="inlineStr">
        <is>
          <t>trading</t>
        </is>
      </c>
      <c r="G116" s="31" t="inlineStr">
        <is>
          <t>largecap</t>
        </is>
      </c>
      <c r="H116" s="32" t="n">
        <v>27471.02</v>
      </c>
      <c r="I116" s="32" t="n">
        <v>801</v>
      </c>
      <c r="J116" s="32" t="n">
        <v>2.34</v>
      </c>
      <c r="K116" s="32" t="n">
        <v>5001137</v>
      </c>
      <c r="L116" s="31" t="n">
        <v>25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62.29</v>
      </c>
      <c r="P116" s="32" t="n">
        <v>18.81</v>
      </c>
      <c r="Q116" s="32" t="n">
        <v>612.01</v>
      </c>
      <c r="R116" s="31" t="inlineStr">
        <is>
          <t>Earnings / Momentum Support</t>
        </is>
      </c>
      <c r="S116" s="31" t="inlineStr">
        <is>
          <t>Nifty 50</t>
        </is>
      </c>
      <c r="T116" s="32" t="n">
        <v>-6.08</v>
      </c>
      <c r="U116" s="32" t="n">
        <v>2.43</v>
      </c>
      <c r="V116" s="32" t="n">
        <v>9.06</v>
      </c>
      <c r="W116" s="32" t="n">
        <v>8.609999999999999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0 to 20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IF(B117=0,"",RANK(B117,$B$2:$B$239,0))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UFBL</t>
        </is>
      </c>
      <c r="D117" s="31" t="inlineStr">
        <is>
          <t>United Foodbrands Ltd</t>
        </is>
      </c>
      <c r="E117" s="31" t="inlineStr">
        <is>
          <t>consumer discretionary</t>
        </is>
      </c>
      <c r="F117" s="31" t="inlineStr">
        <is>
          <t>hotels</t>
        </is>
      </c>
      <c r="G117" s="31" t="inlineStr">
        <is>
          <t>smallcap</t>
        </is>
      </c>
      <c r="H117" s="32" t="n">
        <v>2149.56</v>
      </c>
      <c r="I117" s="32" t="n">
        <v>560.4</v>
      </c>
      <c r="J117" s="32" t="n">
        <v>1.9</v>
      </c>
      <c r="K117" s="32" t="n">
        <v>182391</v>
      </c>
      <c r="L117" s="31" t="n">
        <v>97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80.16</v>
      </c>
      <c r="P117" s="32" t="n">
        <v>35.52</v>
      </c>
      <c r="Q117" s="32" t="n">
        <v>401.79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-6.08</v>
      </c>
      <c r="U117" s="32" t="n">
        <v>70.56999999999999</v>
      </c>
      <c r="V117" s="32" t="n">
        <v>81.62</v>
      </c>
      <c r="W117" s="32" t="n">
        <v>59.45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Above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More than 1.2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IF(B118=0,"",RANK(B118,$B$2:$B$239,0))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3" t="inlineStr">
        <is>
          <t>CERA</t>
        </is>
      </c>
      <c r="D118" s="33" t="inlineStr">
        <is>
          <t>Cera Sanitaryware Limited</t>
        </is>
      </c>
      <c r="E118" s="31" t="inlineStr">
        <is>
          <t>building materials</t>
        </is>
      </c>
      <c r="F118" s="31" t="inlineStr">
        <is>
          <t>ceramics - tiles / sanitaryware</t>
        </is>
      </c>
      <c r="G118" s="31" t="inlineStr">
        <is>
          <t>midcap</t>
        </is>
      </c>
      <c r="H118" s="32" t="n">
        <v>7525.72</v>
      </c>
      <c r="I118" s="32" t="n">
        <v>5869.5</v>
      </c>
      <c r="J118" s="32" t="n">
        <v>0.59</v>
      </c>
      <c r="K118" s="32" t="n">
        <v>38007</v>
      </c>
      <c r="L118" s="31" t="n">
        <v>6</v>
      </c>
      <c r="M118" s="31" t="inlineStr">
        <is>
          <t>Underperforming</t>
        </is>
      </c>
      <c r="N118" s="32">
        <f>IF(M118="Underperforming",-5,IF(L118&gt;=95,15,IF(L118&gt;=90,10,IF(L118&gt;=80,5,0))))</f>
        <v/>
      </c>
      <c r="O118" s="32" t="n">
        <v>60.77</v>
      </c>
      <c r="P118" s="32" t="n">
        <v>29.18</v>
      </c>
      <c r="Q118" s="32" t="n">
        <v>4762.1</v>
      </c>
      <c r="R118" s="31" t="inlineStr">
        <is>
          <t>Volume Spike / Accumulation</t>
        </is>
      </c>
      <c r="S118" s="31" t="inlineStr">
        <is>
          <t>Nifty Infra</t>
        </is>
      </c>
      <c r="T118" s="32" t="n">
        <v>0.99</v>
      </c>
      <c r="U118" s="32" t="n">
        <v>-15.33</v>
      </c>
      <c r="V118" s="32" t="n">
        <v>-16.16</v>
      </c>
      <c r="W118" s="32" t="n">
        <v>3.98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Less than 12%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IF(B119=0,"",RANK(B119,$B$2:$B$239,0))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ASIANPAINT</t>
        </is>
      </c>
      <c r="D119" s="31" t="inlineStr">
        <is>
          <t>Asian Paints Limited</t>
        </is>
      </c>
      <c r="E119" s="31" t="inlineStr">
        <is>
          <t>building materials</t>
        </is>
      </c>
      <c r="F119" s="31" t="inlineStr">
        <is>
          <t>paints / varnishes</t>
        </is>
      </c>
      <c r="G119" s="31" t="inlineStr">
        <is>
          <t>largecap</t>
        </is>
      </c>
      <c r="H119" s="32" t="n">
        <v>259760.35</v>
      </c>
      <c r="I119" s="32" t="n">
        <v>2715.1</v>
      </c>
      <c r="J119" s="32" t="n">
        <v>0.26</v>
      </c>
      <c r="K119" s="32" t="n">
        <v>1395772</v>
      </c>
      <c r="L119" s="31" t="n">
        <v>35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62.08</v>
      </c>
      <c r="P119" s="32" t="n">
        <v>20.09</v>
      </c>
      <c r="Q119" s="32" t="n">
        <v>2291.26</v>
      </c>
      <c r="R119" s="31" t="inlineStr">
        <is>
          <t>Earnings / Momentum Support</t>
        </is>
      </c>
      <c r="S119" s="31" t="inlineStr">
        <is>
          <t>Nifty Infra</t>
        </is>
      </c>
      <c r="T119" s="32" t="n">
        <v>0.99</v>
      </c>
      <c r="U119" s="32" t="n">
        <v>23.95</v>
      </c>
      <c r="V119" s="32" t="n">
        <v>22.73</v>
      </c>
      <c r="W119" s="32" t="n">
        <v>10.29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IF(B120=0,"",RANK(B120,$B$2:$B$239,0))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MINDACORP</t>
        </is>
      </c>
      <c r="D120" s="31" t="inlineStr">
        <is>
          <t>Minda Corporation Limited</t>
        </is>
      </c>
      <c r="E120" s="31" t="inlineStr">
        <is>
          <t>auto</t>
        </is>
      </c>
      <c r="F120" s="31" t="inlineStr">
        <is>
          <t>auto ancillaries</t>
        </is>
      </c>
      <c r="G120" s="31" t="inlineStr">
        <is>
          <t>midcap</t>
        </is>
      </c>
      <c r="H120" s="32" t="n">
        <v>15472.03</v>
      </c>
      <c r="I120" s="32" t="n">
        <v>648.1</v>
      </c>
      <c r="J120" s="32" t="n">
        <v>0.15</v>
      </c>
      <c r="K120" s="32" t="n">
        <v>326968</v>
      </c>
      <c r="L120" s="31" t="n">
        <v>38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66.15000000000001</v>
      </c>
      <c r="P120" s="32" t="n">
        <v>19.81</v>
      </c>
      <c r="Q120" s="32" t="n">
        <v>518.0599999999999</v>
      </c>
      <c r="R120" s="31" t="inlineStr">
        <is>
          <t>Near 52W High Breakout</t>
        </is>
      </c>
      <c r="S120" s="31" t="inlineStr">
        <is>
          <t>Nifty Auto</t>
        </is>
      </c>
      <c r="T120" s="32" t="n">
        <v>10.74</v>
      </c>
      <c r="U120" s="32" t="n">
        <v>18.8</v>
      </c>
      <c r="V120" s="32" t="n">
        <v>7.27</v>
      </c>
      <c r="W120" s="32" t="n">
        <v>11.97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0 to 20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IF(B121=0,"",RANK(B121,$B$2:$B$239,0))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SWANDEF</t>
        </is>
      </c>
      <c r="D121" s="31" t="inlineStr">
        <is>
          <t>Swan Defence and Heavy Industries Ltd</t>
        </is>
      </c>
      <c r="E121" s="31" t="inlineStr">
        <is>
          <t>transportation</t>
        </is>
      </c>
      <c r="F121" s="31" t="inlineStr">
        <is>
          <t>miscellaneous</t>
        </is>
      </c>
      <c r="G121" s="31" t="inlineStr">
        <is>
          <t>midcap</t>
        </is>
      </c>
      <c r="H121" s="32" t="n">
        <v>10519.57</v>
      </c>
      <c r="I121" s="32" t="n">
        <v>1997.9</v>
      </c>
      <c r="J121" s="32" t="n">
        <v>0.06</v>
      </c>
      <c r="K121" s="32" t="n">
        <v>4092</v>
      </c>
      <c r="L121" s="31" t="n">
        <v>98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61.21</v>
      </c>
      <c r="P121" s="32" t="n">
        <v>44.43</v>
      </c>
      <c r="Q121" s="32" t="n">
        <v>1864.84</v>
      </c>
      <c r="R121" s="31" t="inlineStr">
        <is>
          <t>Earnings / Momentum Support</t>
        </is>
      </c>
      <c r="S121" s="31" t="inlineStr">
        <is>
          <t>Nifty 50</t>
        </is>
      </c>
      <c r="T121" s="32" t="n">
        <v>-6.08</v>
      </c>
      <c r="U121" s="32" t="n">
        <v>1015.46</v>
      </c>
      <c r="V121" s="32" t="n">
        <v>1087.71</v>
      </c>
      <c r="W121" s="32" t="n">
        <v>77.58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Negative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More than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IF(B122=0,"",RANK(B122,$B$2:$B$239,0))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CGPOWER</t>
        </is>
      </c>
      <c r="D122" s="31" t="inlineStr">
        <is>
          <t>CG Power and Industrial Solutions Ltd</t>
        </is>
      </c>
      <c r="E122" s="31" t="inlineStr">
        <is>
          <t>industrials</t>
        </is>
      </c>
      <c r="F122" s="31" t="inlineStr">
        <is>
          <t>electric equipment</t>
        </is>
      </c>
      <c r="G122" s="31" t="inlineStr">
        <is>
          <t>largecap</t>
        </is>
      </c>
      <c r="H122" s="32" t="n">
        <v>143506.82</v>
      </c>
      <c r="I122" s="32" t="n">
        <v>908.1</v>
      </c>
      <c r="J122" s="32" t="n">
        <v>-0.34</v>
      </c>
      <c r="K122" s="32" t="n">
        <v>3175483</v>
      </c>
      <c r="L122" s="31" t="n">
        <v>41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67.86</v>
      </c>
      <c r="P122" s="32" t="n">
        <v>24.91</v>
      </c>
      <c r="Q122" s="32" t="n">
        <v>770.64</v>
      </c>
      <c r="R122" s="31" t="inlineStr">
        <is>
          <t>Near 52W High Breakout</t>
        </is>
      </c>
      <c r="S122" s="31" t="inlineStr">
        <is>
          <t>Nifty 500</t>
        </is>
      </c>
      <c r="T122" s="32" t="n">
        <v>-2.94</v>
      </c>
      <c r="U122" s="32" t="n">
        <v>35.39</v>
      </c>
      <c r="V122" s="32" t="n">
        <v>39.49</v>
      </c>
      <c r="W122" s="32" t="n">
        <v>12.86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Less than 50%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IF(B123=0,"",RANK(B123,$B$2:$B$239,0))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POLYCAB</t>
        </is>
      </c>
      <c r="D123" s="31" t="inlineStr">
        <is>
          <t>Polycab India Ltd</t>
        </is>
      </c>
      <c r="E123" s="31" t="inlineStr">
        <is>
          <t>industrials</t>
        </is>
      </c>
      <c r="F123" s="31" t="inlineStr">
        <is>
          <t>cables - power</t>
        </is>
      </c>
      <c r="G123" s="31" t="inlineStr">
        <is>
          <t>largecap</t>
        </is>
      </c>
      <c r="H123" s="32" t="n">
        <v>144761.84</v>
      </c>
      <c r="I123" s="32" t="n">
        <v>9523.5</v>
      </c>
      <c r="J123" s="32" t="n">
        <v>-0.96</v>
      </c>
      <c r="K123" s="32" t="n">
        <v>391667</v>
      </c>
      <c r="L123" s="31" t="n">
        <v>58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67.45999999999999</v>
      </c>
      <c r="P123" s="32" t="n">
        <v>23.01</v>
      </c>
      <c r="Q123" s="32" t="n">
        <v>8121.78</v>
      </c>
      <c r="R123" s="31" t="inlineStr">
        <is>
          <t>Near 52W High Breakout</t>
        </is>
      </c>
      <c r="S123" s="31" t="inlineStr">
        <is>
          <t>Nifty Energy</t>
        </is>
      </c>
      <c r="T123" s="32" t="n">
        <v>8.98</v>
      </c>
      <c r="U123" s="32" t="n">
        <v>58.81</v>
      </c>
      <c r="V123" s="32" t="n">
        <v>45.72</v>
      </c>
      <c r="W123" s="32" t="n">
        <v>16.98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Less than 12%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IF(B124=0,"",RANK(B124,$B$2:$B$239,0))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AIAENG</t>
        </is>
      </c>
      <c r="D124" s="31" t="inlineStr">
        <is>
          <t>Aia Engineering Limited</t>
        </is>
      </c>
      <c r="E124" s="31" t="inlineStr">
        <is>
          <t>industrials</t>
        </is>
      </c>
      <c r="F124" s="31" t="inlineStr">
        <is>
          <t>castings &amp; forgings</t>
        </is>
      </c>
      <c r="G124" s="31" t="inlineStr">
        <is>
          <t>largecap</t>
        </is>
      </c>
      <c r="H124" s="32" t="n">
        <v>41892.45</v>
      </c>
      <c r="I124" s="32" t="n">
        <v>4439</v>
      </c>
      <c r="J124" s="32" t="n">
        <v>-1.12</v>
      </c>
      <c r="K124" s="32" t="n">
        <v>167126</v>
      </c>
      <c r="L124" s="31" t="n">
        <v>35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64.53</v>
      </c>
      <c r="P124" s="32" t="n">
        <v>17.95</v>
      </c>
      <c r="Q124" s="32" t="n">
        <v>3774.69</v>
      </c>
      <c r="R124" s="31" t="inlineStr">
        <is>
          <t>Near 52W High Breakout</t>
        </is>
      </c>
      <c r="S124" s="31" t="inlineStr">
        <is>
          <t>Nifty 500</t>
        </is>
      </c>
      <c r="T124" s="32" t="n">
        <v>-2.94</v>
      </c>
      <c r="U124" s="32" t="n">
        <v>29.57</v>
      </c>
      <c r="V124" s="32" t="n">
        <v>33.49</v>
      </c>
      <c r="W124" s="32" t="n">
        <v>10.31</v>
      </c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0 to 20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Less than 50%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IF(B125=0,"",RANK(B125,$B$2:$B$239,0))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KIRLPNU</t>
        </is>
      </c>
      <c r="D125" s="31" t="inlineStr">
        <is>
          <t>Kirloskar Pneumatic Company Ltd</t>
        </is>
      </c>
      <c r="E125" s="31" t="inlineStr">
        <is>
          <t>industrials</t>
        </is>
      </c>
      <c r="F125" s="31" t="inlineStr">
        <is>
          <t>compressors / drilling equipment</t>
        </is>
      </c>
      <c r="G125" s="31" t="inlineStr">
        <is>
          <t>midcap</t>
        </is>
      </c>
      <c r="H125" s="32" t="n">
        <v>10685.62</v>
      </c>
      <c r="I125" s="32" t="n">
        <v>1625.7</v>
      </c>
      <c r="J125" s="32" t="n">
        <v>-1.17</v>
      </c>
      <c r="K125" s="32" t="n">
        <v>126637</v>
      </c>
      <c r="L125" s="31" t="n">
        <v>56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75.8</v>
      </c>
      <c r="P125" s="32" t="n">
        <v>35.46</v>
      </c>
      <c r="Q125" s="32" t="n">
        <v>1279.79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-6.08</v>
      </c>
      <c r="U125" s="32" t="n">
        <v>23.97</v>
      </c>
      <c r="V125" s="32" t="n">
        <v>32</v>
      </c>
      <c r="W125" s="32" t="n">
        <v>16.79</v>
      </c>
      <c r="X125" s="31" t="inlineStr">
        <is>
          <t>Cyclical in an Upturn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Between 50% to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IF(B126=0,"",RANK(B126,$B$2:$B$239,0))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ARVIND</t>
        </is>
      </c>
      <c r="D126" s="31" t="inlineStr">
        <is>
          <t>Arvind Limited</t>
        </is>
      </c>
      <c r="E126" s="31" t="inlineStr">
        <is>
          <t>textiles</t>
        </is>
      </c>
      <c r="F126" s="31" t="inlineStr">
        <is>
          <t>textiles - cotton/blended</t>
        </is>
      </c>
      <c r="G126" s="31" t="inlineStr">
        <is>
          <t>midcap</t>
        </is>
      </c>
      <c r="H126" s="32" t="n">
        <v>13108.35</v>
      </c>
      <c r="I126" s="32" t="n">
        <v>493.4</v>
      </c>
      <c r="J126" s="32" t="n">
        <v>-1.34</v>
      </c>
      <c r="K126" s="32" t="n">
        <v>316360</v>
      </c>
      <c r="L126" s="31" t="n">
        <v>58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76.2</v>
      </c>
      <c r="P126" s="32" t="n">
        <v>37.91</v>
      </c>
      <c r="Q126" s="32" t="n">
        <v>395.16</v>
      </c>
      <c r="R126" s="31" t="inlineStr">
        <is>
          <t>Near 52W High Breakout</t>
        </is>
      </c>
      <c r="S126" s="31" t="inlineStr">
        <is>
          <t>Nifty 50</t>
        </is>
      </c>
      <c r="T126" s="32" t="n">
        <v>-6.08</v>
      </c>
      <c r="U126" s="32" t="n">
        <v>41.77</v>
      </c>
      <c r="V126" s="32" t="n">
        <v>50.95</v>
      </c>
      <c r="W126" s="32" t="n">
        <v>17.13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IF(B127=0,"",RANK(B127,$B$2:$B$239,0))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CRAFTSMAN</t>
        </is>
      </c>
      <c r="D127" s="31" t="inlineStr">
        <is>
          <t>Craftsman Automation Ltd</t>
        </is>
      </c>
      <c r="E127" s="31" t="inlineStr">
        <is>
          <t>auto</t>
        </is>
      </c>
      <c r="F127" s="31" t="inlineStr">
        <is>
          <t>auto ancillaries</t>
        </is>
      </c>
      <c r="G127" s="31" t="inlineStr">
        <is>
          <t>largecap</t>
        </is>
      </c>
      <c r="H127" s="32" t="n">
        <v>21771.8</v>
      </c>
      <c r="I127" s="32" t="n">
        <v>8986.5</v>
      </c>
      <c r="J127" s="32" t="n">
        <v>-1.53</v>
      </c>
      <c r="K127" s="32" t="n">
        <v>63168</v>
      </c>
      <c r="L127" s="31" t="n">
        <v>63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65.26000000000001</v>
      </c>
      <c r="P127" s="32" t="n">
        <v>32.61</v>
      </c>
      <c r="Q127" s="32" t="n">
        <v>7097.14</v>
      </c>
      <c r="R127" s="31" t="inlineStr">
        <is>
          <t>Near 52W High Breakout</t>
        </is>
      </c>
      <c r="S127" s="31" t="inlineStr">
        <is>
          <t>Nifty Auto</t>
        </is>
      </c>
      <c r="T127" s="32" t="n">
        <v>10.74</v>
      </c>
      <c r="U127" s="32" t="n">
        <v>69.65000000000001</v>
      </c>
      <c r="V127" s="32" t="n">
        <v>53.19</v>
      </c>
      <c r="W127" s="32" t="n">
        <v>19.12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Less than 50% and Borrowings are increasing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Between 0.7 to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IF(B128=0,"",RANK(B128,$B$2:$B$239,0))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SKIPPER</t>
        </is>
      </c>
      <c r="D128" s="31" t="inlineStr">
        <is>
          <t>Skipper Limited</t>
        </is>
      </c>
      <c r="E128" s="31" t="inlineStr">
        <is>
          <t>industrials</t>
        </is>
      </c>
      <c r="F128" s="31" t="inlineStr">
        <is>
          <t>engineering</t>
        </is>
      </c>
      <c r="G128" s="31" t="inlineStr">
        <is>
          <t>midcap</t>
        </is>
      </c>
      <c r="H128" s="32" t="n">
        <v>6148.19</v>
      </c>
      <c r="I128" s="32" t="n">
        <v>535</v>
      </c>
      <c r="J128" s="32" t="n">
        <v>-1.75</v>
      </c>
      <c r="K128" s="32" t="n">
        <v>498522</v>
      </c>
      <c r="L128" s="31" t="n">
        <v>49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65.70999999999999</v>
      </c>
      <c r="P128" s="32" t="n">
        <v>33.41</v>
      </c>
      <c r="Q128" s="32" t="n">
        <v>418.68</v>
      </c>
      <c r="R128" s="31" t="inlineStr">
        <is>
          <t>Earnings / Momentum Support</t>
        </is>
      </c>
      <c r="S128" s="31" t="inlineStr">
        <is>
          <t>Nifty 50</t>
        </is>
      </c>
      <c r="T128" s="32" t="n">
        <v>-6.08</v>
      </c>
      <c r="U128" s="32" t="n">
        <v>4.79</v>
      </c>
      <c r="V128" s="32" t="n">
        <v>11.57</v>
      </c>
      <c r="W128" s="32" t="n">
        <v>14.89</v>
      </c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Less than 50%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IF(B129=0,"",RANK(B129,$B$2:$B$239,0))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STOVEKRAFT</t>
        </is>
      </c>
      <c r="D129" s="31" t="inlineStr">
        <is>
          <t>Stove Kraft Ltd</t>
        </is>
      </c>
      <c r="E129" s="31" t="inlineStr">
        <is>
          <t>consumer discretionary</t>
        </is>
      </c>
      <c r="F129" s="31" t="inlineStr">
        <is>
          <t>domestic appliances</t>
        </is>
      </c>
      <c r="G129" s="31" t="inlineStr">
        <is>
          <t>smallcap</t>
        </is>
      </c>
      <c r="H129" s="32" t="n">
        <v>2199.98</v>
      </c>
      <c r="I129" s="32" t="n">
        <v>652.05</v>
      </c>
      <c r="J129" s="32" t="n">
        <v>-1.87</v>
      </c>
      <c r="K129" s="32" t="n">
        <v>123264</v>
      </c>
      <c r="L129" s="31" t="n">
        <v>27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64.87</v>
      </c>
      <c r="P129" s="32" t="n">
        <v>21.62</v>
      </c>
      <c r="Q129" s="32" t="n">
        <v>488.7</v>
      </c>
      <c r="R129" s="31" t="inlineStr">
        <is>
          <t>Earnings / Momentum Support</t>
        </is>
      </c>
      <c r="S129" s="31" t="inlineStr">
        <is>
          <t>Nifty 50</t>
        </is>
      </c>
      <c r="T129" s="32" t="n">
        <v>-6.08</v>
      </c>
      <c r="U129" s="32" t="n">
        <v>9.890000000000001</v>
      </c>
      <c r="V129" s="32" t="n">
        <v>17.01</v>
      </c>
      <c r="W129" s="32" t="n">
        <v>8.970000000000001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IF(B130=0,"",RANK(B130,$B$2:$B$239,0))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WABAG</t>
        </is>
      </c>
      <c r="D130" s="31" t="inlineStr">
        <is>
          <t>Va Tech Wabag Limited</t>
        </is>
      </c>
      <c r="E130" s="31" t="inlineStr">
        <is>
          <t>realty</t>
        </is>
      </c>
      <c r="F130" s="31" t="inlineStr">
        <is>
          <t>engineering - turnkey services</t>
        </is>
      </c>
      <c r="G130" s="31" t="inlineStr">
        <is>
          <t>midcap</t>
        </is>
      </c>
      <c r="H130" s="32" t="n">
        <v>9884.17</v>
      </c>
      <c r="I130" s="32" t="n">
        <v>1550</v>
      </c>
      <c r="J130" s="32" t="n">
        <v>-2.29</v>
      </c>
      <c r="K130" s="32" t="n">
        <v>228655</v>
      </c>
      <c r="L130" s="31" t="n">
        <v>15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61.5</v>
      </c>
      <c r="P130" s="32" t="n">
        <v>14.26</v>
      </c>
      <c r="Q130" s="32" t="n">
        <v>1264.9</v>
      </c>
      <c r="R130" s="31" t="inlineStr">
        <is>
          <t>Near 52W High Breakout</t>
        </is>
      </c>
      <c r="S130" s="31" t="inlineStr">
        <is>
          <t>Nifty Realty</t>
        </is>
      </c>
      <c r="T130" s="32" t="n">
        <v>-25.71</v>
      </c>
      <c r="U130" s="32" t="n">
        <v>-0.06</v>
      </c>
      <c r="V130" s="32" t="n">
        <v>34.53</v>
      </c>
      <c r="W130" s="32" t="n">
        <v>6.23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0 to 20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Less than 50%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IF(B131=0,"",RANK(B131,$B$2:$B$239,0))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PSPPROJECT</t>
        </is>
      </c>
      <c r="D131" s="31" t="inlineStr">
        <is>
          <t>PSP Projects Ltd</t>
        </is>
      </c>
      <c r="E131" s="31" t="inlineStr">
        <is>
          <t>realty</t>
        </is>
      </c>
      <c r="F131" s="31" t="inlineStr">
        <is>
          <t>construction</t>
        </is>
      </c>
      <c r="G131" s="31" t="inlineStr">
        <is>
          <t>smallcap</t>
        </is>
      </c>
      <c r="H131" s="32" t="n">
        <v>3637.93</v>
      </c>
      <c r="I131" s="32" t="n">
        <v>888.1</v>
      </c>
      <c r="J131" s="32" t="n">
        <v>-3.23</v>
      </c>
      <c r="K131" s="32" t="n">
        <v>228598</v>
      </c>
      <c r="L131" s="31" t="n">
        <v>45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61.5</v>
      </c>
      <c r="P131" s="32" t="n">
        <v>23.51</v>
      </c>
      <c r="Q131" s="32" t="n">
        <v>642.15</v>
      </c>
      <c r="R131" s="31" t="inlineStr">
        <is>
          <t>Earnings / Momentum Support</t>
        </is>
      </c>
      <c r="S131" s="31" t="inlineStr">
        <is>
          <t>Nifty Realty</t>
        </is>
      </c>
      <c r="T131" s="32" t="n">
        <v>-25.71</v>
      </c>
      <c r="U131" s="32" t="n">
        <v>27.12</v>
      </c>
      <c r="V131" s="32" t="n">
        <v>71.11</v>
      </c>
      <c r="W131" s="32" t="n">
        <v>13.94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IF(B132=0,"",RANK(B132,$B$2:$B$239,0))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STLTECH</t>
        </is>
      </c>
      <c r="D132" s="31" t="inlineStr">
        <is>
          <t>Sterlite Technologies Limited</t>
        </is>
      </c>
      <c r="E132" s="31" t="inlineStr">
        <is>
          <t>industrials</t>
        </is>
      </c>
      <c r="F132" s="31" t="inlineStr">
        <is>
          <t>cables - telephone</t>
        </is>
      </c>
      <c r="G132" s="31" t="inlineStr">
        <is>
          <t>largecap</t>
        </is>
      </c>
      <c r="H132" s="32" t="n">
        <v>29922.52</v>
      </c>
      <c r="I132" s="32" t="n">
        <v>582.35</v>
      </c>
      <c r="J132" s="32" t="n">
        <v>-5</v>
      </c>
      <c r="K132" s="32" t="n">
        <v>2342640</v>
      </c>
      <c r="L132" s="31" t="n">
        <v>99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87.56999999999999</v>
      </c>
      <c r="P132" s="32" t="n">
        <v>79.36</v>
      </c>
      <c r="Q132" s="32" t="n">
        <v>482.67</v>
      </c>
      <c r="R132" s="31" t="inlineStr">
        <is>
          <t>Earnings / Momentum Support</t>
        </is>
      </c>
      <c r="S132" s="31" t="inlineStr">
        <is>
          <t>Nifty Infra</t>
        </is>
      </c>
      <c r="T132" s="32" t="n">
        <v>0.99</v>
      </c>
      <c r="U132" s="32" t="n">
        <v>598.85</v>
      </c>
      <c r="V132" s="32" t="n">
        <v>591.96</v>
      </c>
      <c r="W132" s="32" t="n">
        <v>107.3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IF(B133=0,"",RANK(B133,$B$2:$B$239,0))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3" t="inlineStr">
        <is>
          <t>AKUMS</t>
        </is>
      </c>
      <c r="D133" s="33" t="inlineStr">
        <is>
          <t>Akums Drugs &amp; Pharmaceuticals Ltd</t>
        </is>
      </c>
      <c r="E133" s="31" t="inlineStr">
        <is>
          <t>healthcare</t>
        </is>
      </c>
      <c r="F133" s="31" t="inlineStr">
        <is>
          <t>pharmaceuticals - indian - bulk drugs &amp; formln</t>
        </is>
      </c>
      <c r="G133" s="31" t="inlineStr">
        <is>
          <t>midcap</t>
        </is>
      </c>
      <c r="H133" s="32" t="n">
        <v>8629.129999999999</v>
      </c>
      <c r="I133" s="32" t="n">
        <v>592.1</v>
      </c>
      <c r="J133" s="32" t="n">
        <v>8</v>
      </c>
      <c r="K133" s="32" t="n">
        <v>1389151</v>
      </c>
      <c r="L133" s="31" t="n">
        <v>19</v>
      </c>
      <c r="M133" s="31" t="inlineStr">
        <is>
          <t>Underperforming</t>
        </is>
      </c>
      <c r="N133" s="32">
        <f>IF(M133="Underperforming",-5,IF(L133&gt;=95,15,IF(L133&gt;=90,10,IF(L133&gt;=80,5,0))))</f>
        <v/>
      </c>
      <c r="O133" s="32" t="n">
        <v>68.41</v>
      </c>
      <c r="P133" s="32" t="n">
        <v>36.53</v>
      </c>
      <c r="Q133" s="32" t="n">
        <v>475.63</v>
      </c>
      <c r="R133" s="31" t="inlineStr">
        <is>
          <t>Volume Spike &amp; Near 52W High Breakout</t>
        </is>
      </c>
      <c r="S133" s="31" t="inlineStr">
        <is>
          <t>Nifty Pharma</t>
        </is>
      </c>
      <c r="T133" s="32" t="n">
        <v>9.9</v>
      </c>
      <c r="U133" s="32" t="n">
        <v>3.46</v>
      </c>
      <c r="V133" s="32" t="n">
        <v>-5.86</v>
      </c>
      <c r="W133" s="32" t="n">
        <v>7.05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Less than 12%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IF(B134=0,"",RANK(B134,$B$2:$B$239,0))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3" t="inlineStr">
        <is>
          <t>HESTERBIO</t>
        </is>
      </c>
      <c r="D134" s="33" t="inlineStr">
        <is>
          <t>Hester Biosciences Limited</t>
        </is>
      </c>
      <c r="E134" s="31" t="inlineStr">
        <is>
          <t>healthcare</t>
        </is>
      </c>
      <c r="F134" s="31" t="inlineStr">
        <is>
          <t>pharmaceuticals - indian - formulations</t>
        </is>
      </c>
      <c r="G134" s="31" t="inlineStr">
        <is>
          <t>smallcap</t>
        </is>
      </c>
      <c r="H134" s="32" t="n">
        <v>1652.37</v>
      </c>
      <c r="I134" s="32" t="n">
        <v>1939.2</v>
      </c>
      <c r="J134" s="32" t="n">
        <v>-0.16</v>
      </c>
      <c r="K134" s="32" t="n">
        <v>4493</v>
      </c>
      <c r="L134" s="31" t="n">
        <v>36</v>
      </c>
      <c r="M134" s="31" t="inlineStr">
        <is>
          <t>Underperforming</t>
        </is>
      </c>
      <c r="N134" s="32">
        <f>IF(M134="Underperforming",-5,IF(L134&gt;=95,15,IF(L134&gt;=90,10,IF(L134&gt;=80,5,0))))</f>
        <v/>
      </c>
      <c r="O134" s="32" t="n">
        <v>66.06999999999999</v>
      </c>
      <c r="P134" s="32" t="n">
        <v>35.25</v>
      </c>
      <c r="Q134" s="32" t="n">
        <v>1546.67</v>
      </c>
      <c r="R134" s="31" t="inlineStr">
        <is>
          <t>Earnings / Momentum Support</t>
        </is>
      </c>
      <c r="S134" s="31" t="inlineStr">
        <is>
          <t>Nifty Pharma</t>
        </is>
      </c>
      <c r="T134" s="32" t="n">
        <v>9.9</v>
      </c>
      <c r="U134" s="32" t="n">
        <v>4.68</v>
      </c>
      <c r="V134" s="32" t="n">
        <v>-4.75</v>
      </c>
      <c r="W134" s="32" t="n">
        <v>10.73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Yes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IF(B135=0,"",RANK(B135,$B$2:$B$239,0))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IKS</t>
        </is>
      </c>
      <c r="D135" s="31" t="inlineStr">
        <is>
          <t>Inventurus Knowledge Solutions Ltd</t>
        </is>
      </c>
      <c r="E135" s="31" t="inlineStr">
        <is>
          <t>i.t</t>
        </is>
      </c>
      <c r="F135" s="31" t="inlineStr">
        <is>
          <t>computers - software - medium / small</t>
        </is>
      </c>
      <c r="G135" s="31" t="inlineStr">
        <is>
          <t>largecap</t>
        </is>
      </c>
      <c r="H135" s="32" t="n">
        <v>28884.34</v>
      </c>
      <c r="I135" s="32" t="n">
        <v>1678.5</v>
      </c>
      <c r="J135" s="32" t="n">
        <v>-0.3</v>
      </c>
      <c r="K135" s="32" t="n">
        <v>90810</v>
      </c>
      <c r="L135" s="31" t="n">
        <v>12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57.13</v>
      </c>
      <c r="P135" s="32" t="n">
        <v>13.24</v>
      </c>
      <c r="Q135" s="32" t="n">
        <v>1307.09</v>
      </c>
      <c r="R135" s="31" t="inlineStr">
        <is>
          <t>Near 52W High Breakout</t>
        </is>
      </c>
      <c r="S135" s="31" t="inlineStr">
        <is>
          <t>Nifty IT</t>
        </is>
      </c>
      <c r="T135" s="32" t="n">
        <v>-26.49</v>
      </c>
      <c r="U135" s="32" t="n">
        <v>-3.84</v>
      </c>
      <c r="V135" s="32" t="n">
        <v>30.81</v>
      </c>
      <c r="W135" s="32" t="n">
        <v>5.73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0 to 20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Between 50% to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IF(B136=0,"",RANK(B136,$B$2:$B$239,0))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JBCHEPHARM</t>
        </is>
      </c>
      <c r="D136" s="31" t="inlineStr">
        <is>
          <t>Jb Chemicals &amp; Pharmaceuticals Limited</t>
        </is>
      </c>
      <c r="E136" s="31" t="inlineStr">
        <is>
          <t>healthcare</t>
        </is>
      </c>
      <c r="F136" s="31" t="inlineStr">
        <is>
          <t>pharmaceuticals - indian - bulk drugs &amp; formln</t>
        </is>
      </c>
      <c r="G136" s="31" t="inlineStr">
        <is>
          <t>largecap</t>
        </is>
      </c>
      <c r="H136" s="32" t="n">
        <v>35486.69</v>
      </c>
      <c r="I136" s="32" t="n">
        <v>2201.5</v>
      </c>
      <c r="J136" s="32" t="n">
        <v>-0.39</v>
      </c>
      <c r="K136" s="32" t="n">
        <v>277256</v>
      </c>
      <c r="L136" s="31" t="n">
        <v>15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69.14</v>
      </c>
      <c r="P136" s="32" t="n">
        <v>39.8</v>
      </c>
      <c r="Q136" s="32" t="n">
        <v>1878.87</v>
      </c>
      <c r="R136" s="31" t="inlineStr">
        <is>
          <t>Near 52W High Breakout</t>
        </is>
      </c>
      <c r="S136" s="31" t="inlineStr">
        <is>
          <t>Nifty Pharma</t>
        </is>
      </c>
      <c r="T136" s="32" t="n">
        <v>9.9</v>
      </c>
      <c r="U136" s="32" t="n">
        <v>28.82</v>
      </c>
      <c r="V136" s="32" t="n">
        <v>17.22</v>
      </c>
      <c r="W136" s="32" t="n">
        <v>6.27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Between 50% to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IF(B137=0,"",RANK(B137,$B$2:$B$239,0))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SASKEN</t>
        </is>
      </c>
      <c r="D137" s="31" t="inlineStr">
        <is>
          <t>Sasken Communication Technologies Limited</t>
        </is>
      </c>
      <c r="E137" s="31" t="inlineStr">
        <is>
          <t>i.t</t>
        </is>
      </c>
      <c r="F137" s="31" t="inlineStr">
        <is>
          <t>computers - software - medium / small</t>
        </is>
      </c>
      <c r="G137" s="31" t="inlineStr">
        <is>
          <t>smallcap</t>
        </is>
      </c>
      <c r="H137" s="32" t="n">
        <v>3514.76</v>
      </c>
      <c r="I137" s="32" t="n">
        <v>2261.6</v>
      </c>
      <c r="J137" s="32" t="n">
        <v>-2.28</v>
      </c>
      <c r="K137" s="32" t="n">
        <v>187681</v>
      </c>
      <c r="L137" s="31" t="n">
        <v>92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75.95999999999999</v>
      </c>
      <c r="P137" s="32" t="n">
        <v>32.26</v>
      </c>
      <c r="Q137" s="32" t="n">
        <v>1661.12</v>
      </c>
      <c r="R137" s="31" t="inlineStr">
        <is>
          <t>Near 52W High Breakout</t>
        </is>
      </c>
      <c r="S137" s="31" t="inlineStr">
        <is>
          <t>Nifty IT</t>
        </is>
      </c>
      <c r="T137" s="32" t="n">
        <v>-26.49</v>
      </c>
      <c r="U137" s="32" t="n">
        <v>57.12</v>
      </c>
      <c r="V137" s="32" t="n">
        <v>113.73</v>
      </c>
      <c r="W137" s="32" t="n">
        <v>43.36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Above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Negative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IF(B138=0,"",RANK(B138,$B$2:$B$239,0))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INOXINDIA</t>
        </is>
      </c>
      <c r="D138" s="31" t="inlineStr">
        <is>
          <t>Inox India Ltd</t>
        </is>
      </c>
      <c r="E138" s="31" t="inlineStr">
        <is>
          <t>industrials</t>
        </is>
      </c>
      <c r="F138" s="31" t="inlineStr">
        <is>
          <t>packaging</t>
        </is>
      </c>
      <c r="G138" s="31" t="inlineStr">
        <is>
          <t>midcap</t>
        </is>
      </c>
      <c r="H138" s="32" t="n">
        <v>15309.08</v>
      </c>
      <c r="I138" s="32" t="n">
        <v>1891.6</v>
      </c>
      <c r="J138" s="32" t="n">
        <v>12.15</v>
      </c>
      <c r="K138" s="32" t="n">
        <v>4034181</v>
      </c>
      <c r="L138" s="31" t="n">
        <v>78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83.33</v>
      </c>
      <c r="P138" s="32" t="n">
        <v>53.44</v>
      </c>
      <c r="Q138" s="32" t="n">
        <v>1481.71</v>
      </c>
      <c r="R138" s="31" t="inlineStr">
        <is>
          <t>Volume Spike &amp; Near 52W High Breakout</t>
        </is>
      </c>
      <c r="S138" s="31" t="inlineStr">
        <is>
          <t>Nifty 50</t>
        </is>
      </c>
      <c r="T138" s="32" t="n">
        <v>-6.08</v>
      </c>
      <c r="U138" s="32" t="n">
        <v>60</v>
      </c>
      <c r="V138" s="32" t="n">
        <v>70.36</v>
      </c>
      <c r="W138" s="32" t="n">
        <v>25.85</v>
      </c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Above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Between 12 to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Less than 50%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IF(B139=0,"",RANK(B139,$B$2:$B$239,0))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DIFFNKG</t>
        </is>
      </c>
      <c r="D139" s="31" t="inlineStr">
        <is>
          <t>Diffusion Engineers Ltd</t>
        </is>
      </c>
      <c r="E139" s="31" t="inlineStr">
        <is>
          <t>industrials</t>
        </is>
      </c>
      <c r="F139" s="31" t="inlineStr">
        <is>
          <t>electrodes - welding equipment</t>
        </is>
      </c>
      <c r="G139" s="31" t="inlineStr">
        <is>
          <t>smallcap</t>
        </is>
      </c>
      <c r="H139" s="32" t="n">
        <v>1238.06</v>
      </c>
      <c r="I139" s="32" t="n">
        <v>346.5</v>
      </c>
      <c r="J139" s="32" t="n">
        <v>4.75</v>
      </c>
      <c r="K139" s="32" t="n">
        <v>898608</v>
      </c>
      <c r="L139" s="31" t="n">
        <v>53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62.33</v>
      </c>
      <c r="P139" s="32" t="n">
        <v>14.1</v>
      </c>
      <c r="Q139" s="32" t="n">
        <v>252.92</v>
      </c>
      <c r="R139" s="31" t="inlineStr">
        <is>
          <t>Volume Spike / Accumulation</t>
        </is>
      </c>
      <c r="S139" s="31" t="inlineStr">
        <is>
          <t>Nifty 50</t>
        </is>
      </c>
      <c r="T139" s="32" t="n">
        <v>-6.08</v>
      </c>
      <c r="U139" s="32" t="n">
        <v>15.44</v>
      </c>
      <c r="V139" s="32" t="n">
        <v>22.92</v>
      </c>
      <c r="W139" s="32" t="n">
        <v>15.53</v>
      </c>
      <c r="X139" s="31" t="inlineStr">
        <is>
          <t>Cyclical in an Upturn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0 to 20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Less than 50%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IF(B140=0,"",RANK(B140,$B$2:$B$239,0))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APARINDS</t>
        </is>
      </c>
      <c r="D140" s="31" t="inlineStr">
        <is>
          <t>Apar Industries Limited</t>
        </is>
      </c>
      <c r="E140" s="31" t="inlineStr">
        <is>
          <t>industrials</t>
        </is>
      </c>
      <c r="F140" s="31" t="inlineStr">
        <is>
          <t>electric equipment</t>
        </is>
      </c>
      <c r="G140" s="31" t="inlineStr">
        <is>
          <t>largecap</t>
        </is>
      </c>
      <c r="H140" s="32" t="n">
        <v>54665.06</v>
      </c>
      <c r="I140" s="32" t="n">
        <v>14085</v>
      </c>
      <c r="J140" s="32" t="n">
        <v>3.5</v>
      </c>
      <c r="K140" s="32" t="n">
        <v>192063</v>
      </c>
      <c r="L140" s="31" t="n">
        <v>77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72.95999999999999</v>
      </c>
      <c r="P140" s="32" t="n">
        <v>38.13</v>
      </c>
      <c r="Q140" s="32" t="n">
        <v>10894.28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-6.08</v>
      </c>
      <c r="U140" s="32" t="n">
        <v>79.45</v>
      </c>
      <c r="V140" s="32" t="n">
        <v>91.06999999999999</v>
      </c>
      <c r="W140" s="32" t="n">
        <v>25.5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Between 50% to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IF(B141=0,"",RANK(B141,$B$2:$B$239,0))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HONAUT</t>
        </is>
      </c>
      <c r="D141" s="31" t="inlineStr">
        <is>
          <t>Honeywell Automation India Limited</t>
        </is>
      </c>
      <c r="E141" s="31" t="inlineStr">
        <is>
          <t>consumer discretionary</t>
        </is>
      </c>
      <c r="F141" s="31" t="inlineStr">
        <is>
          <t>electronics - components</t>
        </is>
      </c>
      <c r="G141" s="31" t="inlineStr">
        <is>
          <t>largecap</t>
        </is>
      </c>
      <c r="H141" s="32" t="n">
        <v>31055.85</v>
      </c>
      <c r="I141" s="32" t="n">
        <v>36130</v>
      </c>
      <c r="J141" s="32" t="n">
        <v>2.86</v>
      </c>
      <c r="K141" s="32" t="n">
        <v>13857</v>
      </c>
      <c r="L141" s="31" t="n">
        <v>6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60</v>
      </c>
      <c r="P141" s="32" t="n">
        <v>23.88</v>
      </c>
      <c r="Q141" s="32" t="n">
        <v>29011.35</v>
      </c>
      <c r="R141" s="31" t="inlineStr">
        <is>
          <t>Earnings / Momentum Support</t>
        </is>
      </c>
      <c r="S141" s="31" t="inlineStr">
        <is>
          <t>Nifty 50</t>
        </is>
      </c>
      <c r="T141" s="32" t="n">
        <v>-6.08</v>
      </c>
      <c r="U141" s="32" t="n">
        <v>-4.96</v>
      </c>
      <c r="V141" s="32" t="n">
        <v>1.2</v>
      </c>
      <c r="W141" s="32" t="n">
        <v>3.62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Between 12 to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IF(B142=0,"",RANK(B142,$B$2:$B$239,0))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KRN</t>
        </is>
      </c>
      <c r="D142" s="31" t="inlineStr">
        <is>
          <t>KRN Heat Exchanger and Refrigeration Ltd</t>
        </is>
      </c>
      <c r="E142" s="31" t="inlineStr">
        <is>
          <t>industrials</t>
        </is>
      </c>
      <c r="F142" s="31" t="inlineStr">
        <is>
          <t>engineering</t>
        </is>
      </c>
      <c r="G142" s="31" t="inlineStr">
        <is>
          <t>midcap</t>
        </is>
      </c>
      <c r="H142" s="32" t="n">
        <v>7657.69</v>
      </c>
      <c r="I142" s="32" t="n">
        <v>1255.7</v>
      </c>
      <c r="J142" s="32" t="n">
        <v>1.92</v>
      </c>
      <c r="K142" s="32" t="n">
        <v>390454</v>
      </c>
      <c r="L142" s="31" t="n">
        <v>71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65.09</v>
      </c>
      <c r="P142" s="32" t="n">
        <v>39.53</v>
      </c>
      <c r="Q142" s="32" t="n">
        <v>875.95</v>
      </c>
      <c r="R142" s="31" t="inlineStr">
        <is>
          <t>Near 52W High Breakout</t>
        </is>
      </c>
      <c r="S142" s="31" t="inlineStr">
        <is>
          <t>Nifty 50</t>
        </is>
      </c>
      <c r="T142" s="32" t="n">
        <v>-6.08</v>
      </c>
      <c r="U142" s="32" t="n">
        <v>74.44</v>
      </c>
      <c r="V142" s="32" t="n">
        <v>85.73999999999999</v>
      </c>
      <c r="W142" s="32" t="n">
        <v>22.62</v>
      </c>
      <c r="X142" s="31" t="inlineStr">
        <is>
          <t>Cyclical in an Upturn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Between 1.5 to 2</t>
        </is>
      </c>
      <c r="BU142" s="31">
        <f>IF(BT142="Above 2",0,IF(BT142="Between 1.5 to 2",5,IF(BT142="Less than 1.5",10,0)))</f>
        <v/>
      </c>
      <c r="BV142" s="31" t="inlineStr">
        <is>
          <t>Negative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IF(B143=0,"",RANK(B143,$B$2:$B$239,0))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HONASA</t>
        </is>
      </c>
      <c r="D143" s="31" t="inlineStr">
        <is>
          <t>Honasa Consumer Ltd</t>
        </is>
      </c>
      <c r="E143" s="31" t="inlineStr">
        <is>
          <t>services</t>
        </is>
      </c>
      <c r="F143" s="31" t="inlineStr">
        <is>
          <t>trading</t>
        </is>
      </c>
      <c r="G143" s="31" t="inlineStr">
        <is>
          <t>midcap</t>
        </is>
      </c>
      <c r="H143" s="32" t="n">
        <v>13273.46</v>
      </c>
      <c r="I143" s="32" t="n">
        <v>414.6</v>
      </c>
      <c r="J143" s="32" t="n">
        <v>1.63</v>
      </c>
      <c r="K143" s="32" t="n">
        <v>734236</v>
      </c>
      <c r="L143" s="31" t="n">
        <v>63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75.75</v>
      </c>
      <c r="P143" s="32" t="n">
        <v>30.94</v>
      </c>
      <c r="Q143" s="32" t="n">
        <v>336.64</v>
      </c>
      <c r="R143" s="31" t="inlineStr">
        <is>
          <t>Near 52W High Breakout</t>
        </is>
      </c>
      <c r="S143" s="31" t="inlineStr">
        <is>
          <t>Nifty 50</t>
        </is>
      </c>
      <c r="T143" s="32" t="n">
        <v>-6.08</v>
      </c>
      <c r="U143" s="32" t="n">
        <v>35.03</v>
      </c>
      <c r="V143" s="32" t="n">
        <v>43.77</v>
      </c>
      <c r="W143" s="32" t="n">
        <v>19.2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Between 50% to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IF(B144=0,"",RANK(B144,$B$2:$B$239,0))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SANDHAR</t>
        </is>
      </c>
      <c r="D144" s="31" t="inlineStr">
        <is>
          <t>Sandhar Technologies Limited</t>
        </is>
      </c>
      <c r="E144" s="31" t="inlineStr">
        <is>
          <t>auto</t>
        </is>
      </c>
      <c r="F144" s="31" t="inlineStr">
        <is>
          <t>auto ancillaries</t>
        </is>
      </c>
      <c r="G144" s="31" t="inlineStr">
        <is>
          <t>smallcap</t>
        </is>
      </c>
      <c r="H144" s="32" t="n">
        <v>4266.92</v>
      </c>
      <c r="I144" s="32" t="n">
        <v>718.45</v>
      </c>
      <c r="J144" s="32" t="n">
        <v>1.35</v>
      </c>
      <c r="K144" s="32" t="n">
        <v>791992</v>
      </c>
      <c r="L144" s="31" t="n">
        <v>62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72.44</v>
      </c>
      <c r="P144" s="32" t="n">
        <v>19.29</v>
      </c>
      <c r="Q144" s="32" t="n">
        <v>538.15</v>
      </c>
      <c r="R144" s="31" t="inlineStr">
        <is>
          <t>Near 52W High Breakout</t>
        </is>
      </c>
      <c r="S144" s="31" t="inlineStr">
        <is>
          <t>Nifty Auto</t>
        </is>
      </c>
      <c r="T144" s="32" t="n">
        <v>10.74</v>
      </c>
      <c r="U144" s="32" t="n">
        <v>35.39</v>
      </c>
      <c r="V144" s="32" t="n">
        <v>22.25</v>
      </c>
      <c r="W144" s="32" t="n">
        <v>18.37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Less than 50%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IF(B145=0,"",RANK(B145,$B$2:$B$239,0))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MGEL</t>
        </is>
      </c>
      <c r="D145" s="31" t="inlineStr">
        <is>
          <t>Mangalam Global Enterprise Ltd</t>
        </is>
      </c>
      <c r="E145" s="31" t="inlineStr">
        <is>
          <t>services</t>
        </is>
      </c>
      <c r="F145" s="31" t="inlineStr">
        <is>
          <t>trading</t>
        </is>
      </c>
      <c r="G145" s="31" t="inlineStr">
        <is>
          <t>smallcap</t>
        </is>
      </c>
      <c r="H145" s="32" t="n">
        <v>543.11</v>
      </c>
      <c r="I145" s="32" t="n">
        <v>16.51</v>
      </c>
      <c r="J145" s="32" t="n">
        <v>0.18</v>
      </c>
      <c r="K145" s="32" t="n">
        <v>649221</v>
      </c>
      <c r="L145" s="31" t="n">
        <v>62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66.65000000000001</v>
      </c>
      <c r="P145" s="32" t="n">
        <v>29.8</v>
      </c>
      <c r="Q145" s="32" t="n">
        <v>11.63</v>
      </c>
      <c r="R145" s="31" t="inlineStr">
        <is>
          <t>Earnings / Momentum Support</t>
        </is>
      </c>
      <c r="S145" s="31" t="inlineStr">
        <is>
          <t>Nifty 50</t>
        </is>
      </c>
      <c r="T145" s="32" t="n">
        <v>-6.08</v>
      </c>
      <c r="U145" s="32" t="n">
        <v>13.15</v>
      </c>
      <c r="V145" s="32" t="n">
        <v>20.48</v>
      </c>
      <c r="W145" s="32" t="n">
        <v>18.39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Between 0.7 to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IF(B146=0,"",RANK(B146,$B$2:$B$239,0))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ELGIEQUIP</t>
        </is>
      </c>
      <c r="D146" s="31" t="inlineStr">
        <is>
          <t>Elgi Equipments Limited</t>
        </is>
      </c>
      <c r="E146" s="31" t="inlineStr">
        <is>
          <t>industrials</t>
        </is>
      </c>
      <c r="F146" s="31" t="inlineStr">
        <is>
          <t>compressors / drilling equipment</t>
        </is>
      </c>
      <c r="G146" s="31" t="inlineStr">
        <is>
          <t>midcap</t>
        </is>
      </c>
      <c r="H146" s="32" t="n">
        <v>19163.49</v>
      </c>
      <c r="I146" s="32" t="n">
        <v>602.85</v>
      </c>
      <c r="J146" s="32" t="n">
        <v>-0.31</v>
      </c>
      <c r="K146" s="32" t="n">
        <v>263193</v>
      </c>
      <c r="L146" s="31" t="n">
        <v>27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64.83</v>
      </c>
      <c r="P146" s="32" t="n">
        <v>16.64</v>
      </c>
      <c r="Q146" s="32" t="n">
        <v>481.84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-6.08</v>
      </c>
      <c r="U146" s="32" t="n">
        <v>12.85</v>
      </c>
      <c r="V146" s="32" t="n">
        <v>20.16</v>
      </c>
      <c r="W146" s="32" t="n">
        <v>8.98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0 to 20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Between 1.5 to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IF(B147=0,"",RANK(B147,$B$2:$B$239,0))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ADANIENT</t>
        </is>
      </c>
      <c r="D147" s="31" t="inlineStr">
        <is>
          <t>Adani Enterprises Limited</t>
        </is>
      </c>
      <c r="E147" s="31" t="inlineStr">
        <is>
          <t>services</t>
        </is>
      </c>
      <c r="F147" s="31" t="inlineStr">
        <is>
          <t>trading</t>
        </is>
      </c>
      <c r="G147" s="31" t="inlineStr">
        <is>
          <t>largecap</t>
        </is>
      </c>
      <c r="H147" s="32" t="n">
        <v>385206.43</v>
      </c>
      <c r="I147" s="32" t="n">
        <v>2931.1</v>
      </c>
      <c r="J147" s="32" t="n">
        <v>-1.64</v>
      </c>
      <c r="K147" s="32" t="n">
        <v>1475029</v>
      </c>
      <c r="L147" s="31" t="n">
        <v>50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69.09</v>
      </c>
      <c r="P147" s="32" t="n">
        <v>32.11</v>
      </c>
      <c r="Q147" s="32" t="n">
        <v>2512.86</v>
      </c>
      <c r="R147" s="31" t="inlineStr">
        <is>
          <t>Near 52W High Breakout</t>
        </is>
      </c>
      <c r="S147" s="31" t="inlineStr">
        <is>
          <t>Nifty 50</t>
        </is>
      </c>
      <c r="T147" s="32" t="n">
        <v>-6.08</v>
      </c>
      <c r="U147" s="32" t="n">
        <v>16.93</v>
      </c>
      <c r="V147" s="32" t="n">
        <v>24.51</v>
      </c>
      <c r="W147" s="32" t="n">
        <v>15.14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Between 1.5 to 2</t>
        </is>
      </c>
      <c r="BU147" s="31">
        <f>IF(BT147="Above 2",0,IF(BT147="Between 1.5 to 2",5,IF(BT147="Less than 1.5",10,0)))</f>
        <v/>
      </c>
      <c r="BV147" s="31" t="inlineStr">
        <is>
          <t>Less than 50% and Borrowings are increasing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Between 0.7 to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IF(B148=0,"",RANK(B148,$B$2:$B$239,0))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3" t="inlineStr">
        <is>
          <t>EXIDEIND</t>
        </is>
      </c>
      <c r="D148" s="33" t="inlineStr">
        <is>
          <t>Exide Industries Limited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largecap</t>
        </is>
      </c>
      <c r="H148" s="32" t="n">
        <v>33400.75</v>
      </c>
      <c r="I148" s="32" t="n">
        <v>386.35</v>
      </c>
      <c r="J148" s="32" t="n">
        <v>-1.68</v>
      </c>
      <c r="K148" s="32" t="n">
        <v>911449</v>
      </c>
      <c r="L148" s="31" t="n">
        <v>21</v>
      </c>
      <c r="M148" s="31" t="inlineStr">
        <is>
          <t>Underperforming</t>
        </is>
      </c>
      <c r="N148" s="32">
        <f>IF(M148="Underperforming",-5,IF(L148&gt;=95,15,IF(L148&gt;=90,10,IF(L148&gt;=80,5,0))))</f>
        <v/>
      </c>
      <c r="O148" s="32" t="n">
        <v>60.52</v>
      </c>
      <c r="P148" s="32" t="n">
        <v>30.51</v>
      </c>
      <c r="Q148" s="32" t="n">
        <v>328.66</v>
      </c>
      <c r="R148" s="31" t="inlineStr">
        <is>
          <t>Earnings / Momentum Support</t>
        </is>
      </c>
      <c r="S148" s="31" t="inlineStr">
        <is>
          <t>Nifty Auto</t>
        </is>
      </c>
      <c r="T148" s="32" t="n">
        <v>10.74</v>
      </c>
      <c r="U148" s="32" t="n">
        <v>0.92</v>
      </c>
      <c r="V148" s="32" t="n">
        <v>-8.869999999999999</v>
      </c>
      <c r="W148" s="32" t="n">
        <v>7.7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Between 12 to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IF(B149=0,"",RANK(B149,$B$2:$B$239,0))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PREMIERENE</t>
        </is>
      </c>
      <c r="D149" s="31" t="inlineStr">
        <is>
          <t>Premier Energies Ltd</t>
        </is>
      </c>
      <c r="E149" s="31" t="inlineStr">
        <is>
          <t>services</t>
        </is>
      </c>
      <c r="F149" s="31" t="inlineStr">
        <is>
          <t>trading</t>
        </is>
      </c>
      <c r="G149" s="31" t="inlineStr">
        <is>
          <t>largecap</t>
        </is>
      </c>
      <c r="H149" s="32" t="n">
        <v>49226.9</v>
      </c>
      <c r="I149" s="32" t="n">
        <v>1065.9</v>
      </c>
      <c r="J149" s="32" t="n">
        <v>-1.91</v>
      </c>
      <c r="K149" s="32" t="n">
        <v>802759</v>
      </c>
      <c r="L149" s="31" t="n">
        <v>31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63.45</v>
      </c>
      <c r="P149" s="32" t="n">
        <v>17.56</v>
      </c>
      <c r="Q149" s="32" t="n">
        <v>856.53</v>
      </c>
      <c r="R149" s="31" t="inlineStr">
        <is>
          <t>Near 52W High Breakout</t>
        </is>
      </c>
      <c r="S149" s="31" t="inlineStr">
        <is>
          <t>Nifty 500</t>
        </is>
      </c>
      <c r="T149" s="32" t="n">
        <v>-2.94</v>
      </c>
      <c r="U149" s="32" t="n">
        <v>5.49</v>
      </c>
      <c r="V149" s="32" t="n">
        <v>8.68</v>
      </c>
      <c r="W149" s="32" t="n">
        <v>9.880000000000001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Between 50% to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Between 0.7 to 1.2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IF(B150=0,"",RANK(B150,$B$2:$B$239,0))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DIACABS</t>
        </is>
      </c>
      <c r="D150" s="31" t="inlineStr">
        <is>
          <t>Diamond Power Infrastructure Ltd</t>
        </is>
      </c>
      <c r="E150" s="31" t="inlineStr">
        <is>
          <t>industrials</t>
        </is>
      </c>
      <c r="F150" s="31" t="inlineStr">
        <is>
          <t>cables - power</t>
        </is>
      </c>
      <c r="G150" s="31" t="inlineStr">
        <is>
          <t>midcap</t>
        </is>
      </c>
      <c r="H150" s="32" t="n">
        <v>10669.58</v>
      </c>
      <c r="I150" s="32" t="n">
        <v>197</v>
      </c>
      <c r="J150" s="32" t="n">
        <v>-2.7</v>
      </c>
      <c r="K150" s="32" t="n">
        <v>3311996</v>
      </c>
      <c r="L150" s="31" t="n">
        <v>82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71.38</v>
      </c>
      <c r="P150" s="32" t="n">
        <v>32.74</v>
      </c>
      <c r="Q150" s="32" t="n">
        <v>151.81</v>
      </c>
      <c r="R150" s="31" t="inlineStr">
        <is>
          <t>Near 52W High Breakout</t>
        </is>
      </c>
      <c r="S150" s="31" t="inlineStr">
        <is>
          <t>Nifty Energy</t>
        </is>
      </c>
      <c r="T150" s="32" t="n">
        <v>8.98</v>
      </c>
      <c r="U150" s="32" t="n">
        <v>95.88</v>
      </c>
      <c r="V150" s="32" t="n">
        <v>79.75</v>
      </c>
      <c r="W150" s="32" t="n">
        <v>28.06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Negative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IF(B151=0,"",RANK(B151,$B$2:$B$239,0))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AEROFLEX</t>
        </is>
      </c>
      <c r="D151" s="31" t="inlineStr">
        <is>
          <t>Aeroflex Industries Ltd</t>
        </is>
      </c>
      <c r="E151" s="31" t="inlineStr">
        <is>
          <t>metals &amp; mining</t>
        </is>
      </c>
      <c r="F151" s="31" t="inlineStr">
        <is>
          <t>steel - medium / small</t>
        </is>
      </c>
      <c r="G151" s="31" t="inlineStr">
        <is>
          <t>midcap</t>
        </is>
      </c>
      <c r="H151" s="32" t="n">
        <v>5633.32</v>
      </c>
      <c r="I151" s="32" t="n">
        <v>414.1</v>
      </c>
      <c r="J151" s="32" t="n">
        <v>-2.72</v>
      </c>
      <c r="K151" s="32" t="n">
        <v>1235075</v>
      </c>
      <c r="L151" s="31" t="n">
        <v>90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69.78</v>
      </c>
      <c r="P151" s="32" t="n">
        <v>56.95</v>
      </c>
      <c r="Q151" s="32" t="n">
        <v>305.67</v>
      </c>
      <c r="R151" s="31" t="inlineStr">
        <is>
          <t>Earnings / Momentum Support</t>
        </is>
      </c>
      <c r="S151" s="31" t="inlineStr">
        <is>
          <t>Nifty Metal</t>
        </is>
      </c>
      <c r="T151" s="32" t="n">
        <v>37.88</v>
      </c>
      <c r="U151" s="32" t="n">
        <v>142.49</v>
      </c>
      <c r="V151" s="32" t="n">
        <v>75.86</v>
      </c>
      <c r="W151" s="32" t="n">
        <v>37.95</v>
      </c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Cyclical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Volatile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Between 1.5 to 2</t>
        </is>
      </c>
      <c r="BU151" s="31">
        <f>IF(BT151="Above 2",0,IF(BT151="Between 1.5 to 2",5,IF(BT151="Less than 1.5",10,0)))</f>
        <v/>
      </c>
      <c r="BV151" s="31" t="inlineStr">
        <is>
          <t>Between 50% to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IF(B152=0,"",RANK(B152,$B$2:$B$239,0))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CHENNPETRO</t>
        </is>
      </c>
      <c r="D152" s="31" t="inlineStr">
        <is>
          <t>Chennai Petroleum Corporation Limited</t>
        </is>
      </c>
      <c r="E152" s="31" t="inlineStr">
        <is>
          <t>energy</t>
        </is>
      </c>
      <c r="F152" s="31" t="inlineStr">
        <is>
          <t>refineries</t>
        </is>
      </c>
      <c r="G152" s="31" t="inlineStr">
        <is>
          <t>midcap</t>
        </is>
      </c>
      <c r="H152" s="32" t="n">
        <v>18262.49</v>
      </c>
      <c r="I152" s="32" t="n">
        <v>1184.3</v>
      </c>
      <c r="J152" s="32" t="n">
        <v>-3.43</v>
      </c>
      <c r="K152" s="32" t="n">
        <v>1398690</v>
      </c>
      <c r="L152" s="31" t="n">
        <v>64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64.28</v>
      </c>
      <c r="P152" s="32" t="n">
        <v>44.01</v>
      </c>
      <c r="Q152" s="32" t="n">
        <v>884.9</v>
      </c>
      <c r="R152" s="31" t="inlineStr">
        <is>
          <t>Near 52W High Breakout</t>
        </is>
      </c>
      <c r="S152" s="31" t="inlineStr">
        <is>
          <t>Nifty Energy</t>
        </is>
      </c>
      <c r="T152" s="32" t="n">
        <v>8.98</v>
      </c>
      <c r="U152" s="32" t="n">
        <v>87.31999999999999</v>
      </c>
      <c r="V152" s="32" t="n">
        <v>71.89</v>
      </c>
      <c r="W152" s="32" t="n">
        <v>20.11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Oligopoly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Cyclical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Volatile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Between 50% to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IF(B153=0,"",RANK(B153,$B$2:$B$239,0))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KDDL</t>
        </is>
      </c>
      <c r="D153" s="31" t="inlineStr">
        <is>
          <t>Kddl Limited</t>
        </is>
      </c>
      <c r="E153" s="31" t="inlineStr">
        <is>
          <t>consumer discretionary</t>
        </is>
      </c>
      <c r="F153" s="31" t="inlineStr">
        <is>
          <t>miscellaneous</t>
        </is>
      </c>
      <c r="G153" s="31" t="inlineStr">
        <is>
          <t>smallcap</t>
        </is>
      </c>
      <c r="H153" s="32" t="n">
        <v>3707.13</v>
      </c>
      <c r="I153" s="32" t="n">
        <v>2868.8</v>
      </c>
      <c r="J153" s="32" t="n">
        <v>-4.82</v>
      </c>
      <c r="K153" s="32" t="n">
        <v>25022</v>
      </c>
      <c r="L153" s="31" t="n">
        <v>31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61.29</v>
      </c>
      <c r="P153" s="32" t="n">
        <v>15.25</v>
      </c>
      <c r="Q153" s="32" t="n">
        <v>2110.03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-6.08</v>
      </c>
      <c r="U153" s="32" t="n">
        <v>15.98</v>
      </c>
      <c r="V153" s="32" t="n">
        <v>23.49</v>
      </c>
      <c r="W153" s="32" t="n">
        <v>9.720000000000001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Between 1.5 to 2</t>
        </is>
      </c>
      <c r="BU153" s="31">
        <f>IF(BT153="Above 2",0,IF(BT153="Between 1.5 to 2",5,IF(BT153="Less than 1.5",10,0)))</f>
        <v/>
      </c>
      <c r="BV153" s="31" t="inlineStr">
        <is>
          <t>Less than 50%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IF(B154=0,"",RANK(B154,$B$2:$B$239,0))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PARACABLES</t>
        </is>
      </c>
      <c r="D154" s="31" t="inlineStr">
        <is>
          <t>Paramount Communications Limited</t>
        </is>
      </c>
      <c r="E154" s="31" t="inlineStr">
        <is>
          <t>industrials</t>
        </is>
      </c>
      <c r="F154" s="31" t="inlineStr">
        <is>
          <t>cables - power</t>
        </is>
      </c>
      <c r="G154" s="31" t="inlineStr">
        <is>
          <t>smallcap</t>
        </is>
      </c>
      <c r="H154" s="32" t="n">
        <v>2037.28</v>
      </c>
      <c r="I154" s="32" t="n">
        <v>62.66</v>
      </c>
      <c r="J154" s="32" t="n">
        <v>-6.13</v>
      </c>
      <c r="K154" s="32" t="n">
        <v>2713411</v>
      </c>
      <c r="L154" s="31" t="n">
        <v>84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67.93000000000001</v>
      </c>
      <c r="P154" s="32" t="n">
        <v>32.63</v>
      </c>
      <c r="Q154" s="32" t="n">
        <v>47.14</v>
      </c>
      <c r="R154" s="31" t="inlineStr">
        <is>
          <t>Earnings / Momentum Support</t>
        </is>
      </c>
      <c r="S154" s="31" t="inlineStr">
        <is>
          <t>Nifty Energy</t>
        </is>
      </c>
      <c r="T154" s="32" t="n">
        <v>8.98</v>
      </c>
      <c r="U154" s="32" t="n">
        <v>17.19</v>
      </c>
      <c r="V154" s="32" t="n">
        <v>7.53</v>
      </c>
      <c r="W154" s="32" t="n">
        <v>29.32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IF(B155=0,"",RANK(B155,$B$2:$B$239,0))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APOLLOHOSP</t>
        </is>
      </c>
      <c r="D155" s="31" t="inlineStr">
        <is>
          <t>Apollo Hospitals Enterprise Limited</t>
        </is>
      </c>
      <c r="E155" s="31" t="inlineStr">
        <is>
          <t>healthcare</t>
        </is>
      </c>
      <c r="F155" s="31" t="inlineStr">
        <is>
          <t>healthcare</t>
        </is>
      </c>
      <c r="G155" s="31" t="inlineStr">
        <is>
          <t>largecap</t>
        </is>
      </c>
      <c r="H155" s="32" t="n">
        <v>122562.04</v>
      </c>
      <c r="I155" s="32" t="n">
        <v>8488.5</v>
      </c>
      <c r="J155" s="32" t="n">
        <v>-0.42</v>
      </c>
      <c r="K155" s="32" t="n">
        <v>487815</v>
      </c>
      <c r="L155" s="31" t="n">
        <v>18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66.47</v>
      </c>
      <c r="P155" s="32" t="n">
        <v>13.74</v>
      </c>
      <c r="Q155" s="32" t="n">
        <v>7372.45</v>
      </c>
      <c r="R155" s="31" t="inlineStr">
        <is>
          <t>Near 52W High Breakout</t>
        </is>
      </c>
      <c r="S155" s="31" t="inlineStr">
        <is>
          <t>Nifty Pharma</t>
        </is>
      </c>
      <c r="T155" s="32" t="n">
        <v>9.9</v>
      </c>
      <c r="U155" s="32" t="n">
        <v>21.68</v>
      </c>
      <c r="V155" s="32" t="n">
        <v>10.72</v>
      </c>
      <c r="W155" s="32" t="n">
        <v>6.85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Oligopoly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Cyclical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B2C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Fully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Yes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Between 1.5 to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IF(B156=0,"",RANK(B156,$B$2:$B$239,0))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ZYDUSLIFE</t>
        </is>
      </c>
      <c r="D156" s="31" t="inlineStr">
        <is>
          <t>Zydus Lifesciences Ltd</t>
        </is>
      </c>
      <c r="E156" s="31" t="inlineStr">
        <is>
          <t>healthcare</t>
        </is>
      </c>
      <c r="F156" s="31" t="inlineStr">
        <is>
          <t>pharmaceuticals - indian - bulk drugs &amp; formln</t>
        </is>
      </c>
      <c r="G156" s="31" t="inlineStr">
        <is>
          <t>largecap</t>
        </is>
      </c>
      <c r="H156" s="32" t="n">
        <v>111249.23</v>
      </c>
      <c r="I156" s="32" t="n">
        <v>1098.3</v>
      </c>
      <c r="J156" s="32" t="n">
        <v>-0.66</v>
      </c>
      <c r="K156" s="32" t="n">
        <v>598159</v>
      </c>
      <c r="L156" s="31" t="n">
        <v>20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71.52</v>
      </c>
      <c r="P156" s="32" t="n">
        <v>20.23</v>
      </c>
      <c r="Q156" s="32" t="n">
        <v>933.2</v>
      </c>
      <c r="R156" s="31" t="inlineStr">
        <is>
          <t>Near 52W High Breakout</t>
        </is>
      </c>
      <c r="S156" s="31" t="inlineStr">
        <is>
          <t>Nifty Pharma</t>
        </is>
      </c>
      <c r="T156" s="32" t="n">
        <v>9.9</v>
      </c>
      <c r="U156" s="32" t="n">
        <v>13.94</v>
      </c>
      <c r="V156" s="32" t="n">
        <v>3.68</v>
      </c>
      <c r="W156" s="32" t="n">
        <v>7.46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Less than 50%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IF(B157=0,"",RANK(B157,$B$2:$B$239,0))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3" t="inlineStr">
        <is>
          <t>GPTHEALTH</t>
        </is>
      </c>
      <c r="D157" s="33" t="inlineStr">
        <is>
          <t>GPT Healthcare Ltd</t>
        </is>
      </c>
      <c r="E157" s="31" t="inlineStr">
        <is>
          <t>healthcare</t>
        </is>
      </c>
      <c r="F157" s="31" t="inlineStr">
        <is>
          <t>healthcare</t>
        </is>
      </c>
      <c r="G157" s="31" t="inlineStr">
        <is>
          <t>smallcap</t>
        </is>
      </c>
      <c r="H157" s="32" t="n">
        <v>1230.66</v>
      </c>
      <c r="I157" s="32" t="n">
        <v>148.25</v>
      </c>
      <c r="J157" s="32" t="n">
        <v>-1.15</v>
      </c>
      <c r="K157" s="32" t="n">
        <v>71857</v>
      </c>
      <c r="L157" s="31" t="n">
        <v>9</v>
      </c>
      <c r="M157" s="31" t="inlineStr">
        <is>
          <t>Underperforming</t>
        </is>
      </c>
      <c r="N157" s="32">
        <f>IF(M157="Underperforming",-5,IF(L157&gt;=95,15,IF(L157&gt;=90,10,IF(L157&gt;=80,5,0))))</f>
        <v/>
      </c>
      <c r="O157" s="32" t="n">
        <v>60.71</v>
      </c>
      <c r="P157" s="32" t="n">
        <v>27.16</v>
      </c>
      <c r="Q157" s="32" t="n">
        <v>120.82</v>
      </c>
      <c r="R157" s="31" t="inlineStr">
        <is>
          <t>Earnings / Momentum Support</t>
        </is>
      </c>
      <c r="S157" s="31" t="inlineStr">
        <is>
          <t>Nifty Pharma</t>
        </is>
      </c>
      <c r="T157" s="32" t="n">
        <v>9.9</v>
      </c>
      <c r="U157" s="32" t="n">
        <v>0.41</v>
      </c>
      <c r="V157" s="32" t="n">
        <v>-8.640000000000001</v>
      </c>
      <c r="W157" s="32" t="n">
        <v>4.44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Yes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Between 12 to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IF(B158=0,"",RANK(B158,$B$2:$B$239,0))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GUFICBIO</t>
        </is>
      </c>
      <c r="D158" s="33" t="inlineStr">
        <is>
          <t>Gufic Biosciences Limited</t>
        </is>
      </c>
      <c r="E158" s="31" t="inlineStr">
        <is>
          <t>healthcare</t>
        </is>
      </c>
      <c r="F158" s="31" t="inlineStr">
        <is>
          <t>pharmaceuticals - indian - bulk drugs &amp; formln</t>
        </is>
      </c>
      <c r="G158" s="31" t="inlineStr">
        <is>
          <t>smallcap</t>
        </is>
      </c>
      <c r="H158" s="32" t="n">
        <v>3878.93</v>
      </c>
      <c r="I158" s="32" t="n">
        <v>364.05</v>
      </c>
      <c r="J158" s="32" t="n">
        <v>-5.88</v>
      </c>
      <c r="K158" s="32" t="n">
        <v>135096</v>
      </c>
      <c r="L158" s="31" t="n">
        <v>13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63.22</v>
      </c>
      <c r="P158" s="32" t="n">
        <v>22.26</v>
      </c>
      <c r="Q158" s="32" t="n">
        <v>286.39</v>
      </c>
      <c r="R158" s="31" t="inlineStr">
        <is>
          <t>Volume Spike / Accumulation</t>
        </is>
      </c>
      <c r="S158" s="31" t="inlineStr">
        <is>
          <t>Nifty Pharma</t>
        </is>
      </c>
      <c r="T158" s="32" t="n">
        <v>9.9</v>
      </c>
      <c r="U158" s="32" t="n">
        <v>-1.75</v>
      </c>
      <c r="V158" s="32" t="n">
        <v>-10.6</v>
      </c>
      <c r="W158" s="32" t="n">
        <v>5.96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Less than 50%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IF(B159=0,"",RANK(B159,$B$2:$B$239,0))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COMSYN</t>
        </is>
      </c>
      <c r="D159" s="31" t="inlineStr">
        <is>
          <t>Commercial Syn Bags Ltd</t>
        </is>
      </c>
      <c r="E159" s="31" t="inlineStr">
        <is>
          <t>industrials</t>
        </is>
      </c>
      <c r="F159" s="31" t="inlineStr">
        <is>
          <t>packaging</t>
        </is>
      </c>
      <c r="G159" s="31" t="inlineStr">
        <is>
          <t>smallcap</t>
        </is>
      </c>
      <c r="H159" s="32" t="n">
        <v>653.05</v>
      </c>
      <c r="I159" s="32" t="n">
        <v>169.05</v>
      </c>
      <c r="J159" s="32" t="n">
        <v>4.42</v>
      </c>
      <c r="K159" s="32" t="n">
        <v>159306</v>
      </c>
      <c r="L159" s="31" t="n">
        <v>25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62.03</v>
      </c>
      <c r="P159" s="32" t="n">
        <v>27.72</v>
      </c>
      <c r="Q159" s="32" t="n">
        <v>139.93</v>
      </c>
      <c r="R159" s="31" t="inlineStr">
        <is>
          <t>Volume Spike / Accumulation</t>
        </is>
      </c>
      <c r="S159" s="31" t="inlineStr">
        <is>
          <t>Nifty 50</t>
        </is>
      </c>
      <c r="T159" s="32" t="n">
        <v>-6.08</v>
      </c>
      <c r="U159" s="32" t="n">
        <v>34.34</v>
      </c>
      <c r="V159" s="32" t="n">
        <v>43.04</v>
      </c>
      <c r="W159" s="32" t="n">
        <v>8.710000000000001</v>
      </c>
      <c r="X159" s="31" t="inlineStr">
        <is>
          <t>Cyclical in an Upturn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Less than 12%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Between 0.7 to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IF(B160=0,"",RANK(B160,$B$2:$B$239,0))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JNKINDIA</t>
        </is>
      </c>
      <c r="D160" s="31" t="inlineStr">
        <is>
          <t>JNK India Ltd</t>
        </is>
      </c>
      <c r="E160" s="31" t="inlineStr">
        <is>
          <t>realty</t>
        </is>
      </c>
      <c r="F160" s="31" t="inlineStr">
        <is>
          <t>engineering - turnkey services</t>
        </is>
      </c>
      <c r="G160" s="31" t="inlineStr">
        <is>
          <t>smallcap</t>
        </is>
      </c>
      <c r="H160" s="32" t="n">
        <v>2708.45</v>
      </c>
      <c r="I160" s="32" t="n">
        <v>498</v>
      </c>
      <c r="J160" s="32" t="n">
        <v>2.88</v>
      </c>
      <c r="K160" s="32" t="n">
        <v>17266620</v>
      </c>
      <c r="L160" s="31" t="n">
        <v>90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77.09999999999999</v>
      </c>
      <c r="P160" s="32" t="n">
        <v>29.06</v>
      </c>
      <c r="Q160" s="32" t="n">
        <v>350.02</v>
      </c>
      <c r="R160" s="31" t="inlineStr">
        <is>
          <t>Volume Spike &amp; Near 52W High Breakout</t>
        </is>
      </c>
      <c r="S160" s="31" t="inlineStr">
        <is>
          <t>Nifty Realty</t>
        </is>
      </c>
      <c r="T160" s="32" t="n">
        <v>-25.71</v>
      </c>
      <c r="U160" s="32" t="n">
        <v>37.44</v>
      </c>
      <c r="V160" s="32" t="n">
        <v>85</v>
      </c>
      <c r="W160" s="32" t="n">
        <v>37.37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Above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Negative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IF(B161=0,"",RANK(B161,$B$2:$B$239,0))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BHAGYANGR</t>
        </is>
      </c>
      <c r="D161" s="31" t="inlineStr">
        <is>
          <t>Bhagyanagar India</t>
        </is>
      </c>
      <c r="E161" s="31" t="inlineStr">
        <is>
          <t>power &amp; utilities</t>
        </is>
      </c>
      <c r="F161" s="31" t="inlineStr">
        <is>
          <t>power generation and supply</t>
        </is>
      </c>
      <c r="G161" s="31" t="inlineStr">
        <is>
          <t>smallcap</t>
        </is>
      </c>
      <c r="H161" s="32" t="n">
        <v>984.8099999999999</v>
      </c>
      <c r="I161" s="32" t="n">
        <v>315.2</v>
      </c>
      <c r="J161" s="32" t="n">
        <v>2.4</v>
      </c>
      <c r="K161" s="32" t="n">
        <v>159506</v>
      </c>
      <c r="L161" s="31" t="n">
        <v>98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75.78</v>
      </c>
      <c r="P161" s="32" t="n">
        <v>58.19</v>
      </c>
      <c r="Q161" s="32" t="n">
        <v>220.47</v>
      </c>
      <c r="R161" s="31" t="inlineStr">
        <is>
          <t>Near 52W High Breakout</t>
        </is>
      </c>
      <c r="S161" s="31" t="inlineStr">
        <is>
          <t>Nifty IT</t>
        </is>
      </c>
      <c r="T161" s="32" t="n">
        <v>-26.49</v>
      </c>
      <c r="U161" s="32" t="n">
        <v>307.34</v>
      </c>
      <c r="V161" s="32" t="n">
        <v>454.11</v>
      </c>
      <c r="W161" s="32" t="n">
        <v>61.53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Between 50% to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Between 0.7 to 1.2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IF(B162=0,"",RANK(B162,$B$2:$B$239,0))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OAL</t>
        </is>
      </c>
      <c r="D162" s="31" t="inlineStr">
        <is>
          <t>Oriental Aromatics Ltd</t>
        </is>
      </c>
      <c r="E162" s="31" t="inlineStr">
        <is>
          <t>chemicals</t>
        </is>
      </c>
      <c r="F162" s="31" t="inlineStr">
        <is>
          <t>chemicals</t>
        </is>
      </c>
      <c r="G162" s="31" t="inlineStr">
        <is>
          <t>smallcap</t>
        </is>
      </c>
      <c r="H162" s="32" t="n">
        <v>1116.29</v>
      </c>
      <c r="I162" s="32" t="n">
        <v>339.35</v>
      </c>
      <c r="J162" s="32" t="n">
        <v>2.31</v>
      </c>
      <c r="K162" s="32" t="n">
        <v>51844</v>
      </c>
      <c r="L162" s="31" t="n">
        <v>17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60.67</v>
      </c>
      <c r="P162" s="32" t="n">
        <v>22.61</v>
      </c>
      <c r="Q162" s="32" t="n">
        <v>251.3</v>
      </c>
      <c r="R162" s="31" t="inlineStr">
        <is>
          <t>Earnings / Momentum Support</t>
        </is>
      </c>
      <c r="S162" s="31" t="inlineStr">
        <is>
          <t>Nifty IT</t>
        </is>
      </c>
      <c r="T162" s="32" t="n">
        <v>-26.49</v>
      </c>
      <c r="U162" s="32" t="n">
        <v>-11.01</v>
      </c>
      <c r="V162" s="32" t="n">
        <v>21.05</v>
      </c>
      <c r="W162" s="32" t="n">
        <v>6.65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Less than 50%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IF(B163=0,"",RANK(B163,$B$2:$B$239,0))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ITDC</t>
        </is>
      </c>
      <c r="D163" s="31" t="inlineStr">
        <is>
          <t>India Tourism Development Corporation Ltd</t>
        </is>
      </c>
      <c r="E163" s="31" t="inlineStr">
        <is>
          <t>services</t>
        </is>
      </c>
      <c r="F163" s="31" t="inlineStr">
        <is>
          <t>hotels</t>
        </is>
      </c>
      <c r="G163" s="31" t="inlineStr">
        <is>
          <t>midcap</t>
        </is>
      </c>
      <c r="H163" s="32" t="n">
        <v>5093.84</v>
      </c>
      <c r="I163" s="32" t="n">
        <v>600.75</v>
      </c>
      <c r="J163" s="32" t="n">
        <v>1.15</v>
      </c>
      <c r="K163" s="32" t="n">
        <v>1692229</v>
      </c>
      <c r="L163" s="31" t="n">
        <v>29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54.56</v>
      </c>
      <c r="P163" s="32" t="n">
        <v>26.49</v>
      </c>
      <c r="Q163" s="32" t="n">
        <v>466.48</v>
      </c>
      <c r="R163" s="31" t="inlineStr">
        <is>
          <t>Earnings / Momentum Support</t>
        </is>
      </c>
      <c r="S163" s="31" t="inlineStr">
        <is>
          <t>Nifty 50</t>
        </is>
      </c>
      <c r="T163" s="32" t="n">
        <v>-6.08</v>
      </c>
      <c r="U163" s="32" t="n">
        <v>1.5</v>
      </c>
      <c r="V163" s="32" t="n">
        <v>8.08</v>
      </c>
      <c r="W163" s="32" t="n">
        <v>9.539999999999999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IF(B164=0,"",RANK(B164,$B$2:$B$239,0))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YASHO</t>
        </is>
      </c>
      <c r="D164" s="31" t="inlineStr">
        <is>
          <t>Yasho Industries Ltd</t>
        </is>
      </c>
      <c r="E164" s="31" t="inlineStr">
        <is>
          <t>chemicals</t>
        </is>
      </c>
      <c r="F164" s="31" t="inlineStr">
        <is>
          <t>chemicals</t>
        </is>
      </c>
      <c r="G164" s="31" t="inlineStr">
        <is>
          <t>smallcap</t>
        </is>
      </c>
      <c r="H164" s="32" t="n">
        <v>3066.84</v>
      </c>
      <c r="I164" s="32" t="n">
        <v>2475.1</v>
      </c>
      <c r="J164" s="32" t="n">
        <v>-2.69</v>
      </c>
      <c r="K164" s="32" t="n">
        <v>66067</v>
      </c>
      <c r="L164" s="31" t="n">
        <v>82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79.03</v>
      </c>
      <c r="P164" s="32" t="n">
        <v>21.91</v>
      </c>
      <c r="Q164" s="32" t="n">
        <v>1829.71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-6.08</v>
      </c>
      <c r="U164" s="32" t="n">
        <v>25.33</v>
      </c>
      <c r="V164" s="32" t="n">
        <v>33.45</v>
      </c>
      <c r="W164" s="32" t="n">
        <v>28.19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More than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IF(B165=0,"",RANK(B165,$B$2:$B$239,0))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SOTL</t>
        </is>
      </c>
      <c r="D165" s="31" t="inlineStr">
        <is>
          <t>Savita Oil Technologies Limited</t>
        </is>
      </c>
      <c r="E165" s="31" t="inlineStr">
        <is>
          <t>energy</t>
        </is>
      </c>
      <c r="F165" s="31" t="inlineStr">
        <is>
          <t>petrochemicals</t>
        </is>
      </c>
      <c r="G165" s="31" t="inlineStr">
        <is>
          <t>smallcap</t>
        </is>
      </c>
      <c r="H165" s="32" t="n">
        <v>3894.57</v>
      </c>
      <c r="I165" s="32" t="n">
        <v>550.55</v>
      </c>
      <c r="J165" s="32" t="n">
        <v>-3.08</v>
      </c>
      <c r="K165" s="32" t="n">
        <v>214445</v>
      </c>
      <c r="L165" s="31" t="n">
        <v>70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72.51000000000001</v>
      </c>
      <c r="P165" s="32" t="n">
        <v>27.95</v>
      </c>
      <c r="Q165" s="32" t="n">
        <v>420.49</v>
      </c>
      <c r="R165" s="31" t="inlineStr">
        <is>
          <t>Near 52W High Breakout</t>
        </is>
      </c>
      <c r="S165" s="31" t="inlineStr">
        <is>
          <t>Nifty Energy</t>
        </is>
      </c>
      <c r="T165" s="32" t="n">
        <v>8.98</v>
      </c>
      <c r="U165" s="32" t="n">
        <v>32.02</v>
      </c>
      <c r="V165" s="32" t="n">
        <v>21.15</v>
      </c>
      <c r="W165" s="32" t="n">
        <v>22.6</v>
      </c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Oligopoly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Cyclical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Volatile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Between 50% to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IF(B166=0,"",RANK(B166,$B$2:$B$239,0))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ADANIGREEN</t>
        </is>
      </c>
      <c r="D166" s="31" t="inlineStr">
        <is>
          <t>Adani Green Energy Ltd</t>
        </is>
      </c>
      <c r="E166" s="31" t="inlineStr">
        <is>
          <t>power &amp; utilities</t>
        </is>
      </c>
      <c r="F166" s="31" t="inlineStr">
        <is>
          <t>power generation and supply</t>
        </is>
      </c>
      <c r="G166" s="31" t="inlineStr">
        <is>
          <t>largecap</t>
        </is>
      </c>
      <c r="H166" s="32" t="n">
        <v>252759.18</v>
      </c>
      <c r="I166" s="32" t="n">
        <v>1483</v>
      </c>
      <c r="J166" s="32" t="n">
        <v>-3.36</v>
      </c>
      <c r="K166" s="32" t="n">
        <v>3132337</v>
      </c>
      <c r="L166" s="31" t="n">
        <v>79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72.40000000000001</v>
      </c>
      <c r="P166" s="32" t="n">
        <v>37.62</v>
      </c>
      <c r="Q166" s="32" t="n">
        <v>1208.61</v>
      </c>
      <c r="R166" s="31" t="inlineStr">
        <is>
          <t>Near 52W High Breakout</t>
        </is>
      </c>
      <c r="S166" s="31" t="inlineStr">
        <is>
          <t>Nifty IT</t>
        </is>
      </c>
      <c r="T166" s="32" t="n">
        <v>-26.49</v>
      </c>
      <c r="U166" s="32" t="n">
        <v>49.87</v>
      </c>
      <c r="V166" s="32" t="n">
        <v>103.87</v>
      </c>
      <c r="W166" s="32" t="n">
        <v>26.46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More than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IF(B167=0,"",RANK(B167,$B$2:$B$239,0))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SPECTRUM</t>
        </is>
      </c>
      <c r="D167" s="33" t="inlineStr">
        <is>
          <t>Spectrum Electrical Industries Ltd</t>
        </is>
      </c>
      <c r="E167" s="31" t="inlineStr">
        <is>
          <t>industrials</t>
        </is>
      </c>
      <c r="F167" s="31" t="inlineStr">
        <is>
          <t>electric equipment</t>
        </is>
      </c>
      <c r="G167" s="31" t="inlineStr">
        <is>
          <t>smallcap</t>
        </is>
      </c>
      <c r="H167" s="32" t="n">
        <v>2645.11</v>
      </c>
      <c r="I167" s="32" t="n">
        <v>1621</v>
      </c>
      <c r="J167" s="32" t="n">
        <v>-3.7</v>
      </c>
      <c r="K167" s="32" t="n">
        <v>16661</v>
      </c>
      <c r="L167" s="31" t="n">
        <v>3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59.25</v>
      </c>
      <c r="P167" s="32" t="n">
        <v>26.12</v>
      </c>
      <c r="Q167" s="32" t="n">
        <v>1214.88</v>
      </c>
      <c r="R167" s="31" t="inlineStr">
        <is>
          <t>Earnings / Momentum Support</t>
        </is>
      </c>
      <c r="S167" s="31" t="inlineStr">
        <is>
          <t>Nifty Infra</t>
        </is>
      </c>
      <c r="T167" s="32" t="n">
        <v>0.99</v>
      </c>
      <c r="U167" s="32" t="n">
        <v>-1.25</v>
      </c>
      <c r="V167" s="32" t="n">
        <v>-2.22</v>
      </c>
      <c r="W167" s="32" t="n">
        <v>2.79</v>
      </c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Between 0.7 to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IF(B168=0,"",RANK(B168,$B$2:$B$239,0))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BHAGERIA</t>
        </is>
      </c>
      <c r="D168" s="31" t="inlineStr">
        <is>
          <t>Bhageria Industries Limited</t>
        </is>
      </c>
      <c r="E168" s="31" t="inlineStr">
        <is>
          <t>chemicals</t>
        </is>
      </c>
      <c r="F168" s="31" t="inlineStr">
        <is>
          <t>dyes and pigments</t>
        </is>
      </c>
      <c r="G168" s="31" t="inlineStr">
        <is>
          <t>smallcap</t>
        </is>
      </c>
      <c r="H168" s="32" t="n">
        <v>944.46</v>
      </c>
      <c r="I168" s="32" t="n">
        <v>207.85</v>
      </c>
      <c r="J168" s="32" t="n">
        <v>-3.95</v>
      </c>
      <c r="K168" s="32" t="n">
        <v>133265</v>
      </c>
      <c r="L168" s="31" t="n">
        <v>40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63.99</v>
      </c>
      <c r="P168" s="32" t="n">
        <v>15.11</v>
      </c>
      <c r="Q168" s="32" t="n">
        <v>154.75</v>
      </c>
      <c r="R168" s="31" t="inlineStr">
        <is>
          <t>Volume Spike / Accumulation</t>
        </is>
      </c>
      <c r="S168" s="31" t="inlineStr">
        <is>
          <t>Nifty IT</t>
        </is>
      </c>
      <c r="T168" s="32" t="n">
        <v>-26.49</v>
      </c>
      <c r="U168" s="32" t="n">
        <v>12.45</v>
      </c>
      <c r="V168" s="32" t="n">
        <v>52.96</v>
      </c>
      <c r="W168" s="32" t="n">
        <v>12.61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IF(B169=0,"",RANK(B169,$B$2:$B$239,0))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JAYBARMARU</t>
        </is>
      </c>
      <c r="D169" s="31" t="inlineStr">
        <is>
          <t>Jay Bharat Maruti Limited</t>
        </is>
      </c>
      <c r="E169" s="31" t="inlineStr">
        <is>
          <t>auto</t>
        </is>
      </c>
      <c r="F169" s="31" t="inlineStr">
        <is>
          <t>auto ancillaries</t>
        </is>
      </c>
      <c r="G169" s="31" t="inlineStr">
        <is>
          <t>smallcap</t>
        </is>
      </c>
      <c r="H169" s="32" t="n">
        <v>1502.73</v>
      </c>
      <c r="I169" s="32" t="n">
        <v>133.17</v>
      </c>
      <c r="J169" s="32" t="n">
        <v>-4.07</v>
      </c>
      <c r="K169" s="32" t="n">
        <v>1208272</v>
      </c>
      <c r="L169" s="31" t="n">
        <v>72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67.13</v>
      </c>
      <c r="P169" s="32" t="n">
        <v>17.17</v>
      </c>
      <c r="Q169" s="32" t="n">
        <v>93.08</v>
      </c>
      <c r="R169" s="31" t="inlineStr">
        <is>
          <t>Near 52W High Breakout</t>
        </is>
      </c>
      <c r="S169" s="31" t="inlineStr">
        <is>
          <t>Nifty Auto</t>
        </is>
      </c>
      <c r="T169" s="32" t="n">
        <v>10.74</v>
      </c>
      <c r="U169" s="32" t="n">
        <v>71.52</v>
      </c>
      <c r="V169" s="32" t="n">
        <v>54.88</v>
      </c>
      <c r="W169" s="32" t="n">
        <v>23.32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0 to 20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Between 50% to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IF(B170=0,"",RANK(B170,$B$2:$B$239,0))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HFCL</t>
        </is>
      </c>
      <c r="D170" s="31" t="inlineStr">
        <is>
          <t>HFCL Ltd</t>
        </is>
      </c>
      <c r="E170" s="31" t="inlineStr">
        <is>
          <t>telecom</t>
        </is>
      </c>
      <c r="F170" s="31" t="inlineStr">
        <is>
          <t>cables - telephone</t>
        </is>
      </c>
      <c r="G170" s="31" t="inlineStr">
        <is>
          <t>largecap</t>
        </is>
      </c>
      <c r="H170" s="32" t="n">
        <v>27246.25</v>
      </c>
      <c r="I170" s="32" t="n">
        <v>169.11</v>
      </c>
      <c r="J170" s="32" t="n">
        <v>-5</v>
      </c>
      <c r="K170" s="32" t="n">
        <v>15620529</v>
      </c>
      <c r="L170" s="31" t="n">
        <v>95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77.51000000000001</v>
      </c>
      <c r="P170" s="32" t="n">
        <v>48.07</v>
      </c>
      <c r="Q170" s="32" t="n">
        <v>142.67</v>
      </c>
      <c r="R170" s="31" t="inlineStr">
        <is>
          <t>Earnings / Momentum Support</t>
        </is>
      </c>
      <c r="S170" s="31" t="inlineStr">
        <is>
          <t>Nifty Infra</t>
        </is>
      </c>
      <c r="T170" s="32" t="n">
        <v>0.99</v>
      </c>
      <c r="U170" s="32" t="n">
        <v>95.11</v>
      </c>
      <c r="V170" s="32" t="n">
        <v>93.18000000000001</v>
      </c>
      <c r="W170" s="32" t="n">
        <v>50.7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Oligopoly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Above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Negative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IF(B171=0,"",RANK(B171,$B$2:$B$239,0))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FORTIS</t>
        </is>
      </c>
      <c r="D171" s="31" t="inlineStr">
        <is>
          <t>Fortis Healthcare Limited</t>
        </is>
      </c>
      <c r="E171" s="31" t="inlineStr">
        <is>
          <t>healthcare</t>
        </is>
      </c>
      <c r="F171" s="31" t="inlineStr">
        <is>
          <t>healthcare</t>
        </is>
      </c>
      <c r="G171" s="31" t="inlineStr">
        <is>
          <t>largecap</t>
        </is>
      </c>
      <c r="H171" s="32" t="n">
        <v>74721.98</v>
      </c>
      <c r="I171" s="32" t="n">
        <v>989</v>
      </c>
      <c r="J171" s="32" t="n">
        <v>-0.08</v>
      </c>
      <c r="K171" s="32" t="n">
        <v>1909993</v>
      </c>
      <c r="L171" s="31" t="n">
        <v>32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61.37</v>
      </c>
      <c r="P171" s="32" t="n">
        <v>14.3</v>
      </c>
      <c r="Q171" s="32" t="n">
        <v>822.4400000000001</v>
      </c>
      <c r="R171" s="31" t="inlineStr">
        <is>
          <t>Earnings / Momentum Support</t>
        </is>
      </c>
      <c r="S171" s="31" t="inlineStr">
        <is>
          <t>Nifty Pharma</t>
        </is>
      </c>
      <c r="T171" s="32" t="n">
        <v>9.9</v>
      </c>
      <c r="U171" s="32" t="n">
        <v>31.32</v>
      </c>
      <c r="V171" s="32" t="n">
        <v>19.5</v>
      </c>
      <c r="W171" s="32" t="n">
        <v>10.11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Yes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Between 1.5 to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IF(B172=0,"",RANK(B172,$B$2:$B$239,0))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TORNTPHARM</t>
        </is>
      </c>
      <c r="D172" s="31" t="inlineStr">
        <is>
          <t>Torrent Pharmaceuticals Limited</t>
        </is>
      </c>
      <c r="E172" s="31" t="inlineStr">
        <is>
          <t>healthcare</t>
        </is>
      </c>
      <c r="F172" s="31" t="inlineStr">
        <is>
          <t>pharmaceuticals - indian - formulations</t>
        </is>
      </c>
      <c r="G172" s="31" t="inlineStr">
        <is>
          <t>largecap</t>
        </is>
      </c>
      <c r="H172" s="32" t="n">
        <v>151383.26</v>
      </c>
      <c r="I172" s="32" t="n">
        <v>4463.7</v>
      </c>
      <c r="J172" s="32" t="n">
        <v>-0.21</v>
      </c>
      <c r="K172" s="32" t="n">
        <v>349028</v>
      </c>
      <c r="L172" s="31" t="n">
        <v>19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65.70999999999999</v>
      </c>
      <c r="P172" s="32" t="n">
        <v>29.62</v>
      </c>
      <c r="Q172" s="32" t="n">
        <v>3825.57</v>
      </c>
      <c r="R172" s="31" t="inlineStr">
        <is>
          <t>Near 52W High Breakout</t>
        </is>
      </c>
      <c r="S172" s="31" t="inlineStr">
        <is>
          <t>Nifty Pharma</t>
        </is>
      </c>
      <c r="T172" s="32" t="n">
        <v>9.9</v>
      </c>
      <c r="U172" s="32" t="n">
        <v>38.72</v>
      </c>
      <c r="V172" s="32" t="n">
        <v>26.23</v>
      </c>
      <c r="W172" s="32" t="n">
        <v>7.3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Yes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Between 50% to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Between 0.7 to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IF(B173=0,"",RANK(B173,$B$2:$B$239,0))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3" t="inlineStr">
        <is>
          <t>ELECTHERM</t>
        </is>
      </c>
      <c r="D173" s="33" t="inlineStr">
        <is>
          <t>Electrotherm (india) Limited</t>
        </is>
      </c>
      <c r="E173" s="31" t="inlineStr">
        <is>
          <t>metals &amp; mining</t>
        </is>
      </c>
      <c r="F173" s="31" t="inlineStr">
        <is>
          <t>steel - medium / small</t>
        </is>
      </c>
      <c r="G173" s="31" t="inlineStr">
        <is>
          <t>smallcap</t>
        </is>
      </c>
      <c r="H173" s="32" t="n">
        <v>1298.3</v>
      </c>
      <c r="I173" s="32" t="n">
        <v>1146.8</v>
      </c>
      <c r="J173" s="32" t="n">
        <v>12.56</v>
      </c>
      <c r="K173" s="32" t="n">
        <v>1603382</v>
      </c>
      <c r="L173" s="31" t="n">
        <v>80</v>
      </c>
      <c r="M173" s="31" t="inlineStr">
        <is>
          <t>Underperforming</t>
        </is>
      </c>
      <c r="N173" s="32">
        <f>IF(M173="Underperforming",-5,IF(L173&gt;=95,15,IF(L173&gt;=90,10,IF(L173&gt;=80,5,0))))</f>
        <v/>
      </c>
      <c r="O173" s="32" t="n">
        <v>68.61</v>
      </c>
      <c r="P173" s="32" t="n">
        <v>26.43</v>
      </c>
      <c r="Q173" s="32" t="n">
        <v>735.36</v>
      </c>
      <c r="R173" s="31" t="inlineStr">
        <is>
          <t>Volume Spike &amp; Near 52W High Breakout</t>
        </is>
      </c>
      <c r="S173" s="31" t="inlineStr">
        <is>
          <t>Nifty Metal</t>
        </is>
      </c>
      <c r="T173" s="32" t="n">
        <v>37.88</v>
      </c>
      <c r="U173" s="32" t="n">
        <v>-4.95</v>
      </c>
      <c r="V173" s="32" t="n">
        <v>-31.06</v>
      </c>
      <c r="W173" s="32" t="n">
        <v>26.55</v>
      </c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Cyclical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Volatile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IF(B174=0,"",RANK(B174,$B$2:$B$239,0))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BHAGCHEM</t>
        </is>
      </c>
      <c r="D174" s="33" t="inlineStr">
        <is>
          <t>Bhagiradha Chemicals &amp; Industries Ltd</t>
        </is>
      </c>
      <c r="E174" s="31" t="inlineStr">
        <is>
          <t>chemicals</t>
        </is>
      </c>
      <c r="F174" s="31" t="inlineStr">
        <is>
          <t>pesticides / agrochemicals - indian</t>
        </is>
      </c>
      <c r="G174" s="31" t="inlineStr">
        <is>
          <t>smallcap</t>
        </is>
      </c>
      <c r="H174" s="32" t="n">
        <v>3344.04</v>
      </c>
      <c r="I174" s="32" t="n">
        <v>267.69</v>
      </c>
      <c r="J174" s="32" t="n">
        <v>3.8</v>
      </c>
      <c r="K174" s="32" t="n">
        <v>340295</v>
      </c>
      <c r="L174" s="31" t="n">
        <v>21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61.84</v>
      </c>
      <c r="P174" s="32" t="n">
        <v>23.08</v>
      </c>
      <c r="Q174" s="32" t="n">
        <v>199.02</v>
      </c>
      <c r="R174" s="31" t="inlineStr">
        <is>
          <t>Earnings / Momentum Support</t>
        </is>
      </c>
      <c r="S174" s="31" t="inlineStr">
        <is>
          <t>Nifty 50</t>
        </is>
      </c>
      <c r="T174" s="32" t="n">
        <v>-6.08</v>
      </c>
      <c r="U174" s="32" t="n">
        <v>-12.39</v>
      </c>
      <c r="V174" s="32" t="n">
        <v>-6.71</v>
      </c>
      <c r="W174" s="32" t="n">
        <v>7.57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Less than 50%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IF(B175=0,"",RANK(B175,$B$2:$B$239,0))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SFL</t>
        </is>
      </c>
      <c r="D175" s="31" t="inlineStr">
        <is>
          <t>Sheela Foam Limited</t>
        </is>
      </c>
      <c r="E175" s="31" t="inlineStr">
        <is>
          <t>consumer discretionary</t>
        </is>
      </c>
      <c r="F175" s="31" t="inlineStr">
        <is>
          <t>miscellaneous</t>
        </is>
      </c>
      <c r="G175" s="31" t="inlineStr">
        <is>
          <t>midcap</t>
        </is>
      </c>
      <c r="H175" s="32" t="n">
        <v>7402.12</v>
      </c>
      <c r="I175" s="32" t="n">
        <v>696.55</v>
      </c>
      <c r="J175" s="32" t="n">
        <v>2.3</v>
      </c>
      <c r="K175" s="32" t="n">
        <v>682837</v>
      </c>
      <c r="L175" s="31" t="n">
        <v>30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65.43000000000001</v>
      </c>
      <c r="P175" s="32" t="n">
        <v>19.55</v>
      </c>
      <c r="Q175" s="32" t="n">
        <v>528.5700000000001</v>
      </c>
      <c r="R175" s="31" t="inlineStr">
        <is>
          <t>Earnings / Momentum Support</t>
        </is>
      </c>
      <c r="S175" s="31" t="inlineStr">
        <is>
          <t>Nifty 50</t>
        </is>
      </c>
      <c r="T175" s="32" t="n">
        <v>-6.08</v>
      </c>
      <c r="U175" s="32" t="n">
        <v>4.4</v>
      </c>
      <c r="V175" s="32" t="n">
        <v>11.16</v>
      </c>
      <c r="W175" s="32" t="n">
        <v>9.68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IF(B176=0,"",RANK(B176,$B$2:$B$239,0))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S&amp;SPOWER</t>
        </is>
      </c>
      <c r="D176" s="31" t="inlineStr">
        <is>
          <t>S &amp; S Power Switchgear Ltd</t>
        </is>
      </c>
      <c r="E176" s="31" t="inlineStr">
        <is>
          <t>industrials</t>
        </is>
      </c>
      <c r="F176" s="31" t="inlineStr">
        <is>
          <t>electric equipment</t>
        </is>
      </c>
      <c r="G176" s="31" t="inlineStr">
        <is>
          <t>smallcap</t>
        </is>
      </c>
      <c r="H176" s="32" t="n">
        <v>504.15</v>
      </c>
      <c r="I176" s="32" t="n">
        <v>416.45</v>
      </c>
      <c r="J176" s="32" t="n">
        <v>1.95</v>
      </c>
      <c r="K176" s="32" t="n">
        <v>9219</v>
      </c>
      <c r="L176" s="31" t="n">
        <v>24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61.68</v>
      </c>
      <c r="P176" s="32" t="n">
        <v>24.74</v>
      </c>
      <c r="Q176" s="32" t="n">
        <v>309.55</v>
      </c>
      <c r="R176" s="31" t="inlineStr">
        <is>
          <t>Volume Spike / Accumulation</t>
        </is>
      </c>
      <c r="S176" s="31" t="inlineStr">
        <is>
          <t>Nifty 50</t>
        </is>
      </c>
      <c r="T176" s="32" t="n">
        <v>-6.08</v>
      </c>
      <c r="U176" s="32" t="n">
        <v>13.54</v>
      </c>
      <c r="V176" s="32" t="n">
        <v>20.89</v>
      </c>
      <c r="W176" s="32" t="n">
        <v>8.460000000000001</v>
      </c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Negative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IF(B177=0,"",RANK(B177,$B$2:$B$239,0))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DLINKINDIA</t>
        </is>
      </c>
      <c r="D177" s="31" t="inlineStr">
        <is>
          <t>D-link (india) Limited</t>
        </is>
      </c>
      <c r="E177" s="31" t="inlineStr">
        <is>
          <t>services</t>
        </is>
      </c>
      <c r="F177" s="31" t="inlineStr">
        <is>
          <t>trading</t>
        </is>
      </c>
      <c r="G177" s="31" t="inlineStr">
        <is>
          <t>smallcap</t>
        </is>
      </c>
      <c r="H177" s="32" t="n">
        <v>1751.28</v>
      </c>
      <c r="I177" s="32" t="n">
        <v>501.45</v>
      </c>
      <c r="J177" s="32" t="n">
        <v>1.66</v>
      </c>
      <c r="K177" s="32" t="n">
        <v>585794</v>
      </c>
      <c r="L177" s="31" t="n">
        <v>15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65.47</v>
      </c>
      <c r="P177" s="32" t="n">
        <v>26.31</v>
      </c>
      <c r="Q177" s="32" t="n">
        <v>403.76</v>
      </c>
      <c r="R177" s="31" t="inlineStr">
        <is>
          <t>Earnings / Momentum Support</t>
        </is>
      </c>
      <c r="S177" s="31" t="inlineStr">
        <is>
          <t>Nifty 50</t>
        </is>
      </c>
      <c r="T177" s="32" t="n">
        <v>-6.08</v>
      </c>
      <c r="U177" s="32" t="n">
        <v>-3.4</v>
      </c>
      <c r="V177" s="32" t="n">
        <v>2.86</v>
      </c>
      <c r="W177" s="32" t="n">
        <v>6.26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Less than 50%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IF(B178=0,"",RANK(B178,$B$2:$B$239,0))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KPRMILL</t>
        </is>
      </c>
      <c r="D178" s="33" t="inlineStr">
        <is>
          <t>K.p.r. Mill Limited</t>
        </is>
      </c>
      <c r="E178" s="31" t="inlineStr">
        <is>
          <t>consumer discretionary</t>
        </is>
      </c>
      <c r="F178" s="31" t="inlineStr">
        <is>
          <t>textiles - products</t>
        </is>
      </c>
      <c r="G178" s="31" t="inlineStr">
        <is>
          <t>largecap</t>
        </is>
      </c>
      <c r="H178" s="32" t="n">
        <v>35198.3</v>
      </c>
      <c r="I178" s="32" t="n">
        <v>1045.55</v>
      </c>
      <c r="J178" s="32" t="n">
        <v>1.53</v>
      </c>
      <c r="K178" s="32" t="n">
        <v>530120</v>
      </c>
      <c r="L178" s="31" t="n">
        <v>10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60.69</v>
      </c>
      <c r="P178" s="32" t="n">
        <v>22.51</v>
      </c>
      <c r="Q178" s="32" t="n">
        <v>854.0599999999999</v>
      </c>
      <c r="R178" s="31" t="inlineStr">
        <is>
          <t>Earnings / Momentum Support</t>
        </is>
      </c>
      <c r="S178" s="31" t="inlineStr">
        <is>
          <t>Nifty 500</t>
        </is>
      </c>
      <c r="T178" s="32" t="n">
        <v>-2.94</v>
      </c>
      <c r="U178" s="32" t="n">
        <v>-4.03</v>
      </c>
      <c r="V178" s="32" t="n">
        <v>-1.13</v>
      </c>
      <c r="W178" s="32" t="n">
        <v>4.89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IF(B179=0,"",RANK(B179,$B$2:$B$239,0))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BHARATFORG</t>
        </is>
      </c>
      <c r="D179" s="31" t="inlineStr">
        <is>
          <t>Bharat Forge Limited</t>
        </is>
      </c>
      <c r="E179" s="31" t="inlineStr">
        <is>
          <t>industrials</t>
        </is>
      </c>
      <c r="F179" s="31" t="inlineStr">
        <is>
          <t>castings &amp; forgings</t>
        </is>
      </c>
      <c r="G179" s="31" t="inlineStr">
        <is>
          <t>largecap</t>
        </is>
      </c>
      <c r="H179" s="32" t="n">
        <v>92051.19</v>
      </c>
      <c r="I179" s="32" t="n">
        <v>1949.2</v>
      </c>
      <c r="J179" s="32" t="n">
        <v>1.24</v>
      </c>
      <c r="K179" s="32" t="n">
        <v>1923743</v>
      </c>
      <c r="L179" s="31" t="n">
        <v>38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64.65000000000001</v>
      </c>
      <c r="P179" s="32" t="n">
        <v>33.89</v>
      </c>
      <c r="Q179" s="32" t="n">
        <v>1636</v>
      </c>
      <c r="R179" s="31" t="inlineStr">
        <is>
          <t>Near 52W High Breakout</t>
        </is>
      </c>
      <c r="S179" s="31" t="inlineStr">
        <is>
          <t>Nifty 50</t>
        </is>
      </c>
      <c r="T179" s="32" t="n">
        <v>-6.08</v>
      </c>
      <c r="U179" s="32" t="n">
        <v>49.74</v>
      </c>
      <c r="V179" s="32" t="n">
        <v>59.43</v>
      </c>
      <c r="W179" s="32" t="n">
        <v>12.15</v>
      </c>
      <c r="X179" s="31" t="inlineStr">
        <is>
          <t>Cyclical in an Upturn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Blue sky scenario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Between 50% to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Between 0.7 to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IF(B180=0,"",RANK(B180,$B$2:$B$239,0))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3" t="inlineStr">
        <is>
          <t>AEROENTER</t>
        </is>
      </c>
      <c r="D180" s="33" t="inlineStr">
        <is>
          <t>Aeroflex Enterprises Ltd</t>
        </is>
      </c>
      <c r="E180" s="31" t="inlineStr">
        <is>
          <t>metals &amp; mining</t>
        </is>
      </c>
      <c r="F180" s="31" t="inlineStr">
        <is>
          <t>steel - medium / small</t>
        </is>
      </c>
      <c r="G180" s="31" t="inlineStr">
        <is>
          <t>smallcap</t>
        </is>
      </c>
      <c r="H180" s="32" t="n">
        <v>1187.96</v>
      </c>
      <c r="I180" s="32" t="n">
        <v>105.25</v>
      </c>
      <c r="J180" s="32" t="n">
        <v>0.19</v>
      </c>
      <c r="K180" s="32" t="n">
        <v>1303705</v>
      </c>
      <c r="L180" s="31" t="n">
        <v>55</v>
      </c>
      <c r="M180" s="31" t="inlineStr">
        <is>
          <t>Underperforming</t>
        </is>
      </c>
      <c r="N180" s="32">
        <f>IF(M180="Underperforming",-5,IF(L180&gt;=95,15,IF(L180&gt;=90,10,IF(L180&gt;=80,5,0))))</f>
        <v/>
      </c>
      <c r="O180" s="32" t="n">
        <v>62.77</v>
      </c>
      <c r="P180" s="32" t="n">
        <v>32.05</v>
      </c>
      <c r="Q180" s="32" t="n">
        <v>79.73</v>
      </c>
      <c r="R180" s="31" t="inlineStr">
        <is>
          <t>Near 52W High Breakout</t>
        </is>
      </c>
      <c r="S180" s="31" t="inlineStr">
        <is>
          <t>Nifty Metal</t>
        </is>
      </c>
      <c r="T180" s="32" t="n">
        <v>37.88</v>
      </c>
      <c r="U180" s="32" t="n">
        <v>15.77</v>
      </c>
      <c r="V180" s="32" t="n">
        <v>-16.04</v>
      </c>
      <c r="W180" s="32" t="n">
        <v>16.07</v>
      </c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Cyclical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Volatile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Less than 50%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IF(B181=0,"",RANK(B181,$B$2:$B$239,0))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3" t="inlineStr">
        <is>
          <t>UNIMECH</t>
        </is>
      </c>
      <c r="D181" s="33" t="inlineStr">
        <is>
          <t>Unimech Aerospace and Manufacturing Ltd</t>
        </is>
      </c>
      <c r="E181" s="31" t="inlineStr">
        <is>
          <t>aerospace &amp; defence</t>
        </is>
      </c>
      <c r="F181" s="31" t="inlineStr">
        <is>
          <t>engineering</t>
        </is>
      </c>
      <c r="G181" s="31" t="inlineStr">
        <is>
          <t>midcap</t>
        </is>
      </c>
      <c r="H181" s="32" t="n">
        <v>5847.27</v>
      </c>
      <c r="I181" s="32" t="n">
        <v>1148.9</v>
      </c>
      <c r="J181" s="32" t="n">
        <v>-0.07000000000000001</v>
      </c>
      <c r="K181" s="32" t="n">
        <v>360736</v>
      </c>
      <c r="L181" s="31" t="n">
        <v>20</v>
      </c>
      <c r="M181" s="31" t="inlineStr">
        <is>
          <t>Underperforming</t>
        </is>
      </c>
      <c r="N181" s="32">
        <f>IF(M181="Underperforming",-5,IF(L181&gt;=95,15,IF(L181&gt;=90,10,IF(L181&gt;=80,5,0))))</f>
        <v/>
      </c>
      <c r="O181" s="32" t="n">
        <v>64.11</v>
      </c>
      <c r="P181" s="32" t="n">
        <v>25.11</v>
      </c>
      <c r="Q181" s="32" t="n">
        <v>832.38</v>
      </c>
      <c r="R181" s="31" t="inlineStr">
        <is>
          <t>Earnings / Momentum Support</t>
        </is>
      </c>
      <c r="S181" s="31" t="inlineStr">
        <is>
          <t>Nifty 50</t>
        </is>
      </c>
      <c r="T181" s="32" t="n">
        <v>-6.08</v>
      </c>
      <c r="U181" s="32" t="n">
        <v>-9.949999999999999</v>
      </c>
      <c r="V181" s="32" t="n">
        <v>-4.12</v>
      </c>
      <c r="W181" s="32" t="n">
        <v>7.53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IF(B182=0,"",RANK(B182,$B$2:$B$239,0))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3" t="inlineStr">
        <is>
          <t>SHYAMMETL</t>
        </is>
      </c>
      <c r="D182" s="33" t="inlineStr">
        <is>
          <t>Shyam Metalics &amp; Energy Ltd</t>
        </is>
      </c>
      <c r="E182" s="31" t="inlineStr">
        <is>
          <t>metals &amp; mining</t>
        </is>
      </c>
      <c r="F182" s="31" t="inlineStr">
        <is>
          <t>steel - large</t>
        </is>
      </c>
      <c r="G182" s="31" t="inlineStr">
        <is>
          <t>largecap</t>
        </is>
      </c>
      <c r="H182" s="32" t="n">
        <v>27167.9</v>
      </c>
      <c r="I182" s="32" t="n">
        <v>968.85</v>
      </c>
      <c r="J182" s="32" t="n">
        <v>-0.46</v>
      </c>
      <c r="K182" s="32" t="n">
        <v>434911</v>
      </c>
      <c r="L182" s="31" t="n">
        <v>27</v>
      </c>
      <c r="M182" s="31" t="inlineStr">
        <is>
          <t>Underperforming</t>
        </is>
      </c>
      <c r="N182" s="32">
        <f>IF(M182="Underperforming",-5,IF(L182&gt;=95,15,IF(L182&gt;=90,10,IF(L182&gt;=80,5,0))))</f>
        <v/>
      </c>
      <c r="O182" s="32" t="n">
        <v>61.03</v>
      </c>
      <c r="P182" s="32" t="n">
        <v>15.26</v>
      </c>
      <c r="Q182" s="32" t="n">
        <v>812.21</v>
      </c>
      <c r="R182" s="31" t="inlineStr">
        <is>
          <t>Near 52W High Breakout</t>
        </is>
      </c>
      <c r="S182" s="31" t="inlineStr">
        <is>
          <t>Nifty Metal</t>
        </is>
      </c>
      <c r="T182" s="32" t="n">
        <v>37.88</v>
      </c>
      <c r="U182" s="32" t="n">
        <v>16.32</v>
      </c>
      <c r="V182" s="32" t="n">
        <v>-15.64</v>
      </c>
      <c r="W182" s="32" t="n">
        <v>9.050000000000001</v>
      </c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Cyclical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Volatile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IF(B183=0,"",RANK(B183,$B$2:$B$239,0))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GRASIM</t>
        </is>
      </c>
      <c r="D183" s="31" t="inlineStr">
        <is>
          <t>Grasim Industries Limited</t>
        </is>
      </c>
      <c r="E183" s="31" t="inlineStr">
        <is>
          <t>textiles</t>
        </is>
      </c>
      <c r="F183" s="31" t="inlineStr">
        <is>
          <t>textiles - manmade</t>
        </is>
      </c>
      <c r="G183" s="31" t="inlineStr">
        <is>
          <t>largecap</t>
        </is>
      </c>
      <c r="H183" s="32" t="n">
        <v>210673.72</v>
      </c>
      <c r="I183" s="32" t="n">
        <v>3071.2</v>
      </c>
      <c r="J183" s="32" t="n">
        <v>-0.79</v>
      </c>
      <c r="K183" s="32" t="n">
        <v>792811</v>
      </c>
      <c r="L183" s="31" t="n">
        <v>19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62.64</v>
      </c>
      <c r="P183" s="32" t="n">
        <v>22.99</v>
      </c>
      <c r="Q183" s="32" t="n">
        <v>2741.71</v>
      </c>
      <c r="R183" s="31" t="inlineStr">
        <is>
          <t>Near 52W High Breakout</t>
        </is>
      </c>
      <c r="S183" s="31" t="inlineStr">
        <is>
          <t>Nifty 50</t>
        </is>
      </c>
      <c r="T183" s="32" t="n">
        <v>-6.08</v>
      </c>
      <c r="U183" s="32" t="n">
        <v>15.71</v>
      </c>
      <c r="V183" s="32" t="n">
        <v>23.21</v>
      </c>
      <c r="W183" s="32" t="n">
        <v>7.3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Negative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More than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IF(B184=0,"",RANK(B184,$B$2:$B$239,0))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THERMAX</t>
        </is>
      </c>
      <c r="D184" s="31" t="inlineStr">
        <is>
          <t>Thermax Limited</t>
        </is>
      </c>
      <c r="E184" s="31" t="inlineStr">
        <is>
          <t>industrials</t>
        </is>
      </c>
      <c r="F184" s="31" t="inlineStr">
        <is>
          <t>electric equipment</t>
        </is>
      </c>
      <c r="G184" s="31" t="inlineStr">
        <is>
          <t>largecap</t>
        </is>
      </c>
      <c r="H184" s="32" t="n">
        <v>56478.89</v>
      </c>
      <c r="I184" s="32" t="n">
        <v>4698.8</v>
      </c>
      <c r="J184" s="32" t="n">
        <v>-0.87</v>
      </c>
      <c r="K184" s="32" t="n">
        <v>282455</v>
      </c>
      <c r="L184" s="31" t="n">
        <v>57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69.8</v>
      </c>
      <c r="P184" s="32" t="n">
        <v>38.33</v>
      </c>
      <c r="Q184" s="32" t="n">
        <v>4018.57</v>
      </c>
      <c r="R184" s="31" t="inlineStr">
        <is>
          <t>Earnings / Momentum Support</t>
        </is>
      </c>
      <c r="S184" s="31" t="inlineStr">
        <is>
          <t>Nifty 50</t>
        </is>
      </c>
      <c r="T184" s="32" t="n">
        <v>-6.08</v>
      </c>
      <c r="U184" s="32" t="n">
        <v>32.86</v>
      </c>
      <c r="V184" s="32" t="n">
        <v>41.47</v>
      </c>
      <c r="W184" s="32" t="n">
        <v>16.86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Between 12 to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Between 50% to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IF(B185=0,"",RANK(B185,$B$2:$B$239,0))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SVLL</t>
        </is>
      </c>
      <c r="D185" s="31" t="inlineStr">
        <is>
          <t>Shree Vasu Logistics Ltd</t>
        </is>
      </c>
      <c r="E185" s="31" t="inlineStr">
        <is>
          <t>transportation</t>
        </is>
      </c>
      <c r="F185" s="31" t="inlineStr">
        <is>
          <t>miscellaneous</t>
        </is>
      </c>
      <c r="G185" s="31" t="inlineStr">
        <is>
          <t>smallcap</t>
        </is>
      </c>
      <c r="H185" s="32" t="n">
        <v>872.14</v>
      </c>
      <c r="I185" s="32" t="n">
        <v>740.05</v>
      </c>
      <c r="J185" s="32" t="n">
        <v>-2.47</v>
      </c>
      <c r="K185" s="32" t="n">
        <v>10344</v>
      </c>
      <c r="L185" s="31" t="n">
        <v>28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63.24</v>
      </c>
      <c r="P185" s="32" t="n">
        <v>29.97</v>
      </c>
      <c r="Q185" s="32" t="n">
        <v>474.04</v>
      </c>
      <c r="R185" s="31" t="inlineStr">
        <is>
          <t>Volume Spike / Accumulation</t>
        </is>
      </c>
      <c r="S185" s="31" t="inlineStr">
        <is>
          <t>Nifty 50</t>
        </is>
      </c>
      <c r="T185" s="32" t="n">
        <v>-6.08</v>
      </c>
      <c r="U185" s="32" t="n">
        <v>-4.3</v>
      </c>
      <c r="V185" s="32" t="n">
        <v>1.9</v>
      </c>
      <c r="W185" s="32" t="n">
        <v>9.18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Between 50% to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More than 1.2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IF(B186=0,"",RANK(B186,$B$2:$B$239,0))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ADANIENSOL</t>
        </is>
      </c>
      <c r="D186" s="31" t="inlineStr">
        <is>
          <t>Adani Energy Solutions Ltd</t>
        </is>
      </c>
      <c r="E186" s="31" t="inlineStr">
        <is>
          <t>power &amp; utilities</t>
        </is>
      </c>
      <c r="F186" s="31" t="inlineStr">
        <is>
          <t>power generation and supply</t>
        </is>
      </c>
      <c r="G186" s="31" t="inlineStr">
        <is>
          <t>largecap</t>
        </is>
      </c>
      <c r="H186" s="32" t="n">
        <v>189706.55</v>
      </c>
      <c r="I186" s="32" t="n">
        <v>1535.6</v>
      </c>
      <c r="J186" s="32" t="n">
        <v>-2.76</v>
      </c>
      <c r="K186" s="32" t="n">
        <v>2286852</v>
      </c>
      <c r="L186" s="31" t="n">
        <v>76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71.37</v>
      </c>
      <c r="P186" s="32" t="n">
        <v>34.52</v>
      </c>
      <c r="Q186" s="32" t="n">
        <v>1233.43</v>
      </c>
      <c r="R186" s="31" t="inlineStr">
        <is>
          <t>Near 52W High Breakout</t>
        </is>
      </c>
      <c r="S186" s="31" t="inlineStr">
        <is>
          <t>Nifty IT</t>
        </is>
      </c>
      <c r="T186" s="32" t="n">
        <v>-26.49</v>
      </c>
      <c r="U186" s="32" t="n">
        <v>78.34999999999999</v>
      </c>
      <c r="V186" s="32" t="n">
        <v>142.61</v>
      </c>
      <c r="W186" s="32" t="n">
        <v>25.17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More than 1.2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IF(B187=0,"",RANK(B187,$B$2:$B$239,0))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ANTELOPUS</t>
        </is>
      </c>
      <c r="D187" s="31" t="inlineStr">
        <is>
          <t>Antelopus Selan Energy Ltd</t>
        </is>
      </c>
      <c r="E187" s="31" t="inlineStr">
        <is>
          <t>energy</t>
        </is>
      </c>
      <c r="F187" s="31" t="inlineStr">
        <is>
          <t>oil drilling / allied services</t>
        </is>
      </c>
      <c r="G187" s="31" t="inlineStr">
        <is>
          <t>smallcap</t>
        </is>
      </c>
      <c r="H187" s="32" t="n">
        <v>3002.34</v>
      </c>
      <c r="I187" s="32" t="n">
        <v>818.8</v>
      </c>
      <c r="J187" s="32" t="n">
        <v>-4.1</v>
      </c>
      <c r="K187" s="32" t="n">
        <v>144826</v>
      </c>
      <c r="L187" s="31" t="n">
        <v>59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63.68</v>
      </c>
      <c r="P187" s="32" t="n">
        <v>43.53</v>
      </c>
      <c r="Q187" s="32" t="n">
        <v>621.86</v>
      </c>
      <c r="R187" s="31" t="inlineStr">
        <is>
          <t>Earnings / Momentum Support</t>
        </is>
      </c>
      <c r="S187" s="31" t="inlineStr">
        <is>
          <t>Nifty Energy</t>
        </is>
      </c>
      <c r="T187" s="32" t="n">
        <v>8.98</v>
      </c>
      <c r="U187" s="32" t="n">
        <v>11.95</v>
      </c>
      <c r="V187" s="32" t="n">
        <v>2.73</v>
      </c>
      <c r="W187" s="32" t="n">
        <v>17.18</v>
      </c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Oligopoly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Cyclical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Volatile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IF(B188=0,"",RANK(B188,$B$2:$B$239,0))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FCL</t>
        </is>
      </c>
      <c r="D188" s="31" t="inlineStr">
        <is>
          <t>Fineotex Chemical Limited</t>
        </is>
      </c>
      <c r="E188" s="31" t="inlineStr">
        <is>
          <t>chemicals</t>
        </is>
      </c>
      <c r="F188" s="31" t="inlineStr">
        <is>
          <t>chemicals</t>
        </is>
      </c>
      <c r="G188" s="31" t="inlineStr">
        <is>
          <t>smallcap</t>
        </is>
      </c>
      <c r="H188" s="32" t="n">
        <v>4641.7</v>
      </c>
      <c r="I188" s="32" t="n">
        <v>38.1</v>
      </c>
      <c r="J188" s="32" t="n">
        <v>-4.42</v>
      </c>
      <c r="K188" s="32" t="n">
        <v>18694898</v>
      </c>
      <c r="L188" s="31" t="n">
        <v>77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69.73</v>
      </c>
      <c r="P188" s="32" t="n">
        <v>30.44</v>
      </c>
      <c r="Q188" s="32" t="n">
        <v>29.76</v>
      </c>
      <c r="R188" s="31" t="inlineStr">
        <is>
          <t>Earnings / Momentum Support</t>
        </is>
      </c>
      <c r="S188" s="31" t="inlineStr">
        <is>
          <t>Nifty 50</t>
        </is>
      </c>
      <c r="T188" s="32" t="n">
        <v>-6.08</v>
      </c>
      <c r="U188" s="32" t="n">
        <v>43.97</v>
      </c>
      <c r="V188" s="32" t="n">
        <v>53.3</v>
      </c>
      <c r="W188" s="32" t="n">
        <v>25.83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Negative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IF(B189=0,"",RANK(B189,$B$2:$B$239,0))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PREMEXPLN</t>
        </is>
      </c>
      <c r="D189" s="31" t="inlineStr">
        <is>
          <t>Premier Explosives Limited</t>
        </is>
      </c>
      <c r="E189" s="31" t="inlineStr">
        <is>
          <t>aerospace &amp; defence</t>
        </is>
      </c>
      <c r="F189" s="31" t="inlineStr">
        <is>
          <t>chemicals</t>
        </is>
      </c>
      <c r="G189" s="31" t="inlineStr">
        <is>
          <t>smallcap</t>
        </is>
      </c>
      <c r="H189" s="32" t="n">
        <v>3881.29</v>
      </c>
      <c r="I189" s="32" t="n">
        <v>685.5</v>
      </c>
      <c r="J189" s="32" t="n">
        <v>-5.05</v>
      </c>
      <c r="K189" s="32" t="n">
        <v>804515</v>
      </c>
      <c r="L189" s="31" t="n">
        <v>50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67.45</v>
      </c>
      <c r="P189" s="32" t="n">
        <v>18.54</v>
      </c>
      <c r="Q189" s="32" t="n">
        <v>481.05</v>
      </c>
      <c r="R189" s="31" t="inlineStr">
        <is>
          <t>Near 52W High Breakout</t>
        </is>
      </c>
      <c r="S189" s="31" t="inlineStr">
        <is>
          <t>Nifty IT</t>
        </is>
      </c>
      <c r="T189" s="32" t="n">
        <v>-26.49</v>
      </c>
      <c r="U189" s="32" t="n">
        <v>12.75</v>
      </c>
      <c r="V189" s="32" t="n">
        <v>53.37</v>
      </c>
      <c r="W189" s="32" t="n">
        <v>15.12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0 to 20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Negative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IF(B190=0,"",RANK(B190,$B$2:$B$239,0))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INDSWFTLAB</t>
        </is>
      </c>
      <c r="D190" s="31" t="inlineStr">
        <is>
          <t>Ind-swift Laboratories Limited</t>
        </is>
      </c>
      <c r="E190" s="31" t="inlineStr">
        <is>
          <t>healthcare</t>
        </is>
      </c>
      <c r="F190" s="31" t="inlineStr">
        <is>
          <t>pharmaceuticals - indian - bulk drugs &amp; formln</t>
        </is>
      </c>
      <c r="G190" s="31" t="inlineStr">
        <is>
          <t>smallcap</t>
        </is>
      </c>
      <c r="H190" s="32" t="n">
        <v>1405.62</v>
      </c>
      <c r="I190" s="32" t="n">
        <v>162.86</v>
      </c>
      <c r="J190" s="32" t="n">
        <v>0.61</v>
      </c>
      <c r="K190" s="32" t="n">
        <v>1351221</v>
      </c>
      <c r="L190" s="31" t="n">
        <v>43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72.91</v>
      </c>
      <c r="P190" s="32" t="n">
        <v>34.07</v>
      </c>
      <c r="Q190" s="32" t="n">
        <v>116.93</v>
      </c>
      <c r="R190" s="31" t="inlineStr">
        <is>
          <t>Near 52W High Breakout</t>
        </is>
      </c>
      <c r="S190" s="31" t="inlineStr">
        <is>
          <t>Nifty Pharma</t>
        </is>
      </c>
      <c r="T190" s="32" t="n">
        <v>9.9</v>
      </c>
      <c r="U190" s="32" t="n">
        <v>50</v>
      </c>
      <c r="V190" s="32" t="n">
        <v>36.5</v>
      </c>
      <c r="W190" s="32" t="n">
        <v>13.48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Yes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Annuity, Lower One Time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Negative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IF(B191=0,"",RANK(B191,$B$2:$B$239,0))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APCOTEXIND</t>
        </is>
      </c>
      <c r="D191" s="31" t="inlineStr">
        <is>
          <t>Apcotex Industries Limited</t>
        </is>
      </c>
      <c r="E191" s="31" t="inlineStr">
        <is>
          <t>chemicals</t>
        </is>
      </c>
      <c r="F191" s="31" t="inlineStr">
        <is>
          <t>miscellaneous</t>
        </is>
      </c>
      <c r="G191" s="31" t="inlineStr">
        <is>
          <t>smallcap</t>
        </is>
      </c>
      <c r="H191" s="32" t="n">
        <v>2794.44</v>
      </c>
      <c r="I191" s="32" t="n">
        <v>534.85</v>
      </c>
      <c r="J191" s="32" t="n">
        <v>-0.77</v>
      </c>
      <c r="K191" s="32" t="n">
        <v>203313</v>
      </c>
      <c r="L191" s="31" t="n">
        <v>64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71.55</v>
      </c>
      <c r="P191" s="32" t="n">
        <v>34.1</v>
      </c>
      <c r="Q191" s="32" t="n">
        <v>414.6</v>
      </c>
      <c r="R191" s="31" t="inlineStr">
        <is>
          <t>Near 52W High Breakout</t>
        </is>
      </c>
      <c r="S191" s="31" t="inlineStr">
        <is>
          <t>Nifty Infra</t>
        </is>
      </c>
      <c r="T191" s="32" t="n">
        <v>0.99</v>
      </c>
      <c r="U191" s="32" t="n">
        <v>42.11</v>
      </c>
      <c r="V191" s="32" t="n">
        <v>40.71</v>
      </c>
      <c r="W191" s="32" t="n">
        <v>19.58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Oligopoly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Cyclical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Fully One Time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1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Sideways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Overhead supply in last 2 years in last 2 years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Between 50% to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IF(B192=0,"",RANK(B192,$B$2:$B$239,0))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3" t="inlineStr">
        <is>
          <t>ZIMLAB</t>
        </is>
      </c>
      <c r="D192" s="33" t="inlineStr">
        <is>
          <t>Zim Laboratories Ltd</t>
        </is>
      </c>
      <c r="E192" s="31" t="inlineStr">
        <is>
          <t>healthcare</t>
        </is>
      </c>
      <c r="F192" s="31" t="inlineStr">
        <is>
          <t>pharmaceuticals - indian - bulk drugs &amp; formln</t>
        </is>
      </c>
      <c r="G192" s="31" t="inlineStr">
        <is>
          <t>smallcap</t>
        </is>
      </c>
      <c r="H192" s="32" t="n">
        <v>604.8200000000001</v>
      </c>
      <c r="I192" s="32" t="n">
        <v>111.66</v>
      </c>
      <c r="J192" s="32" t="n">
        <v>-1.23</v>
      </c>
      <c r="K192" s="32" t="n">
        <v>74288</v>
      </c>
      <c r="L192" s="31" t="n">
        <v>64</v>
      </c>
      <c r="M192" s="31" t="inlineStr">
        <is>
          <t>Underperforming</t>
        </is>
      </c>
      <c r="N192" s="32">
        <f>IF(M192="Underperforming",-5,IF(L192&gt;=95,15,IF(L192&gt;=90,10,IF(L192&gt;=80,5,0))))</f>
        <v/>
      </c>
      <c r="O192" s="32" t="n">
        <v>75.09</v>
      </c>
      <c r="P192" s="32" t="n">
        <v>42.22</v>
      </c>
      <c r="Q192" s="32" t="n">
        <v>79.81999999999999</v>
      </c>
      <c r="R192" s="31" t="inlineStr">
        <is>
          <t>Earnings / Momentum Support</t>
        </is>
      </c>
      <c r="S192" s="31" t="inlineStr">
        <is>
          <t>Nifty Pharma</t>
        </is>
      </c>
      <c r="T192" s="32" t="n">
        <v>9.9</v>
      </c>
      <c r="U192" s="32" t="n">
        <v>7.58</v>
      </c>
      <c r="V192" s="32" t="n">
        <v>-2.1</v>
      </c>
      <c r="W192" s="32" t="n">
        <v>19.24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Yes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Annuity, Lower One Time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Above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IF(B193=0,"",RANK(B193,$B$2:$B$239,0))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3" t="inlineStr">
        <is>
          <t>WINDMACHIN</t>
        </is>
      </c>
      <c r="D193" s="33" t="inlineStr">
        <is>
          <t>Windsor Machines Limited</t>
        </is>
      </c>
      <c r="E193" s="31" t="inlineStr">
        <is>
          <t>industrials</t>
        </is>
      </c>
      <c r="F193" s="31" t="inlineStr">
        <is>
          <t>engineering</t>
        </is>
      </c>
      <c r="G193" s="31" t="inlineStr">
        <is>
          <t>smallcap</t>
        </is>
      </c>
      <c r="H193" s="32" t="n">
        <v>2864.15</v>
      </c>
      <c r="I193" s="32" t="n">
        <v>327.9</v>
      </c>
      <c r="J193" s="32" t="n">
        <v>4.53</v>
      </c>
      <c r="K193" s="32" t="n">
        <v>1285135</v>
      </c>
      <c r="L193" s="31" t="n">
        <v>18</v>
      </c>
      <c r="M193" s="31" t="inlineStr">
        <is>
          <t>Underperforming</t>
        </is>
      </c>
      <c r="N193" s="32">
        <f>IF(M193="Underperforming",-5,IF(L193&gt;=95,15,IF(L193&gt;=90,10,IF(L193&gt;=80,5,0))))</f>
        <v/>
      </c>
      <c r="O193" s="32" t="n">
        <v>62.49</v>
      </c>
      <c r="P193" s="32" t="n">
        <v>32.6</v>
      </c>
      <c r="Q193" s="32" t="n">
        <v>234.2</v>
      </c>
      <c r="R193" s="31" t="inlineStr">
        <is>
          <t>Volume Spike / Accumulation</t>
        </is>
      </c>
      <c r="S193" s="31" t="inlineStr">
        <is>
          <t>Nifty 50</t>
        </is>
      </c>
      <c r="T193" s="32" t="n">
        <v>-6.08</v>
      </c>
      <c r="U193" s="32" t="n">
        <v>-13.94</v>
      </c>
      <c r="V193" s="32" t="n">
        <v>-8.359999999999999</v>
      </c>
      <c r="W193" s="32" t="n">
        <v>6.99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Negative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IF(B194=0,"",RANK(B194,$B$2:$B$239,0))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JSWDULUX</t>
        </is>
      </c>
      <c r="D194" s="31" t="inlineStr">
        <is>
          <t>JSW Dulux Ltd</t>
        </is>
      </c>
      <c r="E194" s="31" t="inlineStr">
        <is>
          <t>building materials</t>
        </is>
      </c>
      <c r="F194" s="31" t="inlineStr">
        <is>
          <t>paints / varnishes</t>
        </is>
      </c>
      <c r="G194" s="31" t="inlineStr">
        <is>
          <t>midcap</t>
        </is>
      </c>
      <c r="H194" s="32" t="n">
        <v>14194.01</v>
      </c>
      <c r="I194" s="32" t="n">
        <v>3175.6</v>
      </c>
      <c r="J194" s="32" t="n">
        <v>1.89</v>
      </c>
      <c r="K194" s="32" t="n">
        <v>15804</v>
      </c>
      <c r="L194" s="31" t="n">
        <v>5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56.51</v>
      </c>
      <c r="P194" s="32" t="n">
        <v>18.1</v>
      </c>
      <c r="Q194" s="32" t="n">
        <v>2632.39</v>
      </c>
      <c r="R194" s="31" t="inlineStr">
        <is>
          <t>Earnings / Momentum Support</t>
        </is>
      </c>
      <c r="S194" s="31" t="inlineStr">
        <is>
          <t>Nifty Infra</t>
        </is>
      </c>
      <c r="T194" s="32" t="n">
        <v>0.99</v>
      </c>
      <c r="U194" s="32" t="n">
        <v>3.25</v>
      </c>
      <c r="V194" s="32" t="n">
        <v>2.23</v>
      </c>
      <c r="W194" s="32" t="n">
        <v>3.52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1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IF(B195=0,"",RANK(B195,$B$2:$B$239,0))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RICOAUTO</t>
        </is>
      </c>
      <c r="D195" s="31" t="inlineStr">
        <is>
          <t>Rico Auto Industries Limited</t>
        </is>
      </c>
      <c r="E195" s="31" t="inlineStr">
        <is>
          <t>auto</t>
        </is>
      </c>
      <c r="F195" s="31" t="inlineStr">
        <is>
          <t>auto ancillaries</t>
        </is>
      </c>
      <c r="G195" s="31" t="inlineStr">
        <is>
          <t>smallcap</t>
        </is>
      </c>
      <c r="H195" s="32" t="n">
        <v>1807.14</v>
      </c>
      <c r="I195" s="32" t="n">
        <v>134.76</v>
      </c>
      <c r="J195" s="32" t="n">
        <v>0.88</v>
      </c>
      <c r="K195" s="32" t="n">
        <v>10656749</v>
      </c>
      <c r="L195" s="31" t="n">
        <v>61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60.15</v>
      </c>
      <c r="P195" s="32" t="n">
        <v>17.65</v>
      </c>
      <c r="Q195" s="32" t="n">
        <v>96.31</v>
      </c>
      <c r="R195" s="31" t="inlineStr">
        <is>
          <t>Near 52W High Breakout</t>
        </is>
      </c>
      <c r="S195" s="31" t="inlineStr">
        <is>
          <t>Nifty Auto</t>
        </is>
      </c>
      <c r="T195" s="32" t="n">
        <v>10.74</v>
      </c>
      <c r="U195" s="32" t="n">
        <v>71.29000000000001</v>
      </c>
      <c r="V195" s="32" t="n">
        <v>54.68</v>
      </c>
      <c r="W195" s="32" t="n">
        <v>18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Between 0.7 to 1.2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IF(B196=0,"",RANK(B196,$B$2:$B$239,0))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LMW</t>
        </is>
      </c>
      <c r="D196" s="31" t="inlineStr">
        <is>
          <t>LMW Ltd</t>
        </is>
      </c>
      <c r="E196" s="31" t="inlineStr">
        <is>
          <t>industrials</t>
        </is>
      </c>
      <c r="F196" s="31" t="inlineStr">
        <is>
          <t>textile machinery</t>
        </is>
      </c>
      <c r="G196" s="31" t="inlineStr">
        <is>
          <t>midcap</t>
        </is>
      </c>
      <c r="H196" s="32" t="n">
        <v>16785.13</v>
      </c>
      <c r="I196" s="32" t="n">
        <v>15562</v>
      </c>
      <c r="J196" s="32" t="n">
        <v>-0.95</v>
      </c>
      <c r="K196" s="32" t="n">
        <v>1668</v>
      </c>
      <c r="L196" s="31" t="n">
        <v>2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56.99</v>
      </c>
      <c r="P196" s="32" t="n">
        <v>17.68</v>
      </c>
      <c r="Q196" s="32" t="n">
        <v>12730.02</v>
      </c>
      <c r="R196" s="31" t="inlineStr">
        <is>
          <t>Earnings / Momentum Support</t>
        </is>
      </c>
      <c r="S196" s="31" t="inlineStr">
        <is>
          <t>Nifty 50</t>
        </is>
      </c>
      <c r="T196" s="32" t="n">
        <v>-6.08</v>
      </c>
      <c r="U196" s="32" t="n">
        <v>-5.47</v>
      </c>
      <c r="V196" s="32" t="n">
        <v>0.65</v>
      </c>
      <c r="W196" s="32" t="n">
        <v>1.5</v>
      </c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IF(B197=0,"",RANK(B197,$B$2:$B$239,0))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3" t="inlineStr">
        <is>
          <t>TITAGARH</t>
        </is>
      </c>
      <c r="D197" s="33" t="inlineStr">
        <is>
          <t>Titagarh Rail Systems Ltd</t>
        </is>
      </c>
      <c r="E197" s="31" t="inlineStr">
        <is>
          <t>industrials</t>
        </is>
      </c>
      <c r="F197" s="31" t="inlineStr">
        <is>
          <t>engineering</t>
        </is>
      </c>
      <c r="G197" s="31" t="inlineStr">
        <is>
          <t>midcap</t>
        </is>
      </c>
      <c r="H197" s="32" t="n">
        <v>11396.09</v>
      </c>
      <c r="I197" s="32" t="n">
        <v>833.75</v>
      </c>
      <c r="J197" s="32" t="n">
        <v>-1.47</v>
      </c>
      <c r="K197" s="32" t="n">
        <v>449387</v>
      </c>
      <c r="L197" s="31" t="n">
        <v>13</v>
      </c>
      <c r="M197" s="31" t="inlineStr">
        <is>
          <t>Underperforming</t>
        </is>
      </c>
      <c r="N197" s="32">
        <f>IF(M197="Underperforming",-5,IF(L197&gt;=95,15,IF(L197&gt;=90,10,IF(L197&gt;=80,5,0))))</f>
        <v/>
      </c>
      <c r="O197" s="32" t="n">
        <v>56.86</v>
      </c>
      <c r="P197" s="32" t="n">
        <v>21.47</v>
      </c>
      <c r="Q197" s="32" t="n">
        <v>639.5</v>
      </c>
      <c r="R197" s="31" t="inlineStr">
        <is>
          <t>Earnings / Momentum Support</t>
        </is>
      </c>
      <c r="S197" s="31" t="inlineStr">
        <is>
          <t>Nifty 50</t>
        </is>
      </c>
      <c r="T197" s="32" t="n">
        <v>-6.08</v>
      </c>
      <c r="U197" s="32" t="n">
        <v>-7.13</v>
      </c>
      <c r="V197" s="32" t="n">
        <v>-1.12</v>
      </c>
      <c r="W197" s="32" t="n">
        <v>6.03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IF(B198=0,"",RANK(B198,$B$2:$B$239,0))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CYIENTDLM</t>
        </is>
      </c>
      <c r="D198" s="31" t="inlineStr">
        <is>
          <t>Cyient DLM Ltd</t>
        </is>
      </c>
      <c r="E198" s="31" t="inlineStr">
        <is>
          <t>consumer discretionary</t>
        </is>
      </c>
      <c r="F198" s="31" t="inlineStr">
        <is>
          <t>electronics - components</t>
        </is>
      </c>
      <c r="G198" s="31" t="inlineStr">
        <is>
          <t>smallcap</t>
        </is>
      </c>
      <c r="H198" s="32" t="n">
        <v>3521</v>
      </c>
      <c r="I198" s="32" t="n">
        <v>436.55</v>
      </c>
      <c r="J198" s="32" t="n">
        <v>-1.6</v>
      </c>
      <c r="K198" s="32" t="n">
        <v>206316</v>
      </c>
      <c r="L198" s="31" t="n">
        <v>33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60.12</v>
      </c>
      <c r="P198" s="32" t="n">
        <v>28.89</v>
      </c>
      <c r="Q198" s="32" t="n">
        <v>345.88</v>
      </c>
      <c r="R198" s="31" t="inlineStr">
        <is>
          <t>Earnings / Momentum Support</t>
        </is>
      </c>
      <c r="S198" s="31" t="inlineStr">
        <is>
          <t>Nifty 50</t>
        </is>
      </c>
      <c r="T198" s="32" t="n">
        <v>-6.08</v>
      </c>
      <c r="U198" s="32" t="n">
        <v>-4.7</v>
      </c>
      <c r="V198" s="32" t="n">
        <v>1.47</v>
      </c>
      <c r="W198" s="32" t="n">
        <v>10.15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Less than 50%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IF(B199=0,"",RANK(B199,$B$2:$B$239,0))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AZAD</t>
        </is>
      </c>
      <c r="D199" s="31" t="inlineStr">
        <is>
          <t>Azad Engineering Ltd</t>
        </is>
      </c>
      <c r="E199" s="31" t="inlineStr">
        <is>
          <t>aerospace &amp; defence</t>
        </is>
      </c>
      <c r="F199" s="31" t="inlineStr">
        <is>
          <t>engineering</t>
        </is>
      </c>
      <c r="G199" s="31" t="inlineStr">
        <is>
          <t>midcap</t>
        </is>
      </c>
      <c r="H199" s="32" t="n">
        <v>14401.73</v>
      </c>
      <c r="I199" s="32" t="n">
        <v>2159.5</v>
      </c>
      <c r="J199" s="32" t="n">
        <v>-3.16</v>
      </c>
      <c r="K199" s="32" t="n">
        <v>553986</v>
      </c>
      <c r="L199" s="31" t="n">
        <v>54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63.06</v>
      </c>
      <c r="P199" s="32" t="n">
        <v>25.57</v>
      </c>
      <c r="Q199" s="32" t="n">
        <v>1768.05</v>
      </c>
      <c r="R199" s="31" t="inlineStr">
        <is>
          <t>Earnings / Momentum Support</t>
        </is>
      </c>
      <c r="S199" s="31" t="inlineStr">
        <is>
          <t>Nifty 50</t>
        </is>
      </c>
      <c r="T199" s="32" t="n">
        <v>-6.08</v>
      </c>
      <c r="U199" s="32" t="n">
        <v>30.97</v>
      </c>
      <c r="V199" s="32" t="n">
        <v>39.46</v>
      </c>
      <c r="W199" s="32" t="n">
        <v>15.94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Negative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IF(B200=0,"",RANK(B200,$B$2:$B$239,0))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3" t="inlineStr">
        <is>
          <t>SSWL</t>
        </is>
      </c>
      <c r="D200" s="33" t="inlineStr">
        <is>
          <t>Steel Strips Wheels Limited</t>
        </is>
      </c>
      <c r="E200" s="31" t="inlineStr">
        <is>
          <t>auto</t>
        </is>
      </c>
      <c r="F200" s="31" t="inlineStr">
        <is>
          <t>auto ancillaries</t>
        </is>
      </c>
      <c r="G200" s="31" t="inlineStr">
        <is>
          <t>smallcap</t>
        </is>
      </c>
      <c r="H200" s="32" t="n">
        <v>3687.45</v>
      </c>
      <c r="I200" s="32" t="n">
        <v>227.09</v>
      </c>
      <c r="J200" s="32" t="n">
        <v>-3.2</v>
      </c>
      <c r="K200" s="32" t="n">
        <v>444414</v>
      </c>
      <c r="L200" s="31" t="n">
        <v>8</v>
      </c>
      <c r="M200" s="31" t="inlineStr">
        <is>
          <t>Underperforming</t>
        </is>
      </c>
      <c r="N200" s="32">
        <f>IF(M200="Underperforming",-5,IF(L200&gt;=95,15,IF(L200&gt;=90,10,IF(L200&gt;=80,5,0))))</f>
        <v/>
      </c>
      <c r="O200" s="32" t="n">
        <v>57.92</v>
      </c>
      <c r="P200" s="32" t="n">
        <v>8.470000000000001</v>
      </c>
      <c r="Q200" s="32" t="n">
        <v>169.97</v>
      </c>
      <c r="R200" s="31" t="inlineStr">
        <is>
          <t>Earnings / Momentum Support</t>
        </is>
      </c>
      <c r="S200" s="31" t="inlineStr">
        <is>
          <t>Nifty Auto</t>
        </is>
      </c>
      <c r="T200" s="32" t="n">
        <v>10.74</v>
      </c>
      <c r="U200" s="32" t="n">
        <v>-8.08</v>
      </c>
      <c r="V200" s="32" t="n">
        <v>-17</v>
      </c>
      <c r="W200" s="32" t="n">
        <v>4.3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0 to 20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Less than 1.5</t>
        </is>
      </c>
      <c r="BU200" s="31">
        <f>IF(BT200="Above 2",0,IF(BT200="Between 1.5 to 2",5,IF(BT200="Less than 1.5",10,0)))</f>
        <v/>
      </c>
      <c r="BV200" s="31" t="inlineStr">
        <is>
          <t>Between 50% to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IF(B201=0,"",RANK(B201,$B$2:$B$239,0))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VINDHYATEL</t>
        </is>
      </c>
      <c r="D201" s="31" t="inlineStr">
        <is>
          <t>Vindhya Telelinks Limited</t>
        </is>
      </c>
      <c r="E201" s="31" t="inlineStr">
        <is>
          <t>realty</t>
        </is>
      </c>
      <c r="F201" s="31" t="inlineStr">
        <is>
          <t>construction</t>
        </is>
      </c>
      <c r="G201" s="31" t="inlineStr">
        <is>
          <t>smallcap</t>
        </is>
      </c>
      <c r="H201" s="32" t="n">
        <v>2529.8</v>
      </c>
      <c r="I201" s="32" t="n">
        <v>2061.1</v>
      </c>
      <c r="J201" s="32" t="n">
        <v>-3.45</v>
      </c>
      <c r="K201" s="32" t="n">
        <v>58784</v>
      </c>
      <c r="L201" s="31" t="n">
        <v>80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65.94</v>
      </c>
      <c r="P201" s="32" t="n">
        <v>33.39</v>
      </c>
      <c r="Q201" s="32" t="n">
        <v>1535.28</v>
      </c>
      <c r="R201" s="31" t="inlineStr">
        <is>
          <t>Earnings / Momentum Support</t>
        </is>
      </c>
      <c r="S201" s="31" t="inlineStr">
        <is>
          <t>Nifty Realty</t>
        </is>
      </c>
      <c r="T201" s="32" t="n">
        <v>-25.71</v>
      </c>
      <c r="U201" s="32" t="n">
        <v>22.91</v>
      </c>
      <c r="V201" s="32" t="n">
        <v>65.45</v>
      </c>
      <c r="W201" s="32" t="n">
        <v>26.79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Negative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IF(B202=0,"",RANK(B202,$B$2:$B$239,0))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DIAMONDYD</t>
        </is>
      </c>
      <c r="D202" s="31" t="inlineStr">
        <is>
          <t>Prataap Snacks Ltd</t>
        </is>
      </c>
      <c r="E202" s="31" t="inlineStr">
        <is>
          <t>fmcg</t>
        </is>
      </c>
      <c r="F202" s="31" t="inlineStr">
        <is>
          <t>food - processing - indian</t>
        </is>
      </c>
      <c r="G202" s="31" t="inlineStr">
        <is>
          <t>smallcap</t>
        </is>
      </c>
      <c r="H202" s="32" t="n">
        <v>2706.6</v>
      </c>
      <c r="I202" s="32" t="n">
        <v>1126.3</v>
      </c>
      <c r="J202" s="32" t="n">
        <v>-0.53</v>
      </c>
      <c r="K202" s="32" t="n">
        <v>5123</v>
      </c>
      <c r="L202" s="31" t="n">
        <v>10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59.25</v>
      </c>
      <c r="P202" s="32" t="n">
        <v>19.41</v>
      </c>
      <c r="Q202" s="32" t="n">
        <v>924.1900000000001</v>
      </c>
      <c r="R202" s="31" t="inlineStr">
        <is>
          <t>Earnings / Momentum Support</t>
        </is>
      </c>
      <c r="S202" s="31" t="inlineStr">
        <is>
          <t>Nifty FMCG</t>
        </is>
      </c>
      <c r="T202" s="32" t="n">
        <v>-10.22</v>
      </c>
      <c r="U202" s="32" t="n">
        <v>3.35</v>
      </c>
      <c r="V202" s="32" t="n">
        <v>15.11</v>
      </c>
      <c r="W202" s="32" t="n">
        <v>5.06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B2C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Between 50% to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IF(B203=0,"",RANK(B203,$B$2:$B$239,0))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TATACOMM</t>
        </is>
      </c>
      <c r="D203" s="31" t="inlineStr">
        <is>
          <t>Tata Communications Limited</t>
        </is>
      </c>
      <c r="E203" s="31" t="inlineStr">
        <is>
          <t>telecom-service</t>
        </is>
      </c>
      <c r="F203" s="31" t="inlineStr">
        <is>
          <t>telecommunications - service provider</t>
        </is>
      </c>
      <c r="G203" s="31" t="inlineStr">
        <is>
          <t>largecap</t>
        </is>
      </c>
      <c r="H203" s="32" t="n">
        <v>56310.3</v>
      </c>
      <c r="I203" s="32" t="n">
        <v>1978.6</v>
      </c>
      <c r="J203" s="32" t="n">
        <v>0.14</v>
      </c>
      <c r="K203" s="32" t="n">
        <v>678230</v>
      </c>
      <c r="L203" s="31" t="n">
        <v>45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69.42</v>
      </c>
      <c r="P203" s="32" t="n">
        <v>28.03</v>
      </c>
      <c r="Q203" s="32" t="n">
        <v>1566.24</v>
      </c>
      <c r="R203" s="31" t="inlineStr">
        <is>
          <t>Near 52W High Breakout</t>
        </is>
      </c>
      <c r="S203" s="31" t="inlineStr">
        <is>
          <t>Nifty 500</t>
        </is>
      </c>
      <c r="T203" s="32" t="n">
        <v>-2.94</v>
      </c>
      <c r="U203" s="32" t="n">
        <v>17.71</v>
      </c>
      <c r="V203" s="32" t="n">
        <v>21.27</v>
      </c>
      <c r="W203" s="32" t="n">
        <v>13.65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Oligopoly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More than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IF(B204=0,"",RANK(B204,$B$2:$B$239,0))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BOSCHLTD</t>
        </is>
      </c>
      <c r="D204" s="31" t="inlineStr">
        <is>
          <t>Bosch Limited</t>
        </is>
      </c>
      <c r="E204" s="31" t="inlineStr">
        <is>
          <t>auto</t>
        </is>
      </c>
      <c r="F204" s="31" t="inlineStr">
        <is>
          <t>auto ancillaries</t>
        </is>
      </c>
      <c r="G204" s="31" t="inlineStr">
        <is>
          <t>largecap</t>
        </is>
      </c>
      <c r="H204" s="32" t="n">
        <v>111544.95</v>
      </c>
      <c r="I204" s="32" t="n">
        <v>37790</v>
      </c>
      <c r="J204" s="32" t="n">
        <v>-0.08</v>
      </c>
      <c r="K204" s="32" t="n">
        <v>48524</v>
      </c>
      <c r="L204" s="31" t="n">
        <v>35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55.88</v>
      </c>
      <c r="P204" s="32" t="n">
        <v>19.71</v>
      </c>
      <c r="Q204" s="32" t="n">
        <v>31170.76</v>
      </c>
      <c r="R204" s="31" t="inlineStr">
        <is>
          <t>Earnings / Momentum Support</t>
        </is>
      </c>
      <c r="S204" s="31" t="inlineStr">
        <is>
          <t>Nifty Auto</t>
        </is>
      </c>
      <c r="T204" s="32" t="n">
        <v>10.74</v>
      </c>
      <c r="U204" s="32" t="n">
        <v>21.27</v>
      </c>
      <c r="V204" s="32" t="n">
        <v>9.5</v>
      </c>
      <c r="W204" s="32" t="n">
        <v>10.53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IF(B205=0,"",RANK(B205,$B$2:$B$239,0))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LOKESHMACH</t>
        </is>
      </c>
      <c r="D205" s="31" t="inlineStr">
        <is>
          <t>Lokesh Machines Limited</t>
        </is>
      </c>
      <c r="E205" s="31" t="inlineStr">
        <is>
          <t>industrials</t>
        </is>
      </c>
      <c r="F205" s="31" t="inlineStr">
        <is>
          <t>engineering</t>
        </is>
      </c>
      <c r="G205" s="31" t="inlineStr">
        <is>
          <t>smallcap</t>
        </is>
      </c>
      <c r="H205" s="32" t="n">
        <v>564.6799999999999</v>
      </c>
      <c r="I205" s="32" t="n">
        <v>263.45</v>
      </c>
      <c r="J205" s="32" t="n">
        <v>-0.64</v>
      </c>
      <c r="K205" s="32" t="n">
        <v>25510</v>
      </c>
      <c r="L205" s="31" t="n">
        <v>53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62.09</v>
      </c>
      <c r="P205" s="32" t="n">
        <v>37.71</v>
      </c>
      <c r="Q205" s="32" t="n">
        <v>192.57</v>
      </c>
      <c r="R205" s="31" t="inlineStr">
        <is>
          <t>Near 52W High Breakout</t>
        </is>
      </c>
      <c r="S205" s="31" t="inlineStr">
        <is>
          <t>Nifty 50</t>
        </is>
      </c>
      <c r="T205" s="32" t="n">
        <v>-6.08</v>
      </c>
      <c r="U205" s="32" t="n">
        <v>48.22</v>
      </c>
      <c r="V205" s="32" t="n">
        <v>57.82</v>
      </c>
      <c r="W205" s="32" t="n">
        <v>15.62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Negative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Between 0.7 to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IF(B206=0,"",RANK(B206,$B$2:$B$239,0))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PTCIL</t>
        </is>
      </c>
      <c r="D206" s="31" t="inlineStr">
        <is>
          <t>PTC Industries Ltd</t>
        </is>
      </c>
      <c r="E206" s="31" t="inlineStr">
        <is>
          <t>industrials</t>
        </is>
      </c>
      <c r="F206" s="31" t="inlineStr">
        <is>
          <t>castings &amp; forgings</t>
        </is>
      </c>
      <c r="G206" s="31" t="inlineStr">
        <is>
          <t>largecap</t>
        </is>
      </c>
      <c r="H206" s="32" t="n">
        <v>28024.07</v>
      </c>
      <c r="I206" s="32" t="n">
        <v>18571</v>
      </c>
      <c r="J206" s="32" t="n">
        <v>-0.65</v>
      </c>
      <c r="K206" s="32" t="n">
        <v>11801</v>
      </c>
      <c r="L206" s="31" t="n">
        <v>17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60.54</v>
      </c>
      <c r="P206" s="32" t="n">
        <v>14.22</v>
      </c>
      <c r="Q206" s="32" t="n">
        <v>14522.11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-6.08</v>
      </c>
      <c r="U206" s="32" t="n">
        <v>21.56</v>
      </c>
      <c r="V206" s="32" t="n">
        <v>29.44</v>
      </c>
      <c r="W206" s="32" t="n">
        <v>6.63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Negative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IF(B207=0,"",RANK(B207,$B$2:$B$239,0))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DEEPAKFERT</t>
        </is>
      </c>
      <c r="D207" s="31" t="inlineStr">
        <is>
          <t>Deepak Fertilizers And Petrochemicals Corporation Limited</t>
        </is>
      </c>
      <c r="E207" s="31" t="inlineStr">
        <is>
          <t>chemicals</t>
        </is>
      </c>
      <c r="F207" s="31" t="inlineStr">
        <is>
          <t>chemicals</t>
        </is>
      </c>
      <c r="G207" s="31" t="inlineStr">
        <is>
          <t>midcap</t>
        </is>
      </c>
      <c r="H207" s="32" t="n">
        <v>19170.48</v>
      </c>
      <c r="I207" s="32" t="n">
        <v>1494.9</v>
      </c>
      <c r="J207" s="32" t="n">
        <v>-1.56</v>
      </c>
      <c r="K207" s="32" t="n">
        <v>629479</v>
      </c>
      <c r="L207" s="31" t="n">
        <v>47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66.95</v>
      </c>
      <c r="P207" s="32" t="n">
        <v>31.11</v>
      </c>
      <c r="Q207" s="32" t="n">
        <v>1129</v>
      </c>
      <c r="R207" s="31" t="inlineStr">
        <is>
          <t>Earnings / Momentum Support</t>
        </is>
      </c>
      <c r="S207" s="31" t="inlineStr">
        <is>
          <t>Nifty 50</t>
        </is>
      </c>
      <c r="T207" s="32" t="n">
        <v>-6.08</v>
      </c>
      <c r="U207" s="32" t="n">
        <v>-3.13</v>
      </c>
      <c r="V207" s="32" t="n">
        <v>3.14</v>
      </c>
      <c r="W207" s="32" t="n">
        <v>14.44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Less than 50%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Between 0.7 to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IF(B208=0,"",RANK(B208,$B$2:$B$239,0))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GMRAIRPORT</t>
        </is>
      </c>
      <c r="D208" s="31" t="inlineStr">
        <is>
          <t>GMR Airports Ltd</t>
        </is>
      </c>
      <c r="E208" s="31" t="inlineStr">
        <is>
          <t>miscellaneous</t>
        </is>
      </c>
      <c r="F208" s="31" t="inlineStr">
        <is>
          <t>miscellaneous</t>
        </is>
      </c>
      <c r="G208" s="31" t="inlineStr">
        <is>
          <t>largecap</t>
        </is>
      </c>
      <c r="H208" s="32" t="n">
        <v>108345.65</v>
      </c>
      <c r="I208" s="32" t="n">
        <v>100.92</v>
      </c>
      <c r="J208" s="32" t="n">
        <v>-1.65</v>
      </c>
      <c r="K208" s="32" t="n">
        <v>16309179</v>
      </c>
      <c r="L208" s="31" t="n">
        <v>22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55.87</v>
      </c>
      <c r="P208" s="32" t="n">
        <v>12.37</v>
      </c>
      <c r="Q208" s="32" t="n">
        <v>82.65000000000001</v>
      </c>
      <c r="R208" s="31" t="inlineStr">
        <is>
          <t>Earnings / Momentum Support</t>
        </is>
      </c>
      <c r="S208" s="31" t="inlineStr">
        <is>
          <t>Nifty 500</t>
        </is>
      </c>
      <c r="T208" s="32" t="n">
        <v>-2.94</v>
      </c>
      <c r="U208" s="32" t="n">
        <v>24.75</v>
      </c>
      <c r="V208" s="32" t="n">
        <v>28.52</v>
      </c>
      <c r="W208" s="32" t="n">
        <v>7.8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IF(B209=0,"",RANK(B209,$B$2:$B$239,0))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XPROINDIA</t>
        </is>
      </c>
      <c r="D209" s="31" t="inlineStr">
        <is>
          <t>Xpro India Limited</t>
        </is>
      </c>
      <c r="E209" s="31" t="inlineStr">
        <is>
          <t>industrials</t>
        </is>
      </c>
      <c r="F209" s="31" t="inlineStr">
        <is>
          <t>packaging</t>
        </is>
      </c>
      <c r="G209" s="31" t="inlineStr">
        <is>
          <t>smallcap</t>
        </is>
      </c>
      <c r="H209" s="32" t="n">
        <v>2789.93</v>
      </c>
      <c r="I209" s="32" t="n">
        <v>1166.2</v>
      </c>
      <c r="J209" s="32" t="n">
        <v>-1.89</v>
      </c>
      <c r="K209" s="32" t="n">
        <v>28837</v>
      </c>
      <c r="L209" s="31" t="n">
        <v>32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57.74</v>
      </c>
      <c r="P209" s="32" t="n">
        <v>19.34</v>
      </c>
      <c r="Q209" s="32" t="n">
        <v>854.75</v>
      </c>
      <c r="R209" s="31" t="inlineStr">
        <is>
          <t>Earnings / Momentum Support</t>
        </is>
      </c>
      <c r="S209" s="31" t="inlineStr">
        <is>
          <t>Nifty 50</t>
        </is>
      </c>
      <c r="T209" s="32" t="n">
        <v>-6.08</v>
      </c>
      <c r="U209" s="32" t="n">
        <v>-4.48</v>
      </c>
      <c r="V209" s="32" t="n">
        <v>1.71</v>
      </c>
      <c r="W209" s="32" t="n">
        <v>10.09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Between 1.5 to 2</t>
        </is>
      </c>
      <c r="BU209" s="31">
        <f>IF(BT209="Above 2",0,IF(BT209="Between 1.5 to 2",5,IF(BT209="Less than 1.5",10,0)))</f>
        <v/>
      </c>
      <c r="BV209" s="31" t="inlineStr">
        <is>
          <t>Less than 50%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IF(B210=0,"",RANK(B210,$B$2:$B$239,0))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ASIANENE</t>
        </is>
      </c>
      <c r="D210" s="31" t="inlineStr">
        <is>
          <t>Asian Energy Services Ltd</t>
        </is>
      </c>
      <c r="E210" s="31" t="inlineStr">
        <is>
          <t>energy</t>
        </is>
      </c>
      <c r="F210" s="31" t="inlineStr">
        <is>
          <t>oil drilling / allied services</t>
        </is>
      </c>
      <c r="G210" s="31" t="inlineStr">
        <is>
          <t>smallcap</t>
        </is>
      </c>
      <c r="H210" s="32" t="n">
        <v>1865.69</v>
      </c>
      <c r="I210" s="32" t="n">
        <v>368</v>
      </c>
      <c r="J210" s="32" t="n">
        <v>-4.12</v>
      </c>
      <c r="K210" s="32" t="n">
        <v>297703</v>
      </c>
      <c r="L210" s="31" t="n">
        <v>39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62.12</v>
      </c>
      <c r="P210" s="32" t="n">
        <v>13.59</v>
      </c>
      <c r="Q210" s="32" t="n">
        <v>275.53</v>
      </c>
      <c r="R210" s="31" t="inlineStr">
        <is>
          <t>Near 52W High Breakout</t>
        </is>
      </c>
      <c r="S210" s="31" t="inlineStr">
        <is>
          <t>Nifty Energy</t>
        </is>
      </c>
      <c r="T210" s="32" t="n">
        <v>8.98</v>
      </c>
      <c r="U210" s="32" t="n">
        <v>18.72</v>
      </c>
      <c r="V210" s="32" t="n">
        <v>8.94</v>
      </c>
      <c r="W210" s="32" t="n">
        <v>12.4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Oligopoly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Yes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Cyclical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Volatile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Between 50% to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IF(B211=0,"",RANK(B211,$B$2:$B$239,0))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BBOX</t>
        </is>
      </c>
      <c r="D211" s="31" t="inlineStr">
        <is>
          <t>Black Box Ltd</t>
        </is>
      </c>
      <c r="E211" s="31" t="inlineStr">
        <is>
          <t>i.t</t>
        </is>
      </c>
      <c r="F211" s="31" t="inlineStr">
        <is>
          <t>computers - software - medium / small</t>
        </is>
      </c>
      <c r="G211" s="31" t="inlineStr">
        <is>
          <t>midcap</t>
        </is>
      </c>
      <c r="H211" s="32" t="n">
        <v>17218.81</v>
      </c>
      <c r="I211" s="32" t="n">
        <v>1012.7</v>
      </c>
      <c r="J211" s="32" t="n">
        <v>4.39</v>
      </c>
      <c r="K211" s="32" t="n">
        <v>1479111</v>
      </c>
      <c r="L211" s="31" t="n">
        <v>92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77.84</v>
      </c>
      <c r="P211" s="32" t="n">
        <v>35.09</v>
      </c>
      <c r="Q211" s="32" t="n">
        <v>833.46</v>
      </c>
      <c r="R211" s="31" t="inlineStr">
        <is>
          <t>Earnings / Momentum Support</t>
        </is>
      </c>
      <c r="S211" s="31" t="inlineStr">
        <is>
          <t>Nifty IT</t>
        </is>
      </c>
      <c r="T211" s="32" t="n">
        <v>-26.49</v>
      </c>
      <c r="U211" s="32" t="n">
        <v>92.48999999999999</v>
      </c>
      <c r="V211" s="32" t="n">
        <v>161.85</v>
      </c>
      <c r="W211" s="32" t="n">
        <v>40.91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Annuity, Lower One Time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Above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Less than 50%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Between 0.7 to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IF(B212=0,"",RANK(B212,$B$2:$B$239,0))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AJANTPHARM</t>
        </is>
      </c>
      <c r="D212" s="31" t="inlineStr">
        <is>
          <t>Ajanta Pharma Limited</t>
        </is>
      </c>
      <c r="E212" s="31" t="inlineStr">
        <is>
          <t>healthcare</t>
        </is>
      </c>
      <c r="F212" s="31" t="inlineStr">
        <is>
          <t>pharmaceuticals - indian - formulations</t>
        </is>
      </c>
      <c r="G212" s="31" t="inlineStr">
        <is>
          <t>largecap</t>
        </is>
      </c>
      <c r="H212" s="32" t="n">
        <v>37695.58</v>
      </c>
      <c r="I212" s="32" t="n">
        <v>3074.9</v>
      </c>
      <c r="J212" s="32" t="n">
        <v>1.91</v>
      </c>
      <c r="K212" s="32" t="n">
        <v>182466</v>
      </c>
      <c r="L212" s="31" t="n">
        <v>6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59.91</v>
      </c>
      <c r="P212" s="32" t="n">
        <v>35.31</v>
      </c>
      <c r="Q212" s="32" t="n">
        <v>2624.62</v>
      </c>
      <c r="R212" s="31" t="inlineStr">
        <is>
          <t>Near 52W High Breakout</t>
        </is>
      </c>
      <c r="S212" s="31" t="inlineStr">
        <is>
          <t>Nifty Pharma</t>
        </is>
      </c>
      <c r="T212" s="32" t="n">
        <v>9.9</v>
      </c>
      <c r="U212" s="32" t="n">
        <v>18.04</v>
      </c>
      <c r="V212" s="32" t="n">
        <v>7.41</v>
      </c>
      <c r="W212" s="32" t="n">
        <v>3.81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Yes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Annuity, Lower One Time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Between 12 to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Between 1.5 to 2</t>
        </is>
      </c>
      <c r="BU212" s="31">
        <f>IF(BT212="Above 2",0,IF(BT212="Between 1.5 to 2",5,IF(BT212="Less than 1.5",10,0)))</f>
        <v/>
      </c>
      <c r="BV212" s="31" t="inlineStr">
        <is>
          <t>Less than 50%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IF(B213=0,"",RANK(B213,$B$2:$B$239,0))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MEDANTA</t>
        </is>
      </c>
      <c r="D213" s="33" t="inlineStr">
        <is>
          <t>Global Health Ltd</t>
        </is>
      </c>
      <c r="E213" s="31" t="inlineStr">
        <is>
          <t>healthcare</t>
        </is>
      </c>
      <c r="F213" s="31" t="inlineStr">
        <is>
          <t>healthcare</t>
        </is>
      </c>
      <c r="G213" s="31" t="inlineStr">
        <is>
          <t>largecap</t>
        </is>
      </c>
      <c r="H213" s="32" t="n">
        <v>33386.45</v>
      </c>
      <c r="I213" s="32" t="n">
        <v>1225.5</v>
      </c>
      <c r="J213" s="32" t="n">
        <v>-1.34</v>
      </c>
      <c r="K213" s="32" t="n">
        <v>90871</v>
      </c>
      <c r="L213" s="31" t="n">
        <v>7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56.59</v>
      </c>
      <c r="P213" s="32" t="n">
        <v>20.69</v>
      </c>
      <c r="Q213" s="32" t="n">
        <v>1008.57</v>
      </c>
      <c r="R213" s="31" t="inlineStr">
        <is>
          <t>Earnings / Momentum Support</t>
        </is>
      </c>
      <c r="S213" s="31" t="inlineStr">
        <is>
          <t>Nifty Pharma</t>
        </is>
      </c>
      <c r="T213" s="32" t="n">
        <v>9.9</v>
      </c>
      <c r="U213" s="32" t="n">
        <v>3.37</v>
      </c>
      <c r="V213" s="32" t="n">
        <v>-5.94</v>
      </c>
      <c r="W213" s="32" t="n">
        <v>4.07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IF(B214=0,"",RANK(B214,$B$2:$B$239,0))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PANAMAPET</t>
        </is>
      </c>
      <c r="D214" s="33" t="inlineStr">
        <is>
          <t>Panama Petrochem Limited</t>
        </is>
      </c>
      <c r="E214" s="31" t="inlineStr">
        <is>
          <t>energy</t>
        </is>
      </c>
      <c r="F214" s="31" t="inlineStr">
        <is>
          <t>petrochemicals</t>
        </is>
      </c>
      <c r="G214" s="31" t="inlineStr">
        <is>
          <t>smallcap</t>
        </is>
      </c>
      <c r="H214" s="32" t="n">
        <v>2128.47</v>
      </c>
      <c r="I214" s="32" t="n">
        <v>381.55</v>
      </c>
      <c r="J214" s="32" t="n">
        <v>8.44</v>
      </c>
      <c r="K214" s="32" t="n">
        <v>13801295</v>
      </c>
      <c r="L214" s="31" t="n">
        <v>37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71.15000000000001</v>
      </c>
      <c r="P214" s="32" t="n">
        <v>20.35</v>
      </c>
      <c r="Q214" s="32" t="n">
        <v>283.31</v>
      </c>
      <c r="R214" s="31" t="inlineStr">
        <is>
          <t>Volume Spike &amp; Near 52W High Breakout</t>
        </is>
      </c>
      <c r="S214" s="31" t="inlineStr">
        <is>
          <t>Nifty Energy</t>
        </is>
      </c>
      <c r="T214" s="32" t="n">
        <v>8.98</v>
      </c>
      <c r="U214" s="32" t="n">
        <v>6.05</v>
      </c>
      <c r="V214" s="32" t="n">
        <v>-2.68</v>
      </c>
      <c r="W214" s="32" t="n">
        <v>11.2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Oligopoly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Cyclical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Volatile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Negative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IF(B215=0,"",RANK(B215,$B$2:$B$239,0))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NEOGEN</t>
        </is>
      </c>
      <c r="D215" s="31" t="inlineStr">
        <is>
          <t>Neogen Chemicals Ltd</t>
        </is>
      </c>
      <c r="E215" s="31" t="inlineStr">
        <is>
          <t>chemicals</t>
        </is>
      </c>
      <c r="F215" s="31" t="inlineStr">
        <is>
          <t>chemicals</t>
        </is>
      </c>
      <c r="G215" s="31" t="inlineStr">
        <is>
          <t>midcap</t>
        </is>
      </c>
      <c r="H215" s="32" t="n">
        <v>5308.76</v>
      </c>
      <c r="I215" s="32" t="n">
        <v>1995.3</v>
      </c>
      <c r="J215" s="32" t="n">
        <v>2.91</v>
      </c>
      <c r="K215" s="32" t="n">
        <v>235358</v>
      </c>
      <c r="L215" s="31" t="n">
        <v>57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70.62</v>
      </c>
      <c r="P215" s="32" t="n">
        <v>32.86</v>
      </c>
      <c r="Q215" s="32" t="n">
        <v>1486.74</v>
      </c>
      <c r="R215" s="31" t="inlineStr">
        <is>
          <t>Near 52W High Breakout</t>
        </is>
      </c>
      <c r="S215" s="31" t="inlineStr">
        <is>
          <t>Nifty 50</t>
        </is>
      </c>
      <c r="T215" s="32" t="n">
        <v>-6.08</v>
      </c>
      <c r="U215" s="32" t="n">
        <v>20.29</v>
      </c>
      <c r="V215" s="32" t="n">
        <v>28.08</v>
      </c>
      <c r="W215" s="32" t="n">
        <v>16.86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Negative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More than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IF(B216=0,"",RANK(B216,$B$2:$B$239,0))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VINCOFE</t>
        </is>
      </c>
      <c r="D216" s="31" t="inlineStr">
        <is>
          <t>Vintage Coffee &amp; Beverages Ltd</t>
        </is>
      </c>
      <c r="E216" s="31" t="inlineStr">
        <is>
          <t>consumer discretionary</t>
        </is>
      </c>
      <c r="F216" s="31" t="inlineStr">
        <is>
          <t>trading</t>
        </is>
      </c>
      <c r="G216" s="31" t="inlineStr">
        <is>
          <t>smallcap</t>
        </is>
      </c>
      <c r="H216" s="32" t="n">
        <v>2225.97</v>
      </c>
      <c r="I216" s="32" t="n">
        <v>156.22</v>
      </c>
      <c r="J216" s="32" t="n">
        <v>2.24</v>
      </c>
      <c r="K216" s="32" t="n">
        <v>2444036</v>
      </c>
      <c r="L216" s="31" t="n">
        <v>38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59.21</v>
      </c>
      <c r="P216" s="32" t="n">
        <v>12.18</v>
      </c>
      <c r="Q216" s="32" t="n">
        <v>117.08</v>
      </c>
      <c r="R216" s="31" t="inlineStr">
        <is>
          <t>Earnings / Momentum Support</t>
        </is>
      </c>
      <c r="S216" s="31" t="inlineStr">
        <is>
          <t>Nifty 50</t>
        </is>
      </c>
      <c r="T216" s="32" t="n">
        <v>-6.08</v>
      </c>
      <c r="U216" s="32" t="n">
        <v>25</v>
      </c>
      <c r="V216" s="32" t="n">
        <v>33.1</v>
      </c>
      <c r="W216" s="32" t="n">
        <v>11.77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Between 12 to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Between 1.5 to 2</t>
        </is>
      </c>
      <c r="BU216" s="31">
        <f>IF(BT216="Above 2",0,IF(BT216="Between 1.5 to 2",5,IF(BT216="Less than 1.5",10,0)))</f>
        <v/>
      </c>
      <c r="BV216" s="31" t="inlineStr">
        <is>
          <t>Less than 50%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IF(B217=0,"",RANK(B217,$B$2:$B$239,0))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MSTCLTD</t>
        </is>
      </c>
      <c r="D217" s="31" t="inlineStr">
        <is>
          <t>MSTC Ltd</t>
        </is>
      </c>
      <c r="E217" s="31" t="inlineStr">
        <is>
          <t>i.t</t>
        </is>
      </c>
      <c r="F217" s="31" t="inlineStr">
        <is>
          <t>trading</t>
        </is>
      </c>
      <c r="G217" s="31" t="inlineStr">
        <is>
          <t>smallcap</t>
        </is>
      </c>
      <c r="H217" s="32" t="n">
        <v>3836.45</v>
      </c>
      <c r="I217" s="32" t="n">
        <v>555.75</v>
      </c>
      <c r="J217" s="32" t="n">
        <v>1.98</v>
      </c>
      <c r="K217" s="32" t="n">
        <v>3952050</v>
      </c>
      <c r="L217" s="31" t="n">
        <v>29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64.83</v>
      </c>
      <c r="P217" s="32" t="n">
        <v>18.09</v>
      </c>
      <c r="Q217" s="32" t="n">
        <v>423.76</v>
      </c>
      <c r="R217" s="31" t="inlineStr">
        <is>
          <t>Volume Spike &amp; Near 52W High Breakout</t>
        </is>
      </c>
      <c r="S217" s="31" t="inlineStr">
        <is>
          <t>Nifty IT</t>
        </is>
      </c>
      <c r="T217" s="32" t="n">
        <v>-26.49</v>
      </c>
      <c r="U217" s="32" t="n">
        <v>6.82</v>
      </c>
      <c r="V217" s="32" t="n">
        <v>45.31</v>
      </c>
      <c r="W217" s="32" t="n">
        <v>9.44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Less than 12%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Negative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IF(B218=0,"",RANK(B218,$B$2:$B$239,0))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3" t="inlineStr">
        <is>
          <t>RML</t>
        </is>
      </c>
      <c r="D218" s="33" t="inlineStr">
        <is>
          <t>Rane (madras) Limited</t>
        </is>
      </c>
      <c r="E218" s="31" t="inlineStr">
        <is>
          <t>auto</t>
        </is>
      </c>
      <c r="F218" s="31" t="inlineStr">
        <is>
          <t>auto ancillaries</t>
        </is>
      </c>
      <c r="G218" s="31" t="inlineStr">
        <is>
          <t>smallcap</t>
        </is>
      </c>
      <c r="H218" s="32" t="n">
        <v>2563.34</v>
      </c>
      <c r="I218" s="32" t="n">
        <v>907.7</v>
      </c>
      <c r="J218" s="32" t="n">
        <v>-2.13</v>
      </c>
      <c r="K218" s="32" t="n">
        <v>8342</v>
      </c>
      <c r="L218" s="31" t="n">
        <v>8</v>
      </c>
      <c r="M218" s="31" t="inlineStr">
        <is>
          <t>Underperforming</t>
        </is>
      </c>
      <c r="N218" s="32">
        <f>IF(M218="Underperforming",-5,IF(L218&gt;=95,15,IF(L218&gt;=90,10,IF(L218&gt;=80,5,0))))</f>
        <v/>
      </c>
      <c r="O218" s="32" t="n">
        <v>60.05</v>
      </c>
      <c r="P218" s="32" t="n">
        <v>19.84</v>
      </c>
      <c r="Q218" s="32" t="n">
        <v>723.78</v>
      </c>
      <c r="R218" s="31" t="inlineStr">
        <is>
          <t>Near 52W High Breakout</t>
        </is>
      </c>
      <c r="S218" s="31" t="inlineStr">
        <is>
          <t>Nifty Auto</t>
        </is>
      </c>
      <c r="T218" s="32" t="n">
        <v>10.74</v>
      </c>
      <c r="U218" s="32" t="n">
        <v>1.37</v>
      </c>
      <c r="V218" s="32" t="n">
        <v>-8.460000000000001</v>
      </c>
      <c r="W218" s="32" t="n">
        <v>4.33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0 to 20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Between 50% to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Between 0.7 to 1.2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IF(B219=0,"",RANK(B219,$B$2:$B$239,0))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HINDOILEXP</t>
        </is>
      </c>
      <c r="D219" s="33" t="inlineStr">
        <is>
          <t>Hindustan Oil Exploration Company Limited</t>
        </is>
      </c>
      <c r="E219" s="31" t="inlineStr">
        <is>
          <t>energy</t>
        </is>
      </c>
      <c r="F219" s="31" t="inlineStr">
        <is>
          <t>oil drilling / allied services</t>
        </is>
      </c>
      <c r="G219" s="31" t="inlineStr">
        <is>
          <t>smallcap</t>
        </is>
      </c>
      <c r="H219" s="32" t="n">
        <v>2420.45</v>
      </c>
      <c r="I219" s="32" t="n">
        <v>178.45</v>
      </c>
      <c r="J219" s="32" t="n">
        <v>-2.5</v>
      </c>
      <c r="K219" s="32" t="n">
        <v>1395290</v>
      </c>
      <c r="L219" s="31" t="n">
        <v>11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60.87</v>
      </c>
      <c r="P219" s="32" t="n">
        <v>25.98</v>
      </c>
      <c r="Q219" s="32" t="n">
        <v>132.99</v>
      </c>
      <c r="R219" s="31" t="inlineStr">
        <is>
          <t>Near 52W High Breakout</t>
        </is>
      </c>
      <c r="S219" s="31" t="inlineStr">
        <is>
          <t>Nifty Energy</t>
        </is>
      </c>
      <c r="T219" s="32" t="n">
        <v>8.98</v>
      </c>
      <c r="U219" s="32" t="n">
        <v>1.54</v>
      </c>
      <c r="V219" s="32" t="n">
        <v>-6.83</v>
      </c>
      <c r="W219" s="32" t="n">
        <v>5.53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Oligopoly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Yes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Cyclical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Volatile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IF(B220=0,"",RANK(B220,$B$2:$B$239,0))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ATGL</t>
        </is>
      </c>
      <c r="D220" s="31" t="inlineStr">
        <is>
          <t>Adani Total Gas Ltd</t>
        </is>
      </c>
      <c r="E220" s="31" t="inlineStr">
        <is>
          <t>energy</t>
        </is>
      </c>
      <c r="F220" s="31" t="inlineStr">
        <is>
          <t>miscellaneous</t>
        </is>
      </c>
      <c r="G220" s="31" t="inlineStr">
        <is>
          <t>largecap</t>
        </is>
      </c>
      <c r="H220" s="32" t="n">
        <v>82722.22</v>
      </c>
      <c r="I220" s="32" t="n">
        <v>728.4</v>
      </c>
      <c r="J220" s="32" t="n">
        <v>-3.16</v>
      </c>
      <c r="K220" s="32" t="n">
        <v>5348345</v>
      </c>
      <c r="L220" s="31" t="n">
        <v>25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64.81</v>
      </c>
      <c r="P220" s="32" t="n">
        <v>48.67</v>
      </c>
      <c r="Q220" s="32" t="n">
        <v>574.35</v>
      </c>
      <c r="R220" s="31" t="inlineStr">
        <is>
          <t>Earnings / Momentum Support</t>
        </is>
      </c>
      <c r="S220" s="31" t="inlineStr">
        <is>
          <t>Nifty Energy</t>
        </is>
      </c>
      <c r="T220" s="32" t="n">
        <v>8.98</v>
      </c>
      <c r="U220" s="32" t="n">
        <v>10.61</v>
      </c>
      <c r="V220" s="32" t="n">
        <v>1.49</v>
      </c>
      <c r="W220" s="32" t="n">
        <v>8.550000000000001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Oligopoly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Yes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Cyclical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Volatile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IF(B221=0,"",RANK(B221,$B$2:$B$239,0))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DEEDEV</t>
        </is>
      </c>
      <c r="D221" s="31" t="inlineStr">
        <is>
          <t>DEE Development Engineers Ltd</t>
        </is>
      </c>
      <c r="E221" s="31" t="inlineStr">
        <is>
          <t>metals &amp; mining</t>
        </is>
      </c>
      <c r="F221" s="31" t="inlineStr">
        <is>
          <t>steel - medium / small</t>
        </is>
      </c>
      <c r="G221" s="31" t="inlineStr">
        <is>
          <t>smallcap</t>
        </is>
      </c>
      <c r="H221" s="32" t="n">
        <v>4770.17</v>
      </c>
      <c r="I221" s="32" t="n">
        <v>654.3</v>
      </c>
      <c r="J221" s="32" t="n">
        <v>-4.99</v>
      </c>
      <c r="K221" s="32" t="n">
        <v>200815</v>
      </c>
      <c r="L221" s="31" t="n">
        <v>94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83.92</v>
      </c>
      <c r="P221" s="32" t="n">
        <v>60.48</v>
      </c>
      <c r="Q221" s="32" t="n">
        <v>518.79</v>
      </c>
      <c r="R221" s="31" t="inlineStr">
        <is>
          <t>Near 52W High Breakout</t>
        </is>
      </c>
      <c r="S221" s="31" t="inlineStr">
        <is>
          <t>Nifty Metal</t>
        </is>
      </c>
      <c r="T221" s="32" t="n">
        <v>37.88</v>
      </c>
      <c r="U221" s="32" t="n">
        <v>128.26</v>
      </c>
      <c r="V221" s="32" t="n">
        <v>65.54000000000001</v>
      </c>
      <c r="W221" s="32" t="n">
        <v>50.57</v>
      </c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Cyclical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Volatile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Above 40</t>
        </is>
      </c>
      <c r="AY221" s="31">
        <f>IF(AX221="Above 40",20,IF(AX221="20 to 40",10,IF(AX221="0 to 20",-5,0)))</f>
        <v/>
      </c>
      <c r="AZ221" s="31" t="inlineStr">
        <is>
          <t>Above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Less than 50%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Between 0.7 to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IF(B222=0,"",RANK(B222,$B$2:$B$239,0))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ABDL</t>
        </is>
      </c>
      <c r="D222" s="31" t="inlineStr">
        <is>
          <t>Allied Blenders &amp; Distillers Ltd</t>
        </is>
      </c>
      <c r="E222" s="31" t="inlineStr">
        <is>
          <t>fmcg</t>
        </is>
      </c>
      <c r="F222" s="31" t="inlineStr">
        <is>
          <t>breweries &amp; distilleries</t>
        </is>
      </c>
      <c r="G222" s="31" t="inlineStr">
        <is>
          <t>midcap</t>
        </is>
      </c>
      <c r="H222" s="32" t="n">
        <v>16309.9</v>
      </c>
      <c r="I222" s="32" t="n">
        <v>571.7</v>
      </c>
      <c r="J222" s="32" t="n">
        <v>-1.96</v>
      </c>
      <c r="K222" s="32" t="n">
        <v>170415</v>
      </c>
      <c r="L222" s="31" t="n">
        <v>48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55.77</v>
      </c>
      <c r="P222" s="32" t="n">
        <v>18.71</v>
      </c>
      <c r="Q222" s="32" t="n">
        <v>444.5</v>
      </c>
      <c r="R222" s="31" t="inlineStr">
        <is>
          <t>Earnings / Momentum Support</t>
        </is>
      </c>
      <c r="S222" s="31" t="inlineStr">
        <is>
          <t>Nifty FMCG</t>
        </is>
      </c>
      <c r="T222" s="32" t="n">
        <v>-10.22</v>
      </c>
      <c r="U222" s="32" t="n">
        <v>36.17</v>
      </c>
      <c r="V222" s="32" t="n">
        <v>51.66</v>
      </c>
      <c r="W222" s="32" t="n">
        <v>14.82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B2C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Annuity, Lower One Time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Between 50% to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IF(B223=0,"",RANK(B223,$B$2:$B$239,0))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CHAMBLFERT</t>
        </is>
      </c>
      <c r="D223" s="33" t="inlineStr">
        <is>
          <t>Chambal Fertilizers &amp; Chemicals Limited</t>
        </is>
      </c>
      <c r="E223" s="31" t="inlineStr">
        <is>
          <t>chemicals</t>
        </is>
      </c>
      <c r="F223" s="31" t="inlineStr">
        <is>
          <t>fertilizers</t>
        </is>
      </c>
      <c r="G223" s="31" t="inlineStr">
        <is>
          <t>midcap</t>
        </is>
      </c>
      <c r="H223" s="32" t="n">
        <v>18219.66</v>
      </c>
      <c r="I223" s="32" t="n">
        <v>477.65</v>
      </c>
      <c r="J223" s="32" t="n">
        <v>5.04</v>
      </c>
      <c r="K223" s="32" t="n">
        <v>4969287</v>
      </c>
      <c r="L223" s="31" t="n">
        <v>1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57.22</v>
      </c>
      <c r="P223" s="32" t="n">
        <v>15.72</v>
      </c>
      <c r="Q223" s="32" t="n">
        <v>392.88</v>
      </c>
      <c r="R223" s="31" t="inlineStr">
        <is>
          <t>Earnings / Momentum Support</t>
        </is>
      </c>
      <c r="S223" s="31" t="inlineStr">
        <is>
          <t>Nifty 50</t>
        </is>
      </c>
      <c r="T223" s="32" t="n">
        <v>-6.08</v>
      </c>
      <c r="U223" s="32" t="n">
        <v>-11.3</v>
      </c>
      <c r="V223" s="32" t="n">
        <v>-5.55</v>
      </c>
      <c r="W223" s="32" t="n">
        <v>1.22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1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Less than 1.5</t>
        </is>
      </c>
      <c r="BU223" s="31">
        <f>IF(BT223="Above 2",0,IF(BT223="Between 1.5 to 2",5,IF(BT223="Less than 1.5",10,0)))</f>
        <v/>
      </c>
      <c r="BV223" s="31" t="inlineStr">
        <is>
          <t>Less than 50%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IF(B224=0,"",RANK(B224,$B$2:$B$239,0))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FACT</t>
        </is>
      </c>
      <c r="D224" s="33" t="inlineStr">
        <is>
          <t>Fertilizers And Chemicals Travancore Limited</t>
        </is>
      </c>
      <c r="E224" s="31" t="inlineStr">
        <is>
          <t>chemicals</t>
        </is>
      </c>
      <c r="F224" s="31" t="inlineStr">
        <is>
          <t>fertilizers</t>
        </is>
      </c>
      <c r="G224" s="31" t="inlineStr">
        <is>
          <t>largecap</t>
        </is>
      </c>
      <c r="H224" s="32" t="n">
        <v>56686.74</v>
      </c>
      <c r="I224" s="32" t="n">
        <v>901.35</v>
      </c>
      <c r="J224" s="32" t="n">
        <v>2.89</v>
      </c>
      <c r="K224" s="32" t="n">
        <v>1968434</v>
      </c>
      <c r="L224" s="31" t="n">
        <v>1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56.29</v>
      </c>
      <c r="P224" s="32" t="n">
        <v>13.82</v>
      </c>
      <c r="Q224" s="32" t="n">
        <v>689.1</v>
      </c>
      <c r="R224" s="31" t="inlineStr">
        <is>
          <t>Earnings / Momentum Support</t>
        </is>
      </c>
      <c r="S224" s="31" t="inlineStr">
        <is>
          <t>Nifty 50</t>
        </is>
      </c>
      <c r="T224" s="32" t="n">
        <v>-6.08</v>
      </c>
      <c r="U224" s="32" t="n">
        <v>-11.2</v>
      </c>
      <c r="V224" s="32" t="n">
        <v>-5.45</v>
      </c>
      <c r="W224" s="32" t="n">
        <v>-0.87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More than 1.2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IF(B225=0,"",RANK(B225,$B$2:$B$239,0))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SUPRAJIT</t>
        </is>
      </c>
      <c r="D225" s="33" t="inlineStr">
        <is>
          <t>Suprajit Engineering Limited</t>
        </is>
      </c>
      <c r="E225" s="31" t="inlineStr">
        <is>
          <t>auto</t>
        </is>
      </c>
      <c r="F225" s="31" t="inlineStr">
        <is>
          <t>auto ancillaries</t>
        </is>
      </c>
      <c r="G225" s="31" t="inlineStr">
        <is>
          <t>midcap</t>
        </is>
      </c>
      <c r="H225" s="32" t="n">
        <v>6391.49</v>
      </c>
      <c r="I225" s="32" t="n">
        <v>459.15</v>
      </c>
      <c r="J225" s="32" t="n">
        <v>-1.46</v>
      </c>
      <c r="K225" s="32" t="n">
        <v>98519</v>
      </c>
      <c r="L225" s="31" t="n">
        <v>4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54.6</v>
      </c>
      <c r="P225" s="32" t="n">
        <v>19.45</v>
      </c>
      <c r="Q225" s="32" t="n">
        <v>375.39</v>
      </c>
      <c r="R225" s="31" t="inlineStr">
        <is>
          <t>Earnings / Momentum Support</t>
        </is>
      </c>
      <c r="S225" s="31" t="inlineStr">
        <is>
          <t>Nifty Auto</t>
        </is>
      </c>
      <c r="T225" s="32" t="n">
        <v>10.74</v>
      </c>
      <c r="U225" s="32" t="n">
        <v>1.15</v>
      </c>
      <c r="V225" s="32" t="n">
        <v>-8.66</v>
      </c>
      <c r="W225" s="32" t="n">
        <v>3.25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Less than 50%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IF(B226=0,"",RANK(B226,$B$2:$B$239,0))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ACMESOLAR</t>
        </is>
      </c>
      <c r="D226" s="31" t="inlineStr">
        <is>
          <t>ACME Solar Holdings Ltd</t>
        </is>
      </c>
      <c r="E226" s="31" t="inlineStr">
        <is>
          <t>realty</t>
        </is>
      </c>
      <c r="F226" s="31" t="inlineStr">
        <is>
          <t>engineering - turnkey services</t>
        </is>
      </c>
      <c r="G226" s="31" t="inlineStr">
        <is>
          <t>largecap</t>
        </is>
      </c>
      <c r="H226" s="32" t="n">
        <v>21130.24</v>
      </c>
      <c r="I226" s="32" t="n">
        <v>336.9</v>
      </c>
      <c r="J226" s="32" t="n">
        <v>-3.38</v>
      </c>
      <c r="K226" s="32" t="n">
        <v>1647829</v>
      </c>
      <c r="L226" s="31" t="n">
        <v>52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65.27</v>
      </c>
      <c r="P226" s="32" t="n">
        <v>20.35</v>
      </c>
      <c r="Q226" s="32" t="n">
        <v>274.56</v>
      </c>
      <c r="R226" s="31" t="inlineStr">
        <is>
          <t>Earnings / Momentum Support</t>
        </is>
      </c>
      <c r="S226" s="31" t="inlineStr">
        <is>
          <t>Nifty Realty</t>
        </is>
      </c>
      <c r="T226" s="32" t="n">
        <v>-25.71</v>
      </c>
      <c r="U226" s="32" t="n">
        <v>37.52</v>
      </c>
      <c r="V226" s="32" t="n">
        <v>85.11</v>
      </c>
      <c r="W226" s="32" t="n">
        <v>15.46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Between 50% to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More than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IF(B227=0,"",RANK(B227,$B$2:$B$239,0))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3" t="inlineStr">
        <is>
          <t>KOVAI</t>
        </is>
      </c>
      <c r="D227" s="33" t="inlineStr">
        <is>
          <t>Kovai Medical Center &amp; Hospital Ltd</t>
        </is>
      </c>
      <c r="E227" s="31" t="inlineStr">
        <is>
          <t>healthcare</t>
        </is>
      </c>
      <c r="F227" s="31" t="inlineStr">
        <is>
          <t>healthcare</t>
        </is>
      </c>
      <c r="G227" s="31" t="inlineStr">
        <is>
          <t>midcap</t>
        </is>
      </c>
      <c r="H227" s="32" t="n">
        <v>6287.42</v>
      </c>
      <c r="I227" s="32" t="n">
        <v>5856.5</v>
      </c>
      <c r="J227" s="32" t="n">
        <v>1.92</v>
      </c>
      <c r="K227" s="32" t="n">
        <v>7372</v>
      </c>
      <c r="L227" s="31" t="n">
        <v>3</v>
      </c>
      <c r="M227" s="31" t="inlineStr">
        <is>
          <t>Underperforming</t>
        </is>
      </c>
      <c r="N227" s="32">
        <f>IF(M227="Underperforming",-5,IF(L227&gt;=95,15,IF(L227&gt;=90,10,IF(L227&gt;=80,5,0))))</f>
        <v/>
      </c>
      <c r="O227" s="32" t="n">
        <v>59.69</v>
      </c>
      <c r="P227" s="32" t="n">
        <v>18.98</v>
      </c>
      <c r="Q227" s="32" t="n">
        <v>4858.22</v>
      </c>
      <c r="R227" s="31" t="inlineStr">
        <is>
          <t>Earnings / Momentum Support</t>
        </is>
      </c>
      <c r="S227" s="31" t="inlineStr">
        <is>
          <t>Nifty Pharma</t>
        </is>
      </c>
      <c r="T227" s="32" t="n">
        <v>9.9</v>
      </c>
      <c r="U227" s="32" t="n">
        <v>-1.38</v>
      </c>
      <c r="V227" s="32" t="n">
        <v>-10.26</v>
      </c>
      <c r="W227" s="32" t="n">
        <v>2.79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1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Between 12 to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Between 1.5 to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IF(B228=0,"",RANK(B228,$B$2:$B$239,0))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BERGEPAINT</t>
        </is>
      </c>
      <c r="D228" s="33" t="inlineStr">
        <is>
          <t>Berger Paints (i) Limited</t>
        </is>
      </c>
      <c r="E228" s="31" t="inlineStr">
        <is>
          <t>building materials</t>
        </is>
      </c>
      <c r="F228" s="31" t="inlineStr">
        <is>
          <t>paints / varnishes</t>
        </is>
      </c>
      <c r="G228" s="31" t="inlineStr">
        <is>
          <t>largecap</t>
        </is>
      </c>
      <c r="H228" s="32" t="n">
        <v>58521.68</v>
      </c>
      <c r="I228" s="32" t="n">
        <v>516.7</v>
      </c>
      <c r="J228" s="32" t="n">
        <v>2.95</v>
      </c>
      <c r="K228" s="32" t="n">
        <v>660384</v>
      </c>
      <c r="L228" s="31" t="n">
        <v>9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56.4</v>
      </c>
      <c r="P228" s="32" t="n">
        <v>28.53</v>
      </c>
      <c r="Q228" s="32" t="n">
        <v>433.82</v>
      </c>
      <c r="R228" s="31" t="inlineStr">
        <is>
          <t>Earnings / Momentum Support</t>
        </is>
      </c>
      <c r="S228" s="31" t="inlineStr">
        <is>
          <t>Nifty Infra</t>
        </is>
      </c>
      <c r="T228" s="32" t="n">
        <v>0.99</v>
      </c>
      <c r="U228" s="32" t="n">
        <v>-8.77</v>
      </c>
      <c r="V228" s="32" t="n">
        <v>-9.67</v>
      </c>
      <c r="W228" s="32" t="n">
        <v>4.87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Between 1.5 to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IF(B229=0,"",RANK(B229,$B$2:$B$239,0))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TVSSCS</t>
        </is>
      </c>
      <c r="D229" s="33" t="inlineStr">
        <is>
          <t>TVS Supply Chain Solutions Ltd</t>
        </is>
      </c>
      <c r="E229" s="31" t="inlineStr">
        <is>
          <t>transportation</t>
        </is>
      </c>
      <c r="F229" s="31" t="inlineStr">
        <is>
          <t>miscellaneous</t>
        </is>
      </c>
      <c r="G229" s="31" t="inlineStr">
        <is>
          <t>midcap</t>
        </is>
      </c>
      <c r="H229" s="32" t="n">
        <v>5667.84</v>
      </c>
      <c r="I229" s="32" t="n">
        <v>124.14</v>
      </c>
      <c r="J229" s="32" t="n">
        <v>-3.37</v>
      </c>
      <c r="K229" s="32" t="n">
        <v>495126</v>
      </c>
      <c r="L229" s="31" t="n">
        <v>3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54.76</v>
      </c>
      <c r="P229" s="32" t="n">
        <v>10.91</v>
      </c>
      <c r="Q229" s="32" t="n">
        <v>96.42</v>
      </c>
      <c r="R229" s="31" t="inlineStr">
        <is>
          <t>Earnings / Momentum Support</t>
        </is>
      </c>
      <c r="S229" s="31" t="inlineStr">
        <is>
          <t>Nifty 50</t>
        </is>
      </c>
      <c r="T229" s="32" t="n">
        <v>-6.08</v>
      </c>
      <c r="U229" s="32" t="n">
        <v>-7.48</v>
      </c>
      <c r="V229" s="32" t="n">
        <v>-1.48</v>
      </c>
      <c r="W229" s="32" t="n">
        <v>2.99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More than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IF(B230=0,"",RANK(B230,$B$2:$B$239,0))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3" t="inlineStr">
        <is>
          <t>SILVERTUC</t>
        </is>
      </c>
      <c r="D230" s="33" t="inlineStr">
        <is>
          <t>Silver Touch Technologies Ltd</t>
        </is>
      </c>
      <c r="E230" s="31" t="inlineStr">
        <is>
          <t>i.t</t>
        </is>
      </c>
      <c r="F230" s="31" t="inlineStr">
        <is>
          <t>computers - software - medium / small</t>
        </is>
      </c>
      <c r="G230" s="31" t="inlineStr">
        <is>
          <t>smallcap</t>
        </is>
      </c>
      <c r="H230" s="32" t="n">
        <v>2358.41</v>
      </c>
      <c r="I230" s="32" t="n">
        <v>184.93</v>
      </c>
      <c r="J230" s="32" t="n">
        <v>-0.5600000000000001</v>
      </c>
      <c r="K230" s="32" t="n">
        <v>560029</v>
      </c>
      <c r="L230" s="31" t="n">
        <v>33</v>
      </c>
      <c r="M230" s="31" t="inlineStr">
        <is>
          <t>Underperforming</t>
        </is>
      </c>
      <c r="N230" s="32">
        <f>IF(M230="Underperforming",-5,IF(L230&gt;=95,15,IF(L230&gt;=90,10,IF(L230&gt;=80,5,0))))</f>
        <v/>
      </c>
      <c r="O230" s="32" t="n">
        <v>39.15</v>
      </c>
      <c r="P230" s="32" t="n">
        <v>43</v>
      </c>
      <c r="Q230" s="32" t="n">
        <v>65.09999999999999</v>
      </c>
      <c r="R230" s="31" t="inlineStr">
        <is>
          <t>Earnings / Momentum Support</t>
        </is>
      </c>
      <c r="S230" s="31" t="inlineStr">
        <is>
          <t>Nifty IT</t>
        </is>
      </c>
      <c r="T230" s="32" t="n">
        <v>-26.49</v>
      </c>
      <c r="U230" s="32" t="n">
        <v>-76.56</v>
      </c>
      <c r="V230" s="32" t="n">
        <v>-68.11</v>
      </c>
      <c r="W230" s="32" t="n">
        <v>10.12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Annuity, Lower One Time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Above 40</t>
        </is>
      </c>
      <c r="AY230" s="31">
        <f>IF(AX230="Above 40",20,IF(AX230="20 to 40",10,IF(AX230="0 to 20",-5,0)))</f>
        <v/>
      </c>
      <c r="AZ230" s="31" t="inlineStr">
        <is>
          <t>Below 45</t>
        </is>
      </c>
      <c r="BA230" s="31">
        <f>IF(AZ230="Between 50 to 75",10,IF(AZ230="Above 75",0,0))</f>
        <v/>
      </c>
      <c r="BB230" s="31" t="inlineStr">
        <is>
          <t>Stage 4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Between 1.5 to 2</t>
        </is>
      </c>
      <c r="BU230" s="31">
        <f>IF(BT230="Above 2",0,IF(BT230="Between 1.5 to 2",5,IF(BT230="Less than 1.5",10,0)))</f>
        <v/>
      </c>
      <c r="BV230" s="31" t="inlineStr">
        <is>
          <t>Less than 50%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IF(B231=0,"",RANK(B231,$B$2:$B$239,0))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STEELXIND</t>
        </is>
      </c>
      <c r="D231" s="31" t="inlineStr">
        <is>
          <t>Steel Exchange India Ltd</t>
        </is>
      </c>
      <c r="E231" s="31" t="inlineStr">
        <is>
          <t>metals &amp; mining</t>
        </is>
      </c>
      <c r="F231" s="31" t="inlineStr">
        <is>
          <t>steel - medium / small</t>
        </is>
      </c>
      <c r="G231" s="31" t="inlineStr">
        <is>
          <t>smallcap</t>
        </is>
      </c>
      <c r="H231" s="32" t="n">
        <v>1525.52</v>
      </c>
      <c r="I231" s="32" t="n">
        <v>11.72</v>
      </c>
      <c r="J231" s="32" t="n">
        <v>-2.01</v>
      </c>
      <c r="K231" s="32" t="n">
        <v>3781031</v>
      </c>
      <c r="L231" s="31" t="n">
        <v>65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64.25</v>
      </c>
      <c r="P231" s="32" t="n">
        <v>24.05</v>
      </c>
      <c r="Q231" s="32" t="n">
        <v>9.119999999999999</v>
      </c>
      <c r="R231" s="31" t="inlineStr">
        <is>
          <t>Earnings / Momentum Support</t>
        </is>
      </c>
      <c r="S231" s="31" t="inlineStr">
        <is>
          <t>Nifty Metal</t>
        </is>
      </c>
      <c r="T231" s="32" t="n">
        <v>37.88</v>
      </c>
      <c r="U231" s="32" t="n">
        <v>41.03</v>
      </c>
      <c r="V231" s="32" t="n">
        <v>2.28</v>
      </c>
      <c r="W231" s="32" t="n">
        <v>20.44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Cyclical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Volatile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Negative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IF(B232=0,"",RANK(B232,$B$2:$B$239,0))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GLOSTERLTD</t>
        </is>
      </c>
      <c r="D232" s="31" t="inlineStr">
        <is>
          <t>Gloster Ltd</t>
        </is>
      </c>
      <c r="E232" s="31" t="inlineStr">
        <is>
          <t>textiles</t>
        </is>
      </c>
      <c r="F232" s="31" t="inlineStr">
        <is>
          <t>textiles - jute - yarn / products</t>
        </is>
      </c>
      <c r="G232" s="31" t="inlineStr">
        <is>
          <t>smallcap</t>
        </is>
      </c>
      <c r="H232" s="32" t="n">
        <v>734.02</v>
      </c>
      <c r="I232" s="32" t="n">
        <v>668.8</v>
      </c>
      <c r="J232" s="32" t="n">
        <v>-0.29</v>
      </c>
      <c r="K232" s="32" t="n">
        <v>6194</v>
      </c>
      <c r="L232" s="31" t="n">
        <v>12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60.53</v>
      </c>
      <c r="P232" s="32" t="n">
        <v>24.76</v>
      </c>
      <c r="Q232" s="32" t="n">
        <v>527.86</v>
      </c>
      <c r="R232" s="31" t="inlineStr">
        <is>
          <t>Earnings / Momentum Support</t>
        </is>
      </c>
      <c r="S232" s="31" t="inlineStr">
        <is>
          <t>Nifty IT</t>
        </is>
      </c>
      <c r="T232" s="32" t="n">
        <v>-26.49</v>
      </c>
      <c r="U232" s="32" t="n">
        <v>-1.19</v>
      </c>
      <c r="V232" s="32" t="n">
        <v>34.41</v>
      </c>
      <c r="W232" s="32" t="n">
        <v>5.73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Negative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Between 0.7 to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IF(B233=0,"",RANK(B233,$B$2:$B$239,0))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PVP</t>
        </is>
      </c>
      <c r="D233" s="31" t="inlineStr">
        <is>
          <t>Pvp Ventures Limited</t>
        </is>
      </c>
      <c r="E233" s="31" t="inlineStr">
        <is>
          <t>realty</t>
        </is>
      </c>
      <c r="F233" s="31" t="inlineStr">
        <is>
          <t>construction</t>
        </is>
      </c>
      <c r="G233" s="31" t="inlineStr">
        <is>
          <t>smallcap</t>
        </is>
      </c>
      <c r="H233" s="32" t="n">
        <v>854.12</v>
      </c>
      <c r="I233" s="32" t="n">
        <v>32.61</v>
      </c>
      <c r="J233" s="32" t="n">
        <v>-0.58</v>
      </c>
      <c r="K233" s="32" t="n">
        <v>504432</v>
      </c>
      <c r="L233" s="31" t="n">
        <v>52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56.04</v>
      </c>
      <c r="P233" s="32" t="n">
        <v>18.47</v>
      </c>
      <c r="Q233" s="32" t="n">
        <v>21.45</v>
      </c>
      <c r="R233" s="31" t="inlineStr">
        <is>
          <t>Earnings / Momentum Support</t>
        </is>
      </c>
      <c r="S233" s="31" t="inlineStr">
        <is>
          <t>Nifty Realty</t>
        </is>
      </c>
      <c r="T233" s="32" t="n">
        <v>-25.71</v>
      </c>
      <c r="U233" s="32" t="n">
        <v>32.35</v>
      </c>
      <c r="V233" s="32" t="n">
        <v>78.14</v>
      </c>
      <c r="W233" s="32" t="n">
        <v>15.45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1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Negative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IF(B234=0,"",RANK(B234,$B$2:$B$239,0))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GAIL</t>
        </is>
      </c>
      <c r="D234" s="33" t="inlineStr">
        <is>
          <t>Gail (india) Limited</t>
        </is>
      </c>
      <c r="E234" s="31" t="inlineStr">
        <is>
          <t>energy</t>
        </is>
      </c>
      <c r="F234" s="31" t="inlineStr">
        <is>
          <t>miscellaneous</t>
        </is>
      </c>
      <c r="G234" s="31" t="inlineStr">
        <is>
          <t>largecap</t>
        </is>
      </c>
      <c r="H234" s="32" t="n">
        <v>110192.09</v>
      </c>
      <c r="I234" s="32" t="n">
        <v>168.01</v>
      </c>
      <c r="J234" s="32" t="n">
        <v>0.25</v>
      </c>
      <c r="K234" s="32" t="n">
        <v>11363717</v>
      </c>
      <c r="L234" s="31" t="n">
        <v>1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55.48</v>
      </c>
      <c r="P234" s="32" t="n">
        <v>13.71</v>
      </c>
      <c r="Q234" s="32" t="n">
        <v>141.18</v>
      </c>
      <c r="R234" s="31" t="inlineStr">
        <is>
          <t>Earnings / Momentum Support</t>
        </is>
      </c>
      <c r="S234" s="31" t="inlineStr">
        <is>
          <t>Nifty Energy</t>
        </is>
      </c>
      <c r="T234" s="32" t="n">
        <v>8.98</v>
      </c>
      <c r="U234" s="32" t="n">
        <v>-8.93</v>
      </c>
      <c r="V234" s="32" t="n">
        <v>-16.44</v>
      </c>
      <c r="W234" s="32" t="n">
        <v>1.22</v>
      </c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Oligopoly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Yes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Cyclical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Volatile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IF(B235=0,"",RANK(B235,$B$2:$B$239,0))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3" t="inlineStr">
        <is>
          <t>GREENLAM</t>
        </is>
      </c>
      <c r="D235" s="33" t="inlineStr">
        <is>
          <t>Greenlam Industries Limited</t>
        </is>
      </c>
      <c r="E235" s="31" t="inlineStr">
        <is>
          <t>building materials</t>
        </is>
      </c>
      <c r="F235" s="31" t="inlineStr">
        <is>
          <t>miscellaneous</t>
        </is>
      </c>
      <c r="G235" s="31" t="inlineStr">
        <is>
          <t>midcap</t>
        </is>
      </c>
      <c r="H235" s="32" t="n">
        <v>5982.45</v>
      </c>
      <c r="I235" s="32" t="n">
        <v>239.68</v>
      </c>
      <c r="J235" s="32" t="n">
        <v>2.22</v>
      </c>
      <c r="K235" s="32" t="n">
        <v>449634</v>
      </c>
      <c r="L235" s="31" t="n">
        <v>4</v>
      </c>
      <c r="M235" s="31" t="inlineStr">
        <is>
          <t>Underperforming</t>
        </is>
      </c>
      <c r="N235" s="32">
        <f>IF(M235="Underperforming",-5,IF(L235&gt;=95,15,IF(L235&gt;=90,10,IF(L235&gt;=80,5,0))))</f>
        <v/>
      </c>
      <c r="O235" s="32" t="n">
        <v>53.49</v>
      </c>
      <c r="P235" s="32" t="n">
        <v>17.35</v>
      </c>
      <c r="Q235" s="32" t="n">
        <v>173.09</v>
      </c>
      <c r="R235" s="31" t="inlineStr">
        <is>
          <t>Earnings / Momentum Support</t>
        </is>
      </c>
      <c r="S235" s="31" t="inlineStr">
        <is>
          <t>Nifty Infra</t>
        </is>
      </c>
      <c r="T235" s="32" t="n">
        <v>0.99</v>
      </c>
      <c r="U235" s="32" t="n">
        <v>-0.07000000000000001</v>
      </c>
      <c r="V235" s="32" t="n">
        <v>-1.05</v>
      </c>
      <c r="W235" s="32" t="n">
        <v>3.2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1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Between 0.7 to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IF(B236=0,"",RANK(B236,$B$2:$B$239,0))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JBMA</t>
        </is>
      </c>
      <c r="D236" s="33" t="inlineStr">
        <is>
          <t>Jbm Auto Limited</t>
        </is>
      </c>
      <c r="E236" s="31" t="inlineStr">
        <is>
          <t>auto</t>
        </is>
      </c>
      <c r="F236" s="31" t="inlineStr">
        <is>
          <t>auto ancillaries</t>
        </is>
      </c>
      <c r="G236" s="31" t="inlineStr">
        <is>
          <t>midcap</t>
        </is>
      </c>
      <c r="H236" s="32" t="n">
        <v>16004.75</v>
      </c>
      <c r="I236" s="32" t="n">
        <v>666.9</v>
      </c>
      <c r="J236" s="32" t="n">
        <v>-1.46</v>
      </c>
      <c r="K236" s="32" t="n">
        <v>846838</v>
      </c>
      <c r="L236" s="31" t="n">
        <v>21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58.31</v>
      </c>
      <c r="P236" s="32" t="n">
        <v>15.77</v>
      </c>
      <c r="Q236" s="32" t="n">
        <v>509.51</v>
      </c>
      <c r="R236" s="31" t="inlineStr">
        <is>
          <t>Earnings / Momentum Support</t>
        </is>
      </c>
      <c r="S236" s="31" t="inlineStr">
        <is>
          <t>Nifty Auto</t>
        </is>
      </c>
      <c r="T236" s="32" t="n">
        <v>10.74</v>
      </c>
      <c r="U236" s="32" t="n">
        <v>-4.78</v>
      </c>
      <c r="V236" s="32" t="n">
        <v>-14.02</v>
      </c>
      <c r="W236" s="32" t="n">
        <v>7.66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Negative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More than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IF(B237=0,"",RANK(B237,$B$2:$B$239,0))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BALAMINES</t>
        </is>
      </c>
      <c r="D237" s="31" t="inlineStr">
        <is>
          <t>Balaji Amines Limited</t>
        </is>
      </c>
      <c r="E237" s="31" t="inlineStr">
        <is>
          <t>chemicals</t>
        </is>
      </c>
      <c r="F237" s="31" t="inlineStr">
        <is>
          <t>chemicals</t>
        </is>
      </c>
      <c r="G237" s="31" t="inlineStr">
        <is>
          <t>midcap</t>
        </is>
      </c>
      <c r="H237" s="32" t="n">
        <v>7264.63</v>
      </c>
      <c r="I237" s="32" t="n">
        <v>2131.1</v>
      </c>
      <c r="J237" s="32" t="n">
        <v>-4.95</v>
      </c>
      <c r="K237" s="32" t="n">
        <v>340226</v>
      </c>
      <c r="L237" s="31" t="n">
        <v>91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82.52</v>
      </c>
      <c r="P237" s="32" t="n">
        <v>38.69</v>
      </c>
      <c r="Q237" s="32" t="n">
        <v>1592.63</v>
      </c>
      <c r="R237" s="31" t="inlineStr">
        <is>
          <t>Near 52W High Breakout</t>
        </is>
      </c>
      <c r="S237" s="31" t="inlineStr">
        <is>
          <t>Nifty 50</t>
        </is>
      </c>
      <c r="T237" s="32" t="n">
        <v>-6.08</v>
      </c>
      <c r="U237" s="32" t="n">
        <v>47.53</v>
      </c>
      <c r="V237" s="32" t="n">
        <v>57.08</v>
      </c>
      <c r="W237" s="32" t="n">
        <v>38.76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Duopoly That Cooperate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Shallow Cyclical (2 to 3 Years Growth)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4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Downtrend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Overhead supply in last 2 years in last 2 years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No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Less than 1.5</t>
        </is>
      </c>
      <c r="BU237" s="31">
        <f>IF(BT237="Above 2",0,IF(BT237="Between 1.5 to 2",5,IF(BT237="Less than 1.5",10,0)))</f>
        <v/>
      </c>
      <c r="BV237" s="31" t="inlineStr">
        <is>
          <t>Between 50% to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IF(B238=0,"",RANK(B238,$B$2:$B$239,0))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ARIHANT</t>
        </is>
      </c>
      <c r="D238" s="33" t="inlineStr">
        <is>
          <t>Arihant Foundations &amp; Housing Limited</t>
        </is>
      </c>
      <c r="E238" s="31" t="inlineStr">
        <is>
          <t>realty</t>
        </is>
      </c>
      <c r="F238" s="31" t="inlineStr">
        <is>
          <t>construction</t>
        </is>
      </c>
      <c r="G238" s="31" t="inlineStr">
        <is>
          <t>smallcap</t>
        </is>
      </c>
      <c r="H238" s="32" t="n">
        <v>825.9</v>
      </c>
      <c r="I238" s="32" t="n">
        <v>882.95</v>
      </c>
      <c r="J238" s="32" t="n">
        <v>6.54</v>
      </c>
      <c r="K238" s="32" t="n">
        <v>34423</v>
      </c>
      <c r="L238" s="31" t="n">
        <v>1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41.37</v>
      </c>
      <c r="P238" s="32" t="n">
        <v>22.11</v>
      </c>
      <c r="Q238" s="32" t="n">
        <v>600.64</v>
      </c>
      <c r="R238" s="31" t="inlineStr">
        <is>
          <t>Earnings / Momentum Support</t>
        </is>
      </c>
      <c r="S238" s="31" t="inlineStr">
        <is>
          <t>Nifty Realty</t>
        </is>
      </c>
      <c r="T238" s="32" t="n">
        <v>-25.71</v>
      </c>
      <c r="U238" s="32" t="n">
        <v>-40.41</v>
      </c>
      <c r="V238" s="32" t="n">
        <v>-19.79</v>
      </c>
      <c r="W238" s="32" t="n">
        <v>-11.96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Below 45</t>
        </is>
      </c>
      <c r="BA238" s="31">
        <f>IF(AZ238="Between 50 to 75",10,IF(AZ238="Above 75",0,0))</f>
        <v/>
      </c>
      <c r="BB238" s="31" t="inlineStr">
        <is>
          <t>Stage 4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More than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IF(B239=0,"",RANK(B239,$B$2:$B$239,0))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RAJRATAN</t>
        </is>
      </c>
      <c r="D239" s="33" t="inlineStr">
        <is>
          <t>Rajratan Global Wire Ltd</t>
        </is>
      </c>
      <c r="E239" s="31" t="inlineStr">
        <is>
          <t>metals &amp; mining</t>
        </is>
      </c>
      <c r="F239" s="31" t="inlineStr">
        <is>
          <t>steel - medium / small</t>
        </is>
      </c>
      <c r="G239" s="31" t="inlineStr">
        <is>
          <t>smallcap</t>
        </is>
      </c>
      <c r="H239" s="32" t="n">
        <v>2262.36</v>
      </c>
      <c r="I239" s="32" t="n">
        <v>441.45</v>
      </c>
      <c r="J239" s="32" t="n">
        <v>-0.93</v>
      </c>
      <c r="K239" s="32" t="n">
        <v>160653</v>
      </c>
      <c r="L239" s="31" t="n">
        <v>16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54.73</v>
      </c>
      <c r="P239" s="32" t="n">
        <v>8.31</v>
      </c>
      <c r="Q239" s="32" t="n">
        <v>315.33</v>
      </c>
      <c r="R239" s="31" t="inlineStr">
        <is>
          <t>Earnings / Momentum Support</t>
        </is>
      </c>
      <c r="S239" s="31" t="inlineStr">
        <is>
          <t>Nifty Metal</t>
        </is>
      </c>
      <c r="T239" s="32" t="n">
        <v>37.88</v>
      </c>
      <c r="U239" s="32" t="n">
        <v>3.79</v>
      </c>
      <c r="V239" s="32" t="n">
        <v>-24.72</v>
      </c>
      <c r="W239" s="32" t="n">
        <v>6.59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Cyclical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Volatile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1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Between 50% to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</sheetData>
  <autoFilter ref="A1:CE239"/>
  <conditionalFormatting sqref="B2:B23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3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3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3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3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3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3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3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3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3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3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3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3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3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3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3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3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3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3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3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3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3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3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3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3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3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3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3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3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3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39">
    <cfRule type="cellIs" priority="36" operator="equal" dxfId="3" stopIfTrue="1">
      <formula>"Underperforming"</formula>
    </cfRule>
  </conditionalFormatting>
  <conditionalFormatting sqref="N2:N239">
    <cfRule type="cellIs" priority="37" operator="equal" dxfId="3" stopIfTrue="1">
      <formula>-5</formula>
    </cfRule>
  </conditionalFormatting>
  <conditionalFormatting sqref="Q2:Q239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39" showDropDown="0" showInputMessage="0" showErrorMessage="0" allowBlank="1" type="list">
      <formula1>"Growing Industry,Stagnant Industry,Cyclical in an Upturn"</formula1>
    </dataValidation>
    <dataValidation sqref="Z2:Z23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39" showDropDown="0" showInputMessage="0" showErrorMessage="0" allowBlank="1" type="list">
      <formula1>"Yes,No"</formula1>
    </dataValidation>
    <dataValidation sqref="AD2:AD239" showDropDown="0" showInputMessage="0" showErrorMessage="0" allowBlank="1" type="list">
      <formula1>"Tailwind,Headwind"</formula1>
    </dataValidation>
    <dataValidation sqref="AF2:AF239" showDropDown="0" showInputMessage="0" showErrorMessage="0" allowBlank="1" type="list">
      <formula1>"Structural (10 Years Consistency),Shallow Cyclical (2 to 3 Years Growth),Cyclical"</formula1>
    </dataValidation>
    <dataValidation sqref="AH2:AH239" showDropDown="0" showInputMessage="0" showErrorMessage="0" allowBlank="1" type="list">
      <formula1>"Yes due to Product Mix change or Operating Leverage,Yes, these are peak margins,No"</formula1>
    </dataValidation>
    <dataValidation sqref="AJ2:AJ239" showDropDown="0" showInputMessage="0" showErrorMessage="0" allowBlank="1" type="list">
      <formula1>"Stable,Volatile"</formula1>
    </dataValidation>
    <dataValidation sqref="AL2:AL239" showDropDown="0" showInputMessage="0" showErrorMessage="0" allowBlank="1" type="list">
      <formula1>"Yes,No"</formula1>
    </dataValidation>
    <dataValidation sqref="AN2:AN239" showDropDown="0" showInputMessage="0" showErrorMessage="0" allowBlank="1" type="list">
      <formula1>"B2C,B2B,B2G"</formula1>
    </dataValidation>
    <dataValidation sqref="AP2:AP239" showDropDown="0" showInputMessage="0" showErrorMessage="0" allowBlank="1" type="list">
      <formula1>"Yes,No"</formula1>
    </dataValidation>
    <dataValidation sqref="AR2:AR239" showDropDown="0" showInputMessage="0" showErrorMessage="0" allowBlank="1" type="list">
      <formula1>"Fully Annuity,Higher Annuity, Lower One time,Higher One Time, Lower Annuity,Fully One Time"</formula1>
    </dataValidation>
    <dataValidation sqref="AT2:AT239" showDropDown="0" showInputMessage="0" showErrorMessage="0" allowBlank="1" type="list">
      <formula1>"Good,Allocated capital in Non-core Areas"</formula1>
    </dataValidation>
    <dataValidation sqref="AV2:AV239" showDropDown="0" showInputMessage="0" showErrorMessage="0" allowBlank="1" type="list">
      <formula1>"Yes for more than 2 years,Yes only for next 1 to 2 years,No"</formula1>
    </dataValidation>
    <dataValidation sqref="AX2:AX239" showDropDown="0" showInputMessage="0" showErrorMessage="0" allowBlank="1" type="list">
      <formula1>"Above 40,20 to 40,0 to 20"</formula1>
    </dataValidation>
    <dataValidation sqref="AZ2:AZ239" showDropDown="0" showInputMessage="0" showErrorMessage="0" allowBlank="1" type="list">
      <formula1>"Between 50 to 75,Above 75,Below 45"</formula1>
    </dataValidation>
    <dataValidation sqref="BB2:BB239" showDropDown="0" showInputMessage="0" showErrorMessage="0" allowBlank="1" type="list">
      <formula1>"Stage 1,Stage 2,Stage 3,Stage 4"</formula1>
    </dataValidation>
    <dataValidation sqref="BD2:BD239" showDropDown="0" showInputMessage="0" showErrorMessage="0" allowBlank="1" type="list">
      <formula1>"Positive Trend,Negative Trend"</formula1>
    </dataValidation>
    <dataValidation sqref="BF2:BF239" showDropDown="0" showInputMessage="0" showErrorMessage="0" allowBlank="1" type="list">
      <formula1>"Uptrend,Sideways,Downtrend"</formula1>
    </dataValidation>
    <dataValidation sqref="BH2:BH239" showDropDown="0" showInputMessage="0" showErrorMessage="0" allowBlank="1" type="list">
      <formula1>"Uptrend,Sideways,Downtrend"</formula1>
    </dataValidation>
    <dataValidation sqref="BJ2:BJ23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39" showDropDown="0" showInputMessage="0" showErrorMessage="0" allowBlank="1" type="list">
      <formula1>"Yes,No"</formula1>
    </dataValidation>
    <dataValidation sqref="BN2:BN239" showDropDown="0" showInputMessage="0" showErrorMessage="0" allowBlank="1" type="list">
      <formula1>"More than 20%,Between 12 to 20%,Less than 12%"</formula1>
    </dataValidation>
    <dataValidation sqref="BP2:BP239" showDropDown="0" showInputMessage="0" showErrorMessage="0" allowBlank="1" type="list">
      <formula1>"Yes,No"</formula1>
    </dataValidation>
    <dataValidation sqref="BR2:BR239" showDropDown="0" showInputMessage="0" showErrorMessage="0" allowBlank="1" type="list">
      <formula1>"Yes,No"</formula1>
    </dataValidation>
    <dataValidation sqref="BT2:BT239" showDropDown="0" showInputMessage="0" showErrorMessage="0" allowBlank="1" type="list">
      <formula1>"Above 2,Between 1.5 to 2,Less than 1.5"</formula1>
    </dataValidation>
    <dataValidation sqref="BV2:BV239" showDropDown="0" showInputMessage="0" showErrorMessage="0" allowBlank="1" type="list">
      <formula1>"Above 70%,Between 50% to 70%,Less than 50%,Less than 50% and Borrowings are increasing,Negative"</formula1>
    </dataValidation>
    <dataValidation sqref="BX2:BX239" showDropDown="0" showInputMessage="0" showErrorMessage="0" allowBlank="1" type="list">
      <formula1>"More than 1.2,Between 0.7 to 1.2,Less than 0.7"</formula1>
    </dataValidation>
    <dataValidation sqref="BZ2:BZ239" showDropDown="0" showInputMessage="0" showErrorMessage="0" allowBlank="1" type="list">
      <formula1>"Yes,No"</formula1>
    </dataValidation>
    <dataValidation sqref="CB2:CB239" showDropDown="0" showInputMessage="0" showErrorMessage="0" allowBlank="1" type="list">
      <formula1>"More than 15%,Less than 15%"</formula1>
    </dataValidation>
    <dataValidation sqref="CD2:CD23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IF(B2=0,"",RANK(B2,$B$2:$B$26,0))</f>
        <v/>
      </c>
      <c r="B2" s="32">
        <f>SUM(N2,Y2,AA2,AC2,AE2,AG2,AI2,AK2,AM2,AO2,AQ2,AS2,AU2,AW2,AY2,BA2,BC2,BE2,BG2,BI2,BK2,BM2,BO2,BQ2,BS2,BU2,BW2,BY2,CA2)</f>
        <v/>
      </c>
      <c r="C2" s="31" t="inlineStr">
        <is>
          <t>MAHABANK</t>
        </is>
      </c>
      <c r="D2" s="31" t="inlineStr">
        <is>
          <t>Bank Of Maharashtra Ltd</t>
        </is>
      </c>
      <c r="E2" s="31" t="inlineStr">
        <is>
          <t>bank</t>
        </is>
      </c>
      <c r="F2" s="31" t="inlineStr">
        <is>
          <t>banks - public sector</t>
        </is>
      </c>
      <c r="G2" s="31" t="inlineStr">
        <is>
          <t>largecap</t>
        </is>
      </c>
      <c r="H2" s="32" t="n">
        <v>64585.99</v>
      </c>
      <c r="I2" s="32" t="n">
        <v>84.18000000000001</v>
      </c>
      <c r="J2" s="32" t="n">
        <v>0.25</v>
      </c>
      <c r="K2" s="32" t="n">
        <v>19378667</v>
      </c>
      <c r="L2" s="31" t="n">
        <v>58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69.09999999999999</v>
      </c>
      <c r="P2" s="32" t="n">
        <v>41.05</v>
      </c>
      <c r="Q2" s="32" t="n">
        <v>68.11</v>
      </c>
      <c r="R2" s="31" t="inlineStr">
        <is>
          <t>Near 52W High Breakout</t>
        </is>
      </c>
      <c r="S2" s="31" t="inlineStr">
        <is>
          <t>Nifty Bank</t>
        </is>
      </c>
      <c r="T2" s="32" t="n">
        <v>-0.77</v>
      </c>
      <c r="U2" s="32" t="n">
        <v>59.49</v>
      </c>
      <c r="V2" s="32" t="n">
        <v>60.73</v>
      </c>
      <c r="W2" s="32" t="n">
        <v>17.13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IF(B3=0,"",RANK(B3,$B$2:$B$26,0))</f>
        <v/>
      </c>
      <c r="B3" s="32">
        <f>SUM(N3,Y3,AA3,AC3,AE3,AG3,AI3,AK3,AM3,AO3,AQ3,AS3,AU3,AW3,AY3,BA3,BC3,BE3,BG3,BI3,BK3,BM3,BO3,BQ3,BS3,BU3,BW3,BY3,CA3)</f>
        <v/>
      </c>
      <c r="C3" s="31" t="inlineStr">
        <is>
          <t>SATIN</t>
        </is>
      </c>
      <c r="D3" s="31" t="inlineStr">
        <is>
          <t>Satin Creditcare Network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2674.5</v>
      </c>
      <c r="I3" s="32" t="n">
        <v>233.83</v>
      </c>
      <c r="J3" s="32" t="n">
        <v>-3.42</v>
      </c>
      <c r="K3" s="32" t="n">
        <v>451865</v>
      </c>
      <c r="L3" s="31" t="n">
        <v>71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72.62</v>
      </c>
      <c r="P3" s="32" t="n">
        <v>41.38</v>
      </c>
      <c r="Q3" s="32" t="n">
        <v>189.85</v>
      </c>
      <c r="R3" s="31" t="inlineStr">
        <is>
          <t>Near 52W High Breakout</t>
        </is>
      </c>
      <c r="S3" s="31" t="inlineStr">
        <is>
          <t>Nifty Bank</t>
        </is>
      </c>
      <c r="T3" s="32" t="n">
        <v>-0.77</v>
      </c>
      <c r="U3" s="32" t="n">
        <v>46.94</v>
      </c>
      <c r="V3" s="32" t="n">
        <v>48.08</v>
      </c>
      <c r="W3" s="32" t="n">
        <v>23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IF(B4=0,"",RANK(B4,$B$2:$B$26,0))</f>
        <v/>
      </c>
      <c r="B4" s="32">
        <f>SUM(N4,Y4,AA4,AC4,AE4,AG4,AI4,AK4,AM4,AO4,AQ4,AS4,AU4,AW4,AY4,BA4,BC4,BE4,BG4,BI4,BK4,BM4,BO4,BQ4,BS4,BU4,BW4,BY4,CA4)</f>
        <v/>
      </c>
      <c r="C4" s="31" t="inlineStr">
        <is>
          <t>WELINV</t>
        </is>
      </c>
      <c r="D4" s="31" t="inlineStr">
        <is>
          <t>Welspun Investments And Commercials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676.74</v>
      </c>
      <c r="I4" s="32" t="n">
        <v>1800</v>
      </c>
      <c r="J4" s="32" t="n">
        <v>-2.8</v>
      </c>
      <c r="K4" s="32" t="n">
        <v>7101</v>
      </c>
      <c r="L4" s="31" t="n">
        <v>65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72.28</v>
      </c>
      <c r="P4" s="32" t="n">
        <v>42.91</v>
      </c>
      <c r="Q4" s="32" t="n">
        <v>1433.92</v>
      </c>
      <c r="R4" s="31" t="inlineStr">
        <is>
          <t>Volume Spike / Accumulation</t>
        </is>
      </c>
      <c r="S4" s="31" t="inlineStr">
        <is>
          <t>Nifty Bank</t>
        </is>
      </c>
      <c r="T4" s="32" t="n">
        <v>-0.77</v>
      </c>
      <c r="U4" s="32" t="n">
        <v>63.19</v>
      </c>
      <c r="V4" s="32" t="n">
        <v>64.45999999999999</v>
      </c>
      <c r="W4" s="32" t="n">
        <v>20.39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IF(B5=0,"",RANK(B5,$B$2:$B$26,0))</f>
        <v/>
      </c>
      <c r="B5" s="32">
        <f>SUM(N5,Y5,AA5,AC5,AE5,AG5,AI5,AK5,AM5,AO5,AQ5,AS5,AU5,AW5,AY5,BA5,BC5,BE5,BG5,BI5,BK5,BM5,BO5,BQ5,BS5,BU5,BW5,BY5,CA5)</f>
        <v/>
      </c>
      <c r="C5" s="31" t="inlineStr">
        <is>
          <t>TMB</t>
        </is>
      </c>
      <c r="D5" s="31" t="inlineStr">
        <is>
          <t>Tamilnad Mercantile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12360.12</v>
      </c>
      <c r="I5" s="32" t="n">
        <v>774.6</v>
      </c>
      <c r="J5" s="32" t="n">
        <v>-0.76</v>
      </c>
      <c r="K5" s="32" t="n">
        <v>194001</v>
      </c>
      <c r="L5" s="31" t="n">
        <v>61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68.64</v>
      </c>
      <c r="P5" s="32" t="n">
        <v>29.41</v>
      </c>
      <c r="Q5" s="32" t="n">
        <v>614.73</v>
      </c>
      <c r="R5" s="31" t="inlineStr">
        <is>
          <t>Near 52W High Breakout</t>
        </is>
      </c>
      <c r="S5" s="31" t="inlineStr">
        <is>
          <t>Nifty Bank</t>
        </is>
      </c>
      <c r="T5" s="32" t="n">
        <v>-0.77</v>
      </c>
      <c r="U5" s="32" t="n">
        <v>75.38</v>
      </c>
      <c r="V5" s="32" t="n">
        <v>76.73999999999999</v>
      </c>
      <c r="W5" s="32" t="n">
        <v>18.31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IF(B6=0,"",RANK(B6,$B$2:$B$26,0))</f>
        <v/>
      </c>
      <c r="B6" s="32">
        <f>SUM(N6,Y6,AA6,AC6,AE6,AG6,AI6,AK6,AM6,AO6,AQ6,AS6,AU6,AW6,AY6,BA6,BC6,BE6,BG6,BI6,BK6,BM6,BO6,BQ6,BS6,BU6,BW6,BY6,CA6)</f>
        <v/>
      </c>
      <c r="C6" s="31" t="inlineStr">
        <is>
          <t>RBLBANK</t>
        </is>
      </c>
      <c r="D6" s="31" t="inlineStr">
        <is>
          <t>Rbl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22313.82</v>
      </c>
      <c r="I6" s="32" t="n">
        <v>356.95</v>
      </c>
      <c r="J6" s="32" t="n">
        <v>-1.12</v>
      </c>
      <c r="K6" s="32" t="n">
        <v>5685303</v>
      </c>
      <c r="L6" s="31" t="n">
        <v>49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66.98999999999999</v>
      </c>
      <c r="P6" s="32" t="n">
        <v>28.52</v>
      </c>
      <c r="Q6" s="32" t="n">
        <v>295.57</v>
      </c>
      <c r="R6" s="31" t="inlineStr">
        <is>
          <t>Near 52W High Breakout</t>
        </is>
      </c>
      <c r="S6" s="31" t="inlineStr">
        <is>
          <t>Nifty Bank</t>
        </is>
      </c>
      <c r="T6" s="32" t="n">
        <v>-0.77</v>
      </c>
      <c r="U6" s="32" t="n">
        <v>62.67</v>
      </c>
      <c r="V6" s="32" t="n">
        <v>63.93</v>
      </c>
      <c r="W6" s="32" t="n">
        <v>15.01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IF(B7=0,"",RANK(B7,$B$2:$B$26,0))</f>
        <v/>
      </c>
      <c r="B7" s="32">
        <f>SUM(N7,Y7,AA7,AC7,AE7,AG7,AI7,AK7,AM7,AO7,AQ7,AS7,AU7,AW7,AY7,BA7,BC7,BE7,BG7,BI7,BK7,BM7,BO7,BQ7,BS7,BU7,BW7,BY7,CA7)</f>
        <v/>
      </c>
      <c r="C7" s="31" t="inlineStr">
        <is>
          <t>J&amp;KBANK</t>
        </is>
      </c>
      <c r="D7" s="31" t="inlineStr">
        <is>
          <t>The Jammu &amp; Kashmir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midcap</t>
        </is>
      </c>
      <c r="H7" s="32" t="n">
        <v>17286.36</v>
      </c>
      <c r="I7" s="32" t="n">
        <v>154.31</v>
      </c>
      <c r="J7" s="32" t="n">
        <v>-1.7</v>
      </c>
      <c r="K7" s="32" t="n">
        <v>4052951</v>
      </c>
      <c r="L7" s="31" t="n">
        <v>48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72.34</v>
      </c>
      <c r="P7" s="32" t="n">
        <v>49.53</v>
      </c>
      <c r="Q7" s="32" t="n">
        <v>122.84</v>
      </c>
      <c r="R7" s="31" t="inlineStr">
        <is>
          <t>Near 52W High Breakout</t>
        </is>
      </c>
      <c r="S7" s="31" t="inlineStr">
        <is>
          <t>Nifty Bank</t>
        </is>
      </c>
      <c r="T7" s="32" t="n">
        <v>-0.77</v>
      </c>
      <c r="U7" s="32" t="n">
        <v>50.29</v>
      </c>
      <c r="V7" s="32" t="n">
        <v>51.46</v>
      </c>
      <c r="W7" s="32" t="n">
        <v>14.63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less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IF(B8=0,"",RANK(B8,$B$2:$B$26,0))</f>
        <v/>
      </c>
      <c r="B8" s="32">
        <f>SUM(N8,Y8,AA8,AC8,AE8,AG8,AI8,AK8,AM8,AO8,AQ8,AS8,AU8,AW8,AY8,BA8,BC8,BE8,BG8,BI8,BK8,BM8,BO8,BQ8,BS8,BU8,BW8,BY8,CA8)</f>
        <v/>
      </c>
      <c r="C8" s="31" t="inlineStr">
        <is>
          <t>ABSLAMC</t>
        </is>
      </c>
      <c r="D8" s="31" t="inlineStr">
        <is>
          <t>Aditya Birla Sun Life AMC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largecap</t>
        </is>
      </c>
      <c r="H8" s="32" t="n">
        <v>30682.77</v>
      </c>
      <c r="I8" s="32" t="n">
        <v>1110.3</v>
      </c>
      <c r="J8" s="32" t="n">
        <v>4.51</v>
      </c>
      <c r="K8" s="32" t="n">
        <v>626477</v>
      </c>
      <c r="L8" s="31" t="n">
        <v>41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66.89</v>
      </c>
      <c r="P8" s="32" t="n">
        <v>41.36</v>
      </c>
      <c r="Q8" s="32" t="n">
        <v>880.16</v>
      </c>
      <c r="R8" s="31" t="inlineStr">
        <is>
          <t>Near 52W High Breakout</t>
        </is>
      </c>
      <c r="S8" s="31" t="inlineStr">
        <is>
          <t>Nifty Bank</t>
        </is>
      </c>
      <c r="T8" s="32" t="n">
        <v>-0.77</v>
      </c>
      <c r="U8" s="32" t="n">
        <v>49</v>
      </c>
      <c r="V8" s="32" t="n">
        <v>50.15</v>
      </c>
      <c r="W8" s="32" t="n">
        <v>12.91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above 5x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IF(B9=0,"",RANK(B9,$B$2:$B$26,0))</f>
        <v/>
      </c>
      <c r="B9" s="32">
        <f>SUM(N9,Y9,AA9,AC9,AE9,AG9,AI9,AK9,AM9,AO9,AQ9,AS9,AU9,AW9,AY9,BA9,BC9,BE9,BG9,BI9,BK9,BM9,BO9,BQ9,BS9,BU9,BW9,BY9,CA9)</f>
        <v/>
      </c>
      <c r="C9" s="31" t="inlineStr">
        <is>
          <t>STARHEALTH</t>
        </is>
      </c>
      <c r="D9" s="31" t="inlineStr">
        <is>
          <t>Star Health &amp; Allied Insurance Company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largecap</t>
        </is>
      </c>
      <c r="H9" s="32" t="n">
        <v>30679.36</v>
      </c>
      <c r="I9" s="32" t="n">
        <v>524.4</v>
      </c>
      <c r="J9" s="32" t="n">
        <v>0.58</v>
      </c>
      <c r="K9" s="32" t="n">
        <v>418145</v>
      </c>
      <c r="L9" s="31" t="n">
        <v>14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61.85</v>
      </c>
      <c r="P9" s="32" t="n">
        <v>25.26</v>
      </c>
      <c r="Q9" s="32" t="n">
        <v>436.83</v>
      </c>
      <c r="R9" s="31" t="inlineStr">
        <is>
          <t>Near 52W High Breakout</t>
        </is>
      </c>
      <c r="S9" s="31" t="inlineStr">
        <is>
          <t>Nifty Bank</t>
        </is>
      </c>
      <c r="T9" s="32" t="n">
        <v>-0.77</v>
      </c>
      <c r="U9" s="32" t="n">
        <v>18.19</v>
      </c>
      <c r="V9" s="32" t="n">
        <v>19.1</v>
      </c>
      <c r="W9" s="32" t="n">
        <v>6.15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IF(B10=0,"",RANK(B10,$B$2:$B$26,0))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FEDERALBNK</t>
        </is>
      </c>
      <c r="D10" s="31" t="inlineStr">
        <is>
          <t>The Federal Bank 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largecap</t>
        </is>
      </c>
      <c r="H10" s="32" t="n">
        <v>77649.53999999999</v>
      </c>
      <c r="I10" s="32" t="n">
        <v>311.1</v>
      </c>
      <c r="J10" s="32" t="n">
        <v>-1.27</v>
      </c>
      <c r="K10" s="32" t="n">
        <v>7015128</v>
      </c>
      <c r="L10" s="31" t="n">
        <v>43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66.44</v>
      </c>
      <c r="P10" s="32" t="n">
        <v>17.71</v>
      </c>
      <c r="Q10" s="32" t="n">
        <v>264.24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-0.77</v>
      </c>
      <c r="U10" s="32" t="n">
        <v>52.45</v>
      </c>
      <c r="V10" s="32" t="n">
        <v>53.63</v>
      </c>
      <c r="W10" s="32" t="n">
        <v>13.38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0 to 20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IF(B11=0,"",RANK(B11,$B$2:$B$26,0))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SURYODAY</t>
        </is>
      </c>
      <c r="D11" s="31" t="inlineStr">
        <is>
          <t>Suryoday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smallcap</t>
        </is>
      </c>
      <c r="H11" s="32" t="n">
        <v>1859.75</v>
      </c>
      <c r="I11" s="32" t="n">
        <v>170</v>
      </c>
      <c r="J11" s="32" t="n">
        <v>-2.84</v>
      </c>
      <c r="K11" s="32" t="n">
        <v>220372</v>
      </c>
      <c r="L11" s="31" t="n">
        <v>33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62.63</v>
      </c>
      <c r="P11" s="32" t="n">
        <v>29.08</v>
      </c>
      <c r="Q11" s="32" t="n">
        <v>138.88</v>
      </c>
      <c r="R11" s="31" t="inlineStr">
        <is>
          <t>Earnings / Momentum Support</t>
        </is>
      </c>
      <c r="S11" s="31" t="inlineStr">
        <is>
          <t>Nifty Bank</t>
        </is>
      </c>
      <c r="T11" s="32" t="n">
        <v>-0.77</v>
      </c>
      <c r="U11" s="32" t="n">
        <v>18.81</v>
      </c>
      <c r="V11" s="32" t="n">
        <v>19.73</v>
      </c>
      <c r="W11" s="32" t="n">
        <v>10.12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IF(B12=0,"",RANK(B12,$B$2:$B$26,0))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NIVABUPA</t>
        </is>
      </c>
      <c r="D12" s="31" t="inlineStr">
        <is>
          <t>Niva Bupa Health Insurance Company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midcap</t>
        </is>
      </c>
      <c r="H12" s="32" t="n">
        <v>15383.77</v>
      </c>
      <c r="I12" s="32" t="n">
        <v>84.19</v>
      </c>
      <c r="J12" s="32" t="n">
        <v>1.1</v>
      </c>
      <c r="K12" s="32" t="n">
        <v>1264146</v>
      </c>
      <c r="L12" s="31" t="n">
        <v>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60.06</v>
      </c>
      <c r="P12" s="32" t="n">
        <v>22.81</v>
      </c>
      <c r="Q12" s="32" t="n">
        <v>70.79000000000001</v>
      </c>
      <c r="R12" s="31" t="inlineStr">
        <is>
          <t>Earnings / Momentum Support</t>
        </is>
      </c>
      <c r="S12" s="31" t="inlineStr">
        <is>
          <t>Nifty Bank</t>
        </is>
      </c>
      <c r="T12" s="32" t="n">
        <v>-0.77</v>
      </c>
      <c r="U12" s="32" t="n">
        <v>3.41</v>
      </c>
      <c r="V12" s="32" t="n">
        <v>4.22</v>
      </c>
      <c r="W12" s="32" t="n">
        <v>4.28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IF(B13=0,"",RANK(B13,$B$2:$B$26,0))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MONARCH</t>
        </is>
      </c>
      <c r="D13" s="31" t="inlineStr">
        <is>
          <t>Monarch Networth Capital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2664.21</v>
      </c>
      <c r="I13" s="32" t="n">
        <v>335.7</v>
      </c>
      <c r="J13" s="32" t="n">
        <v>-0.12</v>
      </c>
      <c r="K13" s="32" t="n">
        <v>76977</v>
      </c>
      <c r="L13" s="31" t="n">
        <v>22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61.55</v>
      </c>
      <c r="P13" s="32" t="n">
        <v>20.19</v>
      </c>
      <c r="Q13" s="32" t="n">
        <v>269.06</v>
      </c>
      <c r="R13" s="31" t="inlineStr">
        <is>
          <t>Earnings / Momentum Support</t>
        </is>
      </c>
      <c r="S13" s="31" t="inlineStr">
        <is>
          <t>Nifty Bank</t>
        </is>
      </c>
      <c r="T13" s="32" t="n">
        <v>-0.77</v>
      </c>
      <c r="U13" s="32" t="n">
        <v>6.32</v>
      </c>
      <c r="V13" s="32" t="n">
        <v>7.14</v>
      </c>
      <c r="W13" s="32" t="n">
        <v>8.199999999999999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IF(B14=0,"",RANK(B14,$B$2:$B$26,0))</f>
        <v/>
      </c>
      <c r="B14" s="32">
        <f>SUM(N14,Y14,AA14,AC14,AE14,AG14,AI14,AK14,AM14,AO14,AQ14,AS14,AU14,AW14,AY14,BA14,BC14,BE14,BG14,BI14,BK14,BM14,BO14,BQ14,BS14,BU14,BW14,BY14,CA14)</f>
        <v/>
      </c>
      <c r="C14" s="33" t="inlineStr">
        <is>
          <t>GEECEE</t>
        </is>
      </c>
      <c r="D14" s="33" t="inlineStr">
        <is>
          <t>Geecee Ventures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679.11</v>
      </c>
      <c r="I14" s="32" t="n">
        <v>330.2</v>
      </c>
      <c r="J14" s="32" t="n">
        <v>1.68</v>
      </c>
      <c r="K14" s="32" t="n">
        <v>7093</v>
      </c>
      <c r="L14" s="31" t="n">
        <v>4</v>
      </c>
      <c r="M14" s="31" t="inlineStr">
        <is>
          <t>Underperforming</t>
        </is>
      </c>
      <c r="N14" s="32">
        <f>IF(M14="Underperforming",-5,IF(L14&gt;=95,15,IF(L14&gt;=90,10,IF(L14&gt;=80,5,0))))</f>
        <v/>
      </c>
      <c r="O14" s="32" t="n">
        <v>56.31</v>
      </c>
      <c r="P14" s="32" t="n">
        <v>25.21</v>
      </c>
      <c r="Q14" s="32" t="n">
        <v>246.14</v>
      </c>
      <c r="R14" s="31" t="inlineStr">
        <is>
          <t>Earnings / Momentum Support</t>
        </is>
      </c>
      <c r="S14" s="31" t="inlineStr">
        <is>
          <t>Nifty Bank</t>
        </is>
      </c>
      <c r="T14" s="32" t="n">
        <v>-0.77</v>
      </c>
      <c r="U14" s="32" t="n">
        <v>-14.59</v>
      </c>
      <c r="V14" s="32" t="n">
        <v>-13.93</v>
      </c>
      <c r="W14" s="32" t="n">
        <v>3.17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IF(B15=0,"",RANK(B15,$B$2:$B$26,0))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MUTHOOTMF</t>
        </is>
      </c>
      <c r="D15" s="31" t="inlineStr">
        <is>
          <t>Muthoot Microfin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3126.83</v>
      </c>
      <c r="I15" s="32" t="n">
        <v>186.31</v>
      </c>
      <c r="J15" s="32" t="n">
        <v>1.59</v>
      </c>
      <c r="K15" s="32" t="n">
        <v>277661</v>
      </c>
      <c r="L15" s="31" t="n">
        <v>44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56.08</v>
      </c>
      <c r="P15" s="32" t="n">
        <v>23.15</v>
      </c>
      <c r="Q15" s="32" t="n">
        <v>150.87</v>
      </c>
      <c r="R15" s="31" t="inlineStr">
        <is>
          <t>Earnings / Momentum Support</t>
        </is>
      </c>
      <c r="S15" s="31" t="inlineStr">
        <is>
          <t>Nifty Bank</t>
        </is>
      </c>
      <c r="T15" s="32" t="n">
        <v>-0.77</v>
      </c>
      <c r="U15" s="32" t="n">
        <v>39.15</v>
      </c>
      <c r="V15" s="32" t="n">
        <v>40.23</v>
      </c>
      <c r="W15" s="32" t="n">
        <v>13.61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IF(B16=0,"",RANK(B16,$B$2:$B$26,0))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CGCL</t>
        </is>
      </c>
      <c r="D16" s="31" t="inlineStr">
        <is>
          <t>Capri Global Capital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midcap</t>
        </is>
      </c>
      <c r="H16" s="32" t="n">
        <v>19550.97</v>
      </c>
      <c r="I16" s="32" t="n">
        <v>201.72</v>
      </c>
      <c r="J16" s="32" t="n">
        <v>-0.73</v>
      </c>
      <c r="K16" s="32" t="n">
        <v>1570719</v>
      </c>
      <c r="L16" s="31" t="n">
        <v>20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62.12</v>
      </c>
      <c r="P16" s="32" t="n">
        <v>17.18</v>
      </c>
      <c r="Q16" s="32" t="n">
        <v>163.72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-0.77</v>
      </c>
      <c r="U16" s="32" t="n">
        <v>18</v>
      </c>
      <c r="V16" s="32" t="n">
        <v>18.92</v>
      </c>
      <c r="W16" s="32" t="n">
        <v>7.47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IF(B17=0,"",RANK(B17,$B$2:$B$26,0))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PAISALO</t>
        </is>
      </c>
      <c r="D17" s="31" t="inlineStr">
        <is>
          <t>Paisalo Digital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midcap</t>
        </is>
      </c>
      <c r="H17" s="32" t="n">
        <v>5473.5</v>
      </c>
      <c r="I17" s="32" t="n">
        <v>59.51</v>
      </c>
      <c r="J17" s="32" t="n">
        <v>-1.11</v>
      </c>
      <c r="K17" s="32" t="n">
        <v>9409872</v>
      </c>
      <c r="L17" s="31" t="n">
        <v>90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77.51000000000001</v>
      </c>
      <c r="P17" s="32" t="n">
        <v>32.77</v>
      </c>
      <c r="Q17" s="32" t="n">
        <v>46.7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-0.77</v>
      </c>
      <c r="U17" s="32" t="n">
        <v>90.37</v>
      </c>
      <c r="V17" s="32" t="n">
        <v>91.84999999999999</v>
      </c>
      <c r="W17" s="32" t="n">
        <v>37.45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Above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IF(B18=0,"",RANK(B18,$B$2:$B$26,0))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SOUTHBANK</t>
        </is>
      </c>
      <c r="D18" s="31" t="inlineStr">
        <is>
          <t>The South Indian Bank Limited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midcap</t>
        </is>
      </c>
      <c r="H18" s="32" t="n">
        <v>11972.76</v>
      </c>
      <c r="I18" s="32" t="n">
        <v>45.13</v>
      </c>
      <c r="J18" s="32" t="n">
        <v>-1.33</v>
      </c>
      <c r="K18" s="32" t="n">
        <v>15930905</v>
      </c>
      <c r="L18" s="31" t="n">
        <v>44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65.41</v>
      </c>
      <c r="P18" s="32" t="n">
        <v>13.45</v>
      </c>
      <c r="Q18" s="32" t="n">
        <v>35.57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-0.77</v>
      </c>
      <c r="U18" s="32" t="n">
        <v>51.67</v>
      </c>
      <c r="V18" s="32" t="n">
        <v>52.84</v>
      </c>
      <c r="W18" s="32" t="n">
        <v>13.59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IF(B19=0,"",RANK(B19,$B$2:$B$26,0))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EQUITASBNK</t>
        </is>
      </c>
      <c r="D19" s="31" t="inlineStr">
        <is>
          <t>Equitas Small Finance Bank Ltd</t>
        </is>
      </c>
      <c r="E19" s="31" t="inlineStr">
        <is>
          <t>bank</t>
        </is>
      </c>
      <c r="F19" s="31" t="inlineStr">
        <is>
          <t>banks - private sector</t>
        </is>
      </c>
      <c r="G19" s="31" t="inlineStr">
        <is>
          <t>midcap</t>
        </is>
      </c>
      <c r="H19" s="32" t="n">
        <v>8555.540000000001</v>
      </c>
      <c r="I19" s="32" t="n">
        <v>73.52</v>
      </c>
      <c r="J19" s="32" t="n">
        <v>-1.95</v>
      </c>
      <c r="K19" s="32" t="n">
        <v>2397543</v>
      </c>
      <c r="L19" s="31" t="n">
        <v>26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61.6</v>
      </c>
      <c r="P19" s="32" t="n">
        <v>21.37</v>
      </c>
      <c r="Q19" s="32" t="n">
        <v>58.56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-0.77</v>
      </c>
      <c r="U19" s="32" t="n">
        <v>7.45</v>
      </c>
      <c r="V19" s="32" t="n">
        <v>8.289999999999999</v>
      </c>
      <c r="W19" s="32" t="n">
        <v>8.779999999999999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Cyclical in an Uptick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inlineStr">
        <is>
          <t>Yes</t>
        </is>
      </c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No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No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IF(B20=0,"",RANK(B20,$B$2:$B$26,0))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IFCI</t>
        </is>
      </c>
      <c r="D20" s="31" t="inlineStr">
        <is>
          <t>Ifci Limited</t>
        </is>
      </c>
      <c r="E20" s="31" t="inlineStr">
        <is>
          <t>financials</t>
        </is>
      </c>
      <c r="F20" s="31" t="inlineStr">
        <is>
          <t>finance - term-lending institutions</t>
        </is>
      </c>
      <c r="G20" s="31" t="inlineStr">
        <is>
          <t>largecap</t>
        </is>
      </c>
      <c r="H20" s="32" t="n">
        <v>20765.08</v>
      </c>
      <c r="I20" s="32" t="n">
        <v>71.83</v>
      </c>
      <c r="J20" s="32" t="n">
        <v>-6.8</v>
      </c>
      <c r="K20" s="32" t="n">
        <v>35150395</v>
      </c>
      <c r="L20" s="31" t="n">
        <v>28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60.48</v>
      </c>
      <c r="P20" s="32" t="n">
        <v>23.26</v>
      </c>
      <c r="Q20" s="32" t="n">
        <v>58.77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-0.77</v>
      </c>
      <c r="U20" s="32" t="n">
        <v>16.66</v>
      </c>
      <c r="V20" s="32" t="n">
        <v>17.57</v>
      </c>
      <c r="W20" s="32" t="n">
        <v>9.300000000000001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IF(B21=0,"",RANK(B21,$B$2:$B$26,0))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AXISBANK</t>
        </is>
      </c>
      <c r="D21" s="31" t="inlineStr">
        <is>
          <t>Axis Bank Limited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largecap</t>
        </is>
      </c>
      <c r="H21" s="32" t="n">
        <v>401700.23</v>
      </c>
      <c r="I21" s="32" t="n">
        <v>1314.5</v>
      </c>
      <c r="J21" s="32" t="n">
        <v>1.71</v>
      </c>
      <c r="K21" s="32" t="n">
        <v>12262606</v>
      </c>
      <c r="L21" s="31" t="n">
        <v>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55.1</v>
      </c>
      <c r="P21" s="32" t="n">
        <v>9.02</v>
      </c>
      <c r="Q21" s="32" t="n">
        <v>1168.35</v>
      </c>
      <c r="R21" s="31" t="inlineStr">
        <is>
          <t>Earnings / Momentum Support</t>
        </is>
      </c>
      <c r="S21" s="31" t="inlineStr">
        <is>
          <t>Nifty Bank</t>
        </is>
      </c>
      <c r="T21" s="32" t="n">
        <v>-0.77</v>
      </c>
      <c r="U21" s="32" t="n">
        <v>9.109999999999999</v>
      </c>
      <c r="V21" s="32" t="n">
        <v>9.949999999999999</v>
      </c>
      <c r="W21" s="32" t="n">
        <v>4.15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IF(B22=0,"",RANK(B22,$B$2:$B$26,0))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STEL</t>
        </is>
      </c>
      <c r="D22" s="31" t="inlineStr">
        <is>
          <t>Stel Holdings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968.63</v>
      </c>
      <c r="I22" s="32" t="n">
        <v>533.75</v>
      </c>
      <c r="J22" s="32" t="n">
        <v>1.7</v>
      </c>
      <c r="K22" s="32" t="n">
        <v>11612</v>
      </c>
      <c r="L22" s="31" t="n">
        <v>24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60.41</v>
      </c>
      <c r="P22" s="32" t="n">
        <v>6.31</v>
      </c>
      <c r="Q22" s="32" t="n">
        <v>370.26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-0.77</v>
      </c>
      <c r="U22" s="32" t="n">
        <v>26.5</v>
      </c>
      <c r="V22" s="32" t="n">
        <v>27.48</v>
      </c>
      <c r="W22" s="32" t="n">
        <v>8.35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IF(B23=0,"",RANK(B23,$B$2:$B$26,0))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SAMMAANCAP</t>
        </is>
      </c>
      <c r="D23" s="31" t="inlineStr">
        <is>
          <t>Sammaan Capital Ltd</t>
        </is>
      </c>
      <c r="E23" s="31" t="inlineStr">
        <is>
          <t>financials</t>
        </is>
      </c>
      <c r="F23" s="31" t="inlineStr">
        <is>
          <t>finance - housing</t>
        </is>
      </c>
      <c r="G23" s="31" t="inlineStr">
        <is>
          <t>largecap</t>
        </is>
      </c>
      <c r="H23" s="32" t="n">
        <v>20985.82</v>
      </c>
      <c r="I23" s="32" t="n">
        <v>174.02</v>
      </c>
      <c r="J23" s="32" t="n">
        <v>-3.67</v>
      </c>
      <c r="K23" s="32" t="n">
        <v>8813802</v>
      </c>
      <c r="L23" s="31" t="n">
        <v>37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60.61</v>
      </c>
      <c r="P23" s="32" t="n">
        <v>18.38</v>
      </c>
      <c r="Q23" s="32" t="n">
        <v>143.25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-0.77</v>
      </c>
      <c r="U23" s="32" t="n">
        <v>36.05</v>
      </c>
      <c r="V23" s="32" t="n">
        <v>37.1</v>
      </c>
      <c r="W23" s="32" t="n">
        <v>11.67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IF(B24=0,"",RANK(B24,$B$2:$B$26,0))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IIFLCAPS</t>
        </is>
      </c>
      <c r="D24" s="31" t="inlineStr">
        <is>
          <t>IIFL Capital Services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midcap</t>
        </is>
      </c>
      <c r="H24" s="32" t="n">
        <v>10739.83</v>
      </c>
      <c r="I24" s="32" t="n">
        <v>343.5</v>
      </c>
      <c r="J24" s="32" t="n">
        <v>-0.39</v>
      </c>
      <c r="K24" s="32" t="n">
        <v>430321</v>
      </c>
      <c r="L24" s="31" t="n">
        <v>11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56.97</v>
      </c>
      <c r="P24" s="32" t="n">
        <v>19.25</v>
      </c>
      <c r="Q24" s="32" t="n">
        <v>273.65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-0.77</v>
      </c>
      <c r="U24" s="32" t="n">
        <v>3.29</v>
      </c>
      <c r="V24" s="32" t="n">
        <v>4.09</v>
      </c>
      <c r="W24" s="32" t="n">
        <v>5.63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IF(B25=0,"",RANK(B25,$B$2:$B$26,0))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IDFCFIRSTB</t>
        </is>
      </c>
      <c r="D25" s="31" t="inlineStr">
        <is>
          <t>IDFC First Bank Ltd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63385.92</v>
      </c>
      <c r="I25" s="32" t="n">
        <v>72.98999999999999</v>
      </c>
      <c r="J25" s="32" t="n">
        <v>-0.95</v>
      </c>
      <c r="K25" s="32" t="n">
        <v>20284845</v>
      </c>
      <c r="L25" s="31" t="n">
        <v>11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51.82</v>
      </c>
      <c r="P25" s="32" t="n">
        <v>29.71</v>
      </c>
      <c r="Q25" s="32" t="n">
        <v>59.81</v>
      </c>
      <c r="R25" s="31" t="inlineStr">
        <is>
          <t>Earnings / Momentum Support</t>
        </is>
      </c>
      <c r="S25" s="31" t="inlineStr">
        <is>
          <t>Nifty Bank</t>
        </is>
      </c>
      <c r="T25" s="32" t="n">
        <v>-0.77</v>
      </c>
      <c r="U25" s="32" t="n">
        <v>3.96</v>
      </c>
      <c r="V25" s="32" t="n">
        <v>4.76</v>
      </c>
      <c r="W25" s="32" t="n">
        <v>5.24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1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IF(B26=0,"",RANK(B26,$B$2:$B$26,0))</f>
        <v/>
      </c>
      <c r="B26" s="32">
        <f>SUM(N26,Y26,AA26,AC26,AE26,AG26,AI26,AK26,AM26,AO26,AQ26,AS26,AU26,AW26,AY26,BA26,BC26,BE26,BG26,BI26,BK26,BM26,BO26,BQ26,BS26,BU26,BW26,BY26,CA26)</f>
        <v/>
      </c>
      <c r="C26" s="33" t="inlineStr">
        <is>
          <t>CREST</t>
        </is>
      </c>
      <c r="D26" s="33" t="inlineStr">
        <is>
          <t>Crest Ventures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1031.02</v>
      </c>
      <c r="I26" s="32" t="n">
        <v>379.7</v>
      </c>
      <c r="J26" s="32" t="n">
        <v>4.77</v>
      </c>
      <c r="K26" s="32" t="n">
        <v>18956</v>
      </c>
      <c r="L26" s="31" t="n">
        <v>5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54.95</v>
      </c>
      <c r="P26" s="32" t="n">
        <v>13.87</v>
      </c>
      <c r="Q26" s="32" t="n">
        <v>293.23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-0.77</v>
      </c>
      <c r="U26" s="32" t="n">
        <v>-4.76</v>
      </c>
      <c r="V26" s="32" t="n">
        <v>-4.03</v>
      </c>
      <c r="W26" s="32" t="n">
        <v>3.53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1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</sheetData>
  <autoFilter ref="A1:CA26"/>
  <conditionalFormatting sqref="B2:B2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6">
    <cfRule type="cellIs" priority="34" operator="equal" dxfId="3" stopIfTrue="1">
      <formula>"Underperforming"</formula>
    </cfRule>
  </conditionalFormatting>
  <conditionalFormatting sqref="N2:N26">
    <cfRule type="cellIs" priority="35" operator="equal" dxfId="3" stopIfTrue="1">
      <formula>-5</formula>
    </cfRule>
  </conditionalFormatting>
  <conditionalFormatting sqref="Q2:Q26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6" showDropDown="0" showInputMessage="0" showErrorMessage="0" allowBlank="1" type="list">
      <formula1>"Growing Industry,Stagnant Industry,Cyclical in an Upturn"</formula1>
    </dataValidation>
    <dataValidation sqref="Z2:Z26" showDropDown="0" showInputMessage="0" showErrorMessage="0" allowBlank="1" type="list">
      <formula1>"Fragmented with Low ROE,Fragmented with High ROE,Highly Cyclical"</formula1>
    </dataValidation>
    <dataValidation sqref="AB2:AB26" showDropDown="0" showInputMessage="0" showErrorMessage="0" allowBlank="1" type="list">
      <formula1>"Yes,No"</formula1>
    </dataValidation>
    <dataValidation sqref="AD2:AD26" showDropDown="0" showInputMessage="0" showErrorMessage="0" allowBlank="1" type="list">
      <formula1>"Tailwind,Headwind"</formula1>
    </dataValidation>
    <dataValidation sqref="AF2:AF2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6" showDropDown="0" showInputMessage="0" showErrorMessage="0" allowBlank="1" type="list">
      <formula1>"Yes,No"</formula1>
    </dataValidation>
    <dataValidation sqref="AJ2:AJ26" showDropDown="0" showInputMessage="0" showErrorMessage="0" allowBlank="1" type="list">
      <formula1>"Yes,No,Not Applicable"</formula1>
    </dataValidation>
    <dataValidation sqref="AL2:AL26" showDropDown="0" showInputMessage="0" showErrorMessage="0" allowBlank="1" type="list">
      <formula1>"Yes,No"</formula1>
    </dataValidation>
    <dataValidation sqref="AN2:AN26" showDropDown="0" showInputMessage="0" showErrorMessage="0" allowBlank="1" type="list">
      <formula1>"Yes,No"</formula1>
    </dataValidation>
    <dataValidation sqref="AP2:AP26" showDropDown="0" showInputMessage="0" showErrorMessage="0" allowBlank="1" type="list">
      <formula1>"Yes,No"</formula1>
    </dataValidation>
    <dataValidation sqref="AR2:AR26" showDropDown="0" showInputMessage="0" showErrorMessage="0" allowBlank="1" type="list">
      <formula1>"Yes,No"</formula1>
    </dataValidation>
    <dataValidation sqref="AT2:AT26" showDropDown="0" showInputMessage="0" showErrorMessage="0" allowBlank="1" type="list">
      <formula1>"No,Yes"</formula1>
    </dataValidation>
    <dataValidation sqref="AV2:AV26" showDropDown="0" showInputMessage="0" showErrorMessage="0" allowBlank="1" type="list">
      <formula1>"No,Yes"</formula1>
    </dataValidation>
    <dataValidation sqref="AX2:AX26" showDropDown="0" showInputMessage="0" showErrorMessage="0" allowBlank="1" type="list">
      <formula1>"No,Yes CEO Resignation,Yes CEO Retirement"</formula1>
    </dataValidation>
    <dataValidation sqref="AZ2:AZ26" showDropDown="0" showInputMessage="0" showErrorMessage="0" allowBlank="1" type="list">
      <formula1>"No,Yes"</formula1>
    </dataValidation>
    <dataValidation sqref="BB2:BB26" showDropDown="0" showInputMessage="0" showErrorMessage="0" allowBlank="1" type="list">
      <formula1>"No,Yes"</formula1>
    </dataValidation>
    <dataValidation sqref="BD2:BD26" showDropDown="0" showInputMessage="0" showErrorMessage="0" allowBlank="1" type="list">
      <formula1>"Yes,No"</formula1>
    </dataValidation>
    <dataValidation sqref="BF2:BF26" showDropDown="0" showInputMessage="0" showErrorMessage="0" allowBlank="1" type="list">
      <formula1>"Yes,No"</formula1>
    </dataValidation>
    <dataValidation sqref="BH2:BH26" showDropDown="0" showInputMessage="0" showErrorMessage="0" allowBlank="1" type="list">
      <formula1>"Yes,No"</formula1>
    </dataValidation>
    <dataValidation sqref="BJ2:BJ2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6" showDropDown="0" showInputMessage="0" showErrorMessage="0" allowBlank="1" type="list">
      <formula1>"Above 40,20 to 40,0 to 20"</formula1>
    </dataValidation>
    <dataValidation sqref="BN2:BN26" showDropDown="0" showInputMessage="0" showErrorMessage="0" allowBlank="1" type="list">
      <formula1>"Between 50 to 75,Above 75,Below 45"</formula1>
    </dataValidation>
    <dataValidation sqref="BP2:BP26" showDropDown="0" showInputMessage="0" showErrorMessage="0" allowBlank="1" type="list">
      <formula1>"Stage 1,Stage 2,Stage 3,Stage 4"</formula1>
    </dataValidation>
    <dataValidation sqref="BR2:BR26" showDropDown="0" showInputMessage="0" showErrorMessage="0" allowBlank="1" type="list">
      <formula1>"Positive Trend,Negative Trend"</formula1>
    </dataValidation>
    <dataValidation sqref="BT2:BT26" showDropDown="0" showInputMessage="0" showErrorMessage="0" allowBlank="1" type="list">
      <formula1>"Uptrend,Sideways,Downtrend"</formula1>
    </dataValidation>
    <dataValidation sqref="BV2:BV26" showDropDown="0" showInputMessage="0" showErrorMessage="0" allowBlank="1" type="list">
      <formula1>"Uptrend,Sideways,Downtrend"</formula1>
    </dataValidation>
    <dataValidation sqref="BX2:BX2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IF(B2=0,"",RANK(B2,$B$2:$B$21,0))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136.8</v>
      </c>
      <c r="E2" s="32" t="inlineStr">
        <is>
          <t>5%</t>
        </is>
      </c>
      <c r="F2" s="32" t="n">
        <v>50000</v>
      </c>
      <c r="G2" s="32" t="n">
        <v>2025</v>
      </c>
      <c r="H2" s="31" t="inlineStr">
        <is>
          <t>IBULLSLTD</t>
        </is>
      </c>
      <c r="I2" s="31" t="inlineStr">
        <is>
          <t>Indiabulls Limited</t>
        </is>
      </c>
      <c r="J2" s="31" t="inlineStr">
        <is>
          <t>miscellaneous</t>
        </is>
      </c>
      <c r="K2" s="31" t="inlineStr">
        <is>
          <t>diversified - medium / small</t>
        </is>
      </c>
      <c r="L2" s="31" t="inlineStr">
        <is>
          <t>midcap</t>
        </is>
      </c>
      <c r="M2" s="32" t="n">
        <v>5687.76</v>
      </c>
      <c r="N2" s="32" t="n">
        <v>24.68</v>
      </c>
      <c r="O2" s="32" t="n">
        <v>0.86</v>
      </c>
      <c r="P2" s="32" t="n">
        <v>5472011</v>
      </c>
      <c r="Q2" s="31" t="n">
        <v>96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73.90000000000001</v>
      </c>
      <c r="U2" s="32" t="n">
        <v>35.6</v>
      </c>
      <c r="V2" s="32" t="n">
        <v>17.44</v>
      </c>
      <c r="W2" s="31" t="inlineStr">
        <is>
          <t>Near 52W High Breakout</t>
        </is>
      </c>
      <c r="X2" s="31" t="inlineStr">
        <is>
          <t>Nifty 50</t>
        </is>
      </c>
      <c r="Y2" s="32" t="n">
        <v>-6.08</v>
      </c>
      <c r="Z2" s="32" t="n">
        <v>33.77</v>
      </c>
      <c r="AA2" s="32" t="n">
        <v>42.43</v>
      </c>
      <c r="AB2" s="32" t="n">
        <v>52.26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20 to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Between 50% to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IF(B3=0,"",RANK(B3,$B$2:$B$21,0))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137.5</v>
      </c>
      <c r="E3" s="32" t="inlineStr">
        <is>
          <t>5%</t>
        </is>
      </c>
      <c r="F3" s="32" t="n">
        <v>50000</v>
      </c>
      <c r="G3" s="32" t="n">
        <v>47</v>
      </c>
      <c r="H3" s="31" t="inlineStr">
        <is>
          <t>ATHERENERG</t>
        </is>
      </c>
      <c r="I3" s="31" t="inlineStr">
        <is>
          <t>Ather Energy Ltd</t>
        </is>
      </c>
      <c r="J3" s="31" t="inlineStr">
        <is>
          <t>auto</t>
        </is>
      </c>
      <c r="K3" s="31" t="inlineStr">
        <is>
          <t>automobiles - scooters and 3 - wheelers</t>
        </is>
      </c>
      <c r="L3" s="31" t="inlineStr">
        <is>
          <t>largecap</t>
        </is>
      </c>
      <c r="M3" s="32" t="n">
        <v>39522.48</v>
      </c>
      <c r="N3" s="32" t="n">
        <v>1042</v>
      </c>
      <c r="O3" s="32" t="n">
        <v>0.89</v>
      </c>
      <c r="P3" s="32" t="n">
        <v>4651982</v>
      </c>
      <c r="Q3" s="31" t="n">
        <v>91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74.12</v>
      </c>
      <c r="U3" s="32" t="n">
        <v>47.45</v>
      </c>
      <c r="V3" s="32" t="n">
        <v>791.1900000000001</v>
      </c>
      <c r="W3" s="31" t="inlineStr">
        <is>
          <t>Near 52W High Breakout</t>
        </is>
      </c>
      <c r="X3" s="31" t="inlineStr">
        <is>
          <t>Nifty Auto</t>
        </is>
      </c>
      <c r="Y3" s="32" t="n">
        <v>10.74</v>
      </c>
      <c r="Z3" s="32" t="n">
        <v>231.85</v>
      </c>
      <c r="AA3" s="32" t="n">
        <v>199.65</v>
      </c>
      <c r="AB3" s="32" t="n">
        <v>39.32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Negative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IF(B4=0,"",RANK(B4,$B$2:$B$21,0))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135.1</v>
      </c>
      <c r="E4" s="32" t="inlineStr">
        <is>
          <t>5%</t>
        </is>
      </c>
      <c r="F4" s="32" t="n">
        <v>50000</v>
      </c>
      <c r="G4" s="32" t="n">
        <v>16</v>
      </c>
      <c r="H4" s="31" t="inlineStr">
        <is>
          <t>STYLAMIND</t>
        </is>
      </c>
      <c r="I4" s="31" t="inlineStr">
        <is>
          <t>Stylam Industries Ltd</t>
        </is>
      </c>
      <c r="J4" s="31" t="inlineStr">
        <is>
          <t>building materials</t>
        </is>
      </c>
      <c r="K4" s="31" t="inlineStr">
        <is>
          <t>miscellaneous</t>
        </is>
      </c>
      <c r="L4" s="31" t="inlineStr">
        <is>
          <t>midcap</t>
        </is>
      </c>
      <c r="M4" s="32" t="n">
        <v>5259.83</v>
      </c>
      <c r="N4" s="32" t="n">
        <v>3117</v>
      </c>
      <c r="O4" s="32" t="n">
        <v>0.44</v>
      </c>
      <c r="P4" s="32" t="n">
        <v>28810</v>
      </c>
      <c r="Q4" s="31" t="n">
        <v>68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89.63</v>
      </c>
      <c r="U4" s="32" t="n">
        <v>56.62</v>
      </c>
      <c r="V4" s="32" t="n">
        <v>2646.95</v>
      </c>
      <c r="W4" s="31" t="inlineStr">
        <is>
          <t>Near 52W High Breakout</t>
        </is>
      </c>
      <c r="X4" s="31" t="inlineStr">
        <is>
          <t>Nifty Infra</t>
        </is>
      </c>
      <c r="Y4" s="32" t="n">
        <v>0.99</v>
      </c>
      <c r="Z4" s="32" t="n">
        <v>81.09</v>
      </c>
      <c r="AA4" s="32" t="n">
        <v>79.31</v>
      </c>
      <c r="AB4" s="32" t="n">
        <v>22.11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IF(B5=0,"",RANK(B5,$B$2:$B$21,0))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139.7</v>
      </c>
      <c r="E5" s="32" t="inlineStr">
        <is>
          <t>5%</t>
        </is>
      </c>
      <c r="F5" s="32" t="n">
        <v>50000</v>
      </c>
      <c r="G5" s="32" t="n">
        <v>332</v>
      </c>
      <c r="H5" s="31" t="inlineStr">
        <is>
          <t>CUPID</t>
        </is>
      </c>
      <c r="I5" s="31" t="inlineStr">
        <is>
          <t>Cupid Limited</t>
        </is>
      </c>
      <c r="J5" s="31" t="inlineStr">
        <is>
          <t>fmcg</t>
        </is>
      </c>
      <c r="K5" s="31" t="inlineStr">
        <is>
          <t>personal care - indian</t>
        </is>
      </c>
      <c r="L5" s="31" t="inlineStr">
        <is>
          <t>midcap</t>
        </is>
      </c>
      <c r="M5" s="32" t="n">
        <v>19613.22</v>
      </c>
      <c r="N5" s="32" t="n">
        <v>150.59</v>
      </c>
      <c r="O5" s="32" t="n">
        <v>3.24</v>
      </c>
      <c r="P5" s="32" t="n">
        <v>23289241</v>
      </c>
      <c r="Q5" s="31" t="n">
        <v>98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79.68000000000001</v>
      </c>
      <c r="U5" s="32" t="n">
        <v>44.87</v>
      </c>
      <c r="V5" s="32" t="n">
        <v>116.35</v>
      </c>
      <c r="W5" s="31" t="inlineStr">
        <is>
          <t>Near 52W High Breakout</t>
        </is>
      </c>
      <c r="X5" s="31" t="inlineStr">
        <is>
          <t>Nifty FMCG</t>
        </is>
      </c>
      <c r="Y5" s="32" t="n">
        <v>-10.22</v>
      </c>
      <c r="Z5" s="32" t="n">
        <v>678.48</v>
      </c>
      <c r="AA5" s="32" t="n">
        <v>767.0599999999999</v>
      </c>
      <c r="AB5" s="32" t="n">
        <v>79.09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B2C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Less than 50%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IF(B6=0,"",RANK(B6,$B$2:$B$21,0))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139.3</v>
      </c>
      <c r="E6" s="32" t="inlineStr">
        <is>
          <t>5%</t>
        </is>
      </c>
      <c r="F6" s="32" t="n">
        <v>50000</v>
      </c>
      <c r="G6" s="32" t="n">
        <v>41</v>
      </c>
      <c r="H6" s="31" t="inlineStr">
        <is>
          <t>CARYSIL</t>
        </is>
      </c>
      <c r="I6" s="31" t="inlineStr">
        <is>
          <t>Carysil Ltd</t>
        </is>
      </c>
      <c r="J6" s="31" t="inlineStr">
        <is>
          <t>consumer discretionary</t>
        </is>
      </c>
      <c r="K6" s="31" t="inlineStr">
        <is>
          <t>domestic appliances</t>
        </is>
      </c>
      <c r="L6" s="31" t="inlineStr">
        <is>
          <t>smallcap</t>
        </is>
      </c>
      <c r="M6" s="32" t="n">
        <v>3195.81</v>
      </c>
      <c r="N6" s="32" t="n">
        <v>1191.9</v>
      </c>
      <c r="O6" s="32" t="n">
        <v>6.08</v>
      </c>
      <c r="P6" s="32" t="n">
        <v>665811</v>
      </c>
      <c r="Q6" s="31" t="n">
        <v>60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71.81999999999999</v>
      </c>
      <c r="U6" s="32" t="n">
        <v>20.44</v>
      </c>
      <c r="V6" s="32" t="n">
        <v>896.1799999999999</v>
      </c>
      <c r="W6" s="31" t="inlineStr">
        <is>
          <t>Near 52W High Breakout</t>
        </is>
      </c>
      <c r="X6" s="31" t="inlineStr">
        <is>
          <t>Nifty 50</t>
        </is>
      </c>
      <c r="Y6" s="32" t="n">
        <v>-6.08</v>
      </c>
      <c r="Z6" s="32" t="n">
        <v>28.61</v>
      </c>
      <c r="AA6" s="32" t="n">
        <v>36.94</v>
      </c>
      <c r="AB6" s="32" t="n">
        <v>17.68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Between 50% to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IF(B7=0,"",RANK(B7,$B$2:$B$21,0))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138.9</v>
      </c>
      <c r="E7" s="32" t="inlineStr">
        <is>
          <t>5%</t>
        </is>
      </c>
      <c r="F7" s="32" t="n">
        <v>50000</v>
      </c>
      <c r="G7" s="32" t="n">
        <v>2298</v>
      </c>
      <c r="H7" s="31" t="inlineStr">
        <is>
          <t>GAYAPROJ</t>
        </is>
      </c>
      <c r="I7" s="31" t="inlineStr">
        <is>
          <t>Gayatri Projects Limited</t>
        </is>
      </c>
      <c r="J7" s="31" t="inlineStr">
        <is>
          <t>realty</t>
        </is>
      </c>
      <c r="K7" s="31" t="inlineStr">
        <is>
          <t>construction</t>
        </is>
      </c>
      <c r="L7" s="31" t="inlineStr">
        <is>
          <t>smallcap</t>
        </is>
      </c>
      <c r="M7" s="32" t="n">
        <v>631.79</v>
      </c>
      <c r="N7" s="32" t="n">
        <v>21.75</v>
      </c>
      <c r="O7" s="32" t="n">
        <v>1.97</v>
      </c>
      <c r="P7" s="32" t="n">
        <v>682045</v>
      </c>
      <c r="Q7" s="31" t="n">
        <v>88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75.43000000000001</v>
      </c>
      <c r="U7" s="32" t="n">
        <v>61.18</v>
      </c>
      <c r="V7" s="32" t="n">
        <v>17.42</v>
      </c>
      <c r="W7" s="31" t="inlineStr">
        <is>
          <t>Near 52W High Breakout</t>
        </is>
      </c>
      <c r="X7" s="31" t="inlineStr">
        <is>
          <t>Nifty Realty</t>
        </is>
      </c>
      <c r="Y7" s="32" t="n">
        <v>-25.71</v>
      </c>
      <c r="Z7" s="32" t="n">
        <v>145.21</v>
      </c>
      <c r="AA7" s="32" t="n">
        <v>230.06</v>
      </c>
      <c r="AB7" s="32" t="n">
        <v>36.14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IF(B8=0,"",RANK(B8,$B$2:$B$21,0))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137.2</v>
      </c>
      <c r="E8" s="32" t="inlineStr">
        <is>
          <t>5%</t>
        </is>
      </c>
      <c r="F8" s="32" t="n">
        <v>50000</v>
      </c>
      <c r="G8" s="32" t="n">
        <v>54</v>
      </c>
      <c r="H8" s="31" t="inlineStr">
        <is>
          <t>GVPIL</t>
        </is>
      </c>
      <c r="I8" s="31" t="inlineStr">
        <is>
          <t>GE Power India Ltd</t>
        </is>
      </c>
      <c r="J8" s="31" t="inlineStr">
        <is>
          <t>realty</t>
        </is>
      </c>
      <c r="K8" s="31" t="inlineStr">
        <is>
          <t>engineering - turnkey services</t>
        </is>
      </c>
      <c r="L8" s="31" t="inlineStr">
        <is>
          <t>midcap</t>
        </is>
      </c>
      <c r="M8" s="32" t="n">
        <v>6087.45</v>
      </c>
      <c r="N8" s="32" t="n">
        <v>909.6</v>
      </c>
      <c r="O8" s="32" t="n">
        <v>0.45</v>
      </c>
      <c r="P8" s="32" t="n">
        <v>407376</v>
      </c>
      <c r="Q8" s="31" t="n">
        <v>95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87.73999999999999</v>
      </c>
      <c r="U8" s="32" t="n">
        <v>56.06</v>
      </c>
      <c r="V8" s="32" t="n">
        <v>692.01</v>
      </c>
      <c r="W8" s="31" t="inlineStr">
        <is>
          <t>Near 52W High Breakout</t>
        </is>
      </c>
      <c r="X8" s="31" t="inlineStr">
        <is>
          <t>Nifty Realty</t>
        </is>
      </c>
      <c r="Y8" s="32" t="n">
        <v>-25.71</v>
      </c>
      <c r="Z8" s="32" t="n">
        <v>187.8</v>
      </c>
      <c r="AA8" s="32" t="n">
        <v>287.4</v>
      </c>
      <c r="AB8" s="32" t="n">
        <v>50.74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Duopoly That Cooperate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Shallow Cyclical (2 to 3 Years Growth)</t>
        </is>
      </c>
      <c r="AL8" s="31">
        <f>IF(AK8="Structural (10 Years Consistency)",10,IF(AK8="Shallow Cyclical (2 to 3 years growth)",5,0))</f>
        <v/>
      </c>
      <c r="AM8" s="31" t="inlineStr">
        <is>
          <t>Yes due to Product Mix change or Operating Leverage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B2C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Fully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only for next 1 to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Between 50% to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Between 0.7 to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IF(B9=0,"",RANK(B9,$B$2:$B$21,0))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131.2</v>
      </c>
      <c r="E9" s="32" t="inlineStr">
        <is>
          <t>5%</t>
        </is>
      </c>
      <c r="F9" s="32" t="n">
        <v>50000</v>
      </c>
      <c r="G9" s="32" t="n">
        <v>63</v>
      </c>
      <c r="H9" s="31" t="inlineStr">
        <is>
          <t>RATEGAIN</t>
        </is>
      </c>
      <c r="I9" s="31" t="inlineStr">
        <is>
          <t>Rategain Travel Technologies Ltd</t>
        </is>
      </c>
      <c r="J9" s="31" t="inlineStr">
        <is>
          <t>i.t</t>
        </is>
      </c>
      <c r="K9" s="31" t="inlineStr">
        <is>
          <t>computers - software - medium / small</t>
        </is>
      </c>
      <c r="L9" s="31" t="inlineStr">
        <is>
          <t>midcap</t>
        </is>
      </c>
      <c r="M9" s="32" t="n">
        <v>8868.32</v>
      </c>
      <c r="N9" s="32" t="n">
        <v>783.6</v>
      </c>
      <c r="O9" s="32" t="n">
        <v>4.41</v>
      </c>
      <c r="P9" s="32" t="n">
        <v>766286</v>
      </c>
      <c r="Q9" s="31" t="n">
        <v>81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72.44</v>
      </c>
      <c r="U9" s="32" t="n">
        <v>25.67</v>
      </c>
      <c r="V9" s="32" t="n">
        <v>602.3</v>
      </c>
      <c r="W9" s="31" t="inlineStr">
        <is>
          <t>Near 52W High Breakout</t>
        </is>
      </c>
      <c r="X9" s="31" t="inlineStr">
        <is>
          <t>Nifty IT</t>
        </is>
      </c>
      <c r="Y9" s="32" t="n">
        <v>-26.49</v>
      </c>
      <c r="Z9" s="32" t="n">
        <v>77.08</v>
      </c>
      <c r="AA9" s="32" t="n">
        <v>140.89</v>
      </c>
      <c r="AB9" s="32" t="n">
        <v>27.92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20 to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Between 1.5 to 2</t>
        </is>
      </c>
      <c r="BZ9" s="31">
        <f>IF(BY9="Above 2",0,IF(BY9="Between 1.5 to 2",5,IF(BY9="Less than 1.5",10,0)))</f>
        <v/>
      </c>
      <c r="CA9" s="31" t="inlineStr">
        <is>
          <t>Between 50% to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IF(B10=0,"",RANK(B10,$B$2:$B$21,0))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138.5</v>
      </c>
      <c r="E10" s="32" t="inlineStr">
        <is>
          <t>5%</t>
        </is>
      </c>
      <c r="F10" s="32" t="n">
        <v>50000</v>
      </c>
      <c r="G10" s="32" t="n">
        <v>61</v>
      </c>
      <c r="H10" s="31" t="inlineStr">
        <is>
          <t>ASTERDM</t>
        </is>
      </c>
      <c r="I10" s="31" t="inlineStr">
        <is>
          <t>Aster DM Healthcare Ltd</t>
        </is>
      </c>
      <c r="J10" s="31" t="inlineStr">
        <is>
          <t>healthcare</t>
        </is>
      </c>
      <c r="K10" s="31" t="inlineStr">
        <is>
          <t>healthcare</t>
        </is>
      </c>
      <c r="L10" s="31" t="inlineStr">
        <is>
          <t>largecap</t>
        </is>
      </c>
      <c r="M10" s="32" t="n">
        <v>40949.7</v>
      </c>
      <c r="N10" s="32" t="n">
        <v>812.9</v>
      </c>
      <c r="O10" s="32" t="n">
        <v>2.85</v>
      </c>
      <c r="P10" s="32" t="n">
        <v>2258113</v>
      </c>
      <c r="Q10" s="31" t="n">
        <v>39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71.8</v>
      </c>
      <c r="U10" s="32" t="n">
        <v>36.94</v>
      </c>
      <c r="V10" s="32" t="n">
        <v>666.08</v>
      </c>
      <c r="W10" s="31" t="inlineStr">
        <is>
          <t>Volume Spike &amp; Near 52W High Breakout</t>
        </is>
      </c>
      <c r="X10" s="31" t="inlineStr">
        <is>
          <t>Nifty Pharma</t>
        </is>
      </c>
      <c r="Y10" s="32" t="n">
        <v>9.9</v>
      </c>
      <c r="Z10" s="32" t="n">
        <v>43.55</v>
      </c>
      <c r="AA10" s="32" t="n">
        <v>30.63</v>
      </c>
      <c r="AB10" s="32" t="n">
        <v>12.32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Between 1.5 to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IF(B11=0,"",RANK(B11,$B$2:$B$21,0))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135.7</v>
      </c>
      <c r="E11" s="32" t="inlineStr">
        <is>
          <t>5%</t>
        </is>
      </c>
      <c r="F11" s="32" t="n">
        <v>50000</v>
      </c>
      <c r="G11" s="32" t="n">
        <v>77</v>
      </c>
      <c r="H11" s="31" t="inlineStr">
        <is>
          <t>UNIPARTS</t>
        </is>
      </c>
      <c r="I11" s="31" t="inlineStr">
        <is>
          <t>Uniparts India Ltd</t>
        </is>
      </c>
      <c r="J11" s="31" t="inlineStr">
        <is>
          <t>industrials</t>
        </is>
      </c>
      <c r="K11" s="31" t="inlineStr">
        <is>
          <t>engineering</t>
        </is>
      </c>
      <c r="L11" s="31" t="inlineStr">
        <is>
          <t>smallcap</t>
        </is>
      </c>
      <c r="M11" s="32" t="n">
        <v>2890.51</v>
      </c>
      <c r="N11" s="32" t="n">
        <v>641.95</v>
      </c>
      <c r="O11" s="32" t="n">
        <v>0.26</v>
      </c>
      <c r="P11" s="32" t="n">
        <v>267656</v>
      </c>
      <c r="Q11" s="31" t="n">
        <v>72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72.42</v>
      </c>
      <c r="U11" s="32" t="n">
        <v>34.24</v>
      </c>
      <c r="V11" s="32" t="n">
        <v>493.17</v>
      </c>
      <c r="W11" s="31" t="inlineStr">
        <is>
          <t>Near 52W High Breakout</t>
        </is>
      </c>
      <c r="X11" s="31" t="inlineStr">
        <is>
          <t>Nifty 50</t>
        </is>
      </c>
      <c r="Y11" s="32" t="n">
        <v>-6.08</v>
      </c>
      <c r="Z11" s="32" t="n">
        <v>79.59999999999999</v>
      </c>
      <c r="AA11" s="32" t="n">
        <v>91.23</v>
      </c>
      <c r="AB11" s="32" t="n">
        <v>23.13</v>
      </c>
      <c r="AC11" s="31" t="inlineStr">
        <is>
          <t>Cyclical in an Upturn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IF(B12=0,"",RANK(B12,$B$2:$B$21,0))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135.5</v>
      </c>
      <c r="E12" s="32" t="inlineStr">
        <is>
          <t>5%</t>
        </is>
      </c>
      <c r="F12" s="32" t="n">
        <v>50000</v>
      </c>
      <c r="G12" s="32" t="n">
        <v>61</v>
      </c>
      <c r="H12" s="31" t="inlineStr">
        <is>
          <t>MAYURUNIQ</t>
        </is>
      </c>
      <c r="I12" s="31" t="inlineStr">
        <is>
          <t>Mayur Uniquoters Ltd</t>
        </is>
      </c>
      <c r="J12" s="31" t="inlineStr">
        <is>
          <t>consumer discretionary</t>
        </is>
      </c>
      <c r="K12" s="31" t="inlineStr">
        <is>
          <t>leather / leather products</t>
        </is>
      </c>
      <c r="L12" s="31" t="inlineStr">
        <is>
          <t>smallcap</t>
        </is>
      </c>
      <c r="M12" s="32" t="n">
        <v>3471.21</v>
      </c>
      <c r="N12" s="32" t="n">
        <v>811.25</v>
      </c>
      <c r="O12" s="32" t="n">
        <v>1.55</v>
      </c>
      <c r="P12" s="32" t="n">
        <v>1015825</v>
      </c>
      <c r="Q12" s="31" t="n">
        <v>68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78.56</v>
      </c>
      <c r="U12" s="32" t="n">
        <v>35.68</v>
      </c>
      <c r="V12" s="32" t="n">
        <v>631.4400000000001</v>
      </c>
      <c r="W12" s="31" t="inlineStr">
        <is>
          <t>Volume Spike &amp; Near 52W High Breakout</t>
        </is>
      </c>
      <c r="X12" s="31" t="inlineStr">
        <is>
          <t>Nifty 50</t>
        </is>
      </c>
      <c r="Y12" s="32" t="n">
        <v>-6.08</v>
      </c>
      <c r="Z12" s="32" t="n">
        <v>41.52</v>
      </c>
      <c r="AA12" s="32" t="n">
        <v>50.69</v>
      </c>
      <c r="AB12" s="32" t="n">
        <v>21.96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Between 50% to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IF(B13=0,"",RANK(B13,$B$2:$B$21,0))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138.4</v>
      </c>
      <c r="E13" s="32" t="inlineStr">
        <is>
          <t>5%</t>
        </is>
      </c>
      <c r="F13" s="32" t="n">
        <v>50000</v>
      </c>
      <c r="G13" s="32" t="n">
        <v>40</v>
      </c>
      <c r="H13" s="31" t="inlineStr">
        <is>
          <t>CEMPRO</t>
        </is>
      </c>
      <c r="I13" s="31" t="inlineStr">
        <is>
          <t>Cemindia Projects Ltd</t>
        </is>
      </c>
      <c r="J13" s="31" t="inlineStr">
        <is>
          <t>realty</t>
        </is>
      </c>
      <c r="K13" s="31" t="inlineStr">
        <is>
          <t>construction</t>
        </is>
      </c>
      <c r="L13" s="31" t="inlineStr">
        <is>
          <t>largecap</t>
        </is>
      </c>
      <c r="M13" s="32" t="n">
        <v>20679.79</v>
      </c>
      <c r="N13" s="32" t="n">
        <v>1237.1</v>
      </c>
      <c r="O13" s="32" t="n">
        <v>2.77</v>
      </c>
      <c r="P13" s="32" t="n">
        <v>2035514</v>
      </c>
      <c r="Q13" s="31" t="n">
        <v>93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78.63</v>
      </c>
      <c r="U13" s="32" t="n">
        <v>37.3</v>
      </c>
      <c r="V13" s="32" t="n">
        <v>945.61</v>
      </c>
      <c r="W13" s="31" t="inlineStr">
        <is>
          <t>Near 52W High Breakout</t>
        </is>
      </c>
      <c r="X13" s="31" t="inlineStr">
        <is>
          <t>Nifty Realty</t>
        </is>
      </c>
      <c r="Y13" s="32" t="n">
        <v>-25.71</v>
      </c>
      <c r="Z13" s="32" t="n">
        <v>61.1</v>
      </c>
      <c r="AA13" s="32" t="n">
        <v>116.85</v>
      </c>
      <c r="AB13" s="32" t="n">
        <v>46.29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Less than 50%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IF(B14=0,"",RANK(B14,$B$2:$B$21,0))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</v>
      </c>
      <c r="E14" s="32" t="inlineStr">
        <is>
          <t>5%</t>
        </is>
      </c>
      <c r="F14" s="32" t="n">
        <v>50000</v>
      </c>
      <c r="G14" s="32" t="n">
        <v>72</v>
      </c>
      <c r="H14" s="31" t="inlineStr">
        <is>
          <t>HSCL</t>
        </is>
      </c>
      <c r="I14" s="31" t="inlineStr">
        <is>
          <t>Himadri Speciality Chemical Limited</t>
        </is>
      </c>
      <c r="J14" s="31" t="inlineStr">
        <is>
          <t>chemicals</t>
        </is>
      </c>
      <c r="K14" s="31" t="inlineStr">
        <is>
          <t>chemicals</t>
        </is>
      </c>
      <c r="L14" s="31" t="inlineStr">
        <is>
          <t>largecap</t>
        </is>
      </c>
      <c r="M14" s="32" t="n">
        <v>34283.6</v>
      </c>
      <c r="N14" s="32" t="n">
        <v>693</v>
      </c>
      <c r="O14" s="32" t="n">
        <v>1.99</v>
      </c>
      <c r="P14" s="32" t="n">
        <v>21296979</v>
      </c>
      <c r="Q14" s="31" t="n">
        <v>67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74.59</v>
      </c>
      <c r="U14" s="32" t="n">
        <v>30.36</v>
      </c>
      <c r="V14" s="32" t="n">
        <v>529.55</v>
      </c>
      <c r="W14" s="31" t="inlineStr">
        <is>
          <t>Near 52W High Breakout</t>
        </is>
      </c>
      <c r="X14" s="31" t="inlineStr">
        <is>
          <t>Nifty 50</t>
        </is>
      </c>
      <c r="Y14" s="32" t="n">
        <v>-6.08</v>
      </c>
      <c r="Z14" s="32" t="n">
        <v>47.82</v>
      </c>
      <c r="AA14" s="32" t="n">
        <v>57.39</v>
      </c>
      <c r="AB14" s="32" t="n">
        <v>21.94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Between 1.5 to 2</t>
        </is>
      </c>
      <c r="BZ14" s="31">
        <f>IF(BY14="Above 2",0,IF(BY14="Between 1.5 to 2",5,IF(BY14="Less than 1.5",10,0)))</f>
        <v/>
      </c>
      <c r="CA14" s="31" t="inlineStr">
        <is>
          <t>Less than 50%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IF(B15=0,"",RANK(B15,$B$2:$B$21,0))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138.2</v>
      </c>
      <c r="E15" s="32" t="inlineStr">
        <is>
          <t>5%</t>
        </is>
      </c>
      <c r="F15" s="32" t="n">
        <v>50000</v>
      </c>
      <c r="G15" s="32" t="n">
        <v>108</v>
      </c>
      <c r="H15" s="31" t="inlineStr">
        <is>
          <t>SIGMAADV</t>
        </is>
      </c>
      <c r="I15" s="31" t="inlineStr">
        <is>
          <t>Sigma Advanced System Ltd</t>
        </is>
      </c>
      <c r="J15" s="31" t="inlineStr">
        <is>
          <t>aerospace &amp; defence</t>
        </is>
      </c>
      <c r="K15" s="31" t="inlineStr">
        <is>
          <t>electronics - components</t>
        </is>
      </c>
      <c r="L15" s="31" t="inlineStr">
        <is>
          <t>midcap</t>
        </is>
      </c>
      <c r="M15" s="32" t="n">
        <v>7709.61</v>
      </c>
      <c r="N15" s="32" t="n">
        <v>459.3</v>
      </c>
      <c r="O15" s="32" t="n">
        <v>4.99</v>
      </c>
      <c r="P15" s="32" t="n">
        <v>143436</v>
      </c>
      <c r="Q15" s="31" t="n">
        <v>99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85.2</v>
      </c>
      <c r="U15" s="32" t="n">
        <v>38.76</v>
      </c>
      <c r="V15" s="32" t="n">
        <v>349.57</v>
      </c>
      <c r="W15" s="31" t="inlineStr">
        <is>
          <t>Near 52W High Breakout</t>
        </is>
      </c>
      <c r="X15" s="31" t="inlineStr">
        <is>
          <t>Nifty 50</t>
        </is>
      </c>
      <c r="Y15" s="32" t="n">
        <v>-6.08</v>
      </c>
      <c r="Z15" s="32" t="n">
        <v>364.03</v>
      </c>
      <c r="AA15" s="32" t="n">
        <v>394.09</v>
      </c>
      <c r="AB15" s="32" t="n">
        <v>97.43000000000001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Less than 1.5</t>
        </is>
      </c>
      <c r="BZ15" s="31">
        <f>IF(BY15="Above 2",0,IF(BY15="Between 1.5 to 2",5,IF(BY15="Less than 1.5",10,0)))</f>
        <v/>
      </c>
      <c r="CA15" s="31" t="inlineStr">
        <is>
          <t>Negative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Between 0.7 to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IF(B16=0,"",RANK(B16,$B$2:$B$21,0))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137.2</v>
      </c>
      <c r="E16" s="32" t="inlineStr">
        <is>
          <t>5%</t>
        </is>
      </c>
      <c r="F16" s="32" t="n">
        <v>50000</v>
      </c>
      <c r="G16" s="32" t="n">
        <v>25</v>
      </c>
      <c r="H16" s="31" t="inlineStr">
        <is>
          <t>KERNEX</t>
        </is>
      </c>
      <c r="I16" s="31" t="inlineStr">
        <is>
          <t>Kernex Microsystems (india) Limited</t>
        </is>
      </c>
      <c r="J16" s="31" t="inlineStr">
        <is>
          <t>consumer discretionary</t>
        </is>
      </c>
      <c r="K16" s="31" t="inlineStr">
        <is>
          <t>electronics - components</t>
        </is>
      </c>
      <c r="L16" s="31" t="inlineStr">
        <is>
          <t>smallcap</t>
        </is>
      </c>
      <c r="M16" s="32" t="n">
        <v>3175.49</v>
      </c>
      <c r="N16" s="32" t="n">
        <v>1924.9</v>
      </c>
      <c r="O16" s="32" t="n">
        <v>1.85</v>
      </c>
      <c r="P16" s="32" t="n">
        <v>377193</v>
      </c>
      <c r="Q16" s="31" t="n">
        <v>87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72.06</v>
      </c>
      <c r="U16" s="32" t="n">
        <v>30.93</v>
      </c>
      <c r="V16" s="32" t="n">
        <v>1406.93</v>
      </c>
      <c r="W16" s="31" t="inlineStr">
        <is>
          <t>Near 52W High Breakout</t>
        </is>
      </c>
      <c r="X16" s="31" t="inlineStr">
        <is>
          <t>Nifty 50</t>
        </is>
      </c>
      <c r="Y16" s="32" t="n">
        <v>-6.08</v>
      </c>
      <c r="Z16" s="32" t="n">
        <v>47.92</v>
      </c>
      <c r="AA16" s="32" t="n">
        <v>57.5</v>
      </c>
      <c r="AB16" s="32" t="n">
        <v>33.07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Negative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IF(B17=0,"",RANK(B17,$B$2:$B$21,0))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137.8</v>
      </c>
      <c r="E17" s="32" t="inlineStr">
        <is>
          <t>5%</t>
        </is>
      </c>
      <c r="F17" s="32" t="n">
        <v>50000</v>
      </c>
      <c r="G17" s="32" t="n">
        <v>77</v>
      </c>
      <c r="H17" s="31" t="inlineStr">
        <is>
          <t>MINDACORP</t>
        </is>
      </c>
      <c r="I17" s="31" t="inlineStr">
        <is>
          <t>Minda Corporation Limited</t>
        </is>
      </c>
      <c r="J17" s="31" t="inlineStr">
        <is>
          <t>auto</t>
        </is>
      </c>
      <c r="K17" s="31" t="inlineStr">
        <is>
          <t>auto ancillaries</t>
        </is>
      </c>
      <c r="L17" s="31" t="inlineStr">
        <is>
          <t>midcap</t>
        </is>
      </c>
      <c r="M17" s="32" t="n">
        <v>15472.03</v>
      </c>
      <c r="N17" s="32" t="n">
        <v>648.1</v>
      </c>
      <c r="O17" s="32" t="n">
        <v>0.15</v>
      </c>
      <c r="P17" s="32" t="n">
        <v>326968</v>
      </c>
      <c r="Q17" s="31" t="n">
        <v>38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66.15000000000001</v>
      </c>
      <c r="U17" s="32" t="n">
        <v>19.81</v>
      </c>
      <c r="V17" s="32" t="n">
        <v>518.0599999999999</v>
      </c>
      <c r="W17" s="31" t="inlineStr">
        <is>
          <t>Near 52W High Breakout</t>
        </is>
      </c>
      <c r="X17" s="31" t="inlineStr">
        <is>
          <t>Nifty Auto</t>
        </is>
      </c>
      <c r="Y17" s="32" t="n">
        <v>10.74</v>
      </c>
      <c r="Z17" s="32" t="n">
        <v>18.8</v>
      </c>
      <c r="AA17" s="32" t="n">
        <v>7.27</v>
      </c>
      <c r="AB17" s="32" t="n">
        <v>11.97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0 to 20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IF(B18=0,"",RANK(B18,$B$2:$B$21,0))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137.6</v>
      </c>
      <c r="E18" s="32" t="inlineStr">
        <is>
          <t>5%</t>
        </is>
      </c>
      <c r="F18" s="32" t="n">
        <v>50000</v>
      </c>
      <c r="G18" s="32" t="n">
        <v>141</v>
      </c>
      <c r="H18" s="31" t="inlineStr">
        <is>
          <t>RUBYMILLS</t>
        </is>
      </c>
      <c r="I18" s="31" t="inlineStr">
        <is>
          <t>The Ruby Mills Limited</t>
        </is>
      </c>
      <c r="J18" s="31" t="inlineStr">
        <is>
          <t>textiles</t>
        </is>
      </c>
      <c r="K18" s="31" t="inlineStr">
        <is>
          <t>textiles - composite</t>
        </is>
      </c>
      <c r="L18" s="31" t="inlineStr">
        <is>
          <t>smallcap</t>
        </is>
      </c>
      <c r="M18" s="32" t="n">
        <v>1152.68</v>
      </c>
      <c r="N18" s="32" t="n">
        <v>353.25</v>
      </c>
      <c r="O18" s="32" t="n">
        <v>2.48</v>
      </c>
      <c r="P18" s="32" t="n">
        <v>62684</v>
      </c>
      <c r="Q18" s="31" t="n">
        <v>84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78.39</v>
      </c>
      <c r="U18" s="32" t="n">
        <v>38.42</v>
      </c>
      <c r="V18" s="32" t="n">
        <v>267</v>
      </c>
      <c r="W18" s="31" t="inlineStr">
        <is>
          <t>Near 52W High Breakout</t>
        </is>
      </c>
      <c r="X18" s="31" t="inlineStr">
        <is>
          <t>Nifty 50</t>
        </is>
      </c>
      <c r="Y18" s="32" t="n">
        <v>-6.08</v>
      </c>
      <c r="Z18" s="32" t="n">
        <v>63.93</v>
      </c>
      <c r="AA18" s="32" t="n">
        <v>74.54000000000001</v>
      </c>
      <c r="AB18" s="32" t="n">
        <v>29.9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Between 50% to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IF(B19=0,"",RANK(B19,$B$2:$B$21,0))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138.9</v>
      </c>
      <c r="E19" s="32" t="inlineStr">
        <is>
          <t>5%</t>
        </is>
      </c>
      <c r="F19" s="32" t="n">
        <v>50000</v>
      </c>
      <c r="G19" s="32" t="n">
        <v>3</v>
      </c>
      <c r="H19" s="31" t="inlineStr">
        <is>
          <t>APARINDS</t>
        </is>
      </c>
      <c r="I19" s="31" t="inlineStr">
        <is>
          <t>Apar Industries Limited</t>
        </is>
      </c>
      <c r="J19" s="31" t="inlineStr">
        <is>
          <t>industrials</t>
        </is>
      </c>
      <c r="K19" s="31" t="inlineStr">
        <is>
          <t>electric equipment</t>
        </is>
      </c>
      <c r="L19" s="31" t="inlineStr">
        <is>
          <t>largecap</t>
        </is>
      </c>
      <c r="M19" s="32" t="n">
        <v>54665.06</v>
      </c>
      <c r="N19" s="32" t="n">
        <v>14085</v>
      </c>
      <c r="O19" s="32" t="n">
        <v>3.5</v>
      </c>
      <c r="P19" s="32" t="n">
        <v>192063</v>
      </c>
      <c r="Q19" s="31" t="n">
        <v>77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72.95999999999999</v>
      </c>
      <c r="U19" s="32" t="n">
        <v>38.13</v>
      </c>
      <c r="V19" s="32" t="n">
        <v>10894.28</v>
      </c>
      <c r="W19" s="31" t="inlineStr">
        <is>
          <t>Near 52W High Breakout</t>
        </is>
      </c>
      <c r="X19" s="31" t="inlineStr">
        <is>
          <t>Nifty 50</t>
        </is>
      </c>
      <c r="Y19" s="32" t="n">
        <v>-6.08</v>
      </c>
      <c r="Z19" s="32" t="n">
        <v>79.45</v>
      </c>
      <c r="AA19" s="32" t="n">
        <v>91.06999999999999</v>
      </c>
      <c r="AB19" s="32" t="n">
        <v>25.5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Between 50% to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IF(B20=0,"",RANK(B20,$B$2:$B$21,0))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136.4</v>
      </c>
      <c r="E20" s="32" t="inlineStr">
        <is>
          <t>5%</t>
        </is>
      </c>
      <c r="F20" s="32" t="n">
        <v>50000</v>
      </c>
      <c r="G20" s="32" t="n">
        <v>69</v>
      </c>
      <c r="H20" s="31" t="inlineStr">
        <is>
          <t>SANDHAR</t>
        </is>
      </c>
      <c r="I20" s="31" t="inlineStr">
        <is>
          <t>Sandhar Technologies Limited</t>
        </is>
      </c>
      <c r="J20" s="31" t="inlineStr">
        <is>
          <t>auto</t>
        </is>
      </c>
      <c r="K20" s="31" t="inlineStr">
        <is>
          <t>auto ancillaries</t>
        </is>
      </c>
      <c r="L20" s="31" t="inlineStr">
        <is>
          <t>smallcap</t>
        </is>
      </c>
      <c r="M20" s="32" t="n">
        <v>4266.92</v>
      </c>
      <c r="N20" s="32" t="n">
        <v>718.45</v>
      </c>
      <c r="O20" s="32" t="n">
        <v>1.35</v>
      </c>
      <c r="P20" s="32" t="n">
        <v>791992</v>
      </c>
      <c r="Q20" s="31" t="n">
        <v>62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72.44</v>
      </c>
      <c r="U20" s="32" t="n">
        <v>19.29</v>
      </c>
      <c r="V20" s="32" t="n">
        <v>538.15</v>
      </c>
      <c r="W20" s="31" t="inlineStr">
        <is>
          <t>Near 52W High Breakout</t>
        </is>
      </c>
      <c r="X20" s="31" t="inlineStr">
        <is>
          <t>Nifty Auto</t>
        </is>
      </c>
      <c r="Y20" s="32" t="n">
        <v>10.74</v>
      </c>
      <c r="Z20" s="32" t="n">
        <v>35.39</v>
      </c>
      <c r="AA20" s="32" t="n">
        <v>22.25</v>
      </c>
      <c r="AB20" s="32" t="n">
        <v>18.37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Less than 1.5</t>
        </is>
      </c>
      <c r="BZ20" s="31">
        <f>IF(BY20="Above 2",0,IF(BY20="Between 1.5 to 2",5,IF(BY20="Less than 1.5",10,0)))</f>
        <v/>
      </c>
      <c r="CA20" s="31" t="inlineStr">
        <is>
          <t>Less than 50%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Between 0.7 to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IF(B21=0,"",RANK(B21,$B$2:$B$21,0))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135.5</v>
      </c>
      <c r="E21" s="32" t="inlineStr">
        <is>
          <t>5%</t>
        </is>
      </c>
      <c r="F21" s="32" t="n">
        <v>50000</v>
      </c>
      <c r="G21" s="32" t="n">
        <v>26</v>
      </c>
      <c r="H21" s="31" t="inlineStr">
        <is>
          <t>INOXINDIA</t>
        </is>
      </c>
      <c r="I21" s="31" t="inlineStr">
        <is>
          <t>Inox India Ltd</t>
        </is>
      </c>
      <c r="J21" s="31" t="inlineStr">
        <is>
          <t>industrials</t>
        </is>
      </c>
      <c r="K21" s="31" t="inlineStr">
        <is>
          <t>packaging</t>
        </is>
      </c>
      <c r="L21" s="31" t="inlineStr">
        <is>
          <t>midcap</t>
        </is>
      </c>
      <c r="M21" s="32" t="n">
        <v>15309.08</v>
      </c>
      <c r="N21" s="32" t="n">
        <v>1891.6</v>
      </c>
      <c r="O21" s="32" t="n">
        <v>12.15</v>
      </c>
      <c r="P21" s="32" t="n">
        <v>4034181</v>
      </c>
      <c r="Q21" s="31" t="n">
        <v>78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83.33</v>
      </c>
      <c r="U21" s="32" t="n">
        <v>53.44</v>
      </c>
      <c r="V21" s="32" t="n">
        <v>1481.71</v>
      </c>
      <c r="W21" s="31" t="inlineStr">
        <is>
          <t>Volume Spike &amp; Near 52W High Breakout</t>
        </is>
      </c>
      <c r="X21" s="31" t="inlineStr">
        <is>
          <t>Nifty 50</t>
        </is>
      </c>
      <c r="Y21" s="32" t="n">
        <v>-6.08</v>
      </c>
      <c r="Z21" s="32" t="n">
        <v>60</v>
      </c>
      <c r="AA21" s="32" t="n">
        <v>70.36</v>
      </c>
      <c r="AB21" s="32" t="n">
        <v>25.85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Above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Between 12 to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Less than 50%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IF(B2=0,"",RANK(B2,$B$2:$B$3,0))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138.9</v>
      </c>
      <c r="E2" s="32" t="inlineStr">
        <is>
          <t>5%</t>
        </is>
      </c>
      <c r="F2" s="32" t="n">
        <v>50000</v>
      </c>
      <c r="G2" s="32" t="n">
        <v>593</v>
      </c>
      <c r="H2" s="31" t="inlineStr">
        <is>
          <t>MAHABANK</t>
        </is>
      </c>
      <c r="I2" s="31" t="inlineStr">
        <is>
          <t>Bank Of Maharashtra Ltd</t>
        </is>
      </c>
      <c r="J2" s="31" t="inlineStr">
        <is>
          <t>bank</t>
        </is>
      </c>
      <c r="K2" s="31" t="inlineStr">
        <is>
          <t>banks - public sector</t>
        </is>
      </c>
      <c r="L2" s="31" t="inlineStr">
        <is>
          <t>largecap</t>
        </is>
      </c>
      <c r="M2" s="32" t="n">
        <v>64585.99</v>
      </c>
      <c r="N2" s="32" t="n">
        <v>84.18000000000001</v>
      </c>
      <c r="O2" s="32" t="n">
        <v>0.25</v>
      </c>
      <c r="P2" s="32" t="n">
        <v>19378667</v>
      </c>
      <c r="Q2" s="31" t="n">
        <v>58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69.09999999999999</v>
      </c>
      <c r="U2" s="32" t="n">
        <v>41.05</v>
      </c>
      <c r="V2" s="32" t="n">
        <v>68.11</v>
      </c>
      <c r="W2" s="31" t="inlineStr">
        <is>
          <t>Near 52W High Breakout</t>
        </is>
      </c>
      <c r="X2" s="31" t="inlineStr">
        <is>
          <t>Nifty Bank</t>
        </is>
      </c>
      <c r="Y2" s="32" t="n">
        <v>-0.77</v>
      </c>
      <c r="Z2" s="32" t="n">
        <v>59.49</v>
      </c>
      <c r="AA2" s="32" t="n">
        <v>60.73</v>
      </c>
      <c r="AB2" s="32" t="n">
        <v>17.13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IF(B3=0,"",RANK(B3,$B$2:$B$3,0))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138.8</v>
      </c>
      <c r="E3" s="32" t="inlineStr">
        <is>
          <t>5%</t>
        </is>
      </c>
      <c r="F3" s="32" t="n">
        <v>50000</v>
      </c>
      <c r="G3" s="32" t="n">
        <v>45</v>
      </c>
      <c r="H3" s="31" t="inlineStr">
        <is>
          <t>ABSLAMC</t>
        </is>
      </c>
      <c r="I3" s="31" t="inlineStr">
        <is>
          <t>Aditya Birla Sun Life AMC Ltd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largecap</t>
        </is>
      </c>
      <c r="M3" s="32" t="n">
        <v>30682.77</v>
      </c>
      <c r="N3" s="32" t="n">
        <v>1110.3</v>
      </c>
      <c r="O3" s="32" t="n">
        <v>4.51</v>
      </c>
      <c r="P3" s="32" t="n">
        <v>626477</v>
      </c>
      <c r="Q3" s="31" t="n">
        <v>41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66.89</v>
      </c>
      <c r="U3" s="32" t="n">
        <v>41.36</v>
      </c>
      <c r="V3" s="32" t="n">
        <v>880.16</v>
      </c>
      <c r="W3" s="31" t="inlineStr">
        <is>
          <t>Near 52W High Breakout</t>
        </is>
      </c>
      <c r="X3" s="31" t="inlineStr">
        <is>
          <t>Nifty Bank</t>
        </is>
      </c>
      <c r="Y3" s="32" t="n">
        <v>-0.77</v>
      </c>
      <c r="Z3" s="32" t="n">
        <v>49</v>
      </c>
      <c r="AA3" s="32" t="n">
        <v>50.15</v>
      </c>
      <c r="AB3" s="32" t="n">
        <v>12.91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above 5x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2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</t>
        </is>
      </c>
      <c r="G2" s="31" t="inlineStr">
        <is>
          <t>midcap</t>
        </is>
      </c>
      <c r="H2" s="32" t="n">
        <v>5749.31</v>
      </c>
      <c r="I2" s="32" t="n">
        <v>24.68</v>
      </c>
      <c r="J2" s="32" t="n">
        <v>0.86</v>
      </c>
      <c r="K2" s="32" t="n">
        <v>0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73.90000000000001</v>
      </c>
      <c r="P2" s="32" t="n">
        <v>35.6</v>
      </c>
      <c r="Q2" s="32" t="n">
        <v>17.44</v>
      </c>
      <c r="R2" s="31" t="inlineStr">
        <is>
          <t>Near 52W High Breakout</t>
        </is>
      </c>
      <c r="S2" s="31" t="inlineStr">
        <is>
          <t>Nifty 50</t>
        </is>
      </c>
      <c r="T2" s="32" t="n">
        <v>-6.08</v>
      </c>
      <c r="U2" s="32" t="n">
        <v>33.77</v>
      </c>
      <c r="V2" s="32" t="n">
        <v>42.43</v>
      </c>
      <c r="W2" s="32" t="n">
        <v>52.26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Between 50% to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22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BAJAJCON</t>
        </is>
      </c>
      <c r="D3" s="31" t="inlineStr">
        <is>
          <t>Bajaj Consumer Care Ltd</t>
        </is>
      </c>
      <c r="E3" s="31" t="inlineStr">
        <is>
          <t>fmcg</t>
        </is>
      </c>
      <c r="F3" s="31" t="inlineStr">
        <is>
          <t>FMCG - Personal Care</t>
        </is>
      </c>
      <c r="G3" s="31" t="inlineStr">
        <is>
          <t>midcap</t>
        </is>
      </c>
      <c r="H3" s="32" t="n">
        <v>7351.2</v>
      </c>
      <c r="I3" s="32" t="n">
        <v>562.8</v>
      </c>
      <c r="J3" s="32" t="n">
        <v>-3.33</v>
      </c>
      <c r="K3" s="32" t="n">
        <v>0</v>
      </c>
      <c r="L3" s="31" t="n">
        <v>92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75.16</v>
      </c>
      <c r="P3" s="32" t="n">
        <v>53.13</v>
      </c>
      <c r="Q3" s="32" t="n">
        <v>440.45</v>
      </c>
      <c r="R3" s="31" t="inlineStr">
        <is>
          <t>Near 52W High Breakout</t>
        </is>
      </c>
      <c r="S3" s="31" t="inlineStr">
        <is>
          <t>Nifty FMCG</t>
        </is>
      </c>
      <c r="T3" s="32" t="n">
        <v>-10.22</v>
      </c>
      <c r="U3" s="32" t="n">
        <v>217.32</v>
      </c>
      <c r="V3" s="32" t="n">
        <v>253.42</v>
      </c>
      <c r="W3" s="32" t="n">
        <v>41.62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24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ACCENTMIC</t>
        </is>
      </c>
      <c r="D4" s="31" t="inlineStr">
        <is>
          <t>Accent Microcell Ltd</t>
        </is>
      </c>
      <c r="E4" s="31" t="inlineStr">
        <is>
          <t>unknown</t>
        </is>
      </c>
      <c r="F4" s="31" t="inlineStr">
        <is>
          <t>Pharma - Formulators</t>
        </is>
      </c>
      <c r="G4" s="31" t="inlineStr">
        <is>
          <t>smallcap</t>
        </is>
      </c>
      <c r="H4" s="32" t="n">
        <v>1105.77</v>
      </c>
      <c r="I4" s="32" t="n">
        <v>460.95</v>
      </c>
      <c r="J4" s="32" t="n">
        <v>-3.13</v>
      </c>
      <c r="K4" s="32" t="n">
        <v>0</v>
      </c>
      <c r="L4" s="31" t="n">
        <v>75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72.36</v>
      </c>
      <c r="P4" s="32" t="n">
        <v>52.91</v>
      </c>
      <c r="Q4" s="32" t="n">
        <v>371.57</v>
      </c>
      <c r="R4" s="31" t="inlineStr">
        <is>
          <t>Volume Spike &amp; Near 52W High Breakout</t>
        </is>
      </c>
      <c r="S4" s="31" t="inlineStr">
        <is>
          <t>Nifty 50</t>
        </is>
      </c>
      <c r="T4" s="32" t="n">
        <v>-6.08</v>
      </c>
      <c r="U4" s="32" t="n">
        <v>108.28</v>
      </c>
      <c r="V4" s="32" t="n">
        <v>121.77</v>
      </c>
      <c r="W4" s="32" t="n">
        <v>24.28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22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VENUSREM</t>
        </is>
      </c>
      <c r="D5" s="31" t="inlineStr">
        <is>
          <t>Venus Remedies Ltd</t>
        </is>
      </c>
      <c r="E5" s="31" t="inlineStr">
        <is>
          <t>healthcare</t>
        </is>
      </c>
      <c r="F5" s="31" t="inlineStr">
        <is>
          <t>Pharmaceuticals - I V Fluids</t>
        </is>
      </c>
      <c r="G5" s="31" t="inlineStr">
        <is>
          <t>smallcap</t>
        </is>
      </c>
      <c r="H5" s="32" t="n">
        <v>2183.5</v>
      </c>
      <c r="I5" s="32" t="n">
        <v>1633.5</v>
      </c>
      <c r="J5" s="32" t="n">
        <v>1.42</v>
      </c>
      <c r="K5" s="32" t="n">
        <v>0</v>
      </c>
      <c r="L5" s="31" t="n">
        <v>95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80.31999999999999</v>
      </c>
      <c r="P5" s="32" t="n">
        <v>50.28</v>
      </c>
      <c r="Q5" s="32" t="n">
        <v>1226.3</v>
      </c>
      <c r="R5" s="31" t="inlineStr">
        <is>
          <t>Volume Spike &amp; Near 52W High Breakout</t>
        </is>
      </c>
      <c r="S5" s="31" t="inlineStr">
        <is>
          <t>Nifty Pharma</t>
        </is>
      </c>
      <c r="T5" s="32" t="n">
        <v>9.9</v>
      </c>
      <c r="U5" s="32" t="n">
        <v>257.21</v>
      </c>
      <c r="V5" s="32" t="n">
        <v>225.04</v>
      </c>
      <c r="W5" s="32" t="n">
        <v>50.99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26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BLISSGVS</t>
        </is>
      </c>
      <c r="D6" s="31" t="inlineStr">
        <is>
          <t>Bliss GVS Pharma Ltd</t>
        </is>
      </c>
      <c r="E6" s="31" t="inlineStr">
        <is>
          <t>healthcare</t>
        </is>
      </c>
      <c r="F6" s="31" t="inlineStr">
        <is>
          <t>Pharma - Formulators</t>
        </is>
      </c>
      <c r="G6" s="31" t="inlineStr">
        <is>
          <t>smallcap</t>
        </is>
      </c>
      <c r="H6" s="32" t="n">
        <v>4492.33</v>
      </c>
      <c r="I6" s="32" t="n">
        <v>424.65</v>
      </c>
      <c r="J6" s="32" t="n">
        <v>0.72</v>
      </c>
      <c r="K6" s="32" t="n">
        <v>0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83.75</v>
      </c>
      <c r="P6" s="32" t="n">
        <v>60.22</v>
      </c>
      <c r="Q6" s="32" t="n">
        <v>333.22</v>
      </c>
      <c r="R6" s="31" t="inlineStr">
        <is>
          <t>Near 52W High Breakout</t>
        </is>
      </c>
      <c r="S6" s="31" t="inlineStr">
        <is>
          <t>Nifty Pharma</t>
        </is>
      </c>
      <c r="T6" s="32" t="n">
        <v>9.9</v>
      </c>
      <c r="U6" s="32" t="n">
        <v>185.96</v>
      </c>
      <c r="V6" s="32" t="n">
        <v>160.21</v>
      </c>
      <c r="W6" s="32" t="n">
        <v>51.19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22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RPTECH</t>
        </is>
      </c>
      <c r="D7" s="31" t="inlineStr">
        <is>
          <t>Rashi Peripherals Ltd</t>
        </is>
      </c>
      <c r="E7" s="31" t="inlineStr">
        <is>
          <t>Technology</t>
        </is>
      </c>
      <c r="F7" s="31" t="inlineStr">
        <is>
          <t>Trading</t>
        </is>
      </c>
      <c r="G7" s="31" t="inlineStr">
        <is>
          <t>smallcap</t>
        </is>
      </c>
      <c r="H7" s="32" t="n">
        <v>3487.08</v>
      </c>
      <c r="I7" s="32" t="n">
        <v>529.15</v>
      </c>
      <c r="J7" s="32" t="n">
        <v>-4.25</v>
      </c>
      <c r="K7" s="32" t="n">
        <v>0</v>
      </c>
      <c r="L7" s="31" t="n">
        <v>74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71.86</v>
      </c>
      <c r="P7" s="32" t="n">
        <v>49</v>
      </c>
      <c r="Q7" s="32" t="n">
        <v>418.96</v>
      </c>
      <c r="R7" s="31" t="inlineStr">
        <is>
          <t>Near 52W High Breakout</t>
        </is>
      </c>
      <c r="S7" s="31" t="inlineStr">
        <is>
          <t>Nifty 50</t>
        </is>
      </c>
      <c r="T7" s="32" t="n">
        <v>-6.08</v>
      </c>
      <c r="U7" s="32" t="n">
        <v>71.06</v>
      </c>
      <c r="V7" s="32" t="n">
        <v>82.14</v>
      </c>
      <c r="W7" s="32" t="n">
        <v>24.01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Less than 50%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20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VMARCIND</t>
        </is>
      </c>
      <c r="D8" s="31" t="inlineStr">
        <is>
          <t>V-Marc India Ltd</t>
        </is>
      </c>
      <c r="E8" s="31" t="inlineStr">
        <is>
          <t>unknown</t>
        </is>
      </c>
      <c r="F8" s="31" t="inlineStr">
        <is>
          <t>Cables - Power</t>
        </is>
      </c>
      <c r="G8" s="31" t="inlineStr">
        <is>
          <t>smallcap</t>
        </is>
      </c>
      <c r="H8" s="32" t="n">
        <v>3412.18</v>
      </c>
      <c r="I8" s="32" t="n">
        <v>1397.25</v>
      </c>
      <c r="J8" s="32" t="n">
        <v>0.03</v>
      </c>
      <c r="K8" s="32" t="n">
        <v>0</v>
      </c>
      <c r="L8" s="31" t="n">
        <v>97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77.37</v>
      </c>
      <c r="P8" s="32" t="n">
        <v>41.13</v>
      </c>
      <c r="Q8" s="32" t="n">
        <v>1127.75</v>
      </c>
      <c r="R8" s="31" t="inlineStr">
        <is>
          <t>Earnings / Momentum Support</t>
        </is>
      </c>
      <c r="S8" s="31" t="inlineStr">
        <is>
          <t>Nifty 50</t>
        </is>
      </c>
      <c r="T8" s="32" t="n">
        <v>-6.08</v>
      </c>
      <c r="U8" s="32" t="n">
        <v>352.06</v>
      </c>
      <c r="V8" s="32" t="n">
        <v>381.33</v>
      </c>
      <c r="W8" s="32" t="n">
        <v>60.25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4" t="inlineStr">
        <is>
          <t>ACGL</t>
        </is>
      </c>
      <c r="D9" s="34" t="inlineStr">
        <is>
          <t>Automobile Corporation Of Goa Ltd</t>
        </is>
      </c>
      <c r="E9" s="31" t="inlineStr">
        <is>
          <t>Consumer Cyclical</t>
        </is>
      </c>
      <c r="F9" s="31" t="inlineStr">
        <is>
          <t>Auto Ancillaries - Diversified</t>
        </is>
      </c>
      <c r="G9" s="31" t="inlineStr">
        <is>
          <t>smallcap</t>
        </is>
      </c>
      <c r="H9" s="32" t="n">
        <v>1380.05</v>
      </c>
      <c r="I9" s="32" t="n">
        <v>2266.6</v>
      </c>
      <c r="J9" s="32" t="n">
        <v>2.4</v>
      </c>
      <c r="K9" s="32" t="n">
        <v>0</v>
      </c>
      <c r="L9" s="31" t="n">
        <v>55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69.06999999999999</v>
      </c>
      <c r="P9" s="32" t="n">
        <v>26.5</v>
      </c>
      <c r="Q9" s="32" t="n">
        <v>1649.65</v>
      </c>
      <c r="R9" s="31" t="inlineStr">
        <is>
          <t>Volume Spike &amp; Near 52W High Breakout</t>
        </is>
      </c>
      <c r="S9" s="31" t="inlineStr">
        <is>
          <t>Nifty Auto</t>
        </is>
      </c>
      <c r="T9" s="32" t="n">
        <v>10.74</v>
      </c>
      <c r="U9" s="32" t="n">
        <v>26.75</v>
      </c>
      <c r="V9" s="32" t="n">
        <v>14.46</v>
      </c>
      <c r="W9" s="32" t="n">
        <v>16.14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18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PGHL</t>
        </is>
      </c>
      <c r="D10" s="31" t="inlineStr">
        <is>
          <t>Procter &amp; Gamble Health Ltd</t>
        </is>
      </c>
      <c r="E10" s="31" t="inlineStr">
        <is>
          <t>healthcare</t>
        </is>
      </c>
      <c r="F10" s="31" t="inlineStr">
        <is>
          <t>Pharma - MNC bulk Drugs</t>
        </is>
      </c>
      <c r="G10" s="31" t="inlineStr">
        <is>
          <t>midcap</t>
        </is>
      </c>
      <c r="H10" s="32" t="n">
        <v>10349.71</v>
      </c>
      <c r="I10" s="32" t="n">
        <v>6235</v>
      </c>
      <c r="J10" s="32" t="n">
        <v>0.36</v>
      </c>
      <c r="K10" s="32" t="n">
        <v>0</v>
      </c>
      <c r="L10" s="31" t="n">
        <v>26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74.62</v>
      </c>
      <c r="P10" s="32" t="n">
        <v>34.75</v>
      </c>
      <c r="Q10" s="32" t="n">
        <v>5270.03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9.9</v>
      </c>
      <c r="U10" s="32" t="n">
        <v>10.93</v>
      </c>
      <c r="V10" s="32" t="n">
        <v>0.9399999999999999</v>
      </c>
      <c r="W10" s="32" t="n">
        <v>8.779999999999999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20 to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21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CUPID</t>
        </is>
      </c>
      <c r="D11" s="31" t="inlineStr">
        <is>
          <t>Cupid Ltd</t>
        </is>
      </c>
      <c r="E11" s="31" t="inlineStr">
        <is>
          <t>fmcg</t>
        </is>
      </c>
      <c r="F11" s="31" t="inlineStr">
        <is>
          <t>Contraceptives/Protectives</t>
        </is>
      </c>
      <c r="G11" s="31" t="inlineStr">
        <is>
          <t>largecap</t>
        </is>
      </c>
      <c r="H11" s="32" t="n">
        <v>20249.25</v>
      </c>
      <c r="I11" s="32" t="n">
        <v>150.59</v>
      </c>
      <c r="J11" s="32" t="n">
        <v>3.24</v>
      </c>
      <c r="K11" s="32" t="n">
        <v>0</v>
      </c>
      <c r="L11" s="31" t="n">
        <v>98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79.68000000000001</v>
      </c>
      <c r="P11" s="32" t="n">
        <v>44.87</v>
      </c>
      <c r="Q11" s="32" t="n">
        <v>116.35</v>
      </c>
      <c r="R11" s="31" t="inlineStr">
        <is>
          <t>Near 52W High Breakout</t>
        </is>
      </c>
      <c r="S11" s="31" t="inlineStr">
        <is>
          <t>Nifty FMCG</t>
        </is>
      </c>
      <c r="T11" s="32" t="n">
        <v>-10.22</v>
      </c>
      <c r="U11" s="32" t="n">
        <v>678.48</v>
      </c>
      <c r="V11" s="32" t="n">
        <v>767.0599999999999</v>
      </c>
      <c r="W11" s="32" t="n">
        <v>79.09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Less than 50%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20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VALIANT</t>
        </is>
      </c>
      <c r="D12" s="31" t="inlineStr">
        <is>
          <t>Valiant Communications Ltd</t>
        </is>
      </c>
      <c r="E12" s="31" t="inlineStr">
        <is>
          <t>Technology</t>
        </is>
      </c>
      <c r="F12" s="31" t="inlineStr">
        <is>
          <t>Telecom Services</t>
        </is>
      </c>
      <c r="G12" s="31" t="inlineStr">
        <is>
          <t>smallcap</t>
        </is>
      </c>
      <c r="H12" s="32" t="n">
        <v>1451.98</v>
      </c>
      <c r="I12" s="32" t="n">
        <v>1241.85</v>
      </c>
      <c r="J12" s="32" t="n">
        <v>-0.17</v>
      </c>
      <c r="K12" s="32" t="n">
        <v>0</v>
      </c>
      <c r="L12" s="31" t="n">
        <v>82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68.69</v>
      </c>
      <c r="P12" s="32" t="n">
        <v>26.77</v>
      </c>
      <c r="Q12" s="32" t="n">
        <v>894.79</v>
      </c>
      <c r="R12" s="31" t="inlineStr">
        <is>
          <t>Near 52W High Breakout</t>
        </is>
      </c>
      <c r="S12" s="31" t="inlineStr">
        <is>
          <t>Nifty 50</t>
        </is>
      </c>
      <c r="T12" s="32" t="n">
        <v>-6.08</v>
      </c>
      <c r="U12" s="32" t="n">
        <v>177.15</v>
      </c>
      <c r="V12" s="32" t="n">
        <v>195.1</v>
      </c>
      <c r="W12" s="32" t="n">
        <v>28.39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Oligopoly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18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TIMEX</t>
        </is>
      </c>
      <c r="D13" s="31" t="inlineStr">
        <is>
          <t>Timex Group India Ltd</t>
        </is>
      </c>
      <c r="E13" s="31" t="inlineStr">
        <is>
          <t>Consumer Cyclical</t>
        </is>
      </c>
      <c r="F13" s="31" t="inlineStr">
        <is>
          <t>Watches</t>
        </is>
      </c>
      <c r="G13" s="31" t="inlineStr">
        <is>
          <t>smallcap</t>
        </is>
      </c>
      <c r="H13" s="32" t="n">
        <v>4612.41</v>
      </c>
      <c r="I13" s="32" t="n">
        <v>456.9</v>
      </c>
      <c r="J13" s="32" t="n">
        <v>-0.73</v>
      </c>
      <c r="K13" s="32" t="n">
        <v>0</v>
      </c>
      <c r="L13" s="31" t="n">
        <v>81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71.88</v>
      </c>
      <c r="P13" s="32" t="n">
        <v>27.29</v>
      </c>
      <c r="Q13" s="32" t="n">
        <v>343.76</v>
      </c>
      <c r="R13" s="31" t="inlineStr">
        <is>
          <t>Near 52W High Breakout</t>
        </is>
      </c>
      <c r="S13" s="31" t="inlineStr">
        <is>
          <t>Nifty 50</t>
        </is>
      </c>
      <c r="T13" s="32" t="n">
        <v>-6.08</v>
      </c>
      <c r="U13" s="32" t="n">
        <v>69.04000000000001</v>
      </c>
      <c r="V13" s="32" t="n">
        <v>79.98999999999999</v>
      </c>
      <c r="W13" s="32" t="n">
        <v>27.38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24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SEAMECLTD</t>
        </is>
      </c>
      <c r="D14" s="31" t="inlineStr">
        <is>
          <t>SEAMEC Ltd</t>
        </is>
      </c>
      <c r="E14" s="31" t="inlineStr">
        <is>
          <t>Industrials</t>
        </is>
      </c>
      <c r="F14" s="31" t="inlineStr">
        <is>
          <t>Shipping</t>
        </is>
      </c>
      <c r="G14" s="31" t="inlineStr">
        <is>
          <t>smallcap</t>
        </is>
      </c>
      <c r="H14" s="32" t="n">
        <v>4029.35</v>
      </c>
      <c r="I14" s="32" t="n">
        <v>1584.8</v>
      </c>
      <c r="J14" s="32" t="n">
        <v>-1.74</v>
      </c>
      <c r="K14" s="32" t="n">
        <v>0</v>
      </c>
      <c r="L14" s="31" t="n">
        <v>59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69.52</v>
      </c>
      <c r="P14" s="32" t="n">
        <v>55.98</v>
      </c>
      <c r="Q14" s="32" t="n">
        <v>1253</v>
      </c>
      <c r="R14" s="31" t="inlineStr">
        <is>
          <t>Near 52W High Breakout</t>
        </is>
      </c>
      <c r="S14" s="31" t="inlineStr">
        <is>
          <t>Nifty 50</t>
        </is>
      </c>
      <c r="T14" s="32" t="n">
        <v>-6.08</v>
      </c>
      <c r="U14" s="32" t="n">
        <v>84.3</v>
      </c>
      <c r="V14" s="32" t="n">
        <v>96.23999999999999</v>
      </c>
      <c r="W14" s="32" t="n">
        <v>17.39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20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4" t="inlineStr">
        <is>
          <t>GAYAPROJ</t>
        </is>
      </c>
      <c r="D15" s="34" t="inlineStr">
        <is>
          <t>Gayatri Projects Ltd</t>
        </is>
      </c>
      <c r="E15" s="31" t="inlineStr">
        <is>
          <t>realty</t>
        </is>
      </c>
      <c r="F15" s="31" t="inlineStr">
        <is>
          <t>Construction - Civil/Turnkey</t>
        </is>
      </c>
      <c r="G15" s="31" t="inlineStr">
        <is>
          <t>smallcap</t>
        </is>
      </c>
      <c r="H15" s="32" t="n">
        <v>1009.85</v>
      </c>
      <c r="I15" s="32" t="n">
        <v>21.75</v>
      </c>
      <c r="J15" s="32" t="n">
        <v>1.97</v>
      </c>
      <c r="K15" s="32" t="n">
        <v>0</v>
      </c>
      <c r="L15" s="31" t="n">
        <v>88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75.43000000000001</v>
      </c>
      <c r="P15" s="32" t="n">
        <v>61.18</v>
      </c>
      <c r="Q15" s="32" t="n">
        <v>17.42</v>
      </c>
      <c r="R15" s="31" t="inlineStr">
        <is>
          <t>Near 52W High Breakout</t>
        </is>
      </c>
      <c r="S15" s="31" t="inlineStr">
        <is>
          <t>Nifty Realty</t>
        </is>
      </c>
      <c r="T15" s="32" t="n">
        <v>-25.71</v>
      </c>
      <c r="U15" s="32" t="n">
        <v>145.21</v>
      </c>
      <c r="V15" s="32" t="n">
        <v>230.06</v>
      </c>
      <c r="W15" s="32" t="n">
        <v>36.14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19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KPL</t>
        </is>
      </c>
      <c r="D16" s="31" t="inlineStr">
        <is>
          <t>Kwality Pharmaceuticals Ltd</t>
        </is>
      </c>
      <c r="E16" s="31" t="inlineStr">
        <is>
          <t>Healthcare</t>
        </is>
      </c>
      <c r="F16" s="31" t="inlineStr">
        <is>
          <t>Pharma - Formulators</t>
        </is>
      </c>
      <c r="G16" s="31" t="inlineStr">
        <is>
          <t>smallcap</t>
        </is>
      </c>
      <c r="H16" s="32" t="n">
        <v>2594.05</v>
      </c>
      <c r="I16" s="32" t="n">
        <v>2500</v>
      </c>
      <c r="J16" s="32" t="n">
        <v>7.01</v>
      </c>
      <c r="K16" s="32" t="n">
        <v>0</v>
      </c>
      <c r="L16" s="31" t="n">
        <v>87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80.23</v>
      </c>
      <c r="P16" s="32" t="n">
        <v>52.88</v>
      </c>
      <c r="Q16" s="32" t="n">
        <v>1832.4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9.9</v>
      </c>
      <c r="U16" s="32" t="n">
        <v>143.9</v>
      </c>
      <c r="V16" s="32" t="n">
        <v>121.94</v>
      </c>
      <c r="W16" s="32" t="n">
        <v>34.98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27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ACUTAAS</t>
        </is>
      </c>
      <c r="D17" s="31" t="inlineStr">
        <is>
          <t>Acutaas Chemicals Ltd</t>
        </is>
      </c>
      <c r="E17" s="31" t="inlineStr">
        <is>
          <t>healthcare</t>
        </is>
      </c>
      <c r="F17" s="31" t="inlineStr">
        <is>
          <t>Pharma - API &amp; CRAMS</t>
        </is>
      </c>
      <c r="G17" s="31" t="inlineStr">
        <is>
          <t>largecap</t>
        </is>
      </c>
      <c r="H17" s="32" t="n">
        <v>26256.07</v>
      </c>
      <c r="I17" s="32" t="n">
        <v>3207</v>
      </c>
      <c r="J17" s="32" t="n">
        <v>0.26</v>
      </c>
      <c r="K17" s="32" t="n">
        <v>0</v>
      </c>
      <c r="L17" s="31" t="n">
        <v>88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74.16</v>
      </c>
      <c r="P17" s="32" t="n">
        <v>65.37</v>
      </c>
      <c r="Q17" s="32" t="n">
        <v>2592.43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9.9</v>
      </c>
      <c r="U17" s="32" t="n">
        <v>190.6</v>
      </c>
      <c r="V17" s="32" t="n">
        <v>164.43</v>
      </c>
      <c r="W17" s="32" t="n">
        <v>35.82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25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GVPIL</t>
        </is>
      </c>
      <c r="D18" s="31" t="inlineStr">
        <is>
          <t>GE Power India Ltd</t>
        </is>
      </c>
      <c r="E18" s="31" t="inlineStr">
        <is>
          <t>realty</t>
        </is>
      </c>
      <c r="F18" s="31" t="inlineStr">
        <is>
          <t>Infra - General</t>
        </is>
      </c>
      <c r="G18" s="31" t="inlineStr">
        <is>
          <t>midcap</t>
        </is>
      </c>
      <c r="H18" s="32" t="n">
        <v>6115.01</v>
      </c>
      <c r="I18" s="32" t="n">
        <v>909.6</v>
      </c>
      <c r="J18" s="32" t="n">
        <v>0.45</v>
      </c>
      <c r="K18" s="32" t="n">
        <v>0</v>
      </c>
      <c r="L18" s="31" t="n">
        <v>95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87.73999999999999</v>
      </c>
      <c r="P18" s="32" t="n">
        <v>56.06</v>
      </c>
      <c r="Q18" s="32" t="n">
        <v>692.01</v>
      </c>
      <c r="R18" s="31" t="inlineStr">
        <is>
          <t>Near 52W High Breakout</t>
        </is>
      </c>
      <c r="S18" s="31" t="inlineStr">
        <is>
          <t>Nifty Realty</t>
        </is>
      </c>
      <c r="T18" s="32" t="n">
        <v>-25.71</v>
      </c>
      <c r="U18" s="32" t="n">
        <v>187.8</v>
      </c>
      <c r="V18" s="32" t="n">
        <v>287.4</v>
      </c>
      <c r="W18" s="32" t="n">
        <v>50.74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Duopoly That Cooperate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Shallow Cyclical (2 to 3 Years Growth)</t>
        </is>
      </c>
      <c r="AG18" s="31">
        <f>IF(AF18="Structural (10 Years Consistency)",10,IF(AF18="Shallow Cyclical (2 to 3 years growth)",5,0))</f>
        <v/>
      </c>
      <c r="AH18" s="31" t="inlineStr">
        <is>
          <t>Yes due to Product Mix change or Operating Leverage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Fully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only for next 1 to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Between 50% to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Between 0.7 to 1.2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21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SAKAR</t>
        </is>
      </c>
      <c r="D19" s="34" t="inlineStr">
        <is>
          <t>Sakar Healthcare Ltd</t>
        </is>
      </c>
      <c r="E19" s="31" t="inlineStr">
        <is>
          <t>healthcare</t>
        </is>
      </c>
      <c r="F19" s="31" t="inlineStr">
        <is>
          <t>Hospitals</t>
        </is>
      </c>
      <c r="G19" s="31" t="inlineStr">
        <is>
          <t>smallcap</t>
        </is>
      </c>
      <c r="H19" s="32" t="n">
        <v>1866.77</v>
      </c>
      <c r="I19" s="32" t="n">
        <v>839</v>
      </c>
      <c r="J19" s="32" t="n">
        <v>3.12</v>
      </c>
      <c r="K19" s="32" t="n">
        <v>0</v>
      </c>
      <c r="L19" s="31" t="n">
        <v>88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77.19</v>
      </c>
      <c r="P19" s="32" t="n">
        <v>53.29</v>
      </c>
      <c r="Q19" s="32" t="n">
        <v>600.33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9.9</v>
      </c>
      <c r="U19" s="32" t="n">
        <v>167.79</v>
      </c>
      <c r="V19" s="32" t="n">
        <v>143.68</v>
      </c>
      <c r="W19" s="32" t="n">
        <v>35.87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19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RATEGAIN</t>
        </is>
      </c>
      <c r="D20" s="31" t="inlineStr">
        <is>
          <t>Rategain Travel Technologies Ltd</t>
        </is>
      </c>
      <c r="E20" s="31" t="inlineStr">
        <is>
          <t>i.t</t>
        </is>
      </c>
      <c r="F20" s="31" t="inlineStr">
        <is>
          <t>IT Product Companies</t>
        </is>
      </c>
      <c r="G20" s="31" t="inlineStr">
        <is>
          <t>midcap</t>
        </is>
      </c>
      <c r="H20" s="32" t="n">
        <v>9259.440000000001</v>
      </c>
      <c r="I20" s="32" t="n">
        <v>783.6</v>
      </c>
      <c r="J20" s="32" t="n">
        <v>4.41</v>
      </c>
      <c r="K20" s="32" t="n">
        <v>0</v>
      </c>
      <c r="L20" s="31" t="n">
        <v>81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72.44</v>
      </c>
      <c r="P20" s="32" t="n">
        <v>25.67</v>
      </c>
      <c r="Q20" s="32" t="n">
        <v>602.3</v>
      </c>
      <c r="R20" s="31" t="inlineStr">
        <is>
          <t>Near 52W High Breakout</t>
        </is>
      </c>
      <c r="S20" s="31" t="inlineStr">
        <is>
          <t>Nifty IT</t>
        </is>
      </c>
      <c r="T20" s="32" t="n">
        <v>-26.49</v>
      </c>
      <c r="U20" s="32" t="n">
        <v>77.08</v>
      </c>
      <c r="V20" s="32" t="n">
        <v>140.89</v>
      </c>
      <c r="W20" s="32" t="n">
        <v>27.92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Between 1.5 to 2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22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SYRMA</t>
        </is>
      </c>
      <c r="D21" s="31" t="inlineStr">
        <is>
          <t>Syrma SGS Technology Ltd</t>
        </is>
      </c>
      <c r="E21" s="31" t="inlineStr">
        <is>
          <t>consumer discretionary</t>
        </is>
      </c>
      <c r="F21" s="31" t="inlineStr">
        <is>
          <t>Consumer Electronics - EMS</t>
        </is>
      </c>
      <c r="G21" s="31" t="inlineStr">
        <is>
          <t>largecap</t>
        </is>
      </c>
      <c r="H21" s="32" t="n">
        <v>23637.16</v>
      </c>
      <c r="I21" s="32" t="n">
        <v>1225.8</v>
      </c>
      <c r="J21" s="32" t="n">
        <v>-2.47</v>
      </c>
      <c r="K21" s="32" t="n">
        <v>0</v>
      </c>
      <c r="L21" s="31" t="n">
        <v>89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72.92</v>
      </c>
      <c r="P21" s="32" t="n">
        <v>33.51</v>
      </c>
      <c r="Q21" s="32" t="n">
        <v>944.05</v>
      </c>
      <c r="R21" s="31" t="inlineStr">
        <is>
          <t>Near 52W High Breakout</t>
        </is>
      </c>
      <c r="S21" s="31" t="inlineStr">
        <is>
          <t>Nifty 50</t>
        </is>
      </c>
      <c r="T21" s="32" t="n">
        <v>-6.08</v>
      </c>
      <c r="U21" s="32" t="n">
        <v>134.92</v>
      </c>
      <c r="V21" s="32" t="n">
        <v>150.14</v>
      </c>
      <c r="W21" s="32" t="n">
        <v>36.8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Between 1.5 to 2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AVALON</t>
        </is>
      </c>
      <c r="D22" s="31" t="inlineStr">
        <is>
          <t>Avalon Technologies Ltd</t>
        </is>
      </c>
      <c r="E22" s="31" t="inlineStr">
        <is>
          <t>consumer discretionary</t>
        </is>
      </c>
      <c r="F22" s="31" t="inlineStr">
        <is>
          <t>Consumer Electronics - EMS</t>
        </is>
      </c>
      <c r="G22" s="31" t="inlineStr">
        <is>
          <t>midcap</t>
        </is>
      </c>
      <c r="H22" s="32" t="n">
        <v>10235.21</v>
      </c>
      <c r="I22" s="32" t="n">
        <v>1532.5</v>
      </c>
      <c r="J22" s="32" t="n">
        <v>-6.53</v>
      </c>
      <c r="K22" s="32" t="n">
        <v>0</v>
      </c>
      <c r="L22" s="31" t="n">
        <v>85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69.09999999999999</v>
      </c>
      <c r="P22" s="32" t="n">
        <v>32.64</v>
      </c>
      <c r="Q22" s="32" t="n">
        <v>1153.3</v>
      </c>
      <c r="R22" s="31" t="inlineStr">
        <is>
          <t>Near 52W High Breakout</t>
        </is>
      </c>
      <c r="S22" s="31" t="inlineStr">
        <is>
          <t>Nifty 50</t>
        </is>
      </c>
      <c r="T22" s="32" t="n">
        <v>-6.08</v>
      </c>
      <c r="U22" s="32" t="n">
        <v>84.38</v>
      </c>
      <c r="V22" s="32" t="n">
        <v>96.33</v>
      </c>
      <c r="W22" s="32" t="n">
        <v>31.21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20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NGLFINE</t>
        </is>
      </c>
      <c r="D23" s="31" t="inlineStr">
        <is>
          <t>NGL Fine Chem Ltd</t>
        </is>
      </c>
      <c r="E23" s="31" t="inlineStr">
        <is>
          <t>healthcare</t>
        </is>
      </c>
      <c r="F23" s="31" t="inlineStr">
        <is>
          <t>Pharma - Animal</t>
        </is>
      </c>
      <c r="G23" s="31" t="inlineStr">
        <is>
          <t>smallcap</t>
        </is>
      </c>
      <c r="H23" s="32" t="n">
        <v>1737.14</v>
      </c>
      <c r="I23" s="32" t="n">
        <v>2811.8</v>
      </c>
      <c r="J23" s="32" t="n">
        <v>-0.32</v>
      </c>
      <c r="K23" s="32" t="n">
        <v>0</v>
      </c>
      <c r="L23" s="31" t="n">
        <v>85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75.87</v>
      </c>
      <c r="P23" s="32" t="n">
        <v>65.39</v>
      </c>
      <c r="Q23" s="32" t="n">
        <v>1833.78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9.9</v>
      </c>
      <c r="U23" s="32" t="n">
        <v>168.18</v>
      </c>
      <c r="V23" s="32" t="n">
        <v>144.03</v>
      </c>
      <c r="W23" s="32" t="n">
        <v>30.66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22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4" t="inlineStr">
        <is>
          <t>NETWEB</t>
        </is>
      </c>
      <c r="D24" s="34" t="inlineStr">
        <is>
          <t>Netweb Technologies India Ltd</t>
        </is>
      </c>
      <c r="E24" s="31" t="inlineStr">
        <is>
          <t>Technology</t>
        </is>
      </c>
      <c r="F24" s="31" t="inlineStr">
        <is>
          <t>Data Centre</t>
        </is>
      </c>
      <c r="G24" s="31" t="inlineStr">
        <is>
          <t>largecap</t>
        </is>
      </c>
      <c r="H24" s="32" t="n">
        <v>24459.44</v>
      </c>
      <c r="I24" s="32" t="n">
        <v>4295.6</v>
      </c>
      <c r="J24" s="32" t="n">
        <v>-2.99</v>
      </c>
      <c r="K24" s="32" t="n">
        <v>0</v>
      </c>
      <c r="L24" s="31" t="n">
        <v>83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59.24</v>
      </c>
      <c r="P24" s="32" t="n">
        <v>44.55</v>
      </c>
      <c r="Q24" s="32" t="n">
        <v>3268.03</v>
      </c>
      <c r="R24" s="31" t="inlineStr">
        <is>
          <t>Earnings / Momentum Support</t>
        </is>
      </c>
      <c r="S24" s="31" t="inlineStr">
        <is>
          <t>Nifty 50</t>
        </is>
      </c>
      <c r="T24" s="32" t="n">
        <v>-6.08</v>
      </c>
      <c r="U24" s="32" t="n">
        <v>141.37</v>
      </c>
      <c r="V24" s="32" t="n">
        <v>157.01</v>
      </c>
      <c r="W24" s="32" t="n">
        <v>28.62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Between 1.5 to 2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17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THANGAMAYL</t>
        </is>
      </c>
      <c r="D25" s="31" t="inlineStr">
        <is>
          <t>Thangamayil Jewellery Ltd</t>
        </is>
      </c>
      <c r="E25" s="31" t="inlineStr">
        <is>
          <t>consumer discretionary</t>
        </is>
      </c>
      <c r="F25" s="31" t="inlineStr">
        <is>
          <t>Diamond, Gems &amp; Jewellery</t>
        </is>
      </c>
      <c r="G25" s="31" t="inlineStr">
        <is>
          <t>midcap</t>
        </is>
      </c>
      <c r="H25" s="32" t="n">
        <v>16921.36</v>
      </c>
      <c r="I25" s="32" t="n">
        <v>5444.1</v>
      </c>
      <c r="J25" s="32" t="n">
        <v>-0.46</v>
      </c>
      <c r="K25" s="32" t="n">
        <v>0</v>
      </c>
      <c r="L25" s="31" t="n">
        <v>89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70.95</v>
      </c>
      <c r="P25" s="32" t="n">
        <v>39.43</v>
      </c>
      <c r="Q25" s="32" t="n">
        <v>3921.19</v>
      </c>
      <c r="R25" s="31" t="inlineStr">
        <is>
          <t>Near 52W High Breakout</t>
        </is>
      </c>
      <c r="S25" s="31" t="inlineStr">
        <is>
          <t>Nifty 50</t>
        </is>
      </c>
      <c r="T25" s="32" t="n">
        <v>-6.08</v>
      </c>
      <c r="U25" s="32" t="n">
        <v>195.88</v>
      </c>
      <c r="V25" s="32" t="n">
        <v>215.05</v>
      </c>
      <c r="W25" s="32" t="n">
        <v>37.07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32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UNIPARTS</t>
        </is>
      </c>
      <c r="D26" s="31" t="inlineStr">
        <is>
          <t>Uniparts India Ltd</t>
        </is>
      </c>
      <c r="E26" s="31" t="inlineStr">
        <is>
          <t>industrials</t>
        </is>
      </c>
      <c r="F26" s="31" t="inlineStr">
        <is>
          <t>Castings, Forgings &amp; Fastners</t>
        </is>
      </c>
      <c r="G26" s="31" t="inlineStr">
        <is>
          <t>smallcap</t>
        </is>
      </c>
      <c r="H26" s="32" t="n">
        <v>2897.96</v>
      </c>
      <c r="I26" s="32" t="n">
        <v>641.95</v>
      </c>
      <c r="J26" s="32" t="n">
        <v>0.26</v>
      </c>
      <c r="K26" s="32" t="n">
        <v>0</v>
      </c>
      <c r="L26" s="31" t="n">
        <v>72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72.42</v>
      </c>
      <c r="P26" s="32" t="n">
        <v>34.24</v>
      </c>
      <c r="Q26" s="32" t="n">
        <v>493.17</v>
      </c>
      <c r="R26" s="31" t="inlineStr">
        <is>
          <t>Near 52W High Breakout</t>
        </is>
      </c>
      <c r="S26" s="31" t="inlineStr">
        <is>
          <t>Nifty 50</t>
        </is>
      </c>
      <c r="T26" s="32" t="n">
        <v>-6.08</v>
      </c>
      <c r="U26" s="32" t="n">
        <v>79.59999999999999</v>
      </c>
      <c r="V26" s="32" t="n">
        <v>91.23</v>
      </c>
      <c r="W26" s="32" t="n">
        <v>23.13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27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MODISONLTD</t>
        </is>
      </c>
      <c r="D27" s="31" t="inlineStr">
        <is>
          <t>Modison Ltd</t>
        </is>
      </c>
      <c r="E27" s="31" t="inlineStr">
        <is>
          <t>industrials</t>
        </is>
      </c>
      <c r="F27" s="31" t="inlineStr">
        <is>
          <t>Capital Goods - Electric General</t>
        </is>
      </c>
      <c r="G27" s="31" t="inlineStr">
        <is>
          <t>smallcap</t>
        </is>
      </c>
      <c r="H27" s="32" t="n">
        <v>1009.36</v>
      </c>
      <c r="I27" s="32" t="n">
        <v>311.05</v>
      </c>
      <c r="J27" s="32" t="n">
        <v>-4.99</v>
      </c>
      <c r="K27" s="32" t="n">
        <v>0</v>
      </c>
      <c r="L27" s="31" t="n">
        <v>97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72.63</v>
      </c>
      <c r="P27" s="32" t="n">
        <v>34.44</v>
      </c>
      <c r="Q27" s="32" t="n">
        <v>274.32</v>
      </c>
      <c r="R27" s="31" t="inlineStr">
        <is>
          <t>Earnings / Momentum Support</t>
        </is>
      </c>
      <c r="S27" s="31" t="inlineStr">
        <is>
          <t>Nifty 50</t>
        </is>
      </c>
      <c r="T27" s="32" t="n">
        <v>-6.08</v>
      </c>
      <c r="U27" s="32" t="n">
        <v>95.23999999999999</v>
      </c>
      <c r="V27" s="32" t="n">
        <v>107.89</v>
      </c>
      <c r="W27" s="32" t="n">
        <v>59.84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26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SEKURITIND</t>
        </is>
      </c>
      <c r="D28" s="31" t="inlineStr">
        <is>
          <t>Saint-Gobain Sekurit India Ltd</t>
        </is>
      </c>
      <c r="E28" s="31" t="inlineStr">
        <is>
          <t>Consumer Cyclical</t>
        </is>
      </c>
      <c r="F28" s="31" t="inlineStr">
        <is>
          <t>Glass &amp; Glass Products</t>
        </is>
      </c>
      <c r="G28" s="31" t="inlineStr">
        <is>
          <t>smallcap</t>
        </is>
      </c>
      <c r="H28" s="32" t="n">
        <v>1128.34</v>
      </c>
      <c r="I28" s="32" t="n">
        <v>123.85</v>
      </c>
      <c r="J28" s="32" t="n">
        <v>-3.84</v>
      </c>
      <c r="K28" s="32" t="n">
        <v>0</v>
      </c>
      <c r="L28" s="31" t="n">
        <v>32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64.98</v>
      </c>
      <c r="P28" s="32" t="n">
        <v>30.75</v>
      </c>
      <c r="Q28" s="32" t="n">
        <v>106.43</v>
      </c>
      <c r="R28" s="31" t="inlineStr">
        <is>
          <t>Earnings / Momentum Support</t>
        </is>
      </c>
      <c r="S28" s="31" t="inlineStr">
        <is>
          <t>Nifty Auto</t>
        </is>
      </c>
      <c r="T28" s="32" t="n">
        <v>10.74</v>
      </c>
      <c r="U28" s="32" t="n">
        <v>12.65</v>
      </c>
      <c r="V28" s="32" t="n">
        <v>1.73</v>
      </c>
      <c r="W28" s="32" t="n">
        <v>10.07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23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GVT&amp;D</t>
        </is>
      </c>
      <c r="D29" s="31" t="inlineStr">
        <is>
          <t>GE Vernova T&amp;D India Ltd</t>
        </is>
      </c>
      <c r="E29" s="31" t="inlineStr">
        <is>
          <t>Industrials</t>
        </is>
      </c>
      <c r="F29" s="31" t="inlineStr">
        <is>
          <t>Electrical Equipments/HVDC</t>
        </is>
      </c>
      <c r="G29" s="31" t="inlineStr">
        <is>
          <t>largecap</t>
        </is>
      </c>
      <c r="H29" s="32" t="n">
        <v>124592.24</v>
      </c>
      <c r="I29" s="32" t="n">
        <v>4866</v>
      </c>
      <c r="J29" s="32" t="n">
        <v>-1.32</v>
      </c>
      <c r="K29" s="32" t="n">
        <v>0</v>
      </c>
      <c r="L29" s="31" t="n">
        <v>74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67.42</v>
      </c>
      <c r="P29" s="32" t="n">
        <v>49.62</v>
      </c>
      <c r="Q29" s="32" t="n">
        <v>3910.28</v>
      </c>
      <c r="R29" s="31" t="inlineStr">
        <is>
          <t>Earnings / Momentum Support</t>
        </is>
      </c>
      <c r="S29" s="31" t="inlineStr">
        <is>
          <t>Nifty 50</t>
        </is>
      </c>
      <c r="T29" s="32" t="n">
        <v>-6.08</v>
      </c>
      <c r="U29" s="32" t="n">
        <v>109.9</v>
      </c>
      <c r="V29" s="32" t="n">
        <v>123.49</v>
      </c>
      <c r="W29" s="32" t="n">
        <v>23.57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22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COCKERILL</t>
        </is>
      </c>
      <c r="D30" s="31" t="inlineStr">
        <is>
          <t>John Cockerill India Ltd</t>
        </is>
      </c>
      <c r="E30" s="31" t="inlineStr">
        <is>
          <t>Industrials</t>
        </is>
      </c>
      <c r="F30" s="31" t="inlineStr">
        <is>
          <t>Capital Goods - Engineering Heavy</t>
        </is>
      </c>
      <c r="G30" s="31" t="inlineStr">
        <is>
          <t>midcap</t>
        </is>
      </c>
      <c r="H30" s="32" t="n">
        <v>5083.31</v>
      </c>
      <c r="I30" s="32" t="n">
        <v>10294.65</v>
      </c>
      <c r="J30" s="32" t="n">
        <v>4.41</v>
      </c>
      <c r="K30" s="32" t="n">
        <v>0</v>
      </c>
      <c r="L30" s="31" t="n">
        <v>96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84.36</v>
      </c>
      <c r="P30" s="32" t="n">
        <v>32.2</v>
      </c>
      <c r="Q30" s="32" t="n">
        <v>7833.69</v>
      </c>
      <c r="R30" s="31" t="inlineStr">
        <is>
          <t>Near 52W High Breakout</t>
        </is>
      </c>
      <c r="S30" s="31" t="inlineStr">
        <is>
          <t>Nifty Metal</t>
        </is>
      </c>
      <c r="T30" s="32" t="n">
        <v>37.88</v>
      </c>
      <c r="U30" s="32" t="n">
        <v>190.37</v>
      </c>
      <c r="V30" s="32" t="n">
        <v>110.59</v>
      </c>
      <c r="W30" s="32" t="n">
        <v>54.09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22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MAYURUNIQ</t>
        </is>
      </c>
      <c r="D31" s="34" t="inlineStr">
        <is>
          <t>Mayur Uniquoters Ltd</t>
        </is>
      </c>
      <c r="E31" s="31" t="inlineStr">
        <is>
          <t>consumer discretionary</t>
        </is>
      </c>
      <c r="F31" s="31" t="inlineStr">
        <is>
          <t>Plastics - Plastic &amp; Plastic Products</t>
        </is>
      </c>
      <c r="G31" s="31" t="inlineStr">
        <is>
          <t>smallcap</t>
        </is>
      </c>
      <c r="H31" s="32" t="n">
        <v>3525.09</v>
      </c>
      <c r="I31" s="32" t="n">
        <v>811.25</v>
      </c>
      <c r="J31" s="32" t="n">
        <v>1.55</v>
      </c>
      <c r="K31" s="32" t="n">
        <v>0</v>
      </c>
      <c r="L31" s="31" t="n">
        <v>68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78.56</v>
      </c>
      <c r="P31" s="32" t="n">
        <v>35.68</v>
      </c>
      <c r="Q31" s="32" t="n">
        <v>631.4400000000001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-6.08</v>
      </c>
      <c r="U31" s="32" t="n">
        <v>41.52</v>
      </c>
      <c r="V31" s="32" t="n">
        <v>50.69</v>
      </c>
      <c r="W31" s="32" t="n">
        <v>21.96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19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SANSERA</t>
        </is>
      </c>
      <c r="D32" s="34" t="inlineStr">
        <is>
          <t>Sansera Engineering Ltd</t>
        </is>
      </c>
      <c r="E32" s="31" t="inlineStr">
        <is>
          <t>auto</t>
        </is>
      </c>
      <c r="F32" s="31" t="inlineStr">
        <is>
          <t>Auto Ancillaries - Diversified</t>
        </is>
      </c>
      <c r="G32" s="31" t="inlineStr">
        <is>
          <t>midcap</t>
        </is>
      </c>
      <c r="H32" s="32" t="n">
        <v>17959.73</v>
      </c>
      <c r="I32" s="32" t="n">
        <v>2881.3</v>
      </c>
      <c r="J32" s="32" t="n">
        <v>-2.7</v>
      </c>
      <c r="K32" s="32" t="n">
        <v>0</v>
      </c>
      <c r="L32" s="31" t="n">
        <v>81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71.55</v>
      </c>
      <c r="P32" s="32" t="n">
        <v>39.85</v>
      </c>
      <c r="Q32" s="32" t="n">
        <v>2290.73</v>
      </c>
      <c r="R32" s="31" t="inlineStr">
        <is>
          <t>Near 52W High Breakout</t>
        </is>
      </c>
      <c r="S32" s="31" t="inlineStr">
        <is>
          <t>Nifty Auto</t>
        </is>
      </c>
      <c r="T32" s="32" t="n">
        <v>10.74</v>
      </c>
      <c r="U32" s="32" t="n">
        <v>119.74</v>
      </c>
      <c r="V32" s="32" t="n">
        <v>98.43000000000001</v>
      </c>
      <c r="W32" s="32" t="n">
        <v>27.6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17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KMCSHIL</t>
        </is>
      </c>
      <c r="D33" s="31" t="inlineStr">
        <is>
          <t>KMC Speciality Hospitals (India) Ltd</t>
        </is>
      </c>
      <c r="E33" s="31" t="inlineStr">
        <is>
          <t>Healthcare</t>
        </is>
      </c>
      <c r="F33" s="31" t="inlineStr">
        <is>
          <t>Hospitals</t>
        </is>
      </c>
      <c r="G33" s="31" t="inlineStr">
        <is>
          <t>smallcap</t>
        </is>
      </c>
      <c r="H33" s="32" t="n">
        <v>1917.06</v>
      </c>
      <c r="I33" s="32" t="n">
        <v>117.55</v>
      </c>
      <c r="J33" s="32" t="n">
        <v>3.3</v>
      </c>
      <c r="K33" s="32" t="n">
        <v>0</v>
      </c>
      <c r="L33" s="31" t="n">
        <v>66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83.37</v>
      </c>
      <c r="P33" s="32" t="n">
        <v>52.18</v>
      </c>
      <c r="Q33" s="32" t="n">
        <v>93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9.9</v>
      </c>
      <c r="U33" s="32" t="n">
        <v>73.61</v>
      </c>
      <c r="V33" s="32" t="n">
        <v>57.98</v>
      </c>
      <c r="W33" s="32" t="n">
        <v>21.1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26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SUPRIYA</t>
        </is>
      </c>
      <c r="D34" s="31" t="inlineStr">
        <is>
          <t>Supriya Lifescience Ltd</t>
        </is>
      </c>
      <c r="E34" s="31" t="inlineStr">
        <is>
          <t>healthcare</t>
        </is>
      </c>
      <c r="F34" s="31" t="inlineStr">
        <is>
          <t>Pharma - API &amp; CRAMS</t>
        </is>
      </c>
      <c r="G34" s="31" t="inlineStr">
        <is>
          <t>midcap</t>
        </is>
      </c>
      <c r="H34" s="32" t="n">
        <v>7665.18</v>
      </c>
      <c r="I34" s="32" t="n">
        <v>952.4</v>
      </c>
      <c r="J34" s="32" t="n">
        <v>-1.09</v>
      </c>
      <c r="K34" s="32" t="n">
        <v>0</v>
      </c>
      <c r="L34" s="31" t="n">
        <v>73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75.84999999999999</v>
      </c>
      <c r="P34" s="32" t="n">
        <v>33.96</v>
      </c>
      <c r="Q34" s="32" t="n">
        <v>732.62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9.9</v>
      </c>
      <c r="U34" s="32" t="n">
        <v>38.33</v>
      </c>
      <c r="V34" s="32" t="n">
        <v>25.87</v>
      </c>
      <c r="W34" s="32" t="n">
        <v>23.34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24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SHILPAMED</t>
        </is>
      </c>
      <c r="D35" s="31" t="inlineStr">
        <is>
          <t>Shilpa Medicare Ltd</t>
        </is>
      </c>
      <c r="E35" s="31" t="inlineStr">
        <is>
          <t>healthcare</t>
        </is>
      </c>
      <c r="F35" s="31" t="inlineStr">
        <is>
          <t>Pharma - API &amp; CRAMS</t>
        </is>
      </c>
      <c r="G35" s="31" t="inlineStr">
        <is>
          <t>midcap</t>
        </is>
      </c>
      <c r="H35" s="32" t="n">
        <v>10929.11</v>
      </c>
      <c r="I35" s="32" t="n">
        <v>558.8</v>
      </c>
      <c r="J35" s="32" t="n">
        <v>-1.82</v>
      </c>
      <c r="K35" s="32" t="n">
        <v>0</v>
      </c>
      <c r="L35" s="31" t="n">
        <v>72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80.5</v>
      </c>
      <c r="P35" s="32" t="n">
        <v>44.75</v>
      </c>
      <c r="Q35" s="32" t="n">
        <v>435.98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9.9</v>
      </c>
      <c r="U35" s="32" t="n">
        <v>13.51</v>
      </c>
      <c r="V35" s="32" t="n">
        <v>3.29</v>
      </c>
      <c r="W35" s="32" t="n">
        <v>23.16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EMMVEE</t>
        </is>
      </c>
      <c r="D36" s="31" t="inlineStr">
        <is>
          <t>Emmvee Photovoltaic Power Ltd</t>
        </is>
      </c>
      <c r="E36" s="31" t="inlineStr">
        <is>
          <t>Technology</t>
        </is>
      </c>
      <c r="F36" s="31" t="inlineStr">
        <is>
          <t>Electric Equipment - General</t>
        </is>
      </c>
      <c r="G36" s="31" t="inlineStr">
        <is>
          <t>largecap</t>
        </is>
      </c>
      <c r="H36" s="32" t="n">
        <v>22875.08</v>
      </c>
      <c r="I36" s="32" t="n">
        <v>330.4</v>
      </c>
      <c r="J36" s="32" t="n">
        <v>-1.43</v>
      </c>
      <c r="K36" s="32" t="n">
        <v>0</v>
      </c>
      <c r="L36" s="31" t="n">
        <v>44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65.79000000000001</v>
      </c>
      <c r="P36" s="32" t="n">
        <v>43.69</v>
      </c>
      <c r="Q36" s="32" t="n">
        <v>240.08</v>
      </c>
      <c r="R36" s="31" t="inlineStr">
        <is>
          <t>Near 52W High Breakout</t>
        </is>
      </c>
      <c r="S36" s="31" t="inlineStr">
        <is>
          <t>Nifty 50</t>
        </is>
      </c>
      <c r="T36" s="32" t="n">
        <v>-10.95</v>
      </c>
      <c r="U36" s="32" t="n">
        <v>41.92</v>
      </c>
      <c r="V36" s="32" t="n">
        <v>59.36</v>
      </c>
      <c r="W36" s="32" t="n">
        <v>13.61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1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Less than 50%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18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PARAS</t>
        </is>
      </c>
      <c r="D37" s="31" t="inlineStr">
        <is>
          <t>Paras Defence and Space Technologies Ltd</t>
        </is>
      </c>
      <c r="E37" s="31" t="inlineStr">
        <is>
          <t>aerospace &amp; defence</t>
        </is>
      </c>
      <c r="F37" s="31" t="inlineStr">
        <is>
          <t>Aerospace &amp; Defence - Equipments</t>
        </is>
      </c>
      <c r="G37" s="31" t="inlineStr">
        <is>
          <t>midcap</t>
        </is>
      </c>
      <c r="H37" s="32" t="n">
        <v>8385.110000000001</v>
      </c>
      <c r="I37" s="32" t="n">
        <v>1040.5</v>
      </c>
      <c r="J37" s="32" t="n">
        <v>0.13</v>
      </c>
      <c r="K37" s="32" t="n">
        <v>0</v>
      </c>
      <c r="L37" s="31" t="n">
        <v>65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70.89</v>
      </c>
      <c r="P37" s="32" t="n">
        <v>38.03</v>
      </c>
      <c r="Q37" s="32" t="n">
        <v>766.4</v>
      </c>
      <c r="R37" s="31" t="inlineStr">
        <is>
          <t>Volume Spike &amp; Near 52W High Breakout</t>
        </is>
      </c>
      <c r="S37" s="31" t="inlineStr">
        <is>
          <t>Nifty 50</t>
        </is>
      </c>
      <c r="T37" s="32" t="n">
        <v>-6.08</v>
      </c>
      <c r="U37" s="32" t="n">
        <v>28.14</v>
      </c>
      <c r="V37" s="32" t="n">
        <v>36.44</v>
      </c>
      <c r="W37" s="32" t="n">
        <v>20.62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Less than 50%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23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SIS</t>
        </is>
      </c>
      <c r="D38" s="31" t="inlineStr">
        <is>
          <t>SIS Ltd</t>
        </is>
      </c>
      <c r="E38" s="31" t="inlineStr">
        <is>
          <t>miscellaneous</t>
        </is>
      </c>
      <c r="F38" s="31" t="inlineStr">
        <is>
          <t>Facility Management</t>
        </is>
      </c>
      <c r="G38" s="31" t="inlineStr">
        <is>
          <t>midcap</t>
        </is>
      </c>
      <c r="H38" s="32" t="n">
        <v>5870.11</v>
      </c>
      <c r="I38" s="32" t="n">
        <v>415.45</v>
      </c>
      <c r="J38" s="32" t="n">
        <v>-1.37</v>
      </c>
      <c r="K38" s="32" t="n">
        <v>0</v>
      </c>
      <c r="L38" s="31" t="n">
        <v>47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74.5</v>
      </c>
      <c r="P38" s="32" t="n">
        <v>38.48</v>
      </c>
      <c r="Q38" s="32" t="n">
        <v>332.87</v>
      </c>
      <c r="R38" s="31" t="inlineStr">
        <is>
          <t>Near 52W High Breakout</t>
        </is>
      </c>
      <c r="S38" s="31" t="inlineStr">
        <is>
          <t>Nifty 50</t>
        </is>
      </c>
      <c r="T38" s="32" t="n">
        <v>-6.08</v>
      </c>
      <c r="U38" s="32" t="n">
        <v>14.51</v>
      </c>
      <c r="V38" s="32" t="n">
        <v>21.93</v>
      </c>
      <c r="W38" s="32" t="n">
        <v>14.5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21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WHEELS</t>
        </is>
      </c>
      <c r="D39" s="31" t="inlineStr">
        <is>
          <t>Wheels India Ltd</t>
        </is>
      </c>
      <c r="E39" s="31" t="inlineStr">
        <is>
          <t>auto</t>
        </is>
      </c>
      <c r="F39" s="31" t="inlineStr">
        <is>
          <t>Auto Ancillaries - Wheels</t>
        </is>
      </c>
      <c r="G39" s="31" t="inlineStr">
        <is>
          <t>smallcap</t>
        </is>
      </c>
      <c r="H39" s="32" t="n">
        <v>3869.21</v>
      </c>
      <c r="I39" s="32" t="n">
        <v>1583.6</v>
      </c>
      <c r="J39" s="32" t="n">
        <v>5.04</v>
      </c>
      <c r="K39" s="32" t="n">
        <v>0</v>
      </c>
      <c r="L39" s="31" t="n">
        <v>87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72.14</v>
      </c>
      <c r="P39" s="32" t="n">
        <v>50.12</v>
      </c>
      <c r="Q39" s="32" t="n">
        <v>1290.66</v>
      </c>
      <c r="R39" s="31" t="inlineStr">
        <is>
          <t>Earnings / Momentum Support</t>
        </is>
      </c>
      <c r="S39" s="31" t="inlineStr">
        <is>
          <t>Nifty Auto</t>
        </is>
      </c>
      <c r="T39" s="32" t="n">
        <v>10.74</v>
      </c>
      <c r="U39" s="32" t="n">
        <v>114.61</v>
      </c>
      <c r="V39" s="32" t="n">
        <v>93.79000000000001</v>
      </c>
      <c r="W39" s="32" t="n">
        <v>34.64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Less than 12%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NRBBEARING</t>
        </is>
      </c>
      <c r="D40" s="31" t="inlineStr">
        <is>
          <t>NRB Bearings Ltd</t>
        </is>
      </c>
      <c r="E40" s="31" t="inlineStr">
        <is>
          <t>industrials</t>
        </is>
      </c>
      <c r="F40" s="31" t="inlineStr">
        <is>
          <t>Bearings</t>
        </is>
      </c>
      <c r="G40" s="31" t="inlineStr">
        <is>
          <t>smallcap</t>
        </is>
      </c>
      <c r="H40" s="32" t="n">
        <v>4227.76</v>
      </c>
      <c r="I40" s="32" t="n">
        <v>436.2</v>
      </c>
      <c r="J40" s="32" t="n">
        <v>-0.63</v>
      </c>
      <c r="K40" s="32" t="n">
        <v>0</v>
      </c>
      <c r="L40" s="31" t="n">
        <v>85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79.90000000000001</v>
      </c>
      <c r="P40" s="32" t="n">
        <v>29.49</v>
      </c>
      <c r="Q40" s="32" t="n">
        <v>341.23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-6.08</v>
      </c>
      <c r="U40" s="32" t="n">
        <v>78.28</v>
      </c>
      <c r="V40" s="32" t="n">
        <v>89.83</v>
      </c>
      <c r="W40" s="32" t="n">
        <v>30.03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21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CEMPRO</t>
        </is>
      </c>
      <c r="D41" s="31" t="inlineStr">
        <is>
          <t>Cemindia Projects Ltd</t>
        </is>
      </c>
      <c r="E41" s="31" t="inlineStr">
        <is>
          <t>realty</t>
        </is>
      </c>
      <c r="F41" s="31" t="inlineStr">
        <is>
          <t>Infra - Construction &amp; Contracting</t>
        </is>
      </c>
      <c r="G41" s="31" t="inlineStr">
        <is>
          <t>largecap</t>
        </is>
      </c>
      <c r="H41" s="32" t="n">
        <v>21251.84</v>
      </c>
      <c r="I41" s="32" t="n">
        <v>1237.1</v>
      </c>
      <c r="J41" s="32" t="n">
        <v>2.77</v>
      </c>
      <c r="K41" s="32" t="n">
        <v>0</v>
      </c>
      <c r="L41" s="31" t="n">
        <v>93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78.63</v>
      </c>
      <c r="P41" s="32" t="n">
        <v>37.3</v>
      </c>
      <c r="Q41" s="32" t="n">
        <v>945.61</v>
      </c>
      <c r="R41" s="31" t="inlineStr">
        <is>
          <t>Near 52W High Breakout</t>
        </is>
      </c>
      <c r="S41" s="31" t="inlineStr">
        <is>
          <t>Nifty Realty</t>
        </is>
      </c>
      <c r="T41" s="32" t="n">
        <v>-25.71</v>
      </c>
      <c r="U41" s="32" t="n">
        <v>61.1</v>
      </c>
      <c r="V41" s="32" t="n">
        <v>116.85</v>
      </c>
      <c r="W41" s="32" t="n">
        <v>46.29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20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RAIN</t>
        </is>
      </c>
      <c r="D42" s="31" t="inlineStr">
        <is>
          <t>Rain Industries Ltd</t>
        </is>
      </c>
      <c r="E42" s="31" t="inlineStr">
        <is>
          <t>miscellaneous</t>
        </is>
      </c>
      <c r="F42" s="31" t="inlineStr">
        <is>
          <t>Cement</t>
        </is>
      </c>
      <c r="G42" s="31" t="inlineStr">
        <is>
          <t>midcap</t>
        </is>
      </c>
      <c r="H42" s="32" t="n">
        <v>6670.74</v>
      </c>
      <c r="I42" s="32" t="n">
        <v>198.33</v>
      </c>
      <c r="J42" s="32" t="n">
        <v>-2.77</v>
      </c>
      <c r="K42" s="32" t="n">
        <v>0</v>
      </c>
      <c r="L42" s="31" t="n">
        <v>78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72.8</v>
      </c>
      <c r="P42" s="32" t="n">
        <v>22.01</v>
      </c>
      <c r="Q42" s="32" t="n">
        <v>147.88</v>
      </c>
      <c r="R42" s="31" t="inlineStr">
        <is>
          <t>Near 52W High Breakout</t>
        </is>
      </c>
      <c r="S42" s="31" t="inlineStr">
        <is>
          <t>Nifty 50</t>
        </is>
      </c>
      <c r="T42" s="32" t="n">
        <v>-6.08</v>
      </c>
      <c r="U42" s="32" t="n">
        <v>33.93</v>
      </c>
      <c r="V42" s="32" t="n">
        <v>42.61</v>
      </c>
      <c r="W42" s="32" t="n">
        <v>25.86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More than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HSCL</t>
        </is>
      </c>
      <c r="D43" s="31" t="inlineStr">
        <is>
          <t>Himadri Speciality Chemical Ltd</t>
        </is>
      </c>
      <c r="E43" s="31" t="inlineStr">
        <is>
          <t>chemicals</t>
        </is>
      </c>
      <c r="F43" s="31" t="inlineStr">
        <is>
          <t>Carbon Black</t>
        </is>
      </c>
      <c r="G43" s="31" t="inlineStr">
        <is>
          <t>largecap</t>
        </is>
      </c>
      <c r="H43" s="32" t="n">
        <v>34964.73</v>
      </c>
      <c r="I43" s="32" t="n">
        <v>693</v>
      </c>
      <c r="J43" s="32" t="n">
        <v>1.99</v>
      </c>
      <c r="K43" s="32" t="n">
        <v>0</v>
      </c>
      <c r="L43" s="31" t="n">
        <v>67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74.59</v>
      </c>
      <c r="P43" s="32" t="n">
        <v>30.36</v>
      </c>
      <c r="Q43" s="32" t="n">
        <v>529.55</v>
      </c>
      <c r="R43" s="31" t="inlineStr">
        <is>
          <t>Near 52W High Breakout</t>
        </is>
      </c>
      <c r="S43" s="31" t="inlineStr">
        <is>
          <t>Nifty 50</t>
        </is>
      </c>
      <c r="T43" s="32" t="n">
        <v>-6.08</v>
      </c>
      <c r="U43" s="32" t="n">
        <v>47.82</v>
      </c>
      <c r="V43" s="32" t="n">
        <v>57.39</v>
      </c>
      <c r="W43" s="32" t="n">
        <v>21.94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Between 1.5 to 2</t>
        </is>
      </c>
      <c r="BU43" s="31">
        <f>IF(BT43="Above 2",0,IF(BT43="Between 1.5 to 2",5,IF(BT43="Less than 1.5",10,0)))</f>
        <v/>
      </c>
      <c r="BV43" s="31" t="inlineStr">
        <is>
          <t>Less than 50%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18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ASTRAMICRO</t>
        </is>
      </c>
      <c r="D44" s="31" t="inlineStr">
        <is>
          <t>Astra Microwave Products Ltd</t>
        </is>
      </c>
      <c r="E44" s="31" t="inlineStr">
        <is>
          <t>aerospace &amp; defence</t>
        </is>
      </c>
      <c r="F44" s="31" t="inlineStr">
        <is>
          <t>Aerospace &amp; Defence - Equipments</t>
        </is>
      </c>
      <c r="G44" s="31" t="inlineStr">
        <is>
          <t>midcap</t>
        </is>
      </c>
      <c r="H44" s="32" t="n">
        <v>13523.97</v>
      </c>
      <c r="I44" s="32" t="n">
        <v>1424.4</v>
      </c>
      <c r="J44" s="32" t="n">
        <v>-2.28</v>
      </c>
      <c r="K44" s="32" t="n">
        <v>0</v>
      </c>
      <c r="L44" s="31" t="n">
        <v>53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75.59</v>
      </c>
      <c r="P44" s="32" t="n">
        <v>29.58</v>
      </c>
      <c r="Q44" s="32" t="n">
        <v>1114.04</v>
      </c>
      <c r="R44" s="31" t="inlineStr">
        <is>
          <t>Near 52W High Breakout</t>
        </is>
      </c>
      <c r="S44" s="31" t="inlineStr">
        <is>
          <t>Nifty 50</t>
        </is>
      </c>
      <c r="T44" s="32" t="n">
        <v>-6.08</v>
      </c>
      <c r="U44" s="32" t="n">
        <v>24.93</v>
      </c>
      <c r="V44" s="32" t="n">
        <v>33.02</v>
      </c>
      <c r="W44" s="32" t="n">
        <v>15.55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Between 1.5 to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18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IDEAFORGE</t>
        </is>
      </c>
      <c r="D45" s="31" t="inlineStr">
        <is>
          <t>Ideaforge Technology Ltd</t>
        </is>
      </c>
      <c r="E45" s="31" t="inlineStr">
        <is>
          <t>aerospace &amp; defence</t>
        </is>
      </c>
      <c r="F45" s="31" t="inlineStr">
        <is>
          <t>Aerospace &amp; Defence - Equipments</t>
        </is>
      </c>
      <c r="G45" s="31" t="inlineStr">
        <is>
          <t>smallcap</t>
        </is>
      </c>
      <c r="H45" s="32" t="n">
        <v>3977.46</v>
      </c>
      <c r="I45" s="32" t="n">
        <v>916.7</v>
      </c>
      <c r="J45" s="32" t="n">
        <v>-5</v>
      </c>
      <c r="K45" s="32" t="n">
        <v>0</v>
      </c>
      <c r="L45" s="31" t="n">
        <v>93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77.02</v>
      </c>
      <c r="P45" s="32" t="n">
        <v>42.43</v>
      </c>
      <c r="Q45" s="32" t="n">
        <v>684.03</v>
      </c>
      <c r="R45" s="31" t="inlineStr">
        <is>
          <t>Near 52W High Breakout</t>
        </is>
      </c>
      <c r="S45" s="31" t="inlineStr">
        <is>
          <t>Nifty Infra</t>
        </is>
      </c>
      <c r="T45" s="32" t="n">
        <v>0.99</v>
      </c>
      <c r="U45" s="32" t="n">
        <v>55.36</v>
      </c>
      <c r="V45" s="32" t="n">
        <v>53.83</v>
      </c>
      <c r="W45" s="32" t="n">
        <v>43.6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Negative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17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SKMEGGPROD</t>
        </is>
      </c>
      <c r="D46" s="31" t="inlineStr">
        <is>
          <t>SKM Egg Products Export (India) Ltd</t>
        </is>
      </c>
      <c r="E46" s="31" t="inlineStr">
        <is>
          <t>fmcg</t>
        </is>
      </c>
      <c r="F46" s="31" t="inlineStr">
        <is>
          <t>FMCG - Animal/Polutry</t>
        </is>
      </c>
      <c r="G46" s="31" t="inlineStr">
        <is>
          <t>smallcap</t>
        </is>
      </c>
      <c r="H46" s="32" t="n">
        <v>1270.37</v>
      </c>
      <c r="I46" s="32" t="n">
        <v>241.24</v>
      </c>
      <c r="J46" s="32" t="n">
        <v>-2.56</v>
      </c>
      <c r="K46" s="32" t="n">
        <v>0</v>
      </c>
      <c r="L46" s="31" t="n">
        <v>84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69.34</v>
      </c>
      <c r="P46" s="32" t="n">
        <v>19.27</v>
      </c>
      <c r="Q46" s="32" t="n">
        <v>171.46</v>
      </c>
      <c r="R46" s="31" t="inlineStr">
        <is>
          <t>Near 52W High Breakout</t>
        </is>
      </c>
      <c r="S46" s="31" t="inlineStr">
        <is>
          <t>Nifty FMCG</t>
        </is>
      </c>
      <c r="T46" s="32" t="n">
        <v>-10.22</v>
      </c>
      <c r="U46" s="32" t="n">
        <v>87.92</v>
      </c>
      <c r="V46" s="32" t="n">
        <v>109.3</v>
      </c>
      <c r="W46" s="32" t="n">
        <v>29.29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B2C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0 to 20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28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3" t="inlineStr">
        <is>
          <t>MARKSANS</t>
        </is>
      </c>
      <c r="D47" s="33" t="inlineStr">
        <is>
          <t>Marksans Pharma Ltd</t>
        </is>
      </c>
      <c r="E47" s="31" t="inlineStr">
        <is>
          <t>healthcare</t>
        </is>
      </c>
      <c r="F47" s="31" t="inlineStr">
        <is>
          <t>Pharma - Formulators</t>
        </is>
      </c>
      <c r="G47" s="31" t="inlineStr">
        <is>
          <t>midcap</t>
        </is>
      </c>
      <c r="H47" s="32" t="n">
        <v>11189.52</v>
      </c>
      <c r="I47" s="32" t="n">
        <v>246.92</v>
      </c>
      <c r="J47" s="32" t="n">
        <v>-2.31</v>
      </c>
      <c r="K47" s="32" t="n">
        <v>0</v>
      </c>
      <c r="L47" s="31" t="n">
        <v>39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70.7</v>
      </c>
      <c r="P47" s="32" t="n">
        <v>28.52</v>
      </c>
      <c r="Q47" s="32" t="n">
        <v>189.1</v>
      </c>
      <c r="R47" s="31" t="inlineStr">
        <is>
          <t>Earnings / Momentum Support</t>
        </is>
      </c>
      <c r="S47" s="31" t="inlineStr">
        <is>
          <t>Nifty Pharma</t>
        </is>
      </c>
      <c r="T47" s="32" t="n">
        <v>9.9</v>
      </c>
      <c r="U47" s="32" t="n">
        <v>-4.42</v>
      </c>
      <c r="V47" s="32" t="n">
        <v>-13.03</v>
      </c>
      <c r="W47" s="32" t="n">
        <v>12.18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22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SENORES</t>
        </is>
      </c>
      <c r="D48" s="34" t="inlineStr">
        <is>
          <t>Senores Pharmaceuticals Ltd</t>
        </is>
      </c>
      <c r="E48" s="31" t="inlineStr">
        <is>
          <t>healthcare</t>
        </is>
      </c>
      <c r="F48" s="31" t="inlineStr">
        <is>
          <t>Pharma - API</t>
        </is>
      </c>
      <c r="G48" s="31" t="inlineStr">
        <is>
          <t>midcap</t>
        </is>
      </c>
      <c r="H48" s="32" t="n">
        <v>5123.92</v>
      </c>
      <c r="I48" s="32" t="n">
        <v>1112.6</v>
      </c>
      <c r="J48" s="32" t="n">
        <v>1.65</v>
      </c>
      <c r="K48" s="32" t="n">
        <v>0</v>
      </c>
      <c r="L48" s="31" t="n">
        <v>80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70.44</v>
      </c>
      <c r="P48" s="32" t="n">
        <v>39.45</v>
      </c>
      <c r="Q48" s="32" t="n">
        <v>854.29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9.9</v>
      </c>
      <c r="U48" s="32" t="n">
        <v>99.77</v>
      </c>
      <c r="V48" s="32" t="n">
        <v>81.78</v>
      </c>
      <c r="W48" s="32" t="n">
        <v>27.27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Less than 50%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22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PANACEABIO</t>
        </is>
      </c>
      <c r="D49" s="31" t="inlineStr">
        <is>
          <t>Panacea Biotec Ltd</t>
        </is>
      </c>
      <c r="E49" s="31" t="inlineStr">
        <is>
          <t>healthcare</t>
        </is>
      </c>
      <c r="F49" s="31" t="inlineStr">
        <is>
          <t>Pharma - Others</t>
        </is>
      </c>
      <c r="G49" s="31" t="inlineStr">
        <is>
          <t>smallcap</t>
        </is>
      </c>
      <c r="H49" s="32" t="n">
        <v>3350.42</v>
      </c>
      <c r="I49" s="32" t="n">
        <v>547</v>
      </c>
      <c r="J49" s="32" t="n">
        <v>-10</v>
      </c>
      <c r="K49" s="32" t="n">
        <v>0</v>
      </c>
      <c r="L49" s="31" t="n">
        <v>66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76.94</v>
      </c>
      <c r="P49" s="32" t="n">
        <v>23.72</v>
      </c>
      <c r="Q49" s="32" t="n">
        <v>378.63</v>
      </c>
      <c r="R49" s="31" t="inlineStr">
        <is>
          <t>Volume Spike &amp; Near 52W High Breakout</t>
        </is>
      </c>
      <c r="S49" s="31" t="inlineStr">
        <is>
          <t>Nifty Pharma</t>
        </is>
      </c>
      <c r="T49" s="32" t="n">
        <v>9.9</v>
      </c>
      <c r="U49" s="32" t="n">
        <v>21.29</v>
      </c>
      <c r="V49" s="32" t="n">
        <v>10.36</v>
      </c>
      <c r="W49" s="32" t="n">
        <v>21.14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Less than 12%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19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3" t="inlineStr">
        <is>
          <t>CAPLIPOINT</t>
        </is>
      </c>
      <c r="D50" s="33" t="inlineStr">
        <is>
          <t>Caplin Point Laboratories Ltd</t>
        </is>
      </c>
      <c r="E50" s="31" t="inlineStr">
        <is>
          <t>healthcare</t>
        </is>
      </c>
      <c r="F50" s="31" t="inlineStr">
        <is>
          <t>Pharma - Formulators</t>
        </is>
      </c>
      <c r="G50" s="31" t="inlineStr">
        <is>
          <t>midcap</t>
        </is>
      </c>
      <c r="H50" s="32" t="n">
        <v>17554.14</v>
      </c>
      <c r="I50" s="32" t="n">
        <v>2309.4</v>
      </c>
      <c r="J50" s="32" t="n">
        <v>2.4</v>
      </c>
      <c r="K50" s="32" t="n">
        <v>0</v>
      </c>
      <c r="L50" s="31" t="n">
        <v>36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74.12</v>
      </c>
      <c r="P50" s="32" t="n">
        <v>24.15</v>
      </c>
      <c r="Q50" s="32" t="n">
        <v>1881.32</v>
      </c>
      <c r="R50" s="31" t="inlineStr">
        <is>
          <t>Volume Spike &amp; Near 52W High Breakout</t>
        </is>
      </c>
      <c r="S50" s="31" t="inlineStr">
        <is>
          <t>Nifty Pharma</t>
        </is>
      </c>
      <c r="T50" s="32" t="n">
        <v>9.9</v>
      </c>
      <c r="U50" s="32" t="n">
        <v>8.26</v>
      </c>
      <c r="V50" s="32" t="n">
        <v>-1.49</v>
      </c>
      <c r="W50" s="32" t="n">
        <v>11.11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Between 12 to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Between 50% to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17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SIGMAADV</t>
        </is>
      </c>
      <c r="D51" s="31" t="inlineStr">
        <is>
          <t>Sigma Advanced System Ltd</t>
        </is>
      </c>
      <c r="E51" s="31" t="inlineStr">
        <is>
          <t>aerospace &amp; defence</t>
        </is>
      </c>
      <c r="F51" s="31" t="inlineStr">
        <is>
          <t>Aerospace &amp; Defence - Equipments</t>
        </is>
      </c>
      <c r="G51" s="31" t="inlineStr">
        <is>
          <t>midcap</t>
        </is>
      </c>
      <c r="H51" s="32" t="n">
        <v>8094.69</v>
      </c>
      <c r="I51" s="32" t="n">
        <v>459.3</v>
      </c>
      <c r="J51" s="32" t="n">
        <v>4.99</v>
      </c>
      <c r="K51" s="32" t="n">
        <v>0</v>
      </c>
      <c r="L51" s="31" t="n">
        <v>99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85.2</v>
      </c>
      <c r="P51" s="32" t="n">
        <v>38.76</v>
      </c>
      <c r="Q51" s="32" t="n">
        <v>349.57</v>
      </c>
      <c r="R51" s="31" t="inlineStr">
        <is>
          <t>Near 52W High Breakout</t>
        </is>
      </c>
      <c r="S51" s="31" t="inlineStr">
        <is>
          <t>Nifty 50</t>
        </is>
      </c>
      <c r="T51" s="32" t="n">
        <v>-6.08</v>
      </c>
      <c r="U51" s="32" t="n">
        <v>364.03</v>
      </c>
      <c r="V51" s="32" t="n">
        <v>394.09</v>
      </c>
      <c r="W51" s="32" t="n">
        <v>97.43000000000001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Negative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30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KERNEX</t>
        </is>
      </c>
      <c r="D52" s="31" t="inlineStr">
        <is>
          <t>Kernex Microsystems (India) Ltd</t>
        </is>
      </c>
      <c r="E52" s="31" t="inlineStr">
        <is>
          <t>consumer discretionary</t>
        </is>
      </c>
      <c r="F52" s="31" t="inlineStr">
        <is>
          <t>Railways - Kavach/Springs</t>
        </is>
      </c>
      <c r="G52" s="31" t="inlineStr">
        <is>
          <t>smallcap</t>
        </is>
      </c>
      <c r="H52" s="32" t="n">
        <v>3234.3</v>
      </c>
      <c r="I52" s="32" t="n">
        <v>1924.9</v>
      </c>
      <c r="J52" s="32" t="n">
        <v>1.85</v>
      </c>
      <c r="K52" s="32" t="n">
        <v>0</v>
      </c>
      <c r="L52" s="31" t="n">
        <v>87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72.06</v>
      </c>
      <c r="P52" s="32" t="n">
        <v>30.93</v>
      </c>
      <c r="Q52" s="32" t="n">
        <v>1406.93</v>
      </c>
      <c r="R52" s="31" t="inlineStr">
        <is>
          <t>Near 52W High Breakout</t>
        </is>
      </c>
      <c r="S52" s="31" t="inlineStr">
        <is>
          <t>Nifty 50</t>
        </is>
      </c>
      <c r="T52" s="32" t="n">
        <v>-6.08</v>
      </c>
      <c r="U52" s="32" t="n">
        <v>47.92</v>
      </c>
      <c r="V52" s="32" t="n">
        <v>57.5</v>
      </c>
      <c r="W52" s="32" t="n">
        <v>33.07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Negative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25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RRKABEL</t>
        </is>
      </c>
      <c r="D53" s="31" t="inlineStr">
        <is>
          <t>R R Kabel Ltd</t>
        </is>
      </c>
      <c r="E53" s="31" t="inlineStr">
        <is>
          <t>industrials</t>
        </is>
      </c>
      <c r="F53" s="31" t="inlineStr">
        <is>
          <t>Cables - Power</t>
        </is>
      </c>
      <c r="G53" s="31" t="inlineStr">
        <is>
          <t>largecap</t>
        </is>
      </c>
      <c r="H53" s="32" t="n">
        <v>24515.62</v>
      </c>
      <c r="I53" s="32" t="n">
        <v>2167.5</v>
      </c>
      <c r="J53" s="32" t="n">
        <v>-0.44</v>
      </c>
      <c r="K53" s="32" t="n">
        <v>0</v>
      </c>
      <c r="L53" s="31" t="n">
        <v>76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74.73</v>
      </c>
      <c r="P53" s="32" t="n">
        <v>35.45</v>
      </c>
      <c r="Q53" s="32" t="n">
        <v>1768.62</v>
      </c>
      <c r="R53" s="31" t="inlineStr">
        <is>
          <t>Near 52W High Breakout</t>
        </is>
      </c>
      <c r="S53" s="31" t="inlineStr">
        <is>
          <t>Nifty Energy</t>
        </is>
      </c>
      <c r="T53" s="32" t="n">
        <v>8.98</v>
      </c>
      <c r="U53" s="32" t="n">
        <v>60.05</v>
      </c>
      <c r="V53" s="32" t="n">
        <v>46.87</v>
      </c>
      <c r="W53" s="32" t="n">
        <v>24.69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Between 1.5 to 2</t>
        </is>
      </c>
      <c r="BU53" s="31">
        <f>IF(BT53="Above 2",0,IF(BT53="Between 1.5 to 2",5,IF(BT53="Less than 1.5",10,0)))</f>
        <v/>
      </c>
      <c r="BV53" s="31" t="inlineStr">
        <is>
          <t>Less than 50%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24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RPEL</t>
        </is>
      </c>
      <c r="D54" s="31" t="inlineStr">
        <is>
          <t>Raghav Productivity Enhancers Ltd</t>
        </is>
      </c>
      <c r="E54" s="31" t="inlineStr">
        <is>
          <t>building materials</t>
        </is>
      </c>
      <c r="F54" s="31" t="inlineStr">
        <is>
          <t>Steel Products</t>
        </is>
      </c>
      <c r="G54" s="31" t="inlineStr">
        <is>
          <t>midcap</t>
        </is>
      </c>
      <c r="H54" s="32" t="n">
        <v>5258.52</v>
      </c>
      <c r="I54" s="32" t="n">
        <v>1145.1</v>
      </c>
      <c r="J54" s="32" t="n">
        <v>-2.11</v>
      </c>
      <c r="K54" s="32" t="n">
        <v>0</v>
      </c>
      <c r="L54" s="31" t="n">
        <v>86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75.79000000000001</v>
      </c>
      <c r="P54" s="32" t="n">
        <v>30.26</v>
      </c>
      <c r="Q54" s="32" t="n">
        <v>871.67</v>
      </c>
      <c r="R54" s="31" t="inlineStr">
        <is>
          <t>Near 52W High Breakout</t>
        </is>
      </c>
      <c r="S54" s="31" t="inlineStr">
        <is>
          <t>Nifty Infra</t>
        </is>
      </c>
      <c r="T54" s="32" t="n">
        <v>0.99</v>
      </c>
      <c r="U54" s="32" t="n">
        <v>63.26</v>
      </c>
      <c r="V54" s="32" t="n">
        <v>61.65</v>
      </c>
      <c r="W54" s="32" t="n">
        <v>32.5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23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VADILALIND</t>
        </is>
      </c>
      <c r="D55" s="31" t="inlineStr">
        <is>
          <t>Vadilal Industries Ltd</t>
        </is>
      </c>
      <c r="E55" s="31" t="inlineStr">
        <is>
          <t>fmcg</t>
        </is>
      </c>
      <c r="F55" s="31" t="inlineStr">
        <is>
          <t>FMCG - Dairy Products</t>
        </is>
      </c>
      <c r="G55" s="31" t="inlineStr">
        <is>
          <t>smallcap</t>
        </is>
      </c>
      <c r="H55" s="32" t="n">
        <v>4260.08</v>
      </c>
      <c r="I55" s="32" t="n">
        <v>5926.8</v>
      </c>
      <c r="J55" s="32" t="n">
        <v>2.94</v>
      </c>
      <c r="K55" s="32" t="n">
        <v>0</v>
      </c>
      <c r="L55" s="31" t="n">
        <v>23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65.58</v>
      </c>
      <c r="P55" s="32" t="n">
        <v>12.68</v>
      </c>
      <c r="Q55" s="32" t="n">
        <v>4543.06</v>
      </c>
      <c r="R55" s="31" t="inlineStr">
        <is>
          <t>Near 52W High Breakout</t>
        </is>
      </c>
      <c r="S55" s="31" t="inlineStr">
        <is>
          <t>Nifty FMCG</t>
        </is>
      </c>
      <c r="T55" s="32" t="n">
        <v>-10.22</v>
      </c>
      <c r="U55" s="32" t="n">
        <v>11.5</v>
      </c>
      <c r="V55" s="32" t="n">
        <v>24.19</v>
      </c>
      <c r="W55" s="32" t="n">
        <v>8.279999999999999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B2C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0 to 20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Between 50% to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30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APOLLO</t>
        </is>
      </c>
      <c r="D56" s="31" t="inlineStr">
        <is>
          <t>Apollo Micro Systems Ltd</t>
        </is>
      </c>
      <c r="E56" s="31" t="inlineStr">
        <is>
          <t>aerospace &amp; defence</t>
        </is>
      </c>
      <c r="F56" s="31" t="inlineStr">
        <is>
          <t>Aerospace &amp; Defence - Equipments</t>
        </is>
      </c>
      <c r="G56" s="31" t="inlineStr">
        <is>
          <t>midcap</t>
        </is>
      </c>
      <c r="H56" s="32" t="n">
        <v>14222.54</v>
      </c>
      <c r="I56" s="32" t="n">
        <v>398.05</v>
      </c>
      <c r="J56" s="32" t="n">
        <v>-3.63</v>
      </c>
      <c r="K56" s="32" t="n">
        <v>0</v>
      </c>
      <c r="L56" s="31" t="n">
        <v>93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69.14</v>
      </c>
      <c r="P56" s="32" t="n">
        <v>34.57</v>
      </c>
      <c r="Q56" s="32" t="n">
        <v>302.33</v>
      </c>
      <c r="R56" s="31" t="inlineStr">
        <is>
          <t>Earnings / Momentum Support</t>
        </is>
      </c>
      <c r="S56" s="31" t="inlineStr">
        <is>
          <t>Nifty 50</t>
        </is>
      </c>
      <c r="T56" s="32" t="n">
        <v>-6.08</v>
      </c>
      <c r="U56" s="32" t="n">
        <v>105.33</v>
      </c>
      <c r="V56" s="32" t="n">
        <v>118.63</v>
      </c>
      <c r="W56" s="32" t="n">
        <v>44.23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Oligopoly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Cyclical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B2C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Fully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Yes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21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VIYASH</t>
        </is>
      </c>
      <c r="D57" s="31" t="inlineStr">
        <is>
          <t>Viyash Scientific Ltd</t>
        </is>
      </c>
      <c r="E57" s="31" t="inlineStr">
        <is>
          <t>healthcare</t>
        </is>
      </c>
      <c r="F57" s="31" t="inlineStr">
        <is>
          <t>Pharma - Animal</t>
        </is>
      </c>
      <c r="G57" s="31" t="inlineStr">
        <is>
          <t>midcap</t>
        </is>
      </c>
      <c r="H57" s="32" t="n">
        <v>11022.37</v>
      </c>
      <c r="I57" s="32" t="n">
        <v>252.3</v>
      </c>
      <c r="J57" s="32" t="n">
        <v>-1.98</v>
      </c>
      <c r="K57" s="32" t="n">
        <v>0</v>
      </c>
      <c r="L57" s="31" t="n">
        <v>37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66.53</v>
      </c>
      <c r="P57" s="32" t="n">
        <v>30.46</v>
      </c>
      <c r="Q57" s="32" t="n">
        <v>197.49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9.9</v>
      </c>
      <c r="U57" s="32" t="n">
        <v>27.9</v>
      </c>
      <c r="V57" s="32" t="n">
        <v>16.39</v>
      </c>
      <c r="W57" s="32" t="n">
        <v>11.45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Less than 50%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20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SKIPPER</t>
        </is>
      </c>
      <c r="D58" s="31" t="inlineStr">
        <is>
          <t>Skipper Ltd</t>
        </is>
      </c>
      <c r="E58" s="31" t="inlineStr">
        <is>
          <t>industrials</t>
        </is>
      </c>
      <c r="F58" s="31" t="inlineStr">
        <is>
          <t>Electrical Equipments/HVDC</t>
        </is>
      </c>
      <c r="G58" s="31" t="inlineStr">
        <is>
          <t>midcap</t>
        </is>
      </c>
      <c r="H58" s="32" t="n">
        <v>6042.14</v>
      </c>
      <c r="I58" s="32" t="n">
        <v>535</v>
      </c>
      <c r="J58" s="32" t="n">
        <v>-1.75</v>
      </c>
      <c r="K58" s="32" t="n">
        <v>0</v>
      </c>
      <c r="L58" s="31" t="n">
        <v>49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65.70999999999999</v>
      </c>
      <c r="P58" s="32" t="n">
        <v>33.41</v>
      </c>
      <c r="Q58" s="32" t="n">
        <v>418.68</v>
      </c>
      <c r="R58" s="31" t="inlineStr">
        <is>
          <t>Earnings / Momentum Support</t>
        </is>
      </c>
      <c r="S58" s="31" t="inlineStr">
        <is>
          <t>Nifty 50</t>
        </is>
      </c>
      <c r="T58" s="32" t="n">
        <v>-6.08</v>
      </c>
      <c r="U58" s="32" t="n">
        <v>4.79</v>
      </c>
      <c r="V58" s="32" t="n">
        <v>11.57</v>
      </c>
      <c r="W58" s="32" t="n">
        <v>14.89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27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MINDACORP</t>
        </is>
      </c>
      <c r="D59" s="31" t="inlineStr">
        <is>
          <t>Minda Corporation Ltd</t>
        </is>
      </c>
      <c r="E59" s="31" t="inlineStr">
        <is>
          <t>auto</t>
        </is>
      </c>
      <c r="F59" s="31" t="inlineStr">
        <is>
          <t>Auto Ancillaries - Diversified</t>
        </is>
      </c>
      <c r="G59" s="31" t="inlineStr">
        <is>
          <t>midcap</t>
        </is>
      </c>
      <c r="H59" s="32" t="n">
        <v>15494.74</v>
      </c>
      <c r="I59" s="32" t="n">
        <v>648.1</v>
      </c>
      <c r="J59" s="32" t="n">
        <v>0.15</v>
      </c>
      <c r="K59" s="32" t="n">
        <v>0</v>
      </c>
      <c r="L59" s="31" t="n">
        <v>38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66.15000000000001</v>
      </c>
      <c r="P59" s="32" t="n">
        <v>19.81</v>
      </c>
      <c r="Q59" s="32" t="n">
        <v>518.0599999999999</v>
      </c>
      <c r="R59" s="31" t="inlineStr">
        <is>
          <t>Near 52W High Breakout</t>
        </is>
      </c>
      <c r="S59" s="31" t="inlineStr">
        <is>
          <t>Nifty Auto</t>
        </is>
      </c>
      <c r="T59" s="32" t="n">
        <v>10.74</v>
      </c>
      <c r="U59" s="32" t="n">
        <v>18.8</v>
      </c>
      <c r="V59" s="32" t="n">
        <v>7.27</v>
      </c>
      <c r="W59" s="32" t="n">
        <v>11.97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0 to 20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25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4" t="inlineStr">
        <is>
          <t>ADVAIT</t>
        </is>
      </c>
      <c r="D60" s="34" t="inlineStr">
        <is>
          <t>Advait Energy Transitions Limited</t>
        </is>
      </c>
      <c r="E60" s="31" t="inlineStr">
        <is>
          <t>Industrials</t>
        </is>
      </c>
      <c r="F60" s="31" t="inlineStr">
        <is>
          <t>EPC</t>
        </is>
      </c>
      <c r="G60" s="31" t="inlineStr">
        <is>
          <t>smallcap</t>
        </is>
      </c>
      <c r="H60" s="32" t="n">
        <v>2455.94</v>
      </c>
      <c r="I60" s="32" t="n">
        <v>2244.3</v>
      </c>
      <c r="J60" s="32" t="n">
        <v>-4.43</v>
      </c>
      <c r="K60" s="32" t="n">
        <v>0</v>
      </c>
      <c r="L60" s="31" t="n">
        <v>45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68.09</v>
      </c>
      <c r="P60" s="32" t="n">
        <v>28.18</v>
      </c>
      <c r="Q60" s="32" t="n">
        <v>1578.6</v>
      </c>
      <c r="R60" s="31" t="inlineStr">
        <is>
          <t>Near 52W High Breakout</t>
        </is>
      </c>
      <c r="S60" s="31" t="inlineStr">
        <is>
          <t>Nifty 50</t>
        </is>
      </c>
      <c r="T60" s="32" t="n">
        <v>-6.08</v>
      </c>
      <c r="U60" s="32" t="n">
        <v>10.45</v>
      </c>
      <c r="V60" s="32" t="n">
        <v>17.6</v>
      </c>
      <c r="W60" s="32" t="n">
        <v>13.92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Negative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22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4" t="inlineStr">
        <is>
          <t>PSPPROJECT</t>
        </is>
      </c>
      <c r="D61" s="34" t="inlineStr">
        <is>
          <t>PSP Projects Ltd</t>
        </is>
      </c>
      <c r="E61" s="31" t="inlineStr">
        <is>
          <t>realty</t>
        </is>
      </c>
      <c r="F61" s="31" t="inlineStr">
        <is>
          <t>Construction &amp; Contracting</t>
        </is>
      </c>
      <c r="G61" s="31" t="inlineStr">
        <is>
          <t>smallcap</t>
        </is>
      </c>
      <c r="H61" s="32" t="n">
        <v>3520.59</v>
      </c>
      <c r="I61" s="32" t="n">
        <v>888.1</v>
      </c>
      <c r="J61" s="32" t="n">
        <v>-3.23</v>
      </c>
      <c r="K61" s="32" t="n">
        <v>0</v>
      </c>
      <c r="L61" s="31" t="n">
        <v>45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61.5</v>
      </c>
      <c r="P61" s="32" t="n">
        <v>23.51</v>
      </c>
      <c r="Q61" s="32" t="n">
        <v>642.15</v>
      </c>
      <c r="R61" s="31" t="inlineStr">
        <is>
          <t>Earnings / Momentum Support</t>
        </is>
      </c>
      <c r="S61" s="31" t="inlineStr">
        <is>
          <t>Nifty Realty</t>
        </is>
      </c>
      <c r="T61" s="32" t="n">
        <v>-25.71</v>
      </c>
      <c r="U61" s="32" t="n">
        <v>27.12</v>
      </c>
      <c r="V61" s="32" t="n">
        <v>71.11</v>
      </c>
      <c r="W61" s="32" t="n">
        <v>13.94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22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CRAFTSMAN</t>
        </is>
      </c>
      <c r="D62" s="31" t="inlineStr">
        <is>
          <t>Craftsman Automation Ltd</t>
        </is>
      </c>
      <c r="E62" s="31" t="inlineStr">
        <is>
          <t>auto</t>
        </is>
      </c>
      <c r="F62" s="31" t="inlineStr">
        <is>
          <t>Auto &amp; Auto Ancl - CV</t>
        </is>
      </c>
      <c r="G62" s="31" t="inlineStr">
        <is>
          <t>largecap</t>
        </is>
      </c>
      <c r="H62" s="32" t="n">
        <v>21437.82</v>
      </c>
      <c r="I62" s="32" t="n">
        <v>8986.5</v>
      </c>
      <c r="J62" s="32" t="n">
        <v>-1.53</v>
      </c>
      <c r="K62" s="32" t="n">
        <v>0</v>
      </c>
      <c r="L62" s="31" t="n">
        <v>63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65.26000000000001</v>
      </c>
      <c r="P62" s="32" t="n">
        <v>32.61</v>
      </c>
      <c r="Q62" s="32" t="n">
        <v>7097.14</v>
      </c>
      <c r="R62" s="31" t="inlineStr">
        <is>
          <t>Near 52W High Breakout</t>
        </is>
      </c>
      <c r="S62" s="31" t="inlineStr">
        <is>
          <t>Nifty Auto</t>
        </is>
      </c>
      <c r="T62" s="32" t="n">
        <v>10.74</v>
      </c>
      <c r="U62" s="32" t="n">
        <v>69.65000000000001</v>
      </c>
      <c r="V62" s="32" t="n">
        <v>53.19</v>
      </c>
      <c r="W62" s="32" t="n">
        <v>19.12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Less than 50% and Borrowings are increasing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20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KIRLPNU</t>
        </is>
      </c>
      <c r="D63" s="34" t="inlineStr">
        <is>
          <t>Kirloskar Pneumatic Company Ltd</t>
        </is>
      </c>
      <c r="E63" s="31" t="inlineStr">
        <is>
          <t>industrials</t>
        </is>
      </c>
      <c r="F63" s="31" t="inlineStr">
        <is>
          <t>Compressors</t>
        </is>
      </c>
      <c r="G63" s="31" t="inlineStr">
        <is>
          <t>midcap</t>
        </is>
      </c>
      <c r="H63" s="32" t="n">
        <v>10560.25</v>
      </c>
      <c r="I63" s="32" t="n">
        <v>1625.7</v>
      </c>
      <c r="J63" s="32" t="n">
        <v>-1.17</v>
      </c>
      <c r="K63" s="32" t="n">
        <v>0</v>
      </c>
      <c r="L63" s="31" t="n">
        <v>56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75.8</v>
      </c>
      <c r="P63" s="32" t="n">
        <v>35.46</v>
      </c>
      <c r="Q63" s="32" t="n">
        <v>1279.79</v>
      </c>
      <c r="R63" s="31" t="inlineStr">
        <is>
          <t>Near 52W High Breakout</t>
        </is>
      </c>
      <c r="S63" s="31" t="inlineStr">
        <is>
          <t>Nifty 50</t>
        </is>
      </c>
      <c r="T63" s="32" t="n">
        <v>-6.08</v>
      </c>
      <c r="U63" s="32" t="n">
        <v>23.97</v>
      </c>
      <c r="V63" s="32" t="n">
        <v>32</v>
      </c>
      <c r="W63" s="32" t="n">
        <v>16.79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19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MOBAVENUE</t>
        </is>
      </c>
      <c r="D64" s="31" t="inlineStr">
        <is>
          <t>Mobavenue AI Tech Ltd</t>
        </is>
      </c>
      <c r="E64" s="31" t="inlineStr">
        <is>
          <t>Consumer Defensive</t>
        </is>
      </c>
      <c r="F64" s="31" t="inlineStr">
        <is>
          <t>Computer Education</t>
        </is>
      </c>
      <c r="G64" s="31" t="inlineStr">
        <is>
          <t>smallcap</t>
        </is>
      </c>
      <c r="H64" s="32" t="n">
        <v>2215.97</v>
      </c>
      <c r="I64" s="32" t="n">
        <v>1433.4</v>
      </c>
      <c r="J64" s="32" t="n">
        <v>-2.77</v>
      </c>
      <c r="K64" s="32" t="n">
        <v>0</v>
      </c>
      <c r="L64" s="31" t="n">
        <v>67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64.64</v>
      </c>
      <c r="P64" s="32" t="n">
        <v>16.22</v>
      </c>
      <c r="Q64" s="32" t="n">
        <v>1044.72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-6.08</v>
      </c>
      <c r="U64" s="32" t="n">
        <v>117.37</v>
      </c>
      <c r="V64" s="32" t="n">
        <v>131.45</v>
      </c>
      <c r="W64" s="32" t="n">
        <v>21.5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0 to 20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HONASA</t>
        </is>
      </c>
      <c r="D65" s="31" t="inlineStr">
        <is>
          <t>Honasa Consumer Ltd</t>
        </is>
      </c>
      <c r="E65" s="31" t="inlineStr">
        <is>
          <t>services</t>
        </is>
      </c>
      <c r="F65" s="31" t="inlineStr">
        <is>
          <t>New age - Platform - E-Retail</t>
        </is>
      </c>
      <c r="G65" s="31" t="inlineStr">
        <is>
          <t>midcap</t>
        </is>
      </c>
      <c r="H65" s="32" t="n">
        <v>13489.83</v>
      </c>
      <c r="I65" s="32" t="n">
        <v>414.6</v>
      </c>
      <c r="J65" s="32" t="n">
        <v>1.63</v>
      </c>
      <c r="K65" s="32" t="n">
        <v>0</v>
      </c>
      <c r="L65" s="31" t="n">
        <v>63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75.75</v>
      </c>
      <c r="P65" s="32" t="n">
        <v>30.94</v>
      </c>
      <c r="Q65" s="32" t="n">
        <v>336.64</v>
      </c>
      <c r="R65" s="31" t="inlineStr">
        <is>
          <t>Near 52W High Breakout</t>
        </is>
      </c>
      <c r="S65" s="31" t="inlineStr">
        <is>
          <t>Nifty 50</t>
        </is>
      </c>
      <c r="T65" s="32" t="n">
        <v>-6.08</v>
      </c>
      <c r="U65" s="32" t="n">
        <v>35.03</v>
      </c>
      <c r="V65" s="32" t="n">
        <v>43.77</v>
      </c>
      <c r="W65" s="32" t="n">
        <v>19.2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B2C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Between 50% to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18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AEGISLOG</t>
        </is>
      </c>
      <c r="D66" s="31" t="inlineStr">
        <is>
          <t>Aegis Logistics Ltd</t>
        </is>
      </c>
      <c r="E66" s="31" t="inlineStr">
        <is>
          <t>services</t>
        </is>
      </c>
      <c r="F66" s="31" t="inlineStr">
        <is>
          <t>Logistics</t>
        </is>
      </c>
      <c r="G66" s="31" t="inlineStr">
        <is>
          <t>largecap</t>
        </is>
      </c>
      <c r="H66" s="32" t="n">
        <v>28115.1</v>
      </c>
      <c r="I66" s="32" t="n">
        <v>801</v>
      </c>
      <c r="J66" s="32" t="n">
        <v>2.34</v>
      </c>
      <c r="K66" s="32" t="n">
        <v>0</v>
      </c>
      <c r="L66" s="31" t="n">
        <v>25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62.29</v>
      </c>
      <c r="P66" s="32" t="n">
        <v>18.81</v>
      </c>
      <c r="Q66" s="32" t="n">
        <v>612.01</v>
      </c>
      <c r="R66" s="31" t="inlineStr">
        <is>
          <t>Earnings / Momentum Support</t>
        </is>
      </c>
      <c r="S66" s="31" t="inlineStr">
        <is>
          <t>Nifty 50</t>
        </is>
      </c>
      <c r="T66" s="32" t="n">
        <v>-6.08</v>
      </c>
      <c r="U66" s="32" t="n">
        <v>2.43</v>
      </c>
      <c r="V66" s="32" t="n">
        <v>9.06</v>
      </c>
      <c r="W66" s="32" t="n">
        <v>8.609999999999999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0 to 20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17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SASKEN</t>
        </is>
      </c>
      <c r="D67" s="31" t="inlineStr">
        <is>
          <t>Sasken Technologies Ltd</t>
        </is>
      </c>
      <c r="E67" s="31" t="inlineStr">
        <is>
          <t>i.t</t>
        </is>
      </c>
      <c r="F67" s="31" t="inlineStr">
        <is>
          <t>IT - Software</t>
        </is>
      </c>
      <c r="G67" s="31" t="inlineStr">
        <is>
          <t>smallcap</t>
        </is>
      </c>
      <c r="H67" s="32" t="n">
        <v>3434.57</v>
      </c>
      <c r="I67" s="32" t="n">
        <v>2261.6</v>
      </c>
      <c r="J67" s="32" t="n">
        <v>-2.28</v>
      </c>
      <c r="K67" s="32" t="n">
        <v>0</v>
      </c>
      <c r="L67" s="31" t="n">
        <v>92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75.95999999999999</v>
      </c>
      <c r="P67" s="32" t="n">
        <v>32.26</v>
      </c>
      <c r="Q67" s="32" t="n">
        <v>1661.12</v>
      </c>
      <c r="R67" s="31" t="inlineStr">
        <is>
          <t>Near 52W High Breakout</t>
        </is>
      </c>
      <c r="S67" s="31" t="inlineStr">
        <is>
          <t>Nifty IT</t>
        </is>
      </c>
      <c r="T67" s="32" t="n">
        <v>-26.49</v>
      </c>
      <c r="U67" s="32" t="n">
        <v>57.12</v>
      </c>
      <c r="V67" s="32" t="n">
        <v>113.73</v>
      </c>
      <c r="W67" s="32" t="n">
        <v>43.36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Negative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20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SUNSHIEL</t>
        </is>
      </c>
      <c r="D68" s="34" t="inlineStr">
        <is>
          <t>Sunshield Chemicals Ltd</t>
        </is>
      </c>
      <c r="E68" s="31" t="inlineStr">
        <is>
          <t>Basic Materials</t>
        </is>
      </c>
      <c r="F68" s="31" t="inlineStr">
        <is>
          <t>Speciality Chemicals</t>
        </is>
      </c>
      <c r="G68" s="31" t="inlineStr">
        <is>
          <t>smallcap</t>
        </is>
      </c>
      <c r="H68" s="32" t="n">
        <v>1037.79</v>
      </c>
      <c r="I68" s="32" t="n">
        <v>1180</v>
      </c>
      <c r="J68" s="32" t="n">
        <v>12.82</v>
      </c>
      <c r="K68" s="32" t="n">
        <v>0</v>
      </c>
      <c r="L68" s="31" t="n">
        <v>71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72.64</v>
      </c>
      <c r="P68" s="32" t="n">
        <v>23.04</v>
      </c>
      <c r="Q68" s="32" t="n">
        <v>845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-6.08</v>
      </c>
      <c r="U68" s="32" t="n">
        <v>55.39</v>
      </c>
      <c r="V68" s="32" t="n">
        <v>65.45999999999999</v>
      </c>
      <c r="W68" s="32" t="n">
        <v>22.67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22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DIACABS</t>
        </is>
      </c>
      <c r="D69" s="31" t="inlineStr">
        <is>
          <t>Diamond Power Infrastructure Ltd</t>
        </is>
      </c>
      <c r="E69" s="31" t="inlineStr">
        <is>
          <t>industrials</t>
        </is>
      </c>
      <c r="F69" s="31" t="inlineStr">
        <is>
          <t>Cables - Power</t>
        </is>
      </c>
      <c r="G69" s="31" t="inlineStr">
        <is>
          <t>midcap</t>
        </is>
      </c>
      <c r="H69" s="32" t="n">
        <v>10381.33</v>
      </c>
      <c r="I69" s="32" t="n">
        <v>197</v>
      </c>
      <c r="J69" s="32" t="n">
        <v>-2.7</v>
      </c>
      <c r="K69" s="32" t="n">
        <v>0</v>
      </c>
      <c r="L69" s="31" t="n">
        <v>82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71.38</v>
      </c>
      <c r="P69" s="32" t="n">
        <v>32.74</v>
      </c>
      <c r="Q69" s="32" t="n">
        <v>151.81</v>
      </c>
      <c r="R69" s="31" t="inlineStr">
        <is>
          <t>Near 52W High Breakout</t>
        </is>
      </c>
      <c r="S69" s="31" t="inlineStr">
        <is>
          <t>Nifty Energy</t>
        </is>
      </c>
      <c r="T69" s="32" t="n">
        <v>8.98</v>
      </c>
      <c r="U69" s="32" t="n">
        <v>95.88</v>
      </c>
      <c r="V69" s="32" t="n">
        <v>79.75</v>
      </c>
      <c r="W69" s="32" t="n">
        <v>28.06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22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SANDHAR</t>
        </is>
      </c>
      <c r="D70" s="31" t="inlineStr">
        <is>
          <t>Sandhar Technologies Limited</t>
        </is>
      </c>
      <c r="E70" s="31" t="inlineStr">
        <is>
          <t>auto</t>
        </is>
      </c>
      <c r="F70" s="31" t="inlineStr">
        <is>
          <t>Auto Ancillaries - 2&amp;3 Wheelers</t>
        </is>
      </c>
      <c r="G70" s="31" t="inlineStr">
        <is>
          <t>smallcap</t>
        </is>
      </c>
      <c r="H70" s="32" t="n">
        <v>4324.4</v>
      </c>
      <c r="I70" s="32" t="n">
        <v>718.45</v>
      </c>
      <c r="J70" s="32" t="n">
        <v>1.35</v>
      </c>
      <c r="K70" s="32" t="n">
        <v>0</v>
      </c>
      <c r="L70" s="31" t="n">
        <v>62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72.44</v>
      </c>
      <c r="P70" s="32" t="n">
        <v>19.29</v>
      </c>
      <c r="Q70" s="32" t="n">
        <v>538.15</v>
      </c>
      <c r="R70" s="31" t="inlineStr">
        <is>
          <t>Near 52W High Breakout</t>
        </is>
      </c>
      <c r="S70" s="31" t="inlineStr">
        <is>
          <t>Nifty Auto</t>
        </is>
      </c>
      <c r="T70" s="32" t="n">
        <v>10.74</v>
      </c>
      <c r="U70" s="32" t="n">
        <v>35.39</v>
      </c>
      <c r="V70" s="32" t="n">
        <v>22.25</v>
      </c>
      <c r="W70" s="32" t="n">
        <v>18.37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0 to 20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21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INDNIPPON</t>
        </is>
      </c>
      <c r="D71" s="31" t="inlineStr">
        <is>
          <t>India Nippon Electricals Ltd</t>
        </is>
      </c>
      <c r="E71" s="31" t="inlineStr">
        <is>
          <t>Consumer Cyclical</t>
        </is>
      </c>
      <c r="F71" s="31" t="inlineStr">
        <is>
          <t>Auto Ancillaries - Engine Parts</t>
        </is>
      </c>
      <c r="G71" s="31" t="inlineStr">
        <is>
          <t>smallcap</t>
        </is>
      </c>
      <c r="H71" s="32" t="n">
        <v>1981.64</v>
      </c>
      <c r="I71" s="32" t="n">
        <v>876</v>
      </c>
      <c r="J71" s="32" t="n">
        <v>-2.19</v>
      </c>
      <c r="K71" s="32" t="n">
        <v>0</v>
      </c>
      <c r="L71" s="31" t="n">
        <v>24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57.36</v>
      </c>
      <c r="P71" s="32" t="n">
        <v>12.04</v>
      </c>
      <c r="Q71" s="32" t="n">
        <v>720.39</v>
      </c>
      <c r="R71" s="31" t="inlineStr">
        <is>
          <t>Earnings / Momentum Support</t>
        </is>
      </c>
      <c r="S71" s="31" t="inlineStr">
        <is>
          <t>Nifty Auto</t>
        </is>
      </c>
      <c r="T71" s="32" t="n">
        <v>10.74</v>
      </c>
      <c r="U71" s="32" t="n">
        <v>22.85</v>
      </c>
      <c r="V71" s="32" t="n">
        <v>10.93</v>
      </c>
      <c r="W71" s="32" t="n">
        <v>8.32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B2C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0 to 20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18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PREMIERENE</t>
        </is>
      </c>
      <c r="D72" s="31" t="inlineStr">
        <is>
          <t>Premier Energies Ltd</t>
        </is>
      </c>
      <c r="E72" s="31" t="inlineStr">
        <is>
          <t>services</t>
        </is>
      </c>
      <c r="F72" s="31" t="inlineStr">
        <is>
          <t>Capital Goods - Solar</t>
        </is>
      </c>
      <c r="G72" s="31" t="inlineStr">
        <is>
          <t>largecap</t>
        </is>
      </c>
      <c r="H72" s="32" t="n">
        <v>48386.69</v>
      </c>
      <c r="I72" s="32" t="n">
        <v>1065.9</v>
      </c>
      <c r="J72" s="32" t="n">
        <v>-1.91</v>
      </c>
      <c r="K72" s="32" t="n">
        <v>0</v>
      </c>
      <c r="L72" s="31" t="n">
        <v>31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63.45</v>
      </c>
      <c r="P72" s="32" t="n">
        <v>17.56</v>
      </c>
      <c r="Q72" s="32" t="n">
        <v>856.53</v>
      </c>
      <c r="R72" s="31" t="inlineStr">
        <is>
          <t>Near 52W High Breakout</t>
        </is>
      </c>
      <c r="S72" s="31" t="inlineStr">
        <is>
          <t>Nifty 500</t>
        </is>
      </c>
      <c r="T72" s="32" t="n">
        <v>-2.94</v>
      </c>
      <c r="U72" s="32" t="n">
        <v>5.49</v>
      </c>
      <c r="V72" s="32" t="n">
        <v>8.68</v>
      </c>
      <c r="W72" s="32" t="n">
        <v>9.880000000000001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18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AEROFLEX</t>
        </is>
      </c>
      <c r="D73" s="34" t="inlineStr">
        <is>
          <t>Aeroflex Industries Ltd</t>
        </is>
      </c>
      <c r="E73" s="31" t="inlineStr">
        <is>
          <t>metals &amp; mining</t>
        </is>
      </c>
      <c r="F73" s="31" t="inlineStr">
        <is>
          <t>Stainless Steel</t>
        </is>
      </c>
      <c r="G73" s="31" t="inlineStr">
        <is>
          <t>midcap</t>
        </is>
      </c>
      <c r="H73" s="32" t="n">
        <v>5479.82</v>
      </c>
      <c r="I73" s="32" t="n">
        <v>414.1</v>
      </c>
      <c r="J73" s="32" t="n">
        <v>-2.72</v>
      </c>
      <c r="K73" s="32" t="n">
        <v>0</v>
      </c>
      <c r="L73" s="31" t="n">
        <v>90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69.78</v>
      </c>
      <c r="P73" s="32" t="n">
        <v>56.95</v>
      </c>
      <c r="Q73" s="32" t="n">
        <v>305.67</v>
      </c>
      <c r="R73" s="31" t="inlineStr">
        <is>
          <t>Earnings / Momentum Support</t>
        </is>
      </c>
      <c r="S73" s="31" t="inlineStr">
        <is>
          <t>Nifty Metal</t>
        </is>
      </c>
      <c r="T73" s="32" t="n">
        <v>37.88</v>
      </c>
      <c r="U73" s="32" t="n">
        <v>142.49</v>
      </c>
      <c r="V73" s="32" t="n">
        <v>75.86</v>
      </c>
      <c r="W73" s="32" t="n">
        <v>37.95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Between 1.5 to 2</t>
        </is>
      </c>
      <c r="BU73" s="31">
        <f>IF(BT73="Above 2",0,IF(BT73="Between 1.5 to 2",5,IF(BT73="Less than 1.5",10,0)))</f>
        <v/>
      </c>
      <c r="BV73" s="31" t="inlineStr">
        <is>
          <t>Between 50% to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18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3" t="inlineStr">
        <is>
          <t>GUFICBIO</t>
        </is>
      </c>
      <c r="D74" s="33" t="inlineStr">
        <is>
          <t>Gufic BioSciences Ltd</t>
        </is>
      </c>
      <c r="E74" s="31" t="inlineStr">
        <is>
          <t>healthcare</t>
        </is>
      </c>
      <c r="F74" s="31" t="inlineStr">
        <is>
          <t>Pharma - Formulators</t>
        </is>
      </c>
      <c r="G74" s="31" t="inlineStr">
        <is>
          <t>smallcap</t>
        </is>
      </c>
      <c r="H74" s="32" t="n">
        <v>3650.78</v>
      </c>
      <c r="I74" s="32" t="n">
        <v>364.05</v>
      </c>
      <c r="J74" s="32" t="n">
        <v>-5.88</v>
      </c>
      <c r="K74" s="32" t="n">
        <v>0</v>
      </c>
      <c r="L74" s="31" t="n">
        <v>13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63.22</v>
      </c>
      <c r="P74" s="32" t="n">
        <v>22.26</v>
      </c>
      <c r="Q74" s="32" t="n">
        <v>286.39</v>
      </c>
      <c r="R74" s="31" t="inlineStr">
        <is>
          <t>Volume Spike / Accumulation</t>
        </is>
      </c>
      <c r="S74" s="31" t="inlineStr">
        <is>
          <t>Nifty Pharma</t>
        </is>
      </c>
      <c r="T74" s="32" t="n">
        <v>9.9</v>
      </c>
      <c r="U74" s="32" t="n">
        <v>-1.75</v>
      </c>
      <c r="V74" s="32" t="n">
        <v>-10.6</v>
      </c>
      <c r="W74" s="32" t="n">
        <v>5.96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18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JNKINDIA</t>
        </is>
      </c>
      <c r="D75" s="31" t="inlineStr">
        <is>
          <t>JNK India Ltd</t>
        </is>
      </c>
      <c r="E75" s="31" t="inlineStr">
        <is>
          <t>realty</t>
        </is>
      </c>
      <c r="F75" s="31" t="inlineStr">
        <is>
          <t>Capital Goods - Engineering Heavy</t>
        </is>
      </c>
      <c r="G75" s="31" t="inlineStr">
        <is>
          <t>smallcap</t>
        </is>
      </c>
      <c r="H75" s="32" t="n">
        <v>2786.5</v>
      </c>
      <c r="I75" s="32" t="n">
        <v>498</v>
      </c>
      <c r="J75" s="32" t="n">
        <v>2.88</v>
      </c>
      <c r="K75" s="32" t="n">
        <v>0</v>
      </c>
      <c r="L75" s="31" t="n">
        <v>90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77.09999999999999</v>
      </c>
      <c r="P75" s="32" t="n">
        <v>29.06</v>
      </c>
      <c r="Q75" s="32" t="n">
        <v>350.02</v>
      </c>
      <c r="R75" s="31" t="inlineStr">
        <is>
          <t>Volume Spike &amp; Near 52W High Breakout</t>
        </is>
      </c>
      <c r="S75" s="31" t="inlineStr">
        <is>
          <t>Nifty Realty</t>
        </is>
      </c>
      <c r="T75" s="32" t="n">
        <v>-25.71</v>
      </c>
      <c r="U75" s="32" t="n">
        <v>37.44</v>
      </c>
      <c r="V75" s="32" t="n">
        <v>85</v>
      </c>
      <c r="W75" s="32" t="n">
        <v>37.37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Negative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33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SOTL</t>
        </is>
      </c>
      <c r="D76" s="31" t="inlineStr">
        <is>
          <t>Savita Oil Technologies Ltd</t>
        </is>
      </c>
      <c r="E76" s="31" t="inlineStr">
        <is>
          <t>energy</t>
        </is>
      </c>
      <c r="F76" s="31" t="inlineStr">
        <is>
          <t>Petrochem - Others</t>
        </is>
      </c>
      <c r="G76" s="31" t="inlineStr">
        <is>
          <t>smallcap</t>
        </is>
      </c>
      <c r="H76" s="32" t="n">
        <v>3774.59</v>
      </c>
      <c r="I76" s="32" t="n">
        <v>550.55</v>
      </c>
      <c r="J76" s="32" t="n">
        <v>-3.08</v>
      </c>
      <c r="K76" s="32" t="n">
        <v>0</v>
      </c>
      <c r="L76" s="31" t="n">
        <v>70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72.51000000000001</v>
      </c>
      <c r="P76" s="32" t="n">
        <v>27.95</v>
      </c>
      <c r="Q76" s="32" t="n">
        <v>420.49</v>
      </c>
      <c r="R76" s="31" t="inlineStr">
        <is>
          <t>Near 52W High Breakout</t>
        </is>
      </c>
      <c r="S76" s="31" t="inlineStr">
        <is>
          <t>Nifty Energy</t>
        </is>
      </c>
      <c r="T76" s="32" t="n">
        <v>8.98</v>
      </c>
      <c r="U76" s="32" t="n">
        <v>32.02</v>
      </c>
      <c r="V76" s="32" t="n">
        <v>21.15</v>
      </c>
      <c r="W76" s="32" t="n">
        <v>22.6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Between 50% to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25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JAYBARMARU</t>
        </is>
      </c>
      <c r="D77" s="31" t="inlineStr">
        <is>
          <t>Jay Bharat Maruti Ltd</t>
        </is>
      </c>
      <c r="E77" s="31" t="inlineStr">
        <is>
          <t>auto</t>
        </is>
      </c>
      <c r="F77" s="31" t="inlineStr">
        <is>
          <t>Auto Ancillaries - Diversified</t>
        </is>
      </c>
      <c r="G77" s="31" t="inlineStr">
        <is>
          <t>smallcap</t>
        </is>
      </c>
      <c r="H77" s="32" t="n">
        <v>1441.57</v>
      </c>
      <c r="I77" s="32" t="n">
        <v>133.17</v>
      </c>
      <c r="J77" s="32" t="n">
        <v>-4.07</v>
      </c>
      <c r="K77" s="32" t="n">
        <v>0</v>
      </c>
      <c r="L77" s="31" t="n">
        <v>72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67.13</v>
      </c>
      <c r="P77" s="32" t="n">
        <v>17.17</v>
      </c>
      <c r="Q77" s="32" t="n">
        <v>93.08</v>
      </c>
      <c r="R77" s="31" t="inlineStr">
        <is>
          <t>Near 52W High Breakout</t>
        </is>
      </c>
      <c r="S77" s="31" t="inlineStr">
        <is>
          <t>Nifty Auto</t>
        </is>
      </c>
      <c r="T77" s="32" t="n">
        <v>10.74</v>
      </c>
      <c r="U77" s="32" t="n">
        <v>71.52</v>
      </c>
      <c r="V77" s="32" t="n">
        <v>54.88</v>
      </c>
      <c r="W77" s="32" t="n">
        <v>23.32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Between 50% to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23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3" t="inlineStr">
        <is>
          <t>BMW</t>
        </is>
      </c>
      <c r="D78" s="33" t="inlineStr">
        <is>
          <t>BMW Industries Ltd</t>
        </is>
      </c>
      <c r="E78" s="31" t="inlineStr">
        <is>
          <t>Basic Materials</t>
        </is>
      </c>
      <c r="F78" s="31" t="inlineStr">
        <is>
          <t>Steel Products</t>
        </is>
      </c>
      <c r="G78" s="31" t="inlineStr">
        <is>
          <t>smallcap</t>
        </is>
      </c>
      <c r="H78" s="32" t="n">
        <v>1358.85</v>
      </c>
      <c r="I78" s="32" t="n">
        <v>60.37</v>
      </c>
      <c r="J78" s="32" t="n">
        <v>-4.63</v>
      </c>
      <c r="K78" s="32" t="n">
        <v>0</v>
      </c>
      <c r="L78" s="31" t="n">
        <v>75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72.67</v>
      </c>
      <c r="P78" s="32" t="n">
        <v>35.59</v>
      </c>
      <c r="Q78" s="32" t="n">
        <v>43.72</v>
      </c>
      <c r="R78" s="31" t="inlineStr">
        <is>
          <t>Near 52W High Breakout</t>
        </is>
      </c>
      <c r="S78" s="31" t="inlineStr">
        <is>
          <t>Nifty Metal</t>
        </is>
      </c>
      <c r="T78" s="32" t="n">
        <v>37.88</v>
      </c>
      <c r="U78" s="32" t="n">
        <v>8.34</v>
      </c>
      <c r="V78" s="32" t="n">
        <v>-21.43</v>
      </c>
      <c r="W78" s="32" t="n">
        <v>24.48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Between 50% to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22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BHAGYANGR</t>
        </is>
      </c>
      <c r="D79" s="34" t="inlineStr">
        <is>
          <t>Bhagyanagar India Ltd</t>
        </is>
      </c>
      <c r="E79" s="31" t="inlineStr">
        <is>
          <t>power &amp; utilities</t>
        </is>
      </c>
      <c r="F79" s="31" t="inlineStr">
        <is>
          <t>Recycling</t>
        </is>
      </c>
      <c r="G79" s="31" t="inlineStr">
        <is>
          <t>smallcap</t>
        </is>
      </c>
      <c r="H79" s="32" t="n">
        <v>1008.48</v>
      </c>
      <c r="I79" s="32" t="n">
        <v>315.2</v>
      </c>
      <c r="J79" s="32" t="n">
        <v>2.4</v>
      </c>
      <c r="K79" s="32" t="n">
        <v>0</v>
      </c>
      <c r="L79" s="31" t="n">
        <v>98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75.78</v>
      </c>
      <c r="P79" s="32" t="n">
        <v>58.19</v>
      </c>
      <c r="Q79" s="32" t="n">
        <v>220.47</v>
      </c>
      <c r="R79" s="31" t="inlineStr">
        <is>
          <t>Near 52W High Breakout</t>
        </is>
      </c>
      <c r="S79" s="31" t="inlineStr">
        <is>
          <t>Nifty IT</t>
        </is>
      </c>
      <c r="T79" s="32" t="n">
        <v>-26.49</v>
      </c>
      <c r="U79" s="32" t="n">
        <v>307.34</v>
      </c>
      <c r="V79" s="32" t="n">
        <v>454.11</v>
      </c>
      <c r="W79" s="32" t="n">
        <v>61.53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Between 50% to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20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ROBU</t>
        </is>
      </c>
      <c r="D80" s="31" t="inlineStr">
        <is>
          <t>Macfos Ltd</t>
        </is>
      </c>
      <c r="E80" s="31" t="inlineStr">
        <is>
          <t>Technology</t>
        </is>
      </c>
      <c r="F80" s="31" t="inlineStr">
        <is>
          <t>E-Commerce - Platform - Utility</t>
        </is>
      </c>
      <c r="G80" s="31" t="inlineStr">
        <is>
          <t>smallcap</t>
        </is>
      </c>
      <c r="H80" s="32" t="n">
        <v>1175.69</v>
      </c>
      <c r="I80" s="32" t="n">
        <v>1135</v>
      </c>
      <c r="J80" s="32" t="n">
        <v>-9.6</v>
      </c>
      <c r="K80" s="32" t="n">
        <v>0</v>
      </c>
      <c r="L80" s="31" t="n">
        <v>61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68.55</v>
      </c>
      <c r="P80" s="32" t="n">
        <v>69.62</v>
      </c>
      <c r="Q80" s="32" t="n">
        <v>907.97</v>
      </c>
      <c r="R80" s="31" t="inlineStr">
        <is>
          <t>Earnings / Momentum Support</t>
        </is>
      </c>
      <c r="S80" s="31" t="inlineStr">
        <is>
          <t>Nifty 50</t>
        </is>
      </c>
      <c r="T80" s="32" t="n">
        <v>-6.08</v>
      </c>
      <c r="U80" s="32" t="n">
        <v>56.94</v>
      </c>
      <c r="V80" s="32" t="n">
        <v>67.09999999999999</v>
      </c>
      <c r="W80" s="32" t="n">
        <v>18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Oligopoly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20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FCL</t>
        </is>
      </c>
      <c r="D81" s="31" t="inlineStr">
        <is>
          <t>Fineotex Chemical Ltd</t>
        </is>
      </c>
      <c r="E81" s="31" t="inlineStr">
        <is>
          <t>chemicals</t>
        </is>
      </c>
      <c r="F81" s="31" t="inlineStr">
        <is>
          <t>Speciality Chemicals</t>
        </is>
      </c>
      <c r="G81" s="31" t="inlineStr">
        <is>
          <t>smallcap</t>
        </is>
      </c>
      <c r="H81" s="32" t="n">
        <v>4436.75</v>
      </c>
      <c r="I81" s="32" t="n">
        <v>38.1</v>
      </c>
      <c r="J81" s="32" t="n">
        <v>-4.42</v>
      </c>
      <c r="K81" s="32" t="n">
        <v>0</v>
      </c>
      <c r="L81" s="31" t="n">
        <v>77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69.73</v>
      </c>
      <c r="P81" s="32" t="n">
        <v>30.44</v>
      </c>
      <c r="Q81" s="32" t="n">
        <v>29.76</v>
      </c>
      <c r="R81" s="31" t="inlineStr">
        <is>
          <t>Earnings / Momentum Support</t>
        </is>
      </c>
      <c r="S81" s="31" t="inlineStr">
        <is>
          <t>Nifty 50</t>
        </is>
      </c>
      <c r="T81" s="32" t="n">
        <v>-6.08</v>
      </c>
      <c r="U81" s="32" t="n">
        <v>43.97</v>
      </c>
      <c r="V81" s="32" t="n">
        <v>53.3</v>
      </c>
      <c r="W81" s="32" t="n">
        <v>25.83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Negative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21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3" t="inlineStr">
        <is>
          <t>SHYAMMETL</t>
        </is>
      </c>
      <c r="D82" s="33" t="inlineStr">
        <is>
          <t>Shyam Metalics &amp; Energy Ltd</t>
        </is>
      </c>
      <c r="E82" s="31" t="inlineStr">
        <is>
          <t>metals &amp; mining</t>
        </is>
      </c>
      <c r="F82" s="31" t="inlineStr">
        <is>
          <t>Steel Products</t>
        </is>
      </c>
      <c r="G82" s="31" t="inlineStr">
        <is>
          <t>largecap</t>
        </is>
      </c>
      <c r="H82" s="32" t="n">
        <v>27043.69</v>
      </c>
      <c r="I82" s="32" t="n">
        <v>968.85</v>
      </c>
      <c r="J82" s="32" t="n">
        <v>-0.46</v>
      </c>
      <c r="K82" s="32" t="n">
        <v>0</v>
      </c>
      <c r="L82" s="31" t="n">
        <v>27</v>
      </c>
      <c r="M82" s="31" t="inlineStr">
        <is>
          <t>Underperforming</t>
        </is>
      </c>
      <c r="N82" s="32">
        <f>IF(M82="Underperforming",-5,IF(L82&gt;=95,15,IF(L82&gt;=90,10,IF(L82&gt;=80,5,0))))</f>
        <v/>
      </c>
      <c r="O82" s="32" t="n">
        <v>61.03</v>
      </c>
      <c r="P82" s="32" t="n">
        <v>15.26</v>
      </c>
      <c r="Q82" s="32" t="n">
        <v>812.21</v>
      </c>
      <c r="R82" s="31" t="inlineStr">
        <is>
          <t>Near 52W High Breakout</t>
        </is>
      </c>
      <c r="S82" s="31" t="inlineStr">
        <is>
          <t>Nifty Metal</t>
        </is>
      </c>
      <c r="T82" s="32" t="n">
        <v>37.88</v>
      </c>
      <c r="U82" s="32" t="n">
        <v>16.32</v>
      </c>
      <c r="V82" s="32" t="n">
        <v>-15.64</v>
      </c>
      <c r="W82" s="32" t="n">
        <v>9.050000000000001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20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SFL</t>
        </is>
      </c>
      <c r="D83" s="34" t="inlineStr">
        <is>
          <t>Sheela Foam Ltd</t>
        </is>
      </c>
      <c r="E83" s="31" t="inlineStr">
        <is>
          <t>consumer discretionary</t>
        </is>
      </c>
      <c r="F83" s="31" t="inlineStr">
        <is>
          <t>Mattress</t>
        </is>
      </c>
      <c r="G83" s="31" t="inlineStr">
        <is>
          <t>midcap</t>
        </is>
      </c>
      <c r="H83" s="32" t="n">
        <v>7606.25</v>
      </c>
      <c r="I83" s="32" t="n">
        <v>696.55</v>
      </c>
      <c r="J83" s="32" t="n">
        <v>2.3</v>
      </c>
      <c r="K83" s="32" t="n">
        <v>0</v>
      </c>
      <c r="L83" s="31" t="n">
        <v>30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65.43000000000001</v>
      </c>
      <c r="P83" s="32" t="n">
        <v>19.55</v>
      </c>
      <c r="Q83" s="32" t="n">
        <v>528.5700000000001</v>
      </c>
      <c r="R83" s="31" t="inlineStr">
        <is>
          <t>Earnings / Momentum Support</t>
        </is>
      </c>
      <c r="S83" s="31" t="inlineStr">
        <is>
          <t>Nifty 50</t>
        </is>
      </c>
      <c r="T83" s="32" t="n">
        <v>-6.08</v>
      </c>
      <c r="U83" s="32" t="n">
        <v>4.4</v>
      </c>
      <c r="V83" s="32" t="n">
        <v>11.16</v>
      </c>
      <c r="W83" s="32" t="n">
        <v>9.68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20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PREMEXPLN</t>
        </is>
      </c>
      <c r="D84" s="31" t="inlineStr">
        <is>
          <t>Premier Explosives Ltd</t>
        </is>
      </c>
      <c r="E84" s="31" t="inlineStr">
        <is>
          <t>aerospace &amp; defence</t>
        </is>
      </c>
      <c r="F84" s="31" t="inlineStr">
        <is>
          <t>Industrial Explosives</t>
        </is>
      </c>
      <c r="G84" s="31" t="inlineStr">
        <is>
          <t>smallcap</t>
        </is>
      </c>
      <c r="H84" s="32" t="n">
        <v>3685.33</v>
      </c>
      <c r="I84" s="32" t="n">
        <v>685.5</v>
      </c>
      <c r="J84" s="32" t="n">
        <v>-5.05</v>
      </c>
      <c r="K84" s="32" t="n">
        <v>0</v>
      </c>
      <c r="L84" s="31" t="n">
        <v>50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67.45</v>
      </c>
      <c r="P84" s="32" t="n">
        <v>18.54</v>
      </c>
      <c r="Q84" s="32" t="n">
        <v>481.05</v>
      </c>
      <c r="R84" s="31" t="inlineStr">
        <is>
          <t>Near 52W High Breakout</t>
        </is>
      </c>
      <c r="S84" s="31" t="inlineStr">
        <is>
          <t>Nifty IT</t>
        </is>
      </c>
      <c r="T84" s="32" t="n">
        <v>-26.49</v>
      </c>
      <c r="U84" s="32" t="n">
        <v>12.75</v>
      </c>
      <c r="V84" s="32" t="n">
        <v>53.37</v>
      </c>
      <c r="W84" s="32" t="n">
        <v>15.12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18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SKYGOLD</t>
        </is>
      </c>
      <c r="D85" s="34" t="inlineStr">
        <is>
          <t>Sky Gold &amp; Diamonds Ltd</t>
        </is>
      </c>
      <c r="E85" s="31" t="inlineStr">
        <is>
          <t>Consumer Cyclical</t>
        </is>
      </c>
      <c r="F85" s="31" t="inlineStr">
        <is>
          <t>Diamond, Gems &amp; Jewellery</t>
        </is>
      </c>
      <c r="G85" s="31" t="inlineStr">
        <is>
          <t>midcap</t>
        </is>
      </c>
      <c r="H85" s="32" t="n">
        <v>7783.96</v>
      </c>
      <c r="I85" s="32" t="n">
        <v>502.6</v>
      </c>
      <c r="J85" s="32" t="n">
        <v>-2.04</v>
      </c>
      <c r="K85" s="32" t="n">
        <v>0</v>
      </c>
      <c r="L85" s="31" t="n">
        <v>61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62.7</v>
      </c>
      <c r="P85" s="32" t="n">
        <v>34.89</v>
      </c>
      <c r="Q85" s="32" t="n">
        <v>386.76</v>
      </c>
      <c r="R85" s="31" t="inlineStr">
        <is>
          <t>Earnings / Momentum Support</t>
        </is>
      </c>
      <c r="S85" s="31" t="inlineStr">
        <is>
          <t>Nifty 50</t>
        </is>
      </c>
      <c r="T85" s="32" t="n">
        <v>-6.08</v>
      </c>
      <c r="U85" s="32" t="n">
        <v>30.46</v>
      </c>
      <c r="V85" s="32" t="n">
        <v>38.91</v>
      </c>
      <c r="W85" s="32" t="n">
        <v>18.35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21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RHETAN</t>
        </is>
      </c>
      <c r="D86" s="34" t="inlineStr">
        <is>
          <t>Rhetan TMT Ltd</t>
        </is>
      </c>
      <c r="E86" s="31" t="inlineStr">
        <is>
          <t>Basic Materials</t>
        </is>
      </c>
      <c r="F86" s="31" t="inlineStr">
        <is>
          <t>Steel Products</t>
        </is>
      </c>
      <c r="G86" s="31" t="inlineStr">
        <is>
          <t>smallcap</t>
        </is>
      </c>
      <c r="H86" s="32" t="n">
        <v>2452.78</v>
      </c>
      <c r="I86" s="32" t="n">
        <v>30.78</v>
      </c>
      <c r="J86" s="32" t="n">
        <v>1.38</v>
      </c>
      <c r="K86" s="32" t="n">
        <v>0</v>
      </c>
      <c r="L86" s="31" t="n">
        <v>42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70.56</v>
      </c>
      <c r="P86" s="32" t="n">
        <v>20.8</v>
      </c>
      <c r="Q86" s="32" t="n">
        <v>23.89</v>
      </c>
      <c r="R86" s="31" t="inlineStr">
        <is>
          <t>Near 52W High Breakout</t>
        </is>
      </c>
      <c r="S86" s="31" t="inlineStr">
        <is>
          <t>Nifty Metal</t>
        </is>
      </c>
      <c r="T86" s="32" t="n">
        <v>29.11</v>
      </c>
      <c r="U86" s="32" t="n">
        <v>44.81</v>
      </c>
      <c r="V86" s="32" t="n">
        <v>12.16</v>
      </c>
      <c r="W86" s="32" t="n">
        <v>13.23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17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PTCIL</t>
        </is>
      </c>
      <c r="D87" s="31" t="inlineStr">
        <is>
          <t>PTC Industries Ltd</t>
        </is>
      </c>
      <c r="E87" s="31" t="inlineStr">
        <is>
          <t>industrials</t>
        </is>
      </c>
      <c r="F87" s="31" t="inlineStr">
        <is>
          <t>Castings - Steel/Alloy</t>
        </is>
      </c>
      <c r="G87" s="31" t="inlineStr">
        <is>
          <t>largecap</t>
        </is>
      </c>
      <c r="H87" s="32" t="n">
        <v>27842.66</v>
      </c>
      <c r="I87" s="32" t="n">
        <v>18571</v>
      </c>
      <c r="J87" s="32" t="n">
        <v>-0.65</v>
      </c>
      <c r="K87" s="32" t="n">
        <v>0</v>
      </c>
      <c r="L87" s="31" t="n">
        <v>17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60.54</v>
      </c>
      <c r="P87" s="32" t="n">
        <v>14.22</v>
      </c>
      <c r="Q87" s="32" t="n">
        <v>14522.11</v>
      </c>
      <c r="R87" s="31" t="inlineStr">
        <is>
          <t>Near 52W High Breakout</t>
        </is>
      </c>
      <c r="S87" s="31" t="inlineStr">
        <is>
          <t>Nifty 50</t>
        </is>
      </c>
      <c r="T87" s="32" t="n">
        <v>-6.08</v>
      </c>
      <c r="U87" s="32" t="n">
        <v>21.56</v>
      </c>
      <c r="V87" s="32" t="n">
        <v>29.44</v>
      </c>
      <c r="W87" s="32" t="n">
        <v>6.63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0 to 20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Negative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23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4" t="inlineStr">
        <is>
          <t>WELSPLSOL</t>
        </is>
      </c>
      <c r="D88" s="34" t="inlineStr">
        <is>
          <t>Welspun Specialty Solutions Ltd</t>
        </is>
      </c>
      <c r="E88" s="31" t="inlineStr">
        <is>
          <t>Basic Materials</t>
        </is>
      </c>
      <c r="F88" s="31" t="inlineStr">
        <is>
          <t>Steel - Tubes/Pipes</t>
        </is>
      </c>
      <c r="G88" s="31" t="inlineStr">
        <is>
          <t>smallcap</t>
        </is>
      </c>
      <c r="H88" s="32" t="n">
        <v>3686.11</v>
      </c>
      <c r="I88" s="32" t="n">
        <v>55.63</v>
      </c>
      <c r="J88" s="32" t="n">
        <v>-6.39</v>
      </c>
      <c r="K88" s="32" t="n">
        <v>0</v>
      </c>
      <c r="L88" s="31" t="n">
        <v>70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75.79000000000001</v>
      </c>
      <c r="P88" s="32" t="n">
        <v>28.73</v>
      </c>
      <c r="Q88" s="32" t="n">
        <v>40.91</v>
      </c>
      <c r="R88" s="31" t="inlineStr">
        <is>
          <t>Volume Spike &amp; Near 52W High Breakout</t>
        </is>
      </c>
      <c r="S88" s="31" t="inlineStr">
        <is>
          <t>Nifty Metal</t>
        </is>
      </c>
      <c r="T88" s="32" t="n">
        <v>37.88</v>
      </c>
      <c r="U88" s="32" t="n">
        <v>49.91</v>
      </c>
      <c r="V88" s="32" t="n">
        <v>8.720000000000001</v>
      </c>
      <c r="W88" s="32" t="n">
        <v>22.44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19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ASIANENE</t>
        </is>
      </c>
      <c r="D89" s="31" t="inlineStr">
        <is>
          <t>Asian Energy Services Ltd</t>
        </is>
      </c>
      <c r="E89" s="31" t="inlineStr">
        <is>
          <t>energy</t>
        </is>
      </c>
      <c r="F89" s="31" t="inlineStr">
        <is>
          <t>Oil Drilling &amp; Exploration</t>
        </is>
      </c>
      <c r="G89" s="31" t="inlineStr">
        <is>
          <t>smallcap</t>
        </is>
      </c>
      <c r="H89" s="32" t="n">
        <v>1788.88</v>
      </c>
      <c r="I89" s="32" t="n">
        <v>368</v>
      </c>
      <c r="J89" s="32" t="n">
        <v>-4.12</v>
      </c>
      <c r="K89" s="32" t="n">
        <v>0</v>
      </c>
      <c r="L89" s="31" t="n">
        <v>39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62.12</v>
      </c>
      <c r="P89" s="32" t="n">
        <v>13.59</v>
      </c>
      <c r="Q89" s="32" t="n">
        <v>275.53</v>
      </c>
      <c r="R89" s="31" t="inlineStr">
        <is>
          <t>Near 52W High Breakout</t>
        </is>
      </c>
      <c r="S89" s="31" t="inlineStr">
        <is>
          <t>Nifty Energy</t>
        </is>
      </c>
      <c r="T89" s="32" t="n">
        <v>8.98</v>
      </c>
      <c r="U89" s="32" t="n">
        <v>18.72</v>
      </c>
      <c r="V89" s="32" t="n">
        <v>8.94</v>
      </c>
      <c r="W89" s="32" t="n">
        <v>12.4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Between 50% to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18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3" t="inlineStr">
        <is>
          <t>PANAMAPET</t>
        </is>
      </c>
      <c r="D90" s="33" t="inlineStr">
        <is>
          <t>Panama Petrochem Ltd</t>
        </is>
      </c>
      <c r="E90" s="31" t="inlineStr">
        <is>
          <t>energy</t>
        </is>
      </c>
      <c r="F90" s="31" t="inlineStr">
        <is>
          <t>Speciality Chemicals</t>
        </is>
      </c>
      <c r="G90" s="31" t="inlineStr">
        <is>
          <t>smallcap</t>
        </is>
      </c>
      <c r="H90" s="32" t="n">
        <v>2308.13</v>
      </c>
      <c r="I90" s="32" t="n">
        <v>381.55</v>
      </c>
      <c r="J90" s="32" t="n">
        <v>8.44</v>
      </c>
      <c r="K90" s="32" t="n">
        <v>0</v>
      </c>
      <c r="L90" s="31" t="n">
        <v>37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71.15000000000001</v>
      </c>
      <c r="P90" s="32" t="n">
        <v>20.35</v>
      </c>
      <c r="Q90" s="32" t="n">
        <v>283.31</v>
      </c>
      <c r="R90" s="31" t="inlineStr">
        <is>
          <t>Volume Spike &amp; Near 52W High Breakout</t>
        </is>
      </c>
      <c r="S90" s="31" t="inlineStr">
        <is>
          <t>Nifty Energy</t>
        </is>
      </c>
      <c r="T90" s="32" t="n">
        <v>8.98</v>
      </c>
      <c r="U90" s="32" t="n">
        <v>6.05</v>
      </c>
      <c r="V90" s="32" t="n">
        <v>-2.68</v>
      </c>
      <c r="W90" s="32" t="n">
        <v>11.2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Negative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24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3" t="inlineStr">
        <is>
          <t>SILVERTUC</t>
        </is>
      </c>
      <c r="D91" s="33" t="inlineStr">
        <is>
          <t>Silver Touch Technologies Ltd</t>
        </is>
      </c>
      <c r="E91" s="31" t="inlineStr">
        <is>
          <t>i.t</t>
        </is>
      </c>
      <c r="F91" s="31" t="inlineStr">
        <is>
          <t>IT - Software</t>
        </is>
      </c>
      <c r="G91" s="31" t="inlineStr">
        <is>
          <t>smallcap</t>
        </is>
      </c>
      <c r="H91" s="32" t="n">
        <v>2345.1</v>
      </c>
      <c r="I91" s="32" t="n">
        <v>184.93</v>
      </c>
      <c r="J91" s="32" t="n">
        <v>-0.5600000000000001</v>
      </c>
      <c r="K91" s="32" t="n">
        <v>0</v>
      </c>
      <c r="L91" s="31" t="n">
        <v>33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39.15</v>
      </c>
      <c r="P91" s="32" t="n">
        <v>43</v>
      </c>
      <c r="Q91" s="32" t="n">
        <v>65.09999999999999</v>
      </c>
      <c r="R91" s="31" t="inlineStr">
        <is>
          <t>Earnings / Momentum Support</t>
        </is>
      </c>
      <c r="S91" s="31" t="inlineStr">
        <is>
          <t>Nifty IT</t>
        </is>
      </c>
      <c r="T91" s="32" t="n">
        <v>-26.49</v>
      </c>
      <c r="U91" s="32" t="n">
        <v>-76.56</v>
      </c>
      <c r="V91" s="32" t="n">
        <v>-68.11</v>
      </c>
      <c r="W91" s="32" t="n">
        <v>10.12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Below 45</t>
        </is>
      </c>
      <c r="BA91" s="31">
        <f>IF(AZ91="Between 50 to 75",10,IF(AZ91="Above 75",0,0))</f>
        <v/>
      </c>
      <c r="BB91" s="31" t="inlineStr">
        <is>
          <t>Stage 4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19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V2RETAIL</t>
        </is>
      </c>
      <c r="D92" s="31" t="inlineStr">
        <is>
          <t>V2 Retail Ltd</t>
        </is>
      </c>
      <c r="E92" s="31" t="inlineStr">
        <is>
          <t>Consumer Cyclical</t>
        </is>
      </c>
      <c r="F92" s="31" t="inlineStr">
        <is>
          <t>Textiles - Readymade Apparel</t>
        </is>
      </c>
      <c r="G92" s="31" t="inlineStr">
        <is>
          <t>midcap</t>
        </is>
      </c>
      <c r="H92" s="32" t="n">
        <v>8202.16</v>
      </c>
      <c r="I92" s="32" t="n">
        <v>224.94</v>
      </c>
      <c r="J92" s="32" t="n">
        <v>-5.84</v>
      </c>
      <c r="K92" s="32" t="n">
        <v>0</v>
      </c>
      <c r="L92" s="31" t="n">
        <v>28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55.12</v>
      </c>
      <c r="P92" s="32" t="n">
        <v>29.41</v>
      </c>
      <c r="Q92" s="32" t="n">
        <v>181.83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-6.08</v>
      </c>
      <c r="U92" s="32" t="n">
        <v>22.69</v>
      </c>
      <c r="V92" s="32" t="n">
        <v>30.64</v>
      </c>
      <c r="W92" s="32" t="n">
        <v>9.199999999999999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B2C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Negative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22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ONIXSOLAR</t>
        </is>
      </c>
      <c r="D93" s="31" t="inlineStr">
        <is>
          <t>Onix Solar Energy Ltd</t>
        </is>
      </c>
      <c r="E93" s="31" t="inlineStr">
        <is>
          <t>Technology</t>
        </is>
      </c>
      <c r="F93" s="31" t="inlineStr">
        <is>
          <t>Trading</t>
        </is>
      </c>
      <c r="G93" s="31" t="inlineStr">
        <is>
          <t>smallcap</t>
        </is>
      </c>
      <c r="H93" s="32" t="n">
        <v>2513.66</v>
      </c>
      <c r="I93" s="32" t="n">
        <v>681.8</v>
      </c>
      <c r="J93" s="32" t="n">
        <v>-2</v>
      </c>
      <c r="K93" s="32" t="n">
        <v>0</v>
      </c>
      <c r="L93" s="31" t="n">
        <v>79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48.73</v>
      </c>
      <c r="P93" s="32" t="n">
        <v>45.01</v>
      </c>
      <c r="Q93" s="32" t="n">
        <v>939.59</v>
      </c>
      <c r="R93" s="31" t="inlineStr">
        <is>
          <t>Earnings / Momentum Support</t>
        </is>
      </c>
      <c r="S93" s="31" t="inlineStr">
        <is>
          <t>Nifty 50</t>
        </is>
      </c>
      <c r="T93" s="32" t="n">
        <v>-6.08</v>
      </c>
      <c r="U93" s="32" t="n">
        <v>118.35</v>
      </c>
      <c r="V93" s="32" t="n">
        <v>132.49</v>
      </c>
      <c r="W93" s="32" t="n">
        <v>26.25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Below 45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No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Negative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18</t>
        </is>
      </c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3" t="inlineStr">
        <is>
          <t>LLOYDSME</t>
        </is>
      </c>
      <c r="D94" s="33" t="inlineStr">
        <is>
          <t>Lloyds Metals &amp; Energy Ltd</t>
        </is>
      </c>
      <c r="E94" s="31" t="inlineStr">
        <is>
          <t>Basic Materials</t>
        </is>
      </c>
      <c r="F94" s="31" t="inlineStr">
        <is>
          <t>Mining/Minerals - Iron Ore</t>
        </is>
      </c>
      <c r="G94" s="31" t="inlineStr">
        <is>
          <t>largecap</t>
        </is>
      </c>
      <c r="H94" s="32" t="n">
        <v>95887.32000000001</v>
      </c>
      <c r="I94" s="32" t="n">
        <v>1703.8</v>
      </c>
      <c r="J94" s="32" t="n">
        <v>-0.78</v>
      </c>
      <c r="K94" s="32" t="n">
        <v>0</v>
      </c>
      <c r="L94" s="31" t="n">
        <v>48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63.85</v>
      </c>
      <c r="P94" s="32" t="n">
        <v>38.2</v>
      </c>
      <c r="Q94" s="32" t="n">
        <v>1452.74</v>
      </c>
      <c r="R94" s="31" t="inlineStr">
        <is>
          <t>Earnings / Momentum Support</t>
        </is>
      </c>
      <c r="S94" s="31" t="inlineStr">
        <is>
          <t>Nifty Metal</t>
        </is>
      </c>
      <c r="T94" s="32" t="n">
        <v>37.88</v>
      </c>
      <c r="U94" s="32" t="n">
        <v>14.59</v>
      </c>
      <c r="V94" s="32" t="n">
        <v>-16.9</v>
      </c>
      <c r="W94" s="32" t="n">
        <v>14.76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Less than 50% and Borrowings are increasing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More than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22</t>
        </is>
      </c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OBSCP</t>
        </is>
      </c>
      <c r="D95" s="31" t="inlineStr">
        <is>
          <t>OBSC Perfection Ltd</t>
        </is>
      </c>
      <c r="E95" s="31" t="inlineStr">
        <is>
          <t>unknown</t>
        </is>
      </c>
      <c r="F95" s="31" t="inlineStr">
        <is>
          <t>Auto Ancillaries - Diversified</t>
        </is>
      </c>
      <c r="G95" s="31" t="inlineStr">
        <is>
          <t>smallcap</t>
        </is>
      </c>
      <c r="H95" s="32" t="n">
        <v>1330.53</v>
      </c>
      <c r="I95" s="32" t="n">
        <v>514.8</v>
      </c>
      <c r="J95" s="32" t="n">
        <v>3.92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FIEMIND</t>
        </is>
      </c>
      <c r="D96" s="31" t="inlineStr">
        <is>
          <t>Fiem Industries Ltd</t>
        </is>
      </c>
      <c r="E96" s="31" t="inlineStr">
        <is>
          <t>unknown</t>
        </is>
      </c>
      <c r="F96" s="31" t="inlineStr">
        <is>
          <t>Auto Ancillaries - 2&amp;3 Wheelers</t>
        </is>
      </c>
      <c r="G96" s="31" t="inlineStr">
        <is>
          <t>midcap</t>
        </is>
      </c>
      <c r="H96" s="32" t="n">
        <v>5890.34</v>
      </c>
      <c r="I96" s="32" t="n">
        <v>2238</v>
      </c>
      <c r="J96" s="32" t="n">
        <v>-2.6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CNCRD</t>
        </is>
      </c>
      <c r="D97" s="31" t="inlineStr">
        <is>
          <t>Concord Control Systems Ltd</t>
        </is>
      </c>
      <c r="E97" s="31" t="inlineStr">
        <is>
          <t>unknown</t>
        </is>
      </c>
      <c r="F97" s="31" t="inlineStr">
        <is>
          <t>Capital Goods - Engineering Heavy</t>
        </is>
      </c>
      <c r="G97" s="31" t="inlineStr">
        <is>
          <t>smallcap</t>
        </is>
      </c>
      <c r="H97" s="32" t="n">
        <v>2985.23</v>
      </c>
      <c r="I97" s="32" t="n">
        <v>2875</v>
      </c>
      <c r="J97" s="32" t="n">
        <v>-0.04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101">
      <c r="A101" s="25" t="inlineStr">
        <is>
          <t>❌ REMOVED SCAN MATCH STOCKS (THIS WEEK)</t>
        </is>
      </c>
    </row>
    <row r="102">
      <c r="A102" s="35" t="inlineStr">
        <is>
          <t>Symbol</t>
        </is>
      </c>
      <c r="B102" s="35" t="inlineStr">
        <is>
          <t>Company Name</t>
        </is>
      </c>
      <c r="C102" s="35" t="inlineStr">
        <is>
          <t>Sector</t>
        </is>
      </c>
      <c r="D102" s="35" t="inlineStr">
        <is>
          <t>Date of Removal</t>
        </is>
      </c>
    </row>
    <row r="103">
      <c r="A103" s="36" t="inlineStr">
        <is>
          <t>ANGELONE</t>
        </is>
      </c>
      <c r="B103" s="37" t="inlineStr">
        <is>
          <t>ANGELONE</t>
        </is>
      </c>
      <c r="C103" s="37" t="inlineStr">
        <is>
          <t>unknown</t>
        </is>
      </c>
      <c r="D103" s="38" t="inlineStr">
        <is>
          <t>2026-06-10</t>
        </is>
      </c>
    </row>
    <row r="104">
      <c r="A104" s="36" t="inlineStr">
        <is>
          <t>ANTELOPUS</t>
        </is>
      </c>
      <c r="B104" s="37" t="inlineStr">
        <is>
          <t>ANTELOPUS</t>
        </is>
      </c>
      <c r="C104" s="37" t="inlineStr">
        <is>
          <t>Energy</t>
        </is>
      </c>
      <c r="D104" s="38" t="inlineStr">
        <is>
          <t>2026-06-10</t>
        </is>
      </c>
    </row>
    <row r="105">
      <c r="A105" s="36" t="inlineStr">
        <is>
          <t>ATHERENERG</t>
        </is>
      </c>
      <c r="B105" s="37" t="inlineStr">
        <is>
          <t>Ather Energy Limited</t>
        </is>
      </c>
      <c r="C105" s="37" t="inlineStr">
        <is>
          <t>Consumer Cyclical</t>
        </is>
      </c>
      <c r="D105" s="38" t="inlineStr">
        <is>
          <t>2026-06-10</t>
        </is>
      </c>
    </row>
    <row r="106">
      <c r="A106" s="36" t="inlineStr">
        <is>
          <t>BALAMINES</t>
        </is>
      </c>
      <c r="B106" s="37" t="inlineStr">
        <is>
          <t>Balaji Amines Limited</t>
        </is>
      </c>
      <c r="C106" s="37" t="inlineStr">
        <is>
          <t>Basic Materials</t>
        </is>
      </c>
      <c r="D106" s="38" t="inlineStr">
        <is>
          <t>2026-06-10</t>
        </is>
      </c>
    </row>
    <row r="107">
      <c r="A107" s="36" t="inlineStr">
        <is>
          <t>BRRL</t>
        </is>
      </c>
      <c r="B107" s="37" t="inlineStr">
        <is>
          <t>BRRL</t>
        </is>
      </c>
      <c r="C107" s="37" t="inlineStr">
        <is>
          <t>unknown</t>
        </is>
      </c>
      <c r="D107" s="38" t="inlineStr">
        <is>
          <t>2026-06-09</t>
        </is>
      </c>
    </row>
    <row r="108">
      <c r="A108" s="36" t="inlineStr">
        <is>
          <t>CEIGALL</t>
        </is>
      </c>
      <c r="B108" s="37" t="inlineStr">
        <is>
          <t>CEIGALL</t>
        </is>
      </c>
      <c r="C108" s="37" t="inlineStr">
        <is>
          <t>Industrials</t>
        </is>
      </c>
      <c r="D108" s="38" t="inlineStr">
        <is>
          <t>2026-06-09</t>
        </is>
      </c>
    </row>
    <row r="109">
      <c r="A109" s="36" t="inlineStr">
        <is>
          <t>CNCRD</t>
        </is>
      </c>
      <c r="B109" s="37" t="inlineStr">
        <is>
          <t>CNCRD</t>
        </is>
      </c>
      <c r="C109" s="37" t="inlineStr">
        <is>
          <t>unknown</t>
        </is>
      </c>
      <c r="D109" s="38" t="inlineStr">
        <is>
          <t>2026-06-10</t>
        </is>
      </c>
    </row>
    <row r="110">
      <c r="A110" s="36" t="inlineStr">
        <is>
          <t>CPPLUS</t>
        </is>
      </c>
      <c r="B110" s="37" t="inlineStr">
        <is>
          <t>CPPLUS</t>
        </is>
      </c>
      <c r="C110" s="37" t="inlineStr">
        <is>
          <t>unknown</t>
        </is>
      </c>
      <c r="D110" s="38" t="inlineStr">
        <is>
          <t>2026-06-10</t>
        </is>
      </c>
    </row>
    <row r="111">
      <c r="A111" s="36" t="inlineStr">
        <is>
          <t>DIVGIITTS</t>
        </is>
      </c>
      <c r="B111" s="37" t="inlineStr">
        <is>
          <t>Divgi TorqTransfer Systems Limited</t>
        </is>
      </c>
      <c r="C111" s="37" t="inlineStr">
        <is>
          <t>Consumer Cyclical</t>
        </is>
      </c>
      <c r="D111" s="38" t="inlineStr">
        <is>
          <t>2026-06-10</t>
        </is>
      </c>
    </row>
    <row r="112">
      <c r="A112" s="36" t="inlineStr">
        <is>
          <t>FIEMIND</t>
        </is>
      </c>
      <c r="B112" s="37" t="inlineStr">
        <is>
          <t>FIEMIND</t>
        </is>
      </c>
      <c r="C112" s="37" t="inlineStr">
        <is>
          <t>unknown</t>
        </is>
      </c>
      <c r="D112" s="38" t="inlineStr">
        <is>
          <t>2026-06-09</t>
        </is>
      </c>
    </row>
    <row r="113">
      <c r="A113" s="36" t="inlineStr">
        <is>
          <t>IOLCP</t>
        </is>
      </c>
      <c r="B113" s="37" t="inlineStr">
        <is>
          <t>IOL Chemicals and Pharmaceuticals Limited</t>
        </is>
      </c>
      <c r="C113" s="37" t="inlineStr">
        <is>
          <t>Healthcare</t>
        </is>
      </c>
      <c r="D113" s="38" t="inlineStr">
        <is>
          <t>2026-06-10</t>
        </is>
      </c>
    </row>
    <row r="114">
      <c r="A114" s="36" t="inlineStr">
        <is>
          <t>KINGFA</t>
        </is>
      </c>
      <c r="B114" s="37" t="inlineStr">
        <is>
          <t>KINGFA</t>
        </is>
      </c>
      <c r="C114" s="37" t="inlineStr">
        <is>
          <t>unknown</t>
        </is>
      </c>
      <c r="D114" s="38" t="inlineStr">
        <is>
          <t>2026-06-10</t>
        </is>
      </c>
    </row>
    <row r="115">
      <c r="A115" s="36" t="inlineStr">
        <is>
          <t>MTARTECH</t>
        </is>
      </c>
      <c r="B115" s="37" t="inlineStr">
        <is>
          <t>MTARTECH</t>
        </is>
      </c>
      <c r="C115" s="37" t="inlineStr">
        <is>
          <t>unknown</t>
        </is>
      </c>
      <c r="D115" s="38" t="inlineStr">
        <is>
          <t>2026-06-10</t>
        </is>
      </c>
    </row>
    <row r="116">
      <c r="A116" s="36" t="inlineStr">
        <is>
          <t>NAM-INDIA</t>
        </is>
      </c>
      <c r="B116" s="37" t="inlineStr">
        <is>
          <t>NAM-INDIA</t>
        </is>
      </c>
      <c r="C116" s="37" t="inlineStr">
        <is>
          <t>unknown</t>
        </is>
      </c>
      <c r="D116" s="38" t="inlineStr">
        <is>
          <t>2026-06-09</t>
        </is>
      </c>
    </row>
    <row r="117">
      <c r="A117" s="36" t="inlineStr">
        <is>
          <t>NSLNISP</t>
        </is>
      </c>
      <c r="B117" s="37" t="inlineStr">
        <is>
          <t>NSLNISP</t>
        </is>
      </c>
      <c r="C117" s="37" t="inlineStr">
        <is>
          <t>unknown</t>
        </is>
      </c>
      <c r="D117" s="38" t="inlineStr">
        <is>
          <t>2026-06-10</t>
        </is>
      </c>
    </row>
    <row r="118">
      <c r="A118" s="36" t="inlineStr">
        <is>
          <t>POWERINDIA</t>
        </is>
      </c>
      <c r="B118" s="37" t="inlineStr">
        <is>
          <t>POWERINDIA</t>
        </is>
      </c>
      <c r="C118" s="37" t="inlineStr">
        <is>
          <t>unknown</t>
        </is>
      </c>
      <c r="D118" s="38" t="inlineStr">
        <is>
          <t>2026-06-10</t>
        </is>
      </c>
    </row>
    <row r="119">
      <c r="A119" s="36" t="inlineStr">
        <is>
          <t>REFEX</t>
        </is>
      </c>
      <c r="B119" s="37" t="inlineStr">
        <is>
          <t>REFEX</t>
        </is>
      </c>
      <c r="C119" s="37" t="inlineStr">
        <is>
          <t>unknown</t>
        </is>
      </c>
      <c r="D119" s="38" t="inlineStr">
        <is>
          <t>2026-06-09</t>
        </is>
      </c>
    </row>
    <row r="120">
      <c r="A120" s="36" t="inlineStr">
        <is>
          <t>SHAILY</t>
        </is>
      </c>
      <c r="B120" s="37" t="inlineStr">
        <is>
          <t>Shaily Engineering Plastics Limited</t>
        </is>
      </c>
      <c r="C120" s="37" t="inlineStr">
        <is>
          <t>Basic Materials</t>
        </is>
      </c>
      <c r="D120" s="38" t="inlineStr">
        <is>
          <t>2026-06-09</t>
        </is>
      </c>
    </row>
    <row r="121">
      <c r="A121" s="36" t="inlineStr">
        <is>
          <t>STLTECH</t>
        </is>
      </c>
      <c r="B121" s="37" t="inlineStr">
        <is>
          <t>Sterlite Technologies Limited</t>
        </is>
      </c>
      <c r="C121" s="37" t="inlineStr">
        <is>
          <t>Technology</t>
        </is>
      </c>
      <c r="D121" s="38" t="inlineStr">
        <is>
          <t>2026-06-10</t>
        </is>
      </c>
    </row>
    <row r="122">
      <c r="A122" s="36" t="inlineStr">
        <is>
          <t>THYROCARE</t>
        </is>
      </c>
      <c r="B122" s="37" t="inlineStr">
        <is>
          <t>Thyrocare Technologies Limited</t>
        </is>
      </c>
      <c r="C122" s="37" t="inlineStr">
        <is>
          <t>Healthcare</t>
        </is>
      </c>
      <c r="D122" s="38" t="inlineStr">
        <is>
          <t>2026-06-09</t>
        </is>
      </c>
    </row>
    <row r="123">
      <c r="A123" s="36" t="inlineStr">
        <is>
          <t>USHAMART</t>
        </is>
      </c>
      <c r="B123" s="37" t="inlineStr">
        <is>
          <t>USHAMART</t>
        </is>
      </c>
      <c r="C123" s="37" t="inlineStr">
        <is>
          <t>unknown</t>
        </is>
      </c>
      <c r="D123" s="38" t="inlineStr">
        <is>
          <t>2026-06-10</t>
        </is>
      </c>
    </row>
    <row r="124">
      <c r="A124" s="36" t="inlineStr">
        <is>
          <t>VIJAYA</t>
        </is>
      </c>
      <c r="B124" s="37" t="inlineStr">
        <is>
          <t>VIJAYA</t>
        </is>
      </c>
      <c r="C124" s="37" t="inlineStr">
        <is>
          <t>unknown</t>
        </is>
      </c>
      <c r="D124" s="38" t="inlineStr">
        <is>
          <t>2026-06-09</t>
        </is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2583.14</v>
      </c>
      <c r="I2" s="32" t="n">
        <v>233.83</v>
      </c>
      <c r="J2" s="32" t="n">
        <v>-3.42</v>
      </c>
      <c r="K2" s="32" t="n">
        <v>0</v>
      </c>
      <c r="L2" s="31" t="n">
        <v>71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72.62</v>
      </c>
      <c r="P2" s="32" t="n">
        <v>41.38</v>
      </c>
      <c r="Q2" s="32" t="n">
        <v>189.85</v>
      </c>
      <c r="R2" s="31" t="inlineStr">
        <is>
          <t>Near 52W High Breakout</t>
        </is>
      </c>
      <c r="S2" s="31" t="inlineStr">
        <is>
          <t>Nifty Bank</t>
        </is>
      </c>
      <c r="T2" s="32" t="n">
        <v>-0.77</v>
      </c>
      <c r="U2" s="32" t="n">
        <v>46.94</v>
      </c>
      <c r="V2" s="32" t="n">
        <v>48.08</v>
      </c>
      <c r="W2" s="32" t="n">
        <v>23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23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4" t="inlineStr">
        <is>
          <t>SGFIN</t>
        </is>
      </c>
      <c r="D3" s="34" t="inlineStr">
        <is>
          <t>SG Finserve Ltd</t>
        </is>
      </c>
      <c r="E3" s="31" t="inlineStr">
        <is>
          <t>Financial Services</t>
        </is>
      </c>
      <c r="F3" s="31" t="inlineStr">
        <is>
          <t>Finance &amp; Investments - MSME Lending</t>
        </is>
      </c>
      <c r="G3" s="31" t="inlineStr">
        <is>
          <t>smallcap</t>
        </is>
      </c>
      <c r="H3" s="32" t="n">
        <v>3850.9</v>
      </c>
      <c r="I3" s="32" t="n">
        <v>584.4</v>
      </c>
      <c r="J3" s="32" t="n">
        <v>-3.56</v>
      </c>
      <c r="K3" s="32" t="n">
        <v>0</v>
      </c>
      <c r="L3" s="31" t="n">
        <v>50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71.67</v>
      </c>
      <c r="P3" s="32" t="n">
        <v>47.64</v>
      </c>
      <c r="Q3" s="32" t="n">
        <v>460.78</v>
      </c>
      <c r="R3" s="31" t="inlineStr">
        <is>
          <t>Near 52W High Breakout</t>
        </is>
      </c>
      <c r="S3" s="31" t="inlineStr">
        <is>
          <t>Nifty Bank</t>
        </is>
      </c>
      <c r="T3" s="32" t="n">
        <v>0.17</v>
      </c>
      <c r="U3" s="32" t="n">
        <v>50.61</v>
      </c>
      <c r="V3" s="32" t="n">
        <v>50.35</v>
      </c>
      <c r="W3" s="32" t="n">
        <v>15.06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18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PAISALO</t>
        </is>
      </c>
      <c r="D4" s="31" t="inlineStr">
        <is>
          <t>Paisalo Digital Ltd</t>
        </is>
      </c>
      <c r="E4" s="31" t="inlineStr">
        <is>
          <t>financials</t>
        </is>
      </c>
      <c r="F4" s="31" t="inlineStr">
        <is>
          <t>Finance - Capital Markets - Brokers</t>
        </is>
      </c>
      <c r="G4" s="31" t="inlineStr">
        <is>
          <t>midcap</t>
        </is>
      </c>
      <c r="H4" s="32" t="n">
        <v>5412.56</v>
      </c>
      <c r="I4" s="32" t="n">
        <v>59.51</v>
      </c>
      <c r="J4" s="32" t="n">
        <v>-1.11</v>
      </c>
      <c r="K4" s="32" t="n">
        <v>0</v>
      </c>
      <c r="L4" s="31" t="n">
        <v>90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77.51000000000001</v>
      </c>
      <c r="P4" s="32" t="n">
        <v>32.77</v>
      </c>
      <c r="Q4" s="32" t="n">
        <v>46.7</v>
      </c>
      <c r="R4" s="31" t="inlineStr">
        <is>
          <t>Near 52W High Breakout</t>
        </is>
      </c>
      <c r="S4" s="31" t="inlineStr">
        <is>
          <t>Nifty Bank</t>
        </is>
      </c>
      <c r="T4" s="32" t="n">
        <v>-0.77</v>
      </c>
      <c r="U4" s="32" t="n">
        <v>90.37</v>
      </c>
      <c r="V4" s="32" t="n">
        <v>91.84999999999999</v>
      </c>
      <c r="W4" s="32" t="n">
        <v>37.45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less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24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4" t="inlineStr">
        <is>
          <t>BSE</t>
        </is>
      </c>
      <c r="D5" s="34" t="inlineStr">
        <is>
          <t>BSE Ltd</t>
        </is>
      </c>
      <c r="E5" s="31" t="inlineStr">
        <is>
          <t>Financial Services</t>
        </is>
      </c>
      <c r="F5" s="31" t="inlineStr">
        <is>
          <t>Exchanges</t>
        </is>
      </c>
      <c r="G5" s="31" t="inlineStr">
        <is>
          <t>largecap</t>
        </is>
      </c>
      <c r="H5" s="32" t="n">
        <v>160048.17</v>
      </c>
      <c r="I5" s="32" t="n">
        <v>3929.5</v>
      </c>
      <c r="J5" s="32" t="n">
        <v>-1.67</v>
      </c>
      <c r="K5" s="32" t="n">
        <v>0</v>
      </c>
      <c r="L5" s="31" t="n">
        <v>60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68.2</v>
      </c>
      <c r="P5" s="32" t="n">
        <v>30.7</v>
      </c>
      <c r="Q5" s="32" t="n">
        <v>3365.83</v>
      </c>
      <c r="R5" s="31" t="inlineStr">
        <is>
          <t>Earnings / Momentum Support</t>
        </is>
      </c>
      <c r="S5" s="31" t="inlineStr">
        <is>
          <t>Nifty Bank</t>
        </is>
      </c>
      <c r="T5" s="32" t="n">
        <v>-0.77</v>
      </c>
      <c r="U5" s="32" t="n">
        <v>44.94</v>
      </c>
      <c r="V5" s="32" t="n">
        <v>46.06</v>
      </c>
      <c r="W5" s="32" t="n">
        <v>17.74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18</t>
        </is>
      </c>
      <c r="CC5" s="31">
        <f>IF(CB5&gt;20,10,IF(CB5&gt;=10,5,2))</f>
        <v/>
      </c>
    </row>
    <row r="9">
      <c r="A9" s="25" t="inlineStr">
        <is>
          <t>❌ REMOVED SCAN MATCH STOCKS (THIS WEEK)</t>
        </is>
      </c>
    </row>
    <row r="10">
      <c r="A10" s="35" t="inlineStr">
        <is>
          <t>Symbol</t>
        </is>
      </c>
      <c r="B10" s="35" t="inlineStr">
        <is>
          <t>Company Name</t>
        </is>
      </c>
      <c r="C10" s="35" t="inlineStr">
        <is>
          <t>Sector</t>
        </is>
      </c>
      <c r="D10" s="35" t="inlineStr">
        <is>
          <t>Date of Removal</t>
        </is>
      </c>
    </row>
    <row r="11">
      <c r="A11" s="36" t="inlineStr">
        <is>
          <t>DHANBANK</t>
        </is>
      </c>
      <c r="B11" s="37" t="inlineStr">
        <is>
          <t>DHANBANK</t>
        </is>
      </c>
      <c r="C11" s="37" t="inlineStr">
        <is>
          <t>unknown</t>
        </is>
      </c>
      <c r="D11" s="38" t="inlineStr">
        <is>
          <t>2026-06-09</t>
        </is>
      </c>
    </row>
    <row r="12">
      <c r="A12" s="36" t="inlineStr">
        <is>
          <t>SURYODAY</t>
        </is>
      </c>
      <c r="B12" s="37" t="inlineStr">
        <is>
          <t>Suryoday Small Finance Bank Limited</t>
        </is>
      </c>
      <c r="C12" s="37" t="inlineStr">
        <is>
          <t>Financial Services</t>
        </is>
      </c>
      <c r="D12" s="38" t="inlineStr">
        <is>
          <t>2026-06-09</t>
        </is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2026-06-10T13:53:05Z</dcterms:created>
  <dcterms:modified xmlns:dcterms="http://purl.org/dc/terms/" xmlns:xsi="http://www.w3.org/2001/XMLSchema-instance" xsi:type="dcterms:W3CDTF">2026-06-10T13:53:49Z</dcterms:modified>
</cp:coreProperties>
</file>