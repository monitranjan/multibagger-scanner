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Universe'!$A$1:$J$418</definedName>
    <definedName name="_xlnm._FilterDatabase" localSheetId="3" hidden="1">'Confluence Overlap'!$A$1:$K$96</definedName>
    <definedName name="_xlnm._FilterDatabase" localSheetId="4" hidden="1">'Monit Non Financial'!$A$1:$CE$354</definedName>
    <definedName name="_xlnm._FilterDatabase" localSheetId="5" hidden="1">'Monit Banks NBFC'!$A$1:$CA$65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Financial'!$A$1:$CG$87</definedName>
    <definedName name="_xlnm._FilterDatabase" localSheetId="9" hidden="1">'Scan Match Banks NBFC'!$A$1:$CC$15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21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0" customWidth="1" min="3" max="3"/>
    <col width="40" customWidth="1" min="4" max="4"/>
    <col width="22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498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68</v>
      </c>
      <c r="G6" s="19" t="n">
        <v>42623.29</v>
      </c>
      <c r="H6" s="18" t="inlineStr">
        <is>
          <t>Potential Leader</t>
        </is>
      </c>
      <c r="J6" s="18" t="inlineStr">
        <is>
          <t>plastic products</t>
        </is>
      </c>
      <c r="K6" s="16" t="n">
        <v>11</v>
      </c>
      <c r="L6" s="16" t="n">
        <v>7</v>
      </c>
      <c r="M6" s="20" t="inlineStr">
        <is>
          <t>57.1%</t>
        </is>
      </c>
    </row>
    <row r="7">
      <c r="A7" s="16" t="n">
        <v>2</v>
      </c>
      <c r="B7" s="17" t="n">
        <v>492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67</v>
      </c>
      <c r="G7" s="19" t="n">
        <v>5786.58</v>
      </c>
      <c r="H7" s="18" t="inlineStr">
        <is>
          <t>Potential Leader</t>
        </is>
      </c>
      <c r="J7" s="18" t="inlineStr">
        <is>
          <t>telecom-service</t>
        </is>
      </c>
      <c r="K7" s="16" t="n">
        <v>12</v>
      </c>
      <c r="L7" s="16" t="n">
        <v>10</v>
      </c>
      <c r="M7" s="20" t="inlineStr">
        <is>
          <t>20.0%</t>
        </is>
      </c>
    </row>
    <row r="8">
      <c r="A8" s="16" t="n">
        <v>3</v>
      </c>
      <c r="B8" s="17" t="n">
        <v>480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65</v>
      </c>
      <c r="G8" s="19" t="n">
        <v>12232.66</v>
      </c>
      <c r="H8" s="18" t="inlineStr">
        <is>
          <t>Potential Leader</t>
        </is>
      </c>
      <c r="J8" s="18" t="inlineStr">
        <is>
          <t>media</t>
        </is>
      </c>
      <c r="K8" s="16" t="n">
        <v>14</v>
      </c>
      <c r="L8" s="16" t="n">
        <v>12</v>
      </c>
      <c r="M8" s="20" t="inlineStr">
        <is>
          <t>16.7%</t>
        </is>
      </c>
    </row>
    <row r="9">
      <c r="A9" s="16" t="n">
        <v>4</v>
      </c>
      <c r="B9" s="17" t="n">
        <v>456</v>
      </c>
      <c r="C9" s="17" t="inlineStr">
        <is>
          <t>NINSYS</t>
        </is>
      </c>
      <c r="D9" s="18" t="inlineStr">
        <is>
          <t>NINtec Systems Ltd</t>
        </is>
      </c>
      <c r="E9" s="18" t="inlineStr">
        <is>
          <t>i.t</t>
        </is>
      </c>
      <c r="F9" s="16" t="n">
        <v>61</v>
      </c>
      <c r="G9" s="19" t="n">
        <v>1668.5</v>
      </c>
      <c r="H9" s="18" t="inlineStr">
        <is>
          <t>Potential Leader</t>
        </is>
      </c>
      <c r="J9" s="18" t="inlineStr">
        <is>
          <t>fmcg</t>
        </is>
      </c>
      <c r="K9" s="16" t="n">
        <v>113</v>
      </c>
      <c r="L9" s="16" t="n">
        <v>97</v>
      </c>
      <c r="M9" s="20" t="inlineStr">
        <is>
          <t>16.5%</t>
        </is>
      </c>
    </row>
    <row r="10">
      <c r="A10" s="16" t="n">
        <v>5</v>
      </c>
      <c r="B10" s="17" t="n">
        <v>450</v>
      </c>
      <c r="C10" s="17" t="inlineStr">
        <is>
          <t>TALBROAUTO</t>
        </is>
      </c>
      <c r="D10" s="18" t="inlineStr">
        <is>
          <t>Talbros Automotive Components Limited</t>
        </is>
      </c>
      <c r="E10" s="18" t="inlineStr">
        <is>
          <t>auto</t>
        </is>
      </c>
      <c r="F10" s="16" t="n">
        <v>60</v>
      </c>
      <c r="G10" s="19" t="n">
        <v>2571.29</v>
      </c>
      <c r="H10" s="18" t="inlineStr">
        <is>
          <t>Potential Leader</t>
        </is>
      </c>
      <c r="J10" s="18" t="inlineStr">
        <is>
          <t>telecom</t>
        </is>
      </c>
      <c r="K10" s="16" t="n">
        <v>16</v>
      </c>
      <c r="L10" s="16" t="n">
        <v>15</v>
      </c>
      <c r="M10" s="20" t="inlineStr">
        <is>
          <t>6.7%</t>
        </is>
      </c>
    </row>
    <row r="11">
      <c r="A11" s="16" t="n">
        <v>6</v>
      </c>
      <c r="B11" s="17" t="n">
        <v>426</v>
      </c>
      <c r="C11" s="17" t="inlineStr">
        <is>
          <t>ADANIENT</t>
        </is>
      </c>
      <c r="D11" s="18" t="inlineStr">
        <is>
          <t>Adani Enterprises Limited</t>
        </is>
      </c>
      <c r="E11" s="18" t="inlineStr">
        <is>
          <t>services</t>
        </is>
      </c>
      <c r="F11" s="16" t="n">
        <v>56</v>
      </c>
      <c r="G11" s="19" t="n">
        <v>430930.52</v>
      </c>
      <c r="H11" s="18" t="inlineStr">
        <is>
          <t>Potential Leader</t>
        </is>
      </c>
      <c r="J11" s="18" t="inlineStr">
        <is>
          <t>building materials</t>
        </is>
      </c>
      <c r="K11" s="16" t="n">
        <v>70</v>
      </c>
      <c r="L11" s="16" t="n">
        <v>69</v>
      </c>
      <c r="M11" s="20" t="inlineStr">
        <is>
          <t>1.4%</t>
        </is>
      </c>
    </row>
    <row r="12">
      <c r="A12" s="16" t="n">
        <v>7</v>
      </c>
      <c r="B12" s="17" t="n">
        <v>426</v>
      </c>
      <c r="C12" s="17" t="inlineStr">
        <is>
          <t>SAILIFE</t>
        </is>
      </c>
      <c r="D12" s="18" t="inlineStr">
        <is>
          <t>Sai Life Sciences Ltd</t>
        </is>
      </c>
      <c r="E12" s="18" t="inlineStr">
        <is>
          <t>healthcare</t>
        </is>
      </c>
      <c r="F12" s="16" t="n">
        <v>56</v>
      </c>
      <c r="G12" s="19" t="n">
        <v>27467.77</v>
      </c>
      <c r="H12" s="18" t="inlineStr">
        <is>
          <t>Potential Leader</t>
        </is>
      </c>
      <c r="J12" s="18" t="inlineStr">
        <is>
          <t>i.t</t>
        </is>
      </c>
      <c r="K12" s="16" t="n">
        <v>80</v>
      </c>
      <c r="L12" s="16" t="n">
        <v>82</v>
      </c>
      <c r="M12" s="21" t="inlineStr">
        <is>
          <t>-2.4%</t>
        </is>
      </c>
    </row>
    <row r="13">
      <c r="A13" s="16" t="n">
        <v>8</v>
      </c>
      <c r="B13" s="17" t="n">
        <v>390</v>
      </c>
      <c r="C13" s="17" t="inlineStr">
        <is>
          <t>BLSE</t>
        </is>
      </c>
      <c r="D13" s="18" t="inlineStr">
        <is>
          <t>BLS E-Services Ltd</t>
        </is>
      </c>
      <c r="E13" s="18" t="inlineStr">
        <is>
          <t>i.t</t>
        </is>
      </c>
      <c r="F13" s="16" t="n">
        <v>50</v>
      </c>
      <c r="G13" s="19" t="n">
        <v>2479.11</v>
      </c>
      <c r="H13" s="18" t="inlineStr">
        <is>
          <t>Potential Leader</t>
        </is>
      </c>
      <c r="J13" s="18" t="inlineStr">
        <is>
          <t>energy</t>
        </is>
      </c>
      <c r="K13" s="16" t="n">
        <v>32</v>
      </c>
      <c r="L13" s="16" t="n">
        <v>33</v>
      </c>
      <c r="M13" s="21" t="inlineStr">
        <is>
          <t>-3.0%</t>
        </is>
      </c>
    </row>
    <row r="14">
      <c r="A14" s="16" t="n">
        <v>9</v>
      </c>
      <c r="B14" s="17" t="n">
        <v>390</v>
      </c>
      <c r="C14" s="17" t="inlineStr">
        <is>
          <t>CEMPRO</t>
        </is>
      </c>
      <c r="D14" s="18" t="inlineStr">
        <is>
          <t>Cemindia Projects Ltd</t>
        </is>
      </c>
      <c r="E14" s="18" t="inlineStr">
        <is>
          <t>realty</t>
        </is>
      </c>
      <c r="F14" s="16" t="n">
        <v>50</v>
      </c>
      <c r="G14" s="19" t="n">
        <v>27949.84</v>
      </c>
      <c r="H14" s="18" t="inlineStr">
        <is>
          <t>Potential Leader</t>
        </is>
      </c>
      <c r="J14" s="18" t="inlineStr">
        <is>
          <t>healthcare</t>
        </is>
      </c>
      <c r="K14" s="16" t="n">
        <v>291</v>
      </c>
      <c r="L14" s="16" t="n">
        <v>301</v>
      </c>
      <c r="M14" s="21" t="inlineStr">
        <is>
          <t>-3.3%</t>
        </is>
      </c>
    </row>
    <row r="15">
      <c r="A15" s="16" t="n">
        <v>10</v>
      </c>
      <c r="B15" s="17" t="n">
        <v>390</v>
      </c>
      <c r="C15" s="17" t="inlineStr">
        <is>
          <t>RATEGAIN</t>
        </is>
      </c>
      <c r="D15" s="18" t="inlineStr">
        <is>
          <t>Rategain Travel Technologies Ltd</t>
        </is>
      </c>
      <c r="E15" s="18" t="inlineStr">
        <is>
          <t>i.t</t>
        </is>
      </c>
      <c r="F15" s="16" t="n">
        <v>50</v>
      </c>
      <c r="G15" s="19" t="n">
        <v>11232.07</v>
      </c>
      <c r="H15" s="18" t="inlineStr">
        <is>
          <t>Potential Leader</t>
        </is>
      </c>
      <c r="J15" s="18" t="inlineStr">
        <is>
          <t>auto</t>
        </is>
      </c>
      <c r="K15" s="16" t="n">
        <v>163</v>
      </c>
      <c r="L15" s="16" t="n">
        <v>170</v>
      </c>
      <c r="M15" s="21" t="inlineStr">
        <is>
          <t>-4.1%</t>
        </is>
      </c>
    </row>
    <row r="16">
      <c r="A16" s="16" t="n">
        <v>11</v>
      </c>
      <c r="B16" s="17" t="n">
        <v>384</v>
      </c>
      <c r="C16" s="17" t="inlineStr">
        <is>
          <t>GRWRHITECH</t>
        </is>
      </c>
      <c r="D16" s="18" t="inlineStr">
        <is>
          <t>Garware Hi Tech Films Ltd</t>
        </is>
      </c>
      <c r="E16" s="18" t="inlineStr">
        <is>
          <t>industrials</t>
        </is>
      </c>
      <c r="F16" s="16" t="n">
        <v>49</v>
      </c>
      <c r="G16" s="19" t="n">
        <v>16083.79</v>
      </c>
      <c r="H16" s="18" t="inlineStr">
        <is>
          <t>Potential Leader</t>
        </is>
      </c>
      <c r="J16" s="18" t="inlineStr">
        <is>
          <t>chemicals</t>
        </is>
      </c>
      <c r="K16" s="16" t="n">
        <v>116</v>
      </c>
      <c r="L16" s="16" t="n">
        <v>123</v>
      </c>
      <c r="M16" s="21" t="inlineStr">
        <is>
          <t>-5.7%</t>
        </is>
      </c>
    </row>
    <row r="17">
      <c r="A17" s="16" t="n">
        <v>12</v>
      </c>
      <c r="B17" s="17" t="n">
        <v>384</v>
      </c>
      <c r="C17" s="17" t="inlineStr">
        <is>
          <t>LAURUSLABS</t>
        </is>
      </c>
      <c r="D17" s="18" t="inlineStr">
        <is>
          <t>Laurus Labs Limited</t>
        </is>
      </c>
      <c r="E17" s="18" t="inlineStr">
        <is>
          <t>healthcare</t>
        </is>
      </c>
      <c r="F17" s="16" t="n">
        <v>49</v>
      </c>
      <c r="G17" s="19" t="n">
        <v>84158.24000000001</v>
      </c>
      <c r="H17" s="18" t="inlineStr">
        <is>
          <t>Potential Leader</t>
        </is>
      </c>
      <c r="J17" s="18" t="inlineStr">
        <is>
          <t>transportation</t>
        </is>
      </c>
      <c r="K17" s="16" t="n">
        <v>45</v>
      </c>
      <c r="L17" s="16" t="n">
        <v>48</v>
      </c>
      <c r="M17" s="21" t="inlineStr">
        <is>
          <t>-6.2%</t>
        </is>
      </c>
    </row>
    <row r="18">
      <c r="A18" s="16" t="n">
        <v>13</v>
      </c>
      <c r="B18" s="17" t="n">
        <v>336</v>
      </c>
      <c r="C18" s="17" t="inlineStr">
        <is>
          <t>CAPLIPOINT</t>
        </is>
      </c>
      <c r="D18" s="18" t="inlineStr">
        <is>
          <t>Caplin Point Laboratories Limited</t>
        </is>
      </c>
      <c r="E18" s="18" t="inlineStr">
        <is>
          <t>healthcare</t>
        </is>
      </c>
      <c r="F18" s="16" t="n">
        <v>41</v>
      </c>
      <c r="G18" s="19" t="n">
        <v>20137.02</v>
      </c>
      <c r="H18" s="18" t="inlineStr">
        <is>
          <t>Potential Leader</t>
        </is>
      </c>
      <c r="J18" s="18" t="inlineStr">
        <is>
          <t>textiles</t>
        </is>
      </c>
      <c r="K18" s="16" t="n">
        <v>80</v>
      </c>
      <c r="L18" s="16" t="n">
        <v>87</v>
      </c>
      <c r="M18" s="21" t="inlineStr">
        <is>
          <t>-8.0%</t>
        </is>
      </c>
    </row>
    <row r="19">
      <c r="A19" s="16" t="n">
        <v>14</v>
      </c>
      <c r="B19" s="17" t="n">
        <v>336</v>
      </c>
      <c r="C19" s="17" t="inlineStr">
        <is>
          <t>PAISALO</t>
        </is>
      </c>
      <c r="D19" s="18" t="inlineStr">
        <is>
          <t>Paisalo Digital Ltd</t>
        </is>
      </c>
      <c r="E19" s="18" t="inlineStr">
        <is>
          <t>financials</t>
        </is>
      </c>
      <c r="F19" s="16" t="n">
        <v>41</v>
      </c>
      <c r="G19" s="19" t="n">
        <v>6494.9</v>
      </c>
      <c r="H19" s="18" t="inlineStr">
        <is>
          <t>Potential Leader</t>
        </is>
      </c>
      <c r="J19" s="18" t="inlineStr">
        <is>
          <t>bank</t>
        </is>
      </c>
      <c r="K19" s="16" t="n">
        <v>89</v>
      </c>
      <c r="L19" s="16" t="n">
        <v>97</v>
      </c>
      <c r="M19" s="21" t="inlineStr">
        <is>
          <t>-8.2%</t>
        </is>
      </c>
    </row>
    <row r="20">
      <c r="A20" s="16" t="n">
        <v>15</v>
      </c>
      <c r="B20" s="17" t="n">
        <v>324</v>
      </c>
      <c r="C20" s="17" t="inlineStr">
        <is>
          <t>RPEL</t>
        </is>
      </c>
      <c r="D20" s="18" t="inlineStr">
        <is>
          <t>Raghav Productivity Enhancers Ltd</t>
        </is>
      </c>
      <c r="E20" s="18" t="inlineStr">
        <is>
          <t>building materials</t>
        </is>
      </c>
      <c r="F20" s="16" t="n">
        <v>39</v>
      </c>
      <c r="G20" s="19" t="n">
        <v>5892.25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152</v>
      </c>
      <c r="L20" s="16" t="n">
        <v>168</v>
      </c>
      <c r="M20" s="21" t="inlineStr">
        <is>
          <t>-9.5%</t>
        </is>
      </c>
    </row>
    <row r="21">
      <c r="A21" s="16" t="n">
        <v>16</v>
      </c>
      <c r="B21" s="17" t="n">
        <v>318</v>
      </c>
      <c r="C21" s="17" t="inlineStr">
        <is>
          <t>UNIPARTS</t>
        </is>
      </c>
      <c r="D21" s="18" t="inlineStr">
        <is>
          <t>Uniparts India Ltd</t>
        </is>
      </c>
      <c r="E21" s="18" t="inlineStr">
        <is>
          <t>industrials</t>
        </is>
      </c>
      <c r="F21" s="16" t="n">
        <v>38</v>
      </c>
      <c r="G21" s="19" t="n">
        <v>3121.42</v>
      </c>
      <c r="H21" s="18" t="inlineStr">
        <is>
          <t>Potential Leader</t>
        </is>
      </c>
    </row>
    <row r="22">
      <c r="A22" s="16" t="n">
        <v>17</v>
      </c>
      <c r="B22" s="17" t="n">
        <v>318</v>
      </c>
      <c r="C22" s="17" t="inlineStr">
        <is>
          <t>YASHO</t>
        </is>
      </c>
      <c r="D22" s="18" t="inlineStr">
        <is>
          <t>Yasho Industries Ltd</t>
        </is>
      </c>
      <c r="E22" s="18" t="inlineStr">
        <is>
          <t>chemicals</t>
        </is>
      </c>
      <c r="F22" s="16" t="n">
        <v>38</v>
      </c>
      <c r="G22" s="19" t="n">
        <v>3701.83</v>
      </c>
      <c r="H22" s="18" t="inlineStr">
        <is>
          <t>Potential Leader</t>
        </is>
      </c>
    </row>
    <row r="23">
      <c r="A23" s="16" t="n">
        <v>18</v>
      </c>
      <c r="B23" s="17" t="n">
        <v>312</v>
      </c>
      <c r="C23" s="17" t="inlineStr">
        <is>
          <t>ASTRAMICRO</t>
        </is>
      </c>
      <c r="D23" s="18" t="inlineStr">
        <is>
          <t>Astra Microwave Products Limited</t>
        </is>
      </c>
      <c r="E23" s="18" t="inlineStr">
        <is>
          <t>aerospace &amp; defence</t>
        </is>
      </c>
      <c r="F23" s="16" t="n">
        <v>37</v>
      </c>
      <c r="G23" s="19" t="n">
        <v>16624.87</v>
      </c>
      <c r="H23" s="18" t="inlineStr">
        <is>
          <t>Potential Leader</t>
        </is>
      </c>
    </row>
    <row r="24">
      <c r="A24" s="16" t="n">
        <v>19</v>
      </c>
      <c r="B24" s="17" t="n">
        <v>312</v>
      </c>
      <c r="C24" s="17" t="inlineStr">
        <is>
          <t>CUPID</t>
        </is>
      </c>
      <c r="D24" s="18" t="inlineStr">
        <is>
          <t>Cupid Limited</t>
        </is>
      </c>
      <c r="E24" s="18" t="inlineStr">
        <is>
          <t>fmcg</t>
        </is>
      </c>
      <c r="F24" s="16" t="n">
        <v>37</v>
      </c>
      <c r="G24" s="19" t="n">
        <v>27870.78</v>
      </c>
      <c r="H24" s="18" t="inlineStr">
        <is>
          <t>Potential Leader</t>
        </is>
      </c>
    </row>
    <row r="25">
      <c r="A25" s="16" t="n">
        <v>20</v>
      </c>
      <c r="B25" s="17" t="n">
        <v>306</v>
      </c>
      <c r="C25" s="17" t="inlineStr">
        <is>
          <t>PGHL</t>
        </is>
      </c>
      <c r="D25" s="18" t="inlineStr">
        <is>
          <t>Procter &amp; Gamble Health Ltd</t>
        </is>
      </c>
      <c r="E25" s="18" t="inlineStr">
        <is>
          <t>healthcare</t>
        </is>
      </c>
      <c r="F25" s="16" t="n">
        <v>36</v>
      </c>
      <c r="G25" s="19" t="n">
        <v>11374.73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PDSL</t>
        </is>
      </c>
      <c r="B30" s="18" t="inlineStr">
        <is>
          <t>PDS Ltd</t>
        </is>
      </c>
      <c r="C30" s="18" t="inlineStr">
        <is>
          <t>textiles</t>
        </is>
      </c>
      <c r="D30" s="16" t="n">
        <v>10</v>
      </c>
      <c r="E30" s="16" t="n">
        <v>0</v>
      </c>
      <c r="F30" s="19" t="n">
        <v>5153.44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507.47</v>
      </c>
      <c r="N30" s="16" t="n">
        <v>11</v>
      </c>
    </row>
    <row r="31">
      <c r="A31" s="17" t="inlineStr">
        <is>
          <t>KICL</t>
        </is>
      </c>
      <c r="B31" s="18" t="inlineStr">
        <is>
          <t>Kalyani Investment Company Limited</t>
        </is>
      </c>
      <c r="C31" s="18" t="inlineStr">
        <is>
          <t>financials</t>
        </is>
      </c>
      <c r="D31" s="16" t="n">
        <v>10</v>
      </c>
      <c r="E31" s="16" t="n">
        <v>0</v>
      </c>
      <c r="F31" s="19" t="n">
        <v>2417.07</v>
      </c>
      <c r="J31" s="17" t="inlineStr">
        <is>
          <t>RPEL</t>
        </is>
      </c>
      <c r="K31" s="18" t="inlineStr">
        <is>
          <t>building materials</t>
        </is>
      </c>
      <c r="L31" s="19" t="n">
        <v>300</v>
      </c>
      <c r="M31" s="19" t="n">
        <v>5892.25</v>
      </c>
      <c r="N31" s="16" t="n">
        <v>30</v>
      </c>
    </row>
    <row r="32">
      <c r="A32" s="17" t="inlineStr">
        <is>
          <t>MAHLIFE</t>
        </is>
      </c>
      <c r="B32" s="18" t="inlineStr">
        <is>
          <t>Mahindra Lifespace Developers Limited</t>
        </is>
      </c>
      <c r="C32" s="18" t="inlineStr">
        <is>
          <t>realty</t>
        </is>
      </c>
      <c r="D32" s="16" t="n">
        <v>10</v>
      </c>
      <c r="E32" s="16" t="n">
        <v>0</v>
      </c>
      <c r="F32" s="19" t="n">
        <v>7961.95</v>
      </c>
      <c r="J32" s="17" t="inlineStr">
        <is>
          <t>SURYODAY</t>
        </is>
      </c>
      <c r="K32" s="18" t="inlineStr">
        <is>
          <t>bank</t>
        </is>
      </c>
      <c r="L32" s="19" t="n">
        <v>297</v>
      </c>
      <c r="M32" s="19" t="n">
        <v>1945.64</v>
      </c>
      <c r="N32" s="16" t="n">
        <v>29</v>
      </c>
    </row>
    <row r="33">
      <c r="A33" s="17" t="inlineStr">
        <is>
          <t>GREAVESCOT</t>
        </is>
      </c>
      <c r="B33" s="18" t="inlineStr">
        <is>
          <t>Greaves Cotton Limited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5724.08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10408.31</v>
      </c>
      <c r="N33" s="16" t="n">
        <v>18</v>
      </c>
    </row>
    <row r="34">
      <c r="A34" s="17" t="inlineStr">
        <is>
          <t>SPECIALITY</t>
        </is>
      </c>
      <c r="B34" s="18" t="inlineStr">
        <is>
          <t>Speciality Restaurants Limited</t>
        </is>
      </c>
      <c r="C34" s="18" t="inlineStr">
        <is>
          <t>services</t>
        </is>
      </c>
      <c r="D34" s="16" t="n">
        <v>10</v>
      </c>
      <c r="E34" s="16" t="n">
        <v>0</v>
      </c>
      <c r="F34" s="19" t="n">
        <v>653.54</v>
      </c>
      <c r="J34" s="17" t="inlineStr">
        <is>
          <t>IBULLSLTD</t>
        </is>
      </c>
      <c r="K34" s="18" t="inlineStr">
        <is>
          <t>miscellaneous</t>
        </is>
      </c>
      <c r="L34" s="19" t="n">
        <v>290</v>
      </c>
      <c r="M34" s="19" t="n">
        <v>6846.53</v>
      </c>
      <c r="N34" s="16" t="n">
        <v>30</v>
      </c>
    </row>
    <row r="35">
      <c r="A35" s="17" t="inlineStr">
        <is>
          <t>KANORICHEM</t>
        </is>
      </c>
      <c r="B35" s="18" t="inlineStr">
        <is>
          <t>Kanoria Chemicals &amp; Industries Limited</t>
        </is>
      </c>
      <c r="C35" s="18" t="inlineStr">
        <is>
          <t>chemicals</t>
        </is>
      </c>
      <c r="D35" s="16" t="n">
        <v>10</v>
      </c>
      <c r="E35" s="16" t="n">
        <v>1</v>
      </c>
      <c r="F35" s="19" t="n">
        <v>639.41</v>
      </c>
      <c r="J35" s="17" t="inlineStr">
        <is>
          <t>MENONBE</t>
        </is>
      </c>
      <c r="K35" s="18" t="inlineStr">
        <is>
          <t>auto</t>
        </is>
      </c>
      <c r="L35" s="19" t="n">
        <v>290</v>
      </c>
      <c r="M35" s="19" t="n">
        <v>1174.88</v>
      </c>
      <c r="N35" s="16" t="n">
        <v>21</v>
      </c>
    </row>
    <row r="36">
      <c r="A36" s="17" t="inlineStr">
        <is>
          <t>JLHL</t>
        </is>
      </c>
      <c r="B36" s="18" t="inlineStr">
        <is>
          <t>Jupiter Life Line Hospitals Ltd</t>
        </is>
      </c>
      <c r="C36" s="18" t="inlineStr">
        <is>
          <t>healthcare</t>
        </is>
      </c>
      <c r="D36" s="16" t="n">
        <v>10</v>
      </c>
      <c r="E36" s="16" t="n">
        <v>2</v>
      </c>
      <c r="F36" s="19" t="n">
        <v>10215.84</v>
      </c>
      <c r="J36" s="17" t="inlineStr">
        <is>
          <t>CONFIPET</t>
        </is>
      </c>
      <c r="K36" s="18" t="inlineStr">
        <is>
          <t>miscellaneous</t>
        </is>
      </c>
      <c r="L36" s="19" t="n">
        <v>288</v>
      </c>
      <c r="M36" s="19" t="n">
        <v>2546.96</v>
      </c>
      <c r="N36" s="16" t="n">
        <v>26</v>
      </c>
    </row>
    <row r="37">
      <c r="A37" s="17" t="inlineStr">
        <is>
          <t>RELTD</t>
        </is>
      </c>
      <c r="B37" s="18" t="inlineStr">
        <is>
          <t>Ravindra Energy Ltd</t>
        </is>
      </c>
      <c r="C37" s="18" t="inlineStr">
        <is>
          <t>industrials</t>
        </is>
      </c>
      <c r="D37" s="16" t="n">
        <v>10</v>
      </c>
      <c r="E37" s="16" t="n">
        <v>1</v>
      </c>
      <c r="F37" s="19" t="n">
        <v>3491.69</v>
      </c>
      <c r="J37" s="17" t="inlineStr">
        <is>
          <t>PAISALO</t>
        </is>
      </c>
      <c r="K37" s="18" t="inlineStr">
        <is>
          <t>financials</t>
        </is>
      </c>
      <c r="L37" s="19" t="n">
        <v>287</v>
      </c>
      <c r="M37" s="19" t="n">
        <v>6494.9</v>
      </c>
      <c r="N37" s="16" t="n">
        <v>30</v>
      </c>
    </row>
    <row r="38">
      <c r="A38" s="17" t="inlineStr">
        <is>
          <t>ORIENTHOT</t>
        </is>
      </c>
      <c r="B38" s="18" t="inlineStr">
        <is>
          <t>Oriental Hotels Limited</t>
        </is>
      </c>
      <c r="C38" s="18" t="inlineStr">
        <is>
          <t>services</t>
        </is>
      </c>
      <c r="D38" s="16" t="n">
        <v>9</v>
      </c>
      <c r="E38" s="16" t="n">
        <v>0</v>
      </c>
      <c r="F38" s="19" t="n">
        <v>2566.11</v>
      </c>
      <c r="J38" s="17" t="inlineStr">
        <is>
          <t>TINNARUBR</t>
        </is>
      </c>
      <c r="K38" s="18" t="inlineStr">
        <is>
          <t>fmcg</t>
        </is>
      </c>
      <c r="L38" s="19" t="n">
        <v>287</v>
      </c>
      <c r="M38" s="19" t="n">
        <v>2143.69</v>
      </c>
      <c r="N38" s="16" t="n">
        <v>22</v>
      </c>
    </row>
    <row r="39">
      <c r="A39" s="17" t="inlineStr">
        <is>
          <t>GOKEX</t>
        </is>
      </c>
      <c r="B39" s="18" t="inlineStr">
        <is>
          <t>Gokaldas Exports Limited</t>
        </is>
      </c>
      <c r="C39" s="18" t="inlineStr">
        <is>
          <t>Consumer Cyclical</t>
        </is>
      </c>
      <c r="D39" s="16" t="n">
        <v>9</v>
      </c>
      <c r="E39" s="16" t="n">
        <v>2</v>
      </c>
      <c r="F39" s="19" t="n">
        <v>6094.17</v>
      </c>
      <c r="J39" s="17" t="inlineStr">
        <is>
          <t>J&amp;KBANK</t>
        </is>
      </c>
      <c r="K39" s="18" t="inlineStr">
        <is>
          <t>bank</t>
        </is>
      </c>
      <c r="L39" s="19" t="n">
        <v>287</v>
      </c>
      <c r="M39" s="19" t="n">
        <v>20069.05</v>
      </c>
      <c r="N39" s="16" t="n">
        <v>29</v>
      </c>
    </row>
    <row r="40">
      <c r="A40" s="17" t="inlineStr">
        <is>
          <t>INDIGO</t>
        </is>
      </c>
      <c r="B40" s="18" t="inlineStr">
        <is>
          <t>Interglobe Aviation Limited</t>
        </is>
      </c>
      <c r="C40" s="18" t="inlineStr">
        <is>
          <t>transportation</t>
        </is>
      </c>
      <c r="D40" s="16" t="n">
        <v>9</v>
      </c>
      <c r="E40" s="16" t="n">
        <v>2</v>
      </c>
      <c r="F40" s="19" t="n">
        <v>202159.94</v>
      </c>
      <c r="J40" s="17" t="inlineStr">
        <is>
          <t>UJJIVANSFB</t>
        </is>
      </c>
      <c r="K40" s="18" t="inlineStr">
        <is>
          <t>bank</t>
        </is>
      </c>
      <c r="L40" s="19" t="n">
        <v>287</v>
      </c>
      <c r="M40" s="19" t="n">
        <v>12762.82</v>
      </c>
      <c r="N40" s="16" t="n">
        <v>10</v>
      </c>
    </row>
    <row r="41">
      <c r="A41" s="17" t="inlineStr">
        <is>
          <t>5PAISA</t>
        </is>
      </c>
      <c r="B41" s="18" t="inlineStr">
        <is>
          <t>5Paisa Capital Ltd</t>
        </is>
      </c>
      <c r="C41" s="18" t="inlineStr">
        <is>
          <t>financials</t>
        </is>
      </c>
      <c r="D41" s="16" t="n">
        <v>8</v>
      </c>
      <c r="E41" s="16" t="n">
        <v>0</v>
      </c>
      <c r="F41" s="19" t="n">
        <v>1771.21</v>
      </c>
      <c r="J41" s="17" t="inlineStr">
        <is>
          <t>TFCILTD</t>
        </is>
      </c>
      <c r="K41" s="18" t="inlineStr">
        <is>
          <t>financials</t>
        </is>
      </c>
      <c r="L41" s="19" t="n">
        <v>287</v>
      </c>
      <c r="M41" s="19" t="n">
        <v>3830.67</v>
      </c>
      <c r="N41" s="16" t="n">
        <v>10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68.77</v>
      </c>
      <c r="D47" s="28" t="n">
        <v>277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27870.78</v>
      </c>
    </row>
    <row r="48">
      <c r="A48" s="16" t="n">
        <v>2</v>
      </c>
      <c r="B48" s="27" t="n">
        <v>99</v>
      </c>
      <c r="C48" s="28" t="n">
        <v>67.52</v>
      </c>
      <c r="D48" s="28" t="n">
        <v>263</v>
      </c>
      <c r="E48" s="17" t="inlineStr">
        <is>
          <t>SWANDEF</t>
        </is>
      </c>
      <c r="F48" s="18" t="inlineStr">
        <is>
          <t>Swan Defence and Heavy Industries Ltd</t>
        </is>
      </c>
      <c r="G48" s="18" t="inlineStr">
        <is>
          <t>transportation</t>
        </is>
      </c>
      <c r="H48" s="19" t="n">
        <v>11916.18</v>
      </c>
    </row>
    <row r="49">
      <c r="A49" s="16" t="n">
        <v>3</v>
      </c>
      <c r="B49" s="27" t="n">
        <v>99</v>
      </c>
      <c r="C49" s="28" t="n">
        <v>58.56</v>
      </c>
      <c r="D49" s="28" t="n">
        <v>270</v>
      </c>
      <c r="E49" s="17" t="inlineStr">
        <is>
          <t>CEMPRO</t>
        </is>
      </c>
      <c r="F49" s="18" t="inlineStr">
        <is>
          <t>Cemindia Projects Ltd</t>
        </is>
      </c>
      <c r="G49" s="18" t="inlineStr">
        <is>
          <t>realty</t>
        </is>
      </c>
      <c r="H49" s="19" t="n">
        <v>27949.84</v>
      </c>
    </row>
    <row r="50">
      <c r="A50" s="16" t="n">
        <v>4</v>
      </c>
      <c r="B50" s="27" t="n">
        <v>98</v>
      </c>
      <c r="C50" s="28" t="n">
        <v>56.56</v>
      </c>
      <c r="D50" s="28" t="n">
        <v>0</v>
      </c>
      <c r="E50" s="17" t="inlineStr">
        <is>
          <t>AHLWEST</t>
        </is>
      </c>
      <c r="F50" s="18" t="inlineStr">
        <is>
          <t>Asian Hotels (West) Limited</t>
        </is>
      </c>
      <c r="G50" s="18" t="inlineStr">
        <is>
          <t>Consumer Cyclical</t>
        </is>
      </c>
      <c r="H50" s="19" t="n">
        <v>652.47</v>
      </c>
    </row>
    <row r="51">
      <c r="A51" s="16" t="n">
        <v>5</v>
      </c>
      <c r="B51" s="27" t="n">
        <v>98</v>
      </c>
      <c r="C51" s="28" t="n">
        <v>56.02</v>
      </c>
      <c r="D51" s="28" t="n">
        <v>255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31841.12</v>
      </c>
    </row>
    <row r="52">
      <c r="A52" s="16" t="n">
        <v>6</v>
      </c>
      <c r="B52" s="27" t="n">
        <v>98</v>
      </c>
      <c r="C52" s="28" t="n">
        <v>50.76</v>
      </c>
      <c r="D52" s="28" t="n">
        <v>247</v>
      </c>
      <c r="E52" s="17" t="inlineStr">
        <is>
          <t>VENUSREM</t>
        </is>
      </c>
      <c r="F52" s="18" t="inlineStr">
        <is>
          <t>Venus Remedies Limited</t>
        </is>
      </c>
      <c r="G52" s="18" t="inlineStr">
        <is>
          <t>Healthcare</t>
        </is>
      </c>
      <c r="H52" s="19" t="n">
        <v>2376.1</v>
      </c>
    </row>
    <row r="53">
      <c r="A53" s="16" t="n">
        <v>7</v>
      </c>
      <c r="B53" s="27" t="n">
        <v>98</v>
      </c>
      <c r="C53" s="28" t="n">
        <v>46.64</v>
      </c>
      <c r="D53" s="28" t="n">
        <v>275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49679.3</v>
      </c>
    </row>
    <row r="54">
      <c r="A54" s="16" t="n">
        <v>8</v>
      </c>
      <c r="B54" s="27" t="n">
        <v>97</v>
      </c>
      <c r="C54" s="28" t="n">
        <v>46.47</v>
      </c>
      <c r="D54" s="28" t="n">
        <v>275</v>
      </c>
      <c r="E54" s="17" t="inlineStr">
        <is>
          <t>THANGAMAYL</t>
        </is>
      </c>
      <c r="F54" s="18" t="inlineStr">
        <is>
          <t>Thangamayil Jewellery Limited</t>
        </is>
      </c>
      <c r="G54" s="18" t="inlineStr">
        <is>
          <t>consumer discretionary</t>
        </is>
      </c>
      <c r="H54" s="19" t="n">
        <v>19847.42</v>
      </c>
    </row>
    <row r="55">
      <c r="A55" s="16" t="n">
        <v>9</v>
      </c>
      <c r="B55" s="27" t="n">
        <v>97</v>
      </c>
      <c r="C55" s="28" t="n">
        <v>45.36</v>
      </c>
      <c r="D55" s="28" t="n">
        <v>273</v>
      </c>
      <c r="E55" s="17" t="inlineStr">
        <is>
          <t>HITECHCORP</t>
        </is>
      </c>
      <c r="F55" s="18" t="inlineStr">
        <is>
          <t>Hitech Corporation</t>
        </is>
      </c>
      <c r="G55" s="18" t="inlineStr">
        <is>
          <t>industrials</t>
        </is>
      </c>
      <c r="H55" s="19" t="n">
        <v>554.52</v>
      </c>
    </row>
    <row r="56">
      <c r="A56" s="16" t="n">
        <v>10</v>
      </c>
      <c r="B56" s="27" t="n">
        <v>97</v>
      </c>
      <c r="C56" s="28" t="n">
        <v>42.93</v>
      </c>
      <c r="D56" s="28" t="n">
        <v>260</v>
      </c>
      <c r="E56" s="17" t="inlineStr">
        <is>
          <t>IZMO</t>
        </is>
      </c>
      <c r="F56" s="18" t="inlineStr">
        <is>
          <t>Izmo Limited</t>
        </is>
      </c>
      <c r="G56" s="18" t="inlineStr">
        <is>
          <t>i.t</t>
        </is>
      </c>
      <c r="H56" s="19" t="n">
        <v>1616.56</v>
      </c>
    </row>
    <row r="57">
      <c r="A57" s="16" t="n">
        <v>11</v>
      </c>
      <c r="B57" s="27" t="n">
        <v>97</v>
      </c>
      <c r="C57" s="28" t="n">
        <v>40.89</v>
      </c>
      <c r="D57" s="28" t="n">
        <v>258</v>
      </c>
      <c r="E57" s="17" t="inlineStr">
        <is>
          <t>YASHO</t>
        </is>
      </c>
      <c r="F57" s="18" t="inlineStr">
        <is>
          <t>Yasho Industries Ltd</t>
        </is>
      </c>
      <c r="G57" s="18" t="inlineStr">
        <is>
          <t>chemicals</t>
        </is>
      </c>
      <c r="H57" s="19" t="n">
        <v>3701.83</v>
      </c>
    </row>
    <row r="58">
      <c r="A58" s="16" t="n">
        <v>12</v>
      </c>
      <c r="B58" s="27" t="n">
        <v>97</v>
      </c>
      <c r="C58" s="28" t="n">
        <v>40.7</v>
      </c>
      <c r="D58" s="28" t="n">
        <v>295</v>
      </c>
      <c r="E58" s="17" t="inlineStr">
        <is>
          <t>TIMEX</t>
        </is>
      </c>
      <c r="F58" s="18" t="inlineStr">
        <is>
          <t>Timex Group India Limited</t>
        </is>
      </c>
      <c r="G58" s="18" t="inlineStr">
        <is>
          <t>Consumer Cyclical</t>
        </is>
      </c>
      <c r="H58" s="19" t="n">
        <v>5690.05</v>
      </c>
    </row>
    <row r="59">
      <c r="A59" s="16" t="n">
        <v>13</v>
      </c>
      <c r="B59" s="27" t="n">
        <v>96</v>
      </c>
      <c r="C59" s="28" t="n">
        <v>40.69</v>
      </c>
      <c r="D59" s="28" t="n">
        <v>253</v>
      </c>
      <c r="E59" s="17" t="inlineStr">
        <is>
          <t>SETL</t>
        </is>
      </c>
      <c r="F59" s="18" t="inlineStr">
        <is>
          <t>Standard Enginnering Technology Ltd</t>
        </is>
      </c>
      <c r="G59" s="18" t="inlineStr">
        <is>
          <t>industrials</t>
        </is>
      </c>
      <c r="H59" s="19" t="n">
        <v>5746.36</v>
      </c>
    </row>
    <row r="60">
      <c r="A60" s="16" t="n">
        <v>14</v>
      </c>
      <c r="B60" s="27" t="n">
        <v>96</v>
      </c>
      <c r="C60" s="28" t="n">
        <v>39.93</v>
      </c>
      <c r="D60" s="28" t="n">
        <v>280</v>
      </c>
      <c r="E60" s="17" t="inlineStr">
        <is>
          <t>RAMCOSYS</t>
        </is>
      </c>
      <c r="F60" s="18" t="inlineStr">
        <is>
          <t>Ramco Systems Limited</t>
        </is>
      </c>
      <c r="G60" s="18" t="inlineStr">
        <is>
          <t>i.t</t>
        </is>
      </c>
      <c r="H60" s="19" t="n">
        <v>3020.25</v>
      </c>
    </row>
    <row r="61">
      <c r="A61" s="16" t="n">
        <v>15</v>
      </c>
      <c r="B61" s="27" t="n">
        <v>96</v>
      </c>
      <c r="C61" s="28" t="n">
        <v>39.1</v>
      </c>
      <c r="D61" s="28" t="n">
        <v>282</v>
      </c>
      <c r="E61" s="17" t="inlineStr">
        <is>
          <t>ACUTAAS</t>
        </is>
      </c>
      <c r="F61" s="18" t="inlineStr">
        <is>
          <t>Acutaas Chemicals Ltd</t>
        </is>
      </c>
      <c r="G61" s="18" t="inlineStr">
        <is>
          <t>healthcare</t>
        </is>
      </c>
      <c r="H61" s="19" t="n">
        <v>29933.72</v>
      </c>
    </row>
    <row r="62">
      <c r="A62" s="16" t="n">
        <v>16</v>
      </c>
      <c r="B62" s="27" t="n">
        <v>96</v>
      </c>
      <c r="C62" s="28" t="n">
        <v>37.74</v>
      </c>
      <c r="D62" s="28" t="n">
        <v>270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1668.5</v>
      </c>
    </row>
    <row r="63">
      <c r="A63" s="16" t="n">
        <v>17</v>
      </c>
      <c r="B63" s="27" t="n">
        <v>95</v>
      </c>
      <c r="C63" s="28" t="n">
        <v>36.63</v>
      </c>
      <c r="D63" s="28" t="n">
        <v>280</v>
      </c>
      <c r="E63" s="17" t="inlineStr">
        <is>
          <t>SKMEGGPROD</t>
        </is>
      </c>
      <c r="F63" s="18" t="inlineStr">
        <is>
          <t>Skm Egg Products Export (india) Limited</t>
        </is>
      </c>
      <c r="G63" s="18" t="inlineStr">
        <is>
          <t>fmcg</t>
        </is>
      </c>
      <c r="H63" s="19" t="n">
        <v>1681.7</v>
      </c>
    </row>
    <row r="64">
      <c r="A64" s="16" t="n">
        <v>18</v>
      </c>
      <c r="B64" s="27" t="n">
        <v>95</v>
      </c>
      <c r="C64" s="28" t="n">
        <v>35.94</v>
      </c>
      <c r="D64" s="28" t="n">
        <v>245</v>
      </c>
      <c r="E64" s="17" t="inlineStr">
        <is>
          <t>INDSWFTLAB</t>
        </is>
      </c>
      <c r="F64" s="18" t="inlineStr">
        <is>
          <t>Ind-swift Laboratories Limited</t>
        </is>
      </c>
      <c r="G64" s="18" t="inlineStr">
        <is>
          <t>healthcare</t>
        </is>
      </c>
      <c r="H64" s="19" t="n">
        <v>2031.89</v>
      </c>
    </row>
    <row r="65">
      <c r="A65" s="16" t="n">
        <v>19</v>
      </c>
      <c r="B65" s="27" t="n">
        <v>95</v>
      </c>
      <c r="C65" s="28" t="n">
        <v>35.38</v>
      </c>
      <c r="D65" s="28" t="n">
        <v>290</v>
      </c>
      <c r="E65" s="17" t="inlineStr">
        <is>
          <t>IBULLSLTD</t>
        </is>
      </c>
      <c r="F65" s="18" t="inlineStr">
        <is>
          <t>Indiabulls Limited</t>
        </is>
      </c>
      <c r="G65" s="18" t="inlineStr">
        <is>
          <t>miscellaneous</t>
        </is>
      </c>
      <c r="H65" s="19" t="n">
        <v>6846.53</v>
      </c>
    </row>
    <row r="66">
      <c r="A66" s="16" t="n">
        <v>20</v>
      </c>
      <c r="B66" s="27" t="n">
        <v>95</v>
      </c>
      <c r="C66" s="28" t="n">
        <v>35.37</v>
      </c>
      <c r="D66" s="28" t="n">
        <v>300</v>
      </c>
      <c r="E66" s="17" t="inlineStr">
        <is>
          <t>RPEL</t>
        </is>
      </c>
      <c r="F66" s="18" t="inlineStr">
        <is>
          <t>Raghav Productivity Enhancers Ltd</t>
        </is>
      </c>
      <c r="G66" s="18" t="inlineStr">
        <is>
          <t>building materials</t>
        </is>
      </c>
      <c r="H66" s="19" t="n">
        <v>5892.25</v>
      </c>
    </row>
    <row r="67">
      <c r="A67" s="16" t="n">
        <v>21</v>
      </c>
      <c r="B67" s="27" t="n">
        <v>95</v>
      </c>
      <c r="C67" s="28" t="n">
        <v>35.36</v>
      </c>
      <c r="D67" s="28" t="n">
        <v>277</v>
      </c>
      <c r="E67" s="17" t="inlineStr">
        <is>
          <t>KPL</t>
        </is>
      </c>
      <c r="F67" s="18" t="inlineStr">
        <is>
          <t>Kwality Pharmaceuticals Limited</t>
        </is>
      </c>
      <c r="G67" s="18" t="inlineStr">
        <is>
          <t>Healthcare</t>
        </is>
      </c>
      <c r="H67" s="19" t="n">
        <v>2790.26</v>
      </c>
    </row>
    <row r="68">
      <c r="A68" s="16" t="n">
        <v>22</v>
      </c>
      <c r="B68" s="29" t="n">
        <v>94</v>
      </c>
      <c r="C68" s="28" t="n">
        <v>34.91</v>
      </c>
      <c r="D68" s="28" t="n">
        <v>273</v>
      </c>
      <c r="E68" s="17" t="inlineStr">
        <is>
          <t>NRL</t>
        </is>
      </c>
      <c r="F68" s="18" t="inlineStr">
        <is>
          <t>Nupur Recyclers Ltd</t>
        </is>
      </c>
      <c r="G68" s="18" t="inlineStr">
        <is>
          <t>services</t>
        </is>
      </c>
      <c r="H68" s="19" t="n">
        <v>760.45</v>
      </c>
    </row>
    <row r="69">
      <c r="A69" s="16" t="n">
        <v>23</v>
      </c>
      <c r="B69" s="29" t="n">
        <v>94</v>
      </c>
      <c r="C69" s="28" t="n">
        <v>34.84</v>
      </c>
      <c r="D69" s="28" t="n">
        <v>235</v>
      </c>
      <c r="E69" s="17" t="inlineStr">
        <is>
          <t>RPTECH</t>
        </is>
      </c>
      <c r="F69" s="18" t="inlineStr">
        <is>
          <t>Rashi Peripherals Ltd</t>
        </is>
      </c>
      <c r="G69" s="18" t="inlineStr">
        <is>
          <t>services</t>
        </is>
      </c>
      <c r="H69" s="19" t="n">
        <v>4986.63</v>
      </c>
    </row>
    <row r="70">
      <c r="A70" s="16" t="n">
        <v>24</v>
      </c>
      <c r="B70" s="29" t="n">
        <v>94</v>
      </c>
      <c r="C70" s="28" t="n">
        <v>34.55</v>
      </c>
      <c r="D70" s="28" t="n">
        <v>278</v>
      </c>
      <c r="E70" s="17" t="inlineStr">
        <is>
          <t>KANORICHEM</t>
        </is>
      </c>
      <c r="F70" s="18" t="inlineStr">
        <is>
          <t>Kanoria Chemicals &amp; Industries Limited</t>
        </is>
      </c>
      <c r="G70" s="18" t="inlineStr">
        <is>
          <t>chemicals</t>
        </is>
      </c>
      <c r="H70" s="19" t="n">
        <v>639.41</v>
      </c>
    </row>
    <row r="71">
      <c r="A71" s="16" t="n">
        <v>25</v>
      </c>
      <c r="B71" s="29" t="n">
        <v>94</v>
      </c>
      <c r="C71" s="28" t="n">
        <v>34.06</v>
      </c>
      <c r="D71" s="28" t="n">
        <v>265</v>
      </c>
      <c r="E71" s="17" t="inlineStr">
        <is>
          <t>KMEW</t>
        </is>
      </c>
      <c r="F71" s="18" t="inlineStr">
        <is>
          <t>Knowledge Marine &amp; Engineering Works Ltd</t>
        </is>
      </c>
      <c r="G71" s="18" t="inlineStr">
        <is>
          <t>transportation</t>
        </is>
      </c>
      <c r="H71" s="19" t="n">
        <v>5977.32</v>
      </c>
    </row>
    <row r="72">
      <c r="A72" s="16" t="n">
        <v>26</v>
      </c>
      <c r="B72" s="29" t="n">
        <v>94</v>
      </c>
      <c r="C72" s="28" t="n">
        <v>33.77</v>
      </c>
      <c r="D72" s="28" t="n">
        <v>283</v>
      </c>
      <c r="E72" s="17" t="inlineStr">
        <is>
          <t>AEGISLOG</t>
        </is>
      </c>
      <c r="F72" s="18" t="inlineStr">
        <is>
          <t>Aegis Logistics Ltd</t>
        </is>
      </c>
      <c r="G72" s="18" t="inlineStr">
        <is>
          <t>services</t>
        </is>
      </c>
      <c r="H72" s="19" t="n">
        <v>48574.89</v>
      </c>
    </row>
    <row r="73">
      <c r="A73" s="16" t="n">
        <v>27</v>
      </c>
      <c r="B73" s="29" t="n">
        <v>93</v>
      </c>
      <c r="C73" s="28" t="n">
        <v>32.64</v>
      </c>
      <c r="D73" s="28" t="n">
        <v>290</v>
      </c>
      <c r="E73" s="17" t="inlineStr">
        <is>
          <t>MENONBE</t>
        </is>
      </c>
      <c r="F73" s="18" t="inlineStr">
        <is>
          <t>Menon Bearings Limited</t>
        </is>
      </c>
      <c r="G73" s="18" t="inlineStr">
        <is>
          <t>auto</t>
        </is>
      </c>
      <c r="H73" s="19" t="n">
        <v>1174.88</v>
      </c>
    </row>
    <row r="74">
      <c r="A74" s="16" t="n">
        <v>28</v>
      </c>
      <c r="B74" s="29" t="n">
        <v>93</v>
      </c>
      <c r="C74" s="28" t="n">
        <v>32.46</v>
      </c>
      <c r="D74" s="28" t="n">
        <v>268</v>
      </c>
      <c r="E74" s="17" t="inlineStr">
        <is>
          <t>RUBYMILLS</t>
        </is>
      </c>
      <c r="F74" s="18" t="inlineStr">
        <is>
          <t>The Ruby Mills Limited</t>
        </is>
      </c>
      <c r="G74" s="18" t="inlineStr">
        <is>
          <t>textiles</t>
        </is>
      </c>
      <c r="H74" s="19" t="n">
        <v>1314.02</v>
      </c>
    </row>
    <row r="75">
      <c r="A75" s="16" t="n">
        <v>29</v>
      </c>
      <c r="B75" s="29" t="n">
        <v>93</v>
      </c>
      <c r="C75" s="28" t="n">
        <v>32.18</v>
      </c>
      <c r="D75" s="28" t="n">
        <v>273</v>
      </c>
      <c r="E75" s="17" t="inlineStr">
        <is>
          <t>GRWRHITECH</t>
        </is>
      </c>
      <c r="F75" s="18" t="inlineStr">
        <is>
          <t>Garware Hi Tech Films Ltd</t>
        </is>
      </c>
      <c r="G75" s="18" t="inlineStr">
        <is>
          <t>industrials</t>
        </is>
      </c>
      <c r="H75" s="19" t="n">
        <v>16083.79</v>
      </c>
    </row>
    <row r="76">
      <c r="A76" s="16" t="n">
        <v>30</v>
      </c>
      <c r="B76" s="29" t="n">
        <v>93</v>
      </c>
      <c r="C76" s="28" t="n">
        <v>32.02</v>
      </c>
      <c r="D76" s="28" t="n">
        <v>285</v>
      </c>
      <c r="E76" s="17" t="inlineStr">
        <is>
          <t>E2E</t>
        </is>
      </c>
      <c r="F76" s="18" t="inlineStr">
        <is>
          <t>E2E Networks Ltd</t>
        </is>
      </c>
      <c r="G76" s="18" t="inlineStr">
        <is>
          <t>i.t</t>
        </is>
      </c>
      <c r="H76" s="19" t="n">
        <v>8739.59</v>
      </c>
    </row>
    <row r="77">
      <c r="A77" s="16" t="n">
        <v>31</v>
      </c>
      <c r="B77" s="29" t="n">
        <v>92</v>
      </c>
      <c r="C77" s="28" t="n">
        <v>31.67</v>
      </c>
      <c r="D77" s="28" t="n">
        <v>260</v>
      </c>
      <c r="E77" s="17" t="inlineStr">
        <is>
          <t>SKYGOLD</t>
        </is>
      </c>
      <c r="F77" s="18" t="inlineStr">
        <is>
          <t>Sky Gold Ltd</t>
        </is>
      </c>
      <c r="G77" s="18" t="inlineStr">
        <is>
          <t>consumer discretionary</t>
        </is>
      </c>
      <c r="H77" s="19" t="n">
        <v>10196.12</v>
      </c>
    </row>
    <row r="78">
      <c r="A78" s="16" t="n">
        <v>32</v>
      </c>
      <c r="B78" s="29" t="n">
        <v>92</v>
      </c>
      <c r="C78" s="28" t="n">
        <v>31.34</v>
      </c>
      <c r="D78" s="28" t="n">
        <v>287</v>
      </c>
      <c r="E78" s="17" t="inlineStr">
        <is>
          <t>PAISALO</t>
        </is>
      </c>
      <c r="F78" s="18" t="inlineStr">
        <is>
          <t>Paisalo Digital Ltd</t>
        </is>
      </c>
      <c r="G78" s="18" t="inlineStr">
        <is>
          <t>financials</t>
        </is>
      </c>
      <c r="H78" s="19" t="n">
        <v>6494.9</v>
      </c>
    </row>
    <row r="79">
      <c r="A79" s="16" t="n">
        <v>33</v>
      </c>
      <c r="B79" s="29" t="n">
        <v>92</v>
      </c>
      <c r="C79" s="28" t="n">
        <v>31.1</v>
      </c>
      <c r="D79" s="28" t="n">
        <v>178</v>
      </c>
      <c r="E79" s="17" t="inlineStr">
        <is>
          <t>BALAMINES</t>
        </is>
      </c>
      <c r="F79" s="18" t="inlineStr">
        <is>
          <t>Balaji Amines Limited</t>
        </is>
      </c>
      <c r="G79" s="18" t="inlineStr">
        <is>
          <t>chemicals</t>
        </is>
      </c>
      <c r="H79" s="19" t="n">
        <v>7373.82</v>
      </c>
    </row>
    <row r="80">
      <c r="A80" s="16" t="n">
        <v>34</v>
      </c>
      <c r="B80" s="29" t="n">
        <v>92</v>
      </c>
      <c r="C80" s="28" t="n">
        <v>31.01</v>
      </c>
      <c r="D80" s="28" t="n">
        <v>265</v>
      </c>
      <c r="E80" s="17" t="inlineStr">
        <is>
          <t>NGLFINE</t>
        </is>
      </c>
      <c r="F80" s="18" t="inlineStr">
        <is>
          <t>NGL Fine Chem Ltd</t>
        </is>
      </c>
      <c r="G80" s="18" t="inlineStr">
        <is>
          <t>healthcare</t>
        </is>
      </c>
      <c r="H80" s="19" t="n">
        <v>1859.59</v>
      </c>
    </row>
    <row r="81">
      <c r="A81" s="16" t="n">
        <v>35</v>
      </c>
      <c r="B81" s="29" t="n">
        <v>92</v>
      </c>
      <c r="C81" s="28" t="n">
        <v>30.84</v>
      </c>
      <c r="D81" s="28" t="n">
        <v>252</v>
      </c>
      <c r="E81" s="17" t="inlineStr">
        <is>
          <t>KERNEX</t>
        </is>
      </c>
      <c r="F81" s="18" t="inlineStr">
        <is>
          <t>Kernex Microsystems (India) Limited</t>
        </is>
      </c>
      <c r="G81" s="18" t="inlineStr">
        <is>
          <t>Technology</t>
        </is>
      </c>
      <c r="H81" s="19" t="n">
        <v>3581.52</v>
      </c>
    </row>
    <row r="82">
      <c r="A82" s="16" t="n">
        <v>36</v>
      </c>
      <c r="B82" s="29" t="n">
        <v>91</v>
      </c>
      <c r="C82" s="28" t="n">
        <v>30.68</v>
      </c>
      <c r="D82" s="28" t="n">
        <v>305</v>
      </c>
      <c r="E82" s="17" t="inlineStr">
        <is>
          <t>SCPL</t>
        </is>
      </c>
      <c r="F82" s="18" t="inlineStr">
        <is>
          <t>Sheetal Cool Products Ltd</t>
        </is>
      </c>
      <c r="G82" s="18" t="inlineStr">
        <is>
          <t>fmcg</t>
        </is>
      </c>
      <c r="H82" s="19" t="n">
        <v>507.47</v>
      </c>
    </row>
    <row r="83">
      <c r="A83" s="16" t="n">
        <v>37</v>
      </c>
      <c r="B83" s="29" t="n">
        <v>91</v>
      </c>
      <c r="C83" s="28" t="n">
        <v>30.33</v>
      </c>
      <c r="D83" s="28" t="n">
        <v>252</v>
      </c>
      <c r="E83" s="17" t="inlineStr">
        <is>
          <t>NOVARTIND</t>
        </is>
      </c>
      <c r="F83" s="18" t="inlineStr">
        <is>
          <t>Novartis India Ltd</t>
        </is>
      </c>
      <c r="G83" s="18" t="inlineStr">
        <is>
          <t>healthcare</t>
        </is>
      </c>
      <c r="H83" s="19" t="n">
        <v>4118.18</v>
      </c>
    </row>
    <row r="84">
      <c r="A84" s="16" t="n">
        <v>38</v>
      </c>
      <c r="B84" s="29" t="n">
        <v>91</v>
      </c>
      <c r="C84" s="28" t="n">
        <v>30.01</v>
      </c>
      <c r="D84" s="28" t="n">
        <v>270</v>
      </c>
      <c r="E84" s="17" t="inlineStr">
        <is>
          <t>RATEGAIN</t>
        </is>
      </c>
      <c r="F84" s="18" t="inlineStr">
        <is>
          <t>Rategain Travel Technologies Ltd</t>
        </is>
      </c>
      <c r="G84" s="18" t="inlineStr">
        <is>
          <t>i.t</t>
        </is>
      </c>
      <c r="H84" s="19" t="n">
        <v>11232.07</v>
      </c>
    </row>
    <row r="85">
      <c r="A85" s="16" t="n">
        <v>39</v>
      </c>
      <c r="B85" s="29" t="n">
        <v>91</v>
      </c>
      <c r="C85" s="28" t="n">
        <v>29.73</v>
      </c>
      <c r="D85" s="28" t="n">
        <v>242</v>
      </c>
      <c r="E85" s="17" t="inlineStr">
        <is>
          <t>BETA</t>
        </is>
      </c>
      <c r="F85" s="18" t="inlineStr">
        <is>
          <t>BETA</t>
        </is>
      </c>
      <c r="G85" s="18" t="inlineStr">
        <is>
          <t>Healthcare</t>
        </is>
      </c>
      <c r="H85" s="19" t="n">
        <v>2501.83</v>
      </c>
    </row>
    <row r="86">
      <c r="A86" s="16" t="n">
        <v>40</v>
      </c>
      <c r="B86" s="29" t="n">
        <v>90</v>
      </c>
      <c r="C86" s="28" t="n">
        <v>29.72</v>
      </c>
      <c r="D86" s="28" t="n">
        <v>282</v>
      </c>
      <c r="E86" s="17" t="inlineStr">
        <is>
          <t>SAKAR</t>
        </is>
      </c>
      <c r="F86" s="18" t="inlineStr">
        <is>
          <t>Sakar Healthcare Ltd</t>
        </is>
      </c>
      <c r="G86" s="18" t="inlineStr">
        <is>
          <t>healthcare</t>
        </is>
      </c>
      <c r="H86" s="19" t="n">
        <v>1999.82</v>
      </c>
    </row>
    <row r="87">
      <c r="A87" s="16" t="n">
        <v>41</v>
      </c>
      <c r="B87" s="29" t="n">
        <v>90</v>
      </c>
      <c r="C87" s="28" t="n">
        <v>29.19</v>
      </c>
      <c r="D87" s="28" t="n">
        <v>273</v>
      </c>
      <c r="E87" s="17" t="inlineStr">
        <is>
          <t>SPECTRUM</t>
        </is>
      </c>
      <c r="F87" s="18" t="inlineStr">
        <is>
          <t>Spectrum Electrical Industries Ltd</t>
        </is>
      </c>
      <c r="G87" s="18" t="inlineStr">
        <is>
          <t>industrials</t>
        </is>
      </c>
      <c r="H87" s="19" t="n">
        <v>3035.91</v>
      </c>
    </row>
    <row r="88">
      <c r="A88" s="16" t="n">
        <v>42</v>
      </c>
      <c r="B88" s="29" t="n">
        <v>90</v>
      </c>
      <c r="C88" s="28" t="n">
        <v>29.09</v>
      </c>
      <c r="D88" s="28" t="n">
        <v>260</v>
      </c>
      <c r="E88" s="17" t="inlineStr">
        <is>
          <t>SENORES</t>
        </is>
      </c>
      <c r="F88" s="18" t="inlineStr">
        <is>
          <t>Senores Pharmaceuticals Ltd</t>
        </is>
      </c>
      <c r="G88" s="18" t="inlineStr">
        <is>
          <t>healthcare</t>
        </is>
      </c>
      <c r="H88" s="19" t="n">
        <v>6378.42</v>
      </c>
    </row>
    <row r="89">
      <c r="A89" s="16" t="n">
        <v>43</v>
      </c>
      <c r="B89" s="29" t="n">
        <v>90</v>
      </c>
      <c r="C89" s="28" t="n">
        <v>28.84</v>
      </c>
      <c r="D89" s="28" t="n">
        <v>260</v>
      </c>
      <c r="E89" s="17" t="inlineStr">
        <is>
          <t>INDOTECH</t>
        </is>
      </c>
      <c r="F89" s="18" t="inlineStr">
        <is>
          <t>Indo Tech Transformers Limited</t>
        </is>
      </c>
      <c r="G89" s="18" t="inlineStr">
        <is>
          <t>industrials</t>
        </is>
      </c>
      <c r="H89" s="19" t="n">
        <v>3619.19</v>
      </c>
    </row>
    <row r="90">
      <c r="A90" s="16" t="n">
        <v>44</v>
      </c>
      <c r="B90" s="29" t="n">
        <v>90</v>
      </c>
      <c r="C90" s="28" t="n">
        <v>28.05</v>
      </c>
      <c r="D90" s="28" t="n">
        <v>275</v>
      </c>
      <c r="E90" s="17" t="inlineStr">
        <is>
          <t>ORCHPHARMA</t>
        </is>
      </c>
      <c r="F90" s="18" t="inlineStr">
        <is>
          <t>Orchid Pharma Ltd</t>
        </is>
      </c>
      <c r="G90" s="18" t="inlineStr">
        <is>
          <t>healthcare</t>
        </is>
      </c>
      <c r="H90" s="19" t="n">
        <v>5308.26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JINDWORLD</t>
        </is>
      </c>
      <c r="B2" s="31" t="inlineStr">
        <is>
          <t>Jindal Worldwide Limited</t>
        </is>
      </c>
      <c r="C2" s="31" t="inlineStr">
        <is>
          <t>textiles</t>
        </is>
      </c>
      <c r="D2" s="31" t="inlineStr">
        <is>
          <t>textiles - products</t>
        </is>
      </c>
      <c r="E2" s="31" t="inlineStr">
        <is>
          <t>smallcap</t>
        </is>
      </c>
      <c r="F2" s="31" t="n">
        <v>3163.21</v>
      </c>
      <c r="G2" s="31" t="n">
        <v>37.64</v>
      </c>
      <c r="H2" s="31" t="n">
        <v>19.3</v>
      </c>
      <c r="I2" s="31" t="n">
        <v>100884162</v>
      </c>
      <c r="J2" s="31" t="inlineStr">
        <is>
          <t>531543</t>
        </is>
      </c>
    </row>
    <row r="3">
      <c r="A3" s="31" t="inlineStr">
        <is>
          <t>SCPL</t>
        </is>
      </c>
      <c r="B3" s="31" t="inlineStr">
        <is>
          <t>Sheetal Cool Products Ltd</t>
        </is>
      </c>
      <c r="C3" s="31" t="inlineStr">
        <is>
          <t>fmcg</t>
        </is>
      </c>
      <c r="D3" s="31" t="inlineStr">
        <is>
          <t>food - processing - indian</t>
        </is>
      </c>
      <c r="E3" s="31" t="inlineStr">
        <is>
          <t>smallcap</t>
        </is>
      </c>
      <c r="F3" s="31" t="n">
        <v>507.47</v>
      </c>
      <c r="G3" s="31" t="n">
        <v>557</v>
      </c>
      <c r="H3" s="31" t="n">
        <v>15.25</v>
      </c>
      <c r="I3" s="31" t="n">
        <v>242333</v>
      </c>
      <c r="J3" s="31" t="inlineStr">
        <is>
          <t>540757</t>
        </is>
      </c>
    </row>
    <row r="4">
      <c r="A4" s="31" t="inlineStr">
        <is>
          <t>KARURVYSYA</t>
        </is>
      </c>
      <c r="B4" s="31" t="inlineStr">
        <is>
          <t>Karur Vysya Bank Limited</t>
        </is>
      </c>
      <c r="C4" s="31" t="inlineStr">
        <is>
          <t>bank</t>
        </is>
      </c>
      <c r="D4" s="31" t="inlineStr">
        <is>
          <t>banks - private sector</t>
        </is>
      </c>
      <c r="E4" s="31" t="inlineStr">
        <is>
          <t>largecap</t>
        </is>
      </c>
      <c r="F4" s="31" t="n">
        <v>29096.05</v>
      </c>
      <c r="G4" s="31" t="n">
        <v>340.3</v>
      </c>
      <c r="H4" s="31" t="n">
        <v>13.06</v>
      </c>
      <c r="I4" s="31" t="n">
        <v>83899658</v>
      </c>
      <c r="J4" s="31" t="inlineStr">
        <is>
          <t>590003</t>
        </is>
      </c>
    </row>
    <row r="5">
      <c r="A5" s="31" t="inlineStr">
        <is>
          <t>SPECTRUM</t>
        </is>
      </c>
      <c r="B5" s="31" t="inlineStr">
        <is>
          <t>Spectrum Electrical Industries Ltd</t>
        </is>
      </c>
      <c r="C5" s="31" t="inlineStr">
        <is>
          <t>industrials</t>
        </is>
      </c>
      <c r="D5" s="31" t="inlineStr">
        <is>
          <t>electric equipment</t>
        </is>
      </c>
      <c r="E5" s="31" t="inlineStr">
        <is>
          <t>smallcap</t>
        </is>
      </c>
      <c r="F5" s="31" t="n">
        <v>3035.91</v>
      </c>
      <c r="G5" s="31" t="n">
        <v>2132.5</v>
      </c>
      <c r="H5" s="31" t="n">
        <v>10.38</v>
      </c>
      <c r="I5" s="31" t="n">
        <v>122569</v>
      </c>
      <c r="J5" s="31" t="inlineStr">
        <is>
          <t>535112</t>
        </is>
      </c>
    </row>
    <row r="6">
      <c r="A6" s="31" t="inlineStr">
        <is>
          <t>DIACABS</t>
        </is>
      </c>
      <c r="B6" s="31" t="inlineStr">
        <is>
          <t>Diamond Power Infrastructure Ltd</t>
        </is>
      </c>
      <c r="C6" s="31" t="inlineStr">
        <is>
          <t>industrials</t>
        </is>
      </c>
      <c r="D6" s="31" t="inlineStr">
        <is>
          <t>cables - power</t>
        </is>
      </c>
      <c r="E6" s="31" t="inlineStr">
        <is>
          <t>midcap</t>
        </is>
      </c>
      <c r="F6" s="31" t="n">
        <v>12890.24</v>
      </c>
      <c r="G6" s="31" t="n">
        <v>269.07</v>
      </c>
      <c r="H6" s="31" t="n">
        <v>10</v>
      </c>
      <c r="I6" s="31" t="n">
        <v>20807551</v>
      </c>
      <c r="J6" s="31" t="inlineStr">
        <is>
          <t>522163</t>
        </is>
      </c>
    </row>
    <row r="7">
      <c r="A7" s="31" t="inlineStr">
        <is>
          <t>TIRUPATIFL</t>
        </is>
      </c>
      <c r="B7" s="31" t="inlineStr">
        <is>
          <t>Tirupati Forge Ltd</t>
        </is>
      </c>
      <c r="C7" s="31" t="inlineStr">
        <is>
          <t>industrials</t>
        </is>
      </c>
      <c r="D7" s="31" t="inlineStr">
        <is>
          <t>castings &amp; forgings</t>
        </is>
      </c>
      <c r="E7" s="31" t="inlineStr">
        <is>
          <t>smallcap</t>
        </is>
      </c>
      <c r="F7" s="31" t="n">
        <v>903.8099999999999</v>
      </c>
      <c r="G7" s="31" t="n">
        <v>76.95</v>
      </c>
      <c r="H7" s="31" t="n">
        <v>9.99</v>
      </c>
      <c r="I7" s="31" t="n">
        <v>2813223</v>
      </c>
      <c r="J7" s="31" t="inlineStr">
        <is>
          <t>535021</t>
        </is>
      </c>
    </row>
    <row r="8">
      <c r="A8" s="31" t="inlineStr">
        <is>
          <t>TCPLPACK</t>
        </is>
      </c>
      <c r="B8" s="31" t="inlineStr">
        <is>
          <t>TCPL Packaging Ltd</t>
        </is>
      </c>
      <c r="C8" s="31" t="inlineStr">
        <is>
          <t>industrials</t>
        </is>
      </c>
      <c r="D8" s="31" t="inlineStr">
        <is>
          <t>packaging</t>
        </is>
      </c>
      <c r="E8" s="31" t="inlineStr">
        <is>
          <t>smallcap</t>
        </is>
      </c>
      <c r="F8" s="31" t="n">
        <v>2860.77</v>
      </c>
      <c r="G8" s="31" t="n">
        <v>3428.5</v>
      </c>
      <c r="H8" s="31" t="n">
        <v>9.06</v>
      </c>
      <c r="I8" s="31" t="n">
        <v>19063</v>
      </c>
      <c r="J8" s="31" t="inlineStr">
        <is>
          <t>523301</t>
        </is>
      </c>
    </row>
    <row r="9">
      <c r="A9" s="31" t="inlineStr">
        <is>
          <t>M&amp;MFIN</t>
        </is>
      </c>
      <c r="B9" s="31" t="inlineStr">
        <is>
          <t>Mahindra &amp; Mahindra Financial Services Limited</t>
        </is>
      </c>
      <c r="C9" s="31" t="inlineStr">
        <is>
          <t>financials</t>
        </is>
      </c>
      <c r="D9" s="31" t="inlineStr">
        <is>
          <t>finance &amp; investments</t>
        </is>
      </c>
      <c r="E9" s="31" t="inlineStr">
        <is>
          <t>largecap</t>
        </is>
      </c>
      <c r="F9" s="31" t="n">
        <v>44833.52</v>
      </c>
      <c r="G9" s="31" t="n">
        <v>349.85</v>
      </c>
      <c r="H9" s="31" t="n">
        <v>8.460000000000001</v>
      </c>
      <c r="I9" s="31" t="n">
        <v>20318674</v>
      </c>
      <c r="J9" s="31" t="inlineStr">
        <is>
          <t>532720</t>
        </is>
      </c>
    </row>
    <row r="10">
      <c r="A10" s="31" t="inlineStr">
        <is>
          <t>NGLFINE</t>
        </is>
      </c>
      <c r="B10" s="31" t="inlineStr">
        <is>
          <t>NGL Fine Chem Ltd</t>
        </is>
      </c>
      <c r="C10" s="31" t="inlineStr">
        <is>
          <t>healthcare</t>
        </is>
      </c>
      <c r="D10" s="31" t="inlineStr">
        <is>
          <t>pharmaceuticals - indian - bulk drugs</t>
        </is>
      </c>
      <c r="E10" s="31" t="inlineStr">
        <is>
          <t>smallcap</t>
        </is>
      </c>
      <c r="F10" s="31" t="n">
        <v>1859.59</v>
      </c>
      <c r="G10" s="31" t="n">
        <v>3220.3</v>
      </c>
      <c r="H10" s="31" t="n">
        <v>6.99</v>
      </c>
      <c r="I10" s="31" t="n">
        <v>16796</v>
      </c>
      <c r="J10" s="31" t="inlineStr">
        <is>
          <t>524774</t>
        </is>
      </c>
    </row>
    <row r="11">
      <c r="A11" s="31" t="inlineStr">
        <is>
          <t>SHRIPISTON</t>
        </is>
      </c>
      <c r="B11" s="31" t="inlineStr">
        <is>
          <t>Shriram Pistons &amp; Rings Limited</t>
        </is>
      </c>
      <c r="C11" s="31" t="inlineStr">
        <is>
          <t>auto</t>
        </is>
      </c>
      <c r="D11" s="31" t="inlineStr">
        <is>
          <t>auto ancillaries</t>
        </is>
      </c>
      <c r="E11" s="31" t="inlineStr">
        <is>
          <t>midcap</t>
        </is>
      </c>
      <c r="F11" s="31" t="n">
        <v>18649.81</v>
      </c>
      <c r="G11" s="31" t="n">
        <v>4520</v>
      </c>
      <c r="H11" s="31" t="n">
        <v>6.76</v>
      </c>
      <c r="I11" s="31" t="n">
        <v>96155</v>
      </c>
      <c r="J11" s="31" t="n"/>
    </row>
    <row r="12">
      <c r="A12" s="31" t="inlineStr">
        <is>
          <t>FLUOROCHEM</t>
        </is>
      </c>
      <c r="B12" s="31" t="inlineStr">
        <is>
          <t>Gujarat Fluorochemicals Ltd</t>
        </is>
      </c>
      <c r="C12" s="31" t="inlineStr">
        <is>
          <t>chemicals</t>
        </is>
      </c>
      <c r="D12" s="31" t="inlineStr">
        <is>
          <t>chemicals</t>
        </is>
      </c>
      <c r="E12" s="31" t="inlineStr">
        <is>
          <t>largecap</t>
        </is>
      </c>
      <c r="F12" s="31" t="n">
        <v>47413.46</v>
      </c>
      <c r="G12" s="31" t="n">
        <v>4607.1</v>
      </c>
      <c r="H12" s="31" t="n">
        <v>6.74</v>
      </c>
      <c r="I12" s="31" t="n">
        <v>757585</v>
      </c>
      <c r="J12" s="31" t="inlineStr">
        <is>
          <t>542812</t>
        </is>
      </c>
    </row>
    <row r="13">
      <c r="A13" s="31" t="inlineStr">
        <is>
          <t>GABRIEL</t>
        </is>
      </c>
      <c r="B13" s="31" t="inlineStr">
        <is>
          <t>Gabriel India Limited</t>
        </is>
      </c>
      <c r="C13" s="31" t="inlineStr">
        <is>
          <t>auto</t>
        </is>
      </c>
      <c r="D13" s="31" t="inlineStr">
        <is>
          <t>auto ancillaries</t>
        </is>
      </c>
      <c r="E13" s="31" t="inlineStr">
        <is>
          <t>largecap</t>
        </is>
      </c>
      <c r="F13" s="31" t="n">
        <v>24776.76</v>
      </c>
      <c r="G13" s="31" t="n">
        <v>1488.5</v>
      </c>
      <c r="H13" s="31" t="n">
        <v>6.47</v>
      </c>
      <c r="I13" s="31" t="n">
        <v>2659286</v>
      </c>
      <c r="J13" s="31" t="inlineStr">
        <is>
          <t>505714</t>
        </is>
      </c>
    </row>
    <row r="14">
      <c r="A14" s="31" t="inlineStr">
        <is>
          <t>SPANDANA</t>
        </is>
      </c>
      <c r="B14" s="31" t="inlineStr">
        <is>
          <t>Spandana Sphoorty Financial Ltd</t>
        </is>
      </c>
      <c r="C14" s="31" t="inlineStr">
        <is>
          <t>financials</t>
        </is>
      </c>
      <c r="D14" s="31" t="inlineStr">
        <is>
          <t>finance &amp; investments</t>
        </is>
      </c>
      <c r="E14" s="31" t="inlineStr">
        <is>
          <t>smallcap</t>
        </is>
      </c>
      <c r="F14" s="31" t="n">
        <v>2532.43</v>
      </c>
      <c r="G14" s="31" t="n">
        <v>303.15</v>
      </c>
      <c r="H14" s="31" t="n">
        <v>6.11</v>
      </c>
      <c r="I14" s="31" t="n">
        <v>313835</v>
      </c>
      <c r="J14" s="31" t="inlineStr">
        <is>
          <t>542759</t>
        </is>
      </c>
    </row>
    <row r="15">
      <c r="A15" s="31" t="inlineStr">
        <is>
          <t>ASHIANA</t>
        </is>
      </c>
      <c r="B15" s="31" t="inlineStr">
        <is>
          <t>Ashiana Housing Limited</t>
        </is>
      </c>
      <c r="C15" s="31" t="inlineStr">
        <is>
          <t>realty</t>
        </is>
      </c>
      <c r="D15" s="31" t="inlineStr">
        <is>
          <t>construction</t>
        </is>
      </c>
      <c r="E15" s="31" t="inlineStr">
        <is>
          <t>smallcap</t>
        </is>
      </c>
      <c r="F15" s="31" t="n">
        <v>3755.61</v>
      </c>
      <c r="G15" s="31" t="n">
        <v>395.3</v>
      </c>
      <c r="H15" s="31" t="n">
        <v>5.81</v>
      </c>
      <c r="I15" s="31" t="n">
        <v>7376140</v>
      </c>
      <c r="J15" s="31" t="inlineStr">
        <is>
          <t>523716</t>
        </is>
      </c>
    </row>
    <row r="16">
      <c r="A16" s="31" t="inlineStr">
        <is>
          <t>HUHTAMAKI</t>
        </is>
      </c>
      <c r="B16" s="31" t="inlineStr">
        <is>
          <t>Huhtamaki India Ltd</t>
        </is>
      </c>
      <c r="C16" s="31" t="inlineStr">
        <is>
          <t>industrials</t>
        </is>
      </c>
      <c r="D16" s="31" t="inlineStr">
        <is>
          <t>packaging</t>
        </is>
      </c>
      <c r="E16" s="31" t="inlineStr">
        <is>
          <t>smallcap</t>
        </is>
      </c>
      <c r="F16" s="31" t="n">
        <v>1886.46</v>
      </c>
      <c r="G16" s="31" t="n">
        <v>264.19</v>
      </c>
      <c r="H16" s="31" t="n">
        <v>5.76</v>
      </c>
      <c r="I16" s="31" t="n">
        <v>4106721</v>
      </c>
      <c r="J16" s="31" t="inlineStr">
        <is>
          <t>509820</t>
        </is>
      </c>
    </row>
    <row r="17">
      <c r="A17" s="31" t="inlineStr">
        <is>
          <t>ARIHANT</t>
        </is>
      </c>
      <c r="B17" s="31" t="inlineStr">
        <is>
          <t>Arihant Foundations &amp; Housing Limited</t>
        </is>
      </c>
      <c r="C17" s="31" t="inlineStr">
        <is>
          <t>realty</t>
        </is>
      </c>
      <c r="D17" s="31" t="inlineStr">
        <is>
          <t>construction</t>
        </is>
      </c>
      <c r="E17" s="31" t="inlineStr">
        <is>
          <t>smallcap</t>
        </is>
      </c>
      <c r="F17" s="31" t="n">
        <v>857.74</v>
      </c>
      <c r="G17" s="31" t="n">
        <v>910</v>
      </c>
      <c r="H17" s="31" t="n">
        <v>5.73</v>
      </c>
      <c r="I17" s="31" t="n">
        <v>17074</v>
      </c>
      <c r="J17" s="31" t="inlineStr">
        <is>
          <t>531381</t>
        </is>
      </c>
    </row>
    <row r="18">
      <c r="A18" s="31" t="inlineStr">
        <is>
          <t>JSFB</t>
        </is>
      </c>
      <c r="B18" s="31" t="inlineStr">
        <is>
          <t>Jana Small Finance Bank Ltd</t>
        </is>
      </c>
      <c r="C18" s="31" t="inlineStr">
        <is>
          <t>bank</t>
        </is>
      </c>
      <c r="D18" s="31" t="inlineStr">
        <is>
          <t>banks - private sector</t>
        </is>
      </c>
      <c r="E18" s="31" t="inlineStr">
        <is>
          <t>midcap</t>
        </is>
      </c>
      <c r="F18" s="31" t="n">
        <v>5599.93</v>
      </c>
      <c r="G18" s="31" t="n">
        <v>561.6</v>
      </c>
      <c r="H18" s="31" t="n">
        <v>5.64</v>
      </c>
      <c r="I18" s="31" t="n">
        <v>3046641</v>
      </c>
      <c r="J18" s="31" t="n"/>
    </row>
    <row r="19">
      <c r="A19" s="31" t="inlineStr">
        <is>
          <t>TVSMOTOR</t>
        </is>
      </c>
      <c r="B19" s="31" t="inlineStr">
        <is>
          <t>Tvs Motor Company Limited</t>
        </is>
      </c>
      <c r="C19" s="31" t="inlineStr">
        <is>
          <t>auto</t>
        </is>
      </c>
      <c r="D19" s="31" t="inlineStr">
        <is>
          <t>automobiles - motorcycles / mopeds</t>
        </is>
      </c>
      <c r="E19" s="31" t="inlineStr">
        <is>
          <t>largecap</t>
        </is>
      </c>
      <c r="F19" s="31" t="n">
        <v>170565.78</v>
      </c>
      <c r="G19" s="31" t="n">
        <v>3792</v>
      </c>
      <c r="H19" s="31" t="n">
        <v>5.62</v>
      </c>
      <c r="I19" s="31" t="n">
        <v>2391108</v>
      </c>
      <c r="J19" s="31" t="inlineStr">
        <is>
          <t>532343</t>
        </is>
      </c>
    </row>
    <row r="20">
      <c r="A20" s="31" t="inlineStr">
        <is>
          <t>SOUTHWEST</t>
        </is>
      </c>
      <c r="B20" s="31" t="inlineStr">
        <is>
          <t>South West Pinnacle Exploration Ltd</t>
        </is>
      </c>
      <c r="C20" s="31" t="inlineStr">
        <is>
          <t>metals &amp; mining</t>
        </is>
      </c>
      <c r="D20" s="31" t="inlineStr">
        <is>
          <t>mining / minerals / metals</t>
        </is>
      </c>
      <c r="E20" s="31" t="inlineStr">
        <is>
          <t>smallcap</t>
        </is>
      </c>
      <c r="F20" s="31" t="n">
        <v>703.6900000000001</v>
      </c>
      <c r="G20" s="31" t="n">
        <v>249.09</v>
      </c>
      <c r="H20" s="31" t="n">
        <v>5.59</v>
      </c>
      <c r="I20" s="31" t="n">
        <v>2213727</v>
      </c>
      <c r="J20" s="31" t="inlineStr">
        <is>
          <t>535049</t>
        </is>
      </c>
    </row>
    <row r="21">
      <c r="A21" s="31" t="inlineStr">
        <is>
          <t>NILKAMAL</t>
        </is>
      </c>
      <c r="B21" s="31" t="inlineStr">
        <is>
          <t>Nilkamal Limited</t>
        </is>
      </c>
      <c r="C21" s="31" t="inlineStr">
        <is>
          <t>plastic products</t>
        </is>
      </c>
      <c r="D21" s="31" t="inlineStr">
        <is>
          <t>plastics products</t>
        </is>
      </c>
      <c r="E21" s="31" t="inlineStr">
        <is>
          <t>smallcap</t>
        </is>
      </c>
      <c r="F21" s="31" t="n">
        <v>2203.16</v>
      </c>
      <c r="G21" s="31" t="n">
        <v>1557</v>
      </c>
      <c r="H21" s="31" t="n">
        <v>5.46</v>
      </c>
      <c r="I21" s="31" t="n">
        <v>567005</v>
      </c>
      <c r="J21" s="31" t="inlineStr">
        <is>
          <t>523385</t>
        </is>
      </c>
    </row>
    <row r="22">
      <c r="A22" s="31" t="inlineStr">
        <is>
          <t>RAJRATAN</t>
        </is>
      </c>
      <c r="B22" s="31" t="inlineStr">
        <is>
          <t>Rajratan Global Wire Ltd</t>
        </is>
      </c>
      <c r="C22" s="31" t="inlineStr">
        <is>
          <t>metals &amp; mining</t>
        </is>
      </c>
      <c r="D22" s="31" t="inlineStr">
        <is>
          <t>steel - medium / small</t>
        </is>
      </c>
      <c r="E22" s="31" t="inlineStr">
        <is>
          <t>smallcap</t>
        </is>
      </c>
      <c r="F22" s="31" t="n">
        <v>2455.29</v>
      </c>
      <c r="G22" s="31" t="n">
        <v>509.9</v>
      </c>
      <c r="H22" s="31" t="n">
        <v>5.44</v>
      </c>
      <c r="I22" s="31" t="n">
        <v>2517210</v>
      </c>
      <c r="J22" s="31" t="inlineStr">
        <is>
          <t>517522</t>
        </is>
      </c>
    </row>
    <row r="23">
      <c r="A23" s="31" t="inlineStr">
        <is>
          <t>RAIN</t>
        </is>
      </c>
      <c r="B23" s="31" t="inlineStr">
        <is>
          <t>Rain Industries Limited</t>
        </is>
      </c>
      <c r="C23" s="31" t="inlineStr">
        <is>
          <t>miscellaneous</t>
        </is>
      </c>
      <c r="D23" s="31" t="inlineStr">
        <is>
          <t>miscellaneous</t>
        </is>
      </c>
      <c r="E23" s="31" t="inlineStr">
        <is>
          <t>midcap</t>
        </is>
      </c>
      <c r="F23" s="31" t="n">
        <v>7131.2</v>
      </c>
      <c r="G23" s="31" t="n">
        <v>223.4</v>
      </c>
      <c r="H23" s="31" t="n">
        <v>5.37</v>
      </c>
      <c r="I23" s="31" t="n">
        <v>9359486</v>
      </c>
      <c r="J23" s="31" t="inlineStr">
        <is>
          <t>500339</t>
        </is>
      </c>
    </row>
    <row r="24">
      <c r="A24" s="31" t="inlineStr">
        <is>
          <t>SANATHAN</t>
        </is>
      </c>
      <c r="B24" s="31" t="inlineStr">
        <is>
          <t>Sanathan Textiles Ltd</t>
        </is>
      </c>
      <c r="C24" s="31" t="inlineStr">
        <is>
          <t>textiles</t>
        </is>
      </c>
      <c r="D24" s="31" t="inlineStr">
        <is>
          <t>textiles - cotton/blended</t>
        </is>
      </c>
      <c r="E24" s="31" t="inlineStr">
        <is>
          <t>smallcap</t>
        </is>
      </c>
      <c r="F24" s="31" t="n">
        <v>3745.85</v>
      </c>
      <c r="G24" s="31" t="n">
        <v>467.35</v>
      </c>
      <c r="H24" s="31" t="n">
        <v>5.31</v>
      </c>
      <c r="I24" s="31" t="n">
        <v>135486</v>
      </c>
      <c r="J24" s="31" t="inlineStr">
        <is>
          <t>544314</t>
        </is>
      </c>
    </row>
    <row r="25">
      <c r="A25" s="31" t="inlineStr">
        <is>
          <t>EXICOM</t>
        </is>
      </c>
      <c r="B25" s="31" t="inlineStr">
        <is>
          <t>Exicom Tele-Systems Ltd</t>
        </is>
      </c>
      <c r="C25" s="31" t="inlineStr">
        <is>
          <t>industrials</t>
        </is>
      </c>
      <c r="D25" s="31" t="inlineStr">
        <is>
          <t>electric equipment</t>
        </is>
      </c>
      <c r="E25" s="31" t="inlineStr">
        <is>
          <t>smallcap</t>
        </is>
      </c>
      <c r="F25" s="31" t="n">
        <v>2339.6</v>
      </c>
      <c r="G25" s="31" t="n">
        <v>176.81</v>
      </c>
      <c r="H25" s="31" t="n">
        <v>5.11</v>
      </c>
      <c r="I25" s="31" t="n">
        <v>5693433</v>
      </c>
      <c r="J25" s="31" t="inlineStr">
        <is>
          <t>544133</t>
        </is>
      </c>
    </row>
    <row r="26">
      <c r="A26" s="31" t="inlineStr">
        <is>
          <t>E2E</t>
        </is>
      </c>
      <c r="B26" s="31" t="inlineStr">
        <is>
          <t>E2E Networks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midcap</t>
        </is>
      </c>
      <c r="F26" s="31" t="n">
        <v>8739.59</v>
      </c>
      <c r="G26" s="31" t="n">
        <v>446.4</v>
      </c>
      <c r="H26" s="31" t="n">
        <v>5</v>
      </c>
      <c r="I26" s="31" t="n">
        <v>2758582</v>
      </c>
      <c r="J26" s="31" t="inlineStr">
        <is>
          <t>535080</t>
        </is>
      </c>
    </row>
    <row r="27">
      <c r="A27" s="31" t="inlineStr">
        <is>
          <t>KECL</t>
        </is>
      </c>
      <c r="B27" s="31" t="inlineStr">
        <is>
          <t>Kirloskar Electric Company Limited</t>
        </is>
      </c>
      <c r="C27" s="31" t="inlineStr">
        <is>
          <t>industrials</t>
        </is>
      </c>
      <c r="D27" s="31" t="inlineStr">
        <is>
          <t>electric equipment</t>
        </is>
      </c>
      <c r="E27" s="31" t="inlineStr">
        <is>
          <t>smallcap</t>
        </is>
      </c>
      <c r="F27" s="31" t="n">
        <v>807.79</v>
      </c>
      <c r="G27" s="31" t="n">
        <v>127.71</v>
      </c>
      <c r="H27" s="31" t="n">
        <v>5</v>
      </c>
      <c r="I27" s="31" t="n">
        <v>233749</v>
      </c>
      <c r="J27" s="31" t="inlineStr">
        <is>
          <t>533193</t>
        </is>
      </c>
    </row>
    <row r="28">
      <c r="A28" s="31" t="inlineStr">
        <is>
          <t>MENONBE</t>
        </is>
      </c>
      <c r="B28" s="31" t="inlineStr">
        <is>
          <t>Menon Bearings Limited</t>
        </is>
      </c>
      <c r="C28" s="31" t="inlineStr">
        <is>
          <t>auto</t>
        </is>
      </c>
      <c r="D28" s="31" t="inlineStr">
        <is>
          <t>auto ancillaries</t>
        </is>
      </c>
      <c r="E28" s="31" t="inlineStr">
        <is>
          <t>smallcap</t>
        </is>
      </c>
      <c r="F28" s="31" t="n">
        <v>1174.88</v>
      </c>
      <c r="G28" s="31" t="n">
        <v>220.13</v>
      </c>
      <c r="H28" s="31" t="n">
        <v>5</v>
      </c>
      <c r="I28" s="31" t="n">
        <v>305801</v>
      </c>
      <c r="J28" s="31" t="inlineStr">
        <is>
          <t>523828</t>
        </is>
      </c>
    </row>
    <row r="29">
      <c r="A29" s="31" t="inlineStr">
        <is>
          <t>ARROWGREEN</t>
        </is>
      </c>
      <c r="B29" s="31" t="inlineStr">
        <is>
          <t>Arrow Greentech Limited</t>
        </is>
      </c>
      <c r="C29" s="31" t="inlineStr">
        <is>
          <t>plastic products</t>
        </is>
      </c>
      <c r="D29" s="31" t="inlineStr">
        <is>
          <t>plastics products</t>
        </is>
      </c>
      <c r="E29" s="31" t="inlineStr">
        <is>
          <t>smallcap</t>
        </is>
      </c>
      <c r="F29" s="31" t="n">
        <v>1006.82</v>
      </c>
      <c r="G29" s="31" t="n">
        <v>700.65</v>
      </c>
      <c r="H29" s="31" t="n">
        <v>5</v>
      </c>
      <c r="I29" s="31" t="n">
        <v>22356</v>
      </c>
      <c r="J29" s="31" t="inlineStr">
        <is>
          <t>516064</t>
        </is>
      </c>
    </row>
    <row r="30">
      <c r="A30" s="31" t="inlineStr">
        <is>
          <t>SICALLOG</t>
        </is>
      </c>
      <c r="B30" s="31" t="inlineStr">
        <is>
          <t>Sical Logistics Ltd</t>
        </is>
      </c>
      <c r="C30" s="31" t="inlineStr">
        <is>
          <t>transportation</t>
        </is>
      </c>
      <c r="D30" s="31" t="inlineStr">
        <is>
          <t>miscellaneous</t>
        </is>
      </c>
      <c r="E30" s="31" t="inlineStr">
        <is>
          <t>smallcap</t>
        </is>
      </c>
      <c r="F30" s="31" t="n">
        <v>754.21</v>
      </c>
      <c r="G30" s="31" t="n">
        <v>99.25</v>
      </c>
      <c r="H30" s="31" t="n">
        <v>4.99</v>
      </c>
      <c r="I30" s="31" t="n">
        <v>47217</v>
      </c>
      <c r="J30" s="31" t="inlineStr">
        <is>
          <t>520086</t>
        </is>
      </c>
    </row>
    <row r="31">
      <c r="A31" s="31" t="inlineStr">
        <is>
          <t>KANORICHEM</t>
        </is>
      </c>
      <c r="B31" s="31" t="inlineStr">
        <is>
          <t>Kanoria Chemicals &amp; Industries Limited</t>
        </is>
      </c>
      <c r="C31" s="31" t="inlineStr">
        <is>
          <t>chemicals</t>
        </is>
      </c>
      <c r="D31" s="31" t="inlineStr">
        <is>
          <t>chemicals</t>
        </is>
      </c>
      <c r="E31" s="31" t="inlineStr">
        <is>
          <t>smallcap</t>
        </is>
      </c>
      <c r="F31" s="31" t="n">
        <v>639.41</v>
      </c>
      <c r="G31" s="31" t="n">
        <v>153.64</v>
      </c>
      <c r="H31" s="31" t="n">
        <v>4.99</v>
      </c>
      <c r="I31" s="31" t="n">
        <v>85352</v>
      </c>
      <c r="J31" s="31" t="inlineStr">
        <is>
          <t>506525</t>
        </is>
      </c>
    </row>
    <row r="32">
      <c r="A32" s="31" t="inlineStr">
        <is>
          <t>MOSCHIP</t>
        </is>
      </c>
      <c r="B32" s="31" t="inlineStr">
        <is>
          <t>Moschip Technologies Ltd</t>
        </is>
      </c>
      <c r="C32" s="31" t="inlineStr">
        <is>
          <t>i.t</t>
        </is>
      </c>
      <c r="D32" s="31" t="inlineStr">
        <is>
          <t>computers - hardware</t>
        </is>
      </c>
      <c r="E32" s="31" t="inlineStr">
        <is>
          <t>smallcap</t>
        </is>
      </c>
      <c r="F32" s="31" t="n">
        <v>4546.51</v>
      </c>
      <c r="G32" s="31" t="n">
        <v>245.28</v>
      </c>
      <c r="H32" s="31" t="n">
        <v>4.91</v>
      </c>
      <c r="I32" s="31" t="n">
        <v>4661922</v>
      </c>
      <c r="J32" s="31" t="inlineStr">
        <is>
          <t>532407</t>
        </is>
      </c>
    </row>
    <row r="33">
      <c r="A33" s="31" t="inlineStr">
        <is>
          <t>GLOBAL</t>
        </is>
      </c>
      <c r="B33" s="31" t="inlineStr">
        <is>
          <t>Global Education Ltd</t>
        </is>
      </c>
      <c r="C33" s="31" t="inlineStr">
        <is>
          <t>services</t>
        </is>
      </c>
      <c r="D33" s="31" t="inlineStr">
        <is>
          <t>miscellaneous</t>
        </is>
      </c>
      <c r="E33" s="31" t="inlineStr">
        <is>
          <t>smallcap</t>
        </is>
      </c>
      <c r="F33" s="31" t="n">
        <v>509.83</v>
      </c>
      <c r="G33" s="31" t="n">
        <v>105</v>
      </c>
      <c r="H33" s="31" t="n">
        <v>4.83</v>
      </c>
      <c r="I33" s="31" t="n">
        <v>68699</v>
      </c>
      <c r="J33" s="31" t="inlineStr">
        <is>
          <t>538406</t>
        </is>
      </c>
    </row>
    <row r="34">
      <c r="A34" s="31" t="inlineStr">
        <is>
          <t>RUBYMILLS</t>
        </is>
      </c>
      <c r="B34" s="31" t="inlineStr">
        <is>
          <t>The Ruby Mills Limited</t>
        </is>
      </c>
      <c r="C34" s="31" t="inlineStr">
        <is>
          <t>textiles</t>
        </is>
      </c>
      <c r="D34" s="31" t="inlineStr">
        <is>
          <t>textiles - composite</t>
        </is>
      </c>
      <c r="E34" s="31" t="inlineStr">
        <is>
          <t>smallcap</t>
        </is>
      </c>
      <c r="F34" s="31" t="n">
        <v>1314.02</v>
      </c>
      <c r="G34" s="31" t="n">
        <v>411.85</v>
      </c>
      <c r="H34" s="31" t="n">
        <v>4.81</v>
      </c>
      <c r="I34" s="31" t="n">
        <v>71659</v>
      </c>
      <c r="J34" s="31" t="inlineStr">
        <is>
          <t>503169</t>
        </is>
      </c>
    </row>
    <row r="35">
      <c r="A35" s="31" t="inlineStr">
        <is>
          <t>HFCL</t>
        </is>
      </c>
      <c r="B35" s="31" t="inlineStr">
        <is>
          <t>HFCL Ltd</t>
        </is>
      </c>
      <c r="C35" s="31" t="inlineStr">
        <is>
          <t>telecom</t>
        </is>
      </c>
      <c r="D35" s="31" t="inlineStr">
        <is>
          <t>cables - telephone</t>
        </is>
      </c>
      <c r="E35" s="31" t="inlineStr">
        <is>
          <t>largecap</t>
        </is>
      </c>
      <c r="F35" s="31" t="n">
        <v>31841.12</v>
      </c>
      <c r="G35" s="31" t="n">
        <v>217.97</v>
      </c>
      <c r="H35" s="31" t="n">
        <v>4.78</v>
      </c>
      <c r="I35" s="31" t="n">
        <v>20144785</v>
      </c>
      <c r="J35" s="31" t="inlineStr">
        <is>
          <t>500183</t>
        </is>
      </c>
    </row>
    <row r="36">
      <c r="A36" s="31" t="inlineStr">
        <is>
          <t>KAPSTON</t>
        </is>
      </c>
      <c r="B36" s="31" t="inlineStr">
        <is>
          <t>Kapston Services Ltd</t>
        </is>
      </c>
      <c r="C36" s="31" t="inlineStr">
        <is>
          <t>miscellaneous</t>
        </is>
      </c>
      <c r="D36" s="31" t="inlineStr">
        <is>
          <t>miscellaneous</t>
        </is>
      </c>
      <c r="E36" s="31" t="inlineStr">
        <is>
          <t>smallcap</t>
        </is>
      </c>
      <c r="F36" s="31" t="n">
        <v>1315.43</v>
      </c>
      <c r="G36" s="31" t="n">
        <v>451.95</v>
      </c>
      <c r="H36" s="31" t="n">
        <v>4.56</v>
      </c>
      <c r="I36" s="31" t="n">
        <v>76688</v>
      </c>
      <c r="J36" s="31" t="inlineStr">
        <is>
          <t>535064</t>
        </is>
      </c>
    </row>
    <row r="37">
      <c r="A37" s="31" t="inlineStr">
        <is>
          <t>EMAMIPAP</t>
        </is>
      </c>
      <c r="B37" s="31" t="inlineStr">
        <is>
          <t>Emami Paper Mills Ltd</t>
        </is>
      </c>
      <c r="C37" s="31" t="inlineStr">
        <is>
          <t>building materials</t>
        </is>
      </c>
      <c r="D37" s="31" t="inlineStr">
        <is>
          <t>paper</t>
        </is>
      </c>
      <c r="E37" s="31" t="inlineStr">
        <is>
          <t>smallcap</t>
        </is>
      </c>
      <c r="F37" s="31" t="n">
        <v>572.2</v>
      </c>
      <c r="G37" s="31" t="n">
        <v>98.86</v>
      </c>
      <c r="H37" s="31" t="n">
        <v>4.53</v>
      </c>
      <c r="I37" s="31" t="n">
        <v>241667</v>
      </c>
      <c r="J37" s="31" t="inlineStr">
        <is>
          <t>533208</t>
        </is>
      </c>
    </row>
    <row r="38">
      <c r="A38" s="31" t="inlineStr">
        <is>
          <t>CYIENTDLM</t>
        </is>
      </c>
      <c r="B38" s="31" t="inlineStr">
        <is>
          <t>Cyient DLM Ltd</t>
        </is>
      </c>
      <c r="C38" s="31" t="inlineStr">
        <is>
          <t>consumer discretionary</t>
        </is>
      </c>
      <c r="D38" s="31" t="inlineStr">
        <is>
          <t>electronics - components</t>
        </is>
      </c>
      <c r="E38" s="31" t="inlineStr">
        <is>
          <t>smallcap</t>
        </is>
      </c>
      <c r="F38" s="31" t="n">
        <v>4730.51</v>
      </c>
      <c r="G38" s="31" t="n">
        <v>623</v>
      </c>
      <c r="H38" s="31" t="n">
        <v>4.52</v>
      </c>
      <c r="I38" s="31" t="n">
        <v>895503</v>
      </c>
      <c r="J38" s="31" t="inlineStr">
        <is>
          <t>543933</t>
        </is>
      </c>
    </row>
    <row r="39">
      <c r="A39" s="31" t="inlineStr">
        <is>
          <t>INOXINDIA</t>
        </is>
      </c>
      <c r="B39" s="31" t="inlineStr">
        <is>
          <t>Inox India Ltd</t>
        </is>
      </c>
      <c r="C39" s="31" t="inlineStr">
        <is>
          <t>industrials</t>
        </is>
      </c>
      <c r="D39" s="31" t="inlineStr">
        <is>
          <t>packaging</t>
        </is>
      </c>
      <c r="E39" s="31" t="inlineStr">
        <is>
          <t>midcap</t>
        </is>
      </c>
      <c r="F39" s="31" t="n">
        <v>18183.56</v>
      </c>
      <c r="G39" s="31" t="n">
        <v>2093.8</v>
      </c>
      <c r="H39" s="31" t="n">
        <v>4.51</v>
      </c>
      <c r="I39" s="31" t="n">
        <v>535136</v>
      </c>
      <c r="J39" s="31" t="inlineStr">
        <is>
          <t>544046</t>
        </is>
      </c>
    </row>
    <row r="40">
      <c r="A40" s="31" t="inlineStr">
        <is>
          <t>HIRECT</t>
        </is>
      </c>
      <c r="B40" s="31" t="inlineStr">
        <is>
          <t>Hind Rectifiers Limited</t>
        </is>
      </c>
      <c r="C40" s="31" t="inlineStr">
        <is>
          <t>consumer discretionary</t>
        </is>
      </c>
      <c r="D40" s="31" t="inlineStr">
        <is>
          <t>electronics - components</t>
        </is>
      </c>
      <c r="E40" s="31" t="inlineStr">
        <is>
          <t>smallcap</t>
        </is>
      </c>
      <c r="F40" s="31" t="n">
        <v>4303.75</v>
      </c>
      <c r="G40" s="31" t="n">
        <v>1308.6</v>
      </c>
      <c r="H40" s="31" t="n">
        <v>4.51</v>
      </c>
      <c r="I40" s="31" t="n">
        <v>187138</v>
      </c>
      <c r="J40" s="31" t="inlineStr">
        <is>
          <t>504036</t>
        </is>
      </c>
    </row>
    <row r="41">
      <c r="A41" s="31" t="inlineStr">
        <is>
          <t>ACE</t>
        </is>
      </c>
      <c r="B41" s="31" t="inlineStr">
        <is>
          <t>Action Construction Equipment Limited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midcap</t>
        </is>
      </c>
      <c r="F41" s="31" t="n">
        <v>11808.29</v>
      </c>
      <c r="G41" s="31" t="n">
        <v>1035.5</v>
      </c>
      <c r="H41" s="31" t="n">
        <v>4.43</v>
      </c>
      <c r="I41" s="31" t="n">
        <v>5917072</v>
      </c>
      <c r="J41" s="31" t="inlineStr">
        <is>
          <t>532762</t>
        </is>
      </c>
    </row>
    <row r="42">
      <c r="A42" s="31" t="inlineStr">
        <is>
          <t>NELCO</t>
        </is>
      </c>
      <c r="B42" s="31" t="inlineStr">
        <is>
          <t>Nelco Limited</t>
        </is>
      </c>
      <c r="C42" s="31" t="inlineStr">
        <is>
          <t>telecom</t>
        </is>
      </c>
      <c r="D42" s="31" t="inlineStr">
        <is>
          <t>telecommunications - service provider</t>
        </is>
      </c>
      <c r="E42" s="31" t="inlineStr">
        <is>
          <t>smallcap</t>
        </is>
      </c>
      <c r="F42" s="31" t="n">
        <v>2029.92</v>
      </c>
      <c r="G42" s="31" t="n">
        <v>928.5</v>
      </c>
      <c r="H42" s="31" t="n">
        <v>4.37</v>
      </c>
      <c r="I42" s="31" t="n">
        <v>398320</v>
      </c>
      <c r="J42" s="31" t="inlineStr">
        <is>
          <t>504112</t>
        </is>
      </c>
    </row>
    <row r="43">
      <c r="A43" s="31" t="inlineStr">
        <is>
          <t>MANAPPURAM</t>
        </is>
      </c>
      <c r="B43" s="31" t="inlineStr">
        <is>
          <t>Manappuram Finance Limited</t>
        </is>
      </c>
      <c r="C43" s="31" t="inlineStr">
        <is>
          <t>financials</t>
        </is>
      </c>
      <c r="D43" s="31" t="inlineStr">
        <is>
          <t>finance &amp; investments</t>
        </is>
      </c>
      <c r="E43" s="31" t="inlineStr">
        <is>
          <t>largecap</t>
        </is>
      </c>
      <c r="F43" s="31" t="n">
        <v>31665.02</v>
      </c>
      <c r="G43" s="31" t="n">
        <v>351.75</v>
      </c>
      <c r="H43" s="31" t="n">
        <v>4.35</v>
      </c>
      <c r="I43" s="31" t="n">
        <v>12016739</v>
      </c>
      <c r="J43" s="31" t="inlineStr">
        <is>
          <t>531213</t>
        </is>
      </c>
    </row>
    <row r="44">
      <c r="A44" s="31" t="inlineStr">
        <is>
          <t>EMCURE</t>
        </is>
      </c>
      <c r="B44" s="31" t="inlineStr">
        <is>
          <t>Emcure Pharmaceuticals Ltd</t>
        </is>
      </c>
      <c r="C44" s="31" t="inlineStr">
        <is>
          <t>healthcare</t>
        </is>
      </c>
      <c r="D44" s="31" t="inlineStr">
        <is>
          <t>pharmaceuticals - indian - bulk drugs &amp; formln</t>
        </is>
      </c>
      <c r="E44" s="31" t="inlineStr">
        <is>
          <t>largecap</t>
        </is>
      </c>
      <c r="F44" s="31" t="n">
        <v>35286.41</v>
      </c>
      <c r="G44" s="31" t="n">
        <v>1939.8</v>
      </c>
      <c r="H44" s="31" t="n">
        <v>4.22</v>
      </c>
      <c r="I44" s="31" t="n">
        <v>215541</v>
      </c>
      <c r="J44" s="31" t="inlineStr">
        <is>
          <t>544210</t>
        </is>
      </c>
    </row>
    <row r="45">
      <c r="A45" s="31" t="inlineStr">
        <is>
          <t>MMFL</t>
        </is>
      </c>
      <c r="B45" s="31" t="inlineStr">
        <is>
          <t>Mm Forgings Limited</t>
        </is>
      </c>
      <c r="C45" s="31" t="inlineStr">
        <is>
          <t>industrials</t>
        </is>
      </c>
      <c r="D45" s="31" t="inlineStr">
        <is>
          <t>castings &amp; forgings</t>
        </is>
      </c>
      <c r="E45" s="31" t="inlineStr">
        <is>
          <t>smallcap</t>
        </is>
      </c>
      <c r="F45" s="31" t="n">
        <v>2576.79</v>
      </c>
      <c r="G45" s="31" t="n">
        <v>555.75</v>
      </c>
      <c r="H45" s="31" t="n">
        <v>4.13</v>
      </c>
      <c r="I45" s="31" t="n">
        <v>200729</v>
      </c>
      <c r="J45" s="31" t="inlineStr">
        <is>
          <t>522241</t>
        </is>
      </c>
    </row>
    <row r="46">
      <c r="A46" s="31" t="inlineStr">
        <is>
          <t>HSCL</t>
        </is>
      </c>
      <c r="B46" s="31" t="inlineStr">
        <is>
          <t>Himadri Speciality Chemical Limited</t>
        </is>
      </c>
      <c r="C46" s="31" t="inlineStr">
        <is>
          <t>chemicals</t>
        </is>
      </c>
      <c r="D46" s="31" t="inlineStr">
        <is>
          <t>chemicals</t>
        </is>
      </c>
      <c r="E46" s="31" t="inlineStr">
        <is>
          <t>largecap</t>
        </is>
      </c>
      <c r="F46" s="31" t="n">
        <v>38844.66</v>
      </c>
      <c r="G46" s="31" t="n">
        <v>800.9</v>
      </c>
      <c r="H46" s="31" t="n">
        <v>4.03</v>
      </c>
      <c r="I46" s="31" t="n">
        <v>21404570</v>
      </c>
      <c r="J46" s="31" t="inlineStr">
        <is>
          <t>500184</t>
        </is>
      </c>
    </row>
    <row r="47">
      <c r="A47" s="31" t="inlineStr">
        <is>
          <t>SURYODAY</t>
        </is>
      </c>
      <c r="B47" s="31" t="inlineStr">
        <is>
          <t>Suryoday Small Finance Bank Ltd</t>
        </is>
      </c>
      <c r="C47" s="31" t="inlineStr">
        <is>
          <t>bank</t>
        </is>
      </c>
      <c r="D47" s="31" t="inlineStr">
        <is>
          <t>banks - private sector</t>
        </is>
      </c>
      <c r="E47" s="31" t="inlineStr">
        <is>
          <t>smallcap</t>
        </is>
      </c>
      <c r="F47" s="31" t="n">
        <v>1945.64</v>
      </c>
      <c r="G47" s="31" t="n">
        <v>190.41</v>
      </c>
      <c r="H47" s="31" t="n">
        <v>4.02</v>
      </c>
      <c r="I47" s="31" t="n">
        <v>416648</v>
      </c>
      <c r="J47" s="31" t="inlineStr">
        <is>
          <t>543279</t>
        </is>
      </c>
    </row>
    <row r="48">
      <c r="A48" s="31" t="inlineStr">
        <is>
          <t>BALAMINES</t>
        </is>
      </c>
      <c r="B48" s="31" t="inlineStr">
        <is>
          <t>Balaji Amines Limited</t>
        </is>
      </c>
      <c r="C48" s="31" t="inlineStr">
        <is>
          <t>chemicals</t>
        </is>
      </c>
      <c r="D48" s="31" t="inlineStr">
        <is>
          <t>chemicals</t>
        </is>
      </c>
      <c r="E48" s="31" t="inlineStr">
        <is>
          <t>midcap</t>
        </is>
      </c>
      <c r="F48" s="31" t="n">
        <v>7373.82</v>
      </c>
      <c r="G48" s="31" t="n">
        <v>2366.5</v>
      </c>
      <c r="H48" s="31" t="n">
        <v>3.99</v>
      </c>
      <c r="I48" s="31" t="n">
        <v>151415</v>
      </c>
      <c r="J48" s="31" t="inlineStr">
        <is>
          <t>530999</t>
        </is>
      </c>
    </row>
    <row r="49">
      <c r="A49" s="31" t="inlineStr">
        <is>
          <t>AVADHSUGAR</t>
        </is>
      </c>
      <c r="B49" s="31" t="inlineStr">
        <is>
          <t>Avadh Sugar &amp; Energy</t>
        </is>
      </c>
      <c r="C49" s="31" t="inlineStr">
        <is>
          <t>fmcg</t>
        </is>
      </c>
      <c r="D49" s="31" t="inlineStr">
        <is>
          <t>sugar</t>
        </is>
      </c>
      <c r="E49" s="31" t="inlineStr">
        <is>
          <t>smallcap</t>
        </is>
      </c>
      <c r="F49" s="31" t="n">
        <v>1063.78</v>
      </c>
      <c r="G49" s="31" t="n">
        <v>552.2</v>
      </c>
      <c r="H49" s="31" t="n">
        <v>3.91</v>
      </c>
      <c r="I49" s="31" t="n">
        <v>46316</v>
      </c>
      <c r="J49" s="31" t="inlineStr">
        <is>
          <t>540649</t>
        </is>
      </c>
    </row>
    <row r="50">
      <c r="A50" s="31" t="inlineStr">
        <is>
          <t>ACI</t>
        </is>
      </c>
      <c r="B50" s="31" t="inlineStr">
        <is>
          <t>Archean Chemical Industries Ltd</t>
        </is>
      </c>
      <c r="C50" s="31" t="inlineStr">
        <is>
          <t>chemicals</t>
        </is>
      </c>
      <c r="D50" s="31" t="inlineStr">
        <is>
          <t>chemicals</t>
        </is>
      </c>
      <c r="E50" s="31" t="inlineStr">
        <is>
          <t>midcap</t>
        </is>
      </c>
      <c r="F50" s="31" t="n">
        <v>6998.86</v>
      </c>
      <c r="G50" s="31" t="n">
        <v>588.45</v>
      </c>
      <c r="H50" s="31" t="n">
        <v>3.8</v>
      </c>
      <c r="I50" s="31" t="n">
        <v>1416274</v>
      </c>
      <c r="J50" s="31" t="inlineStr">
        <is>
          <t>543657</t>
        </is>
      </c>
    </row>
    <row r="51">
      <c r="A51" s="31" t="inlineStr">
        <is>
          <t>SARLAPOLY</t>
        </is>
      </c>
      <c r="B51" s="31" t="inlineStr">
        <is>
          <t>Sarla Performance Fibers Limited</t>
        </is>
      </c>
      <c r="C51" s="31" t="inlineStr">
        <is>
          <t>textiles</t>
        </is>
      </c>
      <c r="D51" s="31" t="inlineStr">
        <is>
          <t>textiles - spinning - synthetic / blended</t>
        </is>
      </c>
      <c r="E51" s="31" t="inlineStr">
        <is>
          <t>smallcap</t>
        </is>
      </c>
      <c r="F51" s="31" t="n">
        <v>794</v>
      </c>
      <c r="G51" s="31" t="n">
        <v>103.55</v>
      </c>
      <c r="H51" s="31" t="n">
        <v>3.68</v>
      </c>
      <c r="I51" s="31" t="n">
        <v>78216</v>
      </c>
      <c r="J51" s="31" t="inlineStr">
        <is>
          <t>526885</t>
        </is>
      </c>
    </row>
    <row r="52">
      <c r="A52" s="31" t="inlineStr">
        <is>
          <t>JUBLINGREA</t>
        </is>
      </c>
      <c r="B52" s="31" t="inlineStr">
        <is>
          <t>Jubilant Ingrevia Ltd</t>
        </is>
      </c>
      <c r="C52" s="31" t="inlineStr">
        <is>
          <t>chemicals</t>
        </is>
      </c>
      <c r="D52" s="31" t="inlineStr">
        <is>
          <t>chemicals</t>
        </is>
      </c>
      <c r="E52" s="31" t="inlineStr">
        <is>
          <t>midcap</t>
        </is>
      </c>
      <c r="F52" s="31" t="n">
        <v>11736.63</v>
      </c>
      <c r="G52" s="31" t="n">
        <v>763.8</v>
      </c>
      <c r="H52" s="31" t="n">
        <v>3.66</v>
      </c>
      <c r="I52" s="31" t="n">
        <v>793750</v>
      </c>
      <c r="J52" s="31" t="inlineStr">
        <is>
          <t>543271</t>
        </is>
      </c>
    </row>
    <row r="53">
      <c r="A53" s="31" t="inlineStr">
        <is>
          <t>CHENNPETRO</t>
        </is>
      </c>
      <c r="B53" s="31" t="inlineStr">
        <is>
          <t>Chennai Petroleum Corporation Limited</t>
        </is>
      </c>
      <c r="C53" s="31" t="inlineStr">
        <is>
          <t>energy</t>
        </is>
      </c>
      <c r="D53" s="31" t="inlineStr">
        <is>
          <t>refineries</t>
        </is>
      </c>
      <c r="E53" s="31" t="inlineStr">
        <is>
          <t>midcap</t>
        </is>
      </c>
      <c r="F53" s="31" t="n">
        <v>18077.84</v>
      </c>
      <c r="G53" s="31" t="n">
        <v>1258.1</v>
      </c>
      <c r="H53" s="31" t="n">
        <v>3.63</v>
      </c>
      <c r="I53" s="31" t="n">
        <v>1793194</v>
      </c>
      <c r="J53" s="31" t="inlineStr">
        <is>
          <t>500110</t>
        </is>
      </c>
    </row>
    <row r="54">
      <c r="A54" s="31" t="inlineStr">
        <is>
          <t>ADOR</t>
        </is>
      </c>
      <c r="B54" s="31" t="inlineStr">
        <is>
          <t>Ador Welding Ltd</t>
        </is>
      </c>
      <c r="C54" s="31" t="inlineStr">
        <is>
          <t>industrials</t>
        </is>
      </c>
      <c r="D54" s="31" t="inlineStr">
        <is>
          <t>electrodes - welding equipment</t>
        </is>
      </c>
      <c r="E54" s="31" t="inlineStr">
        <is>
          <t>smallcap</t>
        </is>
      </c>
      <c r="F54" s="31" t="n">
        <v>2532.63</v>
      </c>
      <c r="G54" s="31" t="n">
        <v>1507.2</v>
      </c>
      <c r="H54" s="31" t="n">
        <v>3.57</v>
      </c>
      <c r="I54" s="31" t="n">
        <v>405565</v>
      </c>
      <c r="J54" s="31" t="inlineStr">
        <is>
          <t>517041</t>
        </is>
      </c>
    </row>
    <row r="55">
      <c r="A55" s="31" t="inlineStr">
        <is>
          <t>MACPOWER</t>
        </is>
      </c>
      <c r="B55" s="31" t="inlineStr">
        <is>
          <t>Macpower CNC Machines Ltd</t>
        </is>
      </c>
      <c r="C55" s="31" t="inlineStr">
        <is>
          <t>industrials</t>
        </is>
      </c>
      <c r="D55" s="31" t="inlineStr">
        <is>
          <t>engineering</t>
        </is>
      </c>
      <c r="E55" s="31" t="inlineStr">
        <is>
          <t>smallcap</t>
        </is>
      </c>
      <c r="F55" s="31" t="n">
        <v>1302.84</v>
      </c>
      <c r="G55" s="31" t="n">
        <v>1348.2</v>
      </c>
      <c r="H55" s="31" t="n">
        <v>3.52</v>
      </c>
      <c r="I55" s="31" t="n">
        <v>37743</v>
      </c>
      <c r="J55" s="31" t="inlineStr">
        <is>
          <t>535057</t>
        </is>
      </c>
    </row>
    <row r="56">
      <c r="A56" s="31" t="inlineStr">
        <is>
          <t>ASAL</t>
        </is>
      </c>
      <c r="B56" s="31" t="inlineStr">
        <is>
          <t>Automotive Stampings And Assemblies Limited</t>
        </is>
      </c>
      <c r="C56" s="31" t="inlineStr">
        <is>
          <t>auto</t>
        </is>
      </c>
      <c r="D56" s="31" t="inlineStr">
        <is>
          <t>auto ancillaries</t>
        </is>
      </c>
      <c r="E56" s="31" t="inlineStr">
        <is>
          <t>smallcap</t>
        </is>
      </c>
      <c r="F56" s="31" t="n">
        <v>846.6799999999999</v>
      </c>
      <c r="G56" s="31" t="n">
        <v>551.55</v>
      </c>
      <c r="H56" s="31" t="n">
        <v>3.34</v>
      </c>
      <c r="I56" s="31" t="n">
        <v>76195</v>
      </c>
      <c r="J56" s="31" t="inlineStr">
        <is>
          <t>520119</t>
        </is>
      </c>
    </row>
    <row r="57">
      <c r="A57" s="31" t="inlineStr">
        <is>
          <t>PPLPHARMA</t>
        </is>
      </c>
      <c r="B57" s="31" t="inlineStr">
        <is>
          <t>Piramal Pharma Ltd</t>
        </is>
      </c>
      <c r="C57" s="31" t="inlineStr">
        <is>
          <t>healthcare</t>
        </is>
      </c>
      <c r="D57" s="31" t="inlineStr">
        <is>
          <t>pharmaceuticals - indian - bulk drugs &amp; formln</t>
        </is>
      </c>
      <c r="E57" s="31" t="inlineStr">
        <is>
          <t>largecap</t>
        </is>
      </c>
      <c r="F57" s="31" t="n">
        <v>23813.82</v>
      </c>
      <c r="G57" s="31" t="n">
        <v>184.81</v>
      </c>
      <c r="H57" s="31" t="n">
        <v>3.32</v>
      </c>
      <c r="I57" s="31" t="n">
        <v>9895524</v>
      </c>
      <c r="J57" s="31" t="inlineStr">
        <is>
          <t>543635</t>
        </is>
      </c>
    </row>
    <row r="58">
      <c r="A58" s="31" t="inlineStr">
        <is>
          <t>INDIACEM</t>
        </is>
      </c>
      <c r="B58" s="31" t="inlineStr">
        <is>
          <t>The India Cements Limited</t>
        </is>
      </c>
      <c r="C58" s="31" t="inlineStr">
        <is>
          <t>building materials</t>
        </is>
      </c>
      <c r="D58" s="31" t="inlineStr">
        <is>
          <t>cement - south india</t>
        </is>
      </c>
      <c r="E58" s="31" t="inlineStr">
        <is>
          <t>midcap</t>
        </is>
      </c>
      <c r="F58" s="31" t="n">
        <v>12163.47</v>
      </c>
      <c r="G58" s="31" t="n">
        <v>405.2</v>
      </c>
      <c r="H58" s="31" t="n">
        <v>3.24</v>
      </c>
      <c r="I58" s="31" t="n">
        <v>1132722</v>
      </c>
      <c r="J58" s="31" t="inlineStr">
        <is>
          <t>530005</t>
        </is>
      </c>
    </row>
    <row r="59">
      <c r="A59" s="31" t="inlineStr">
        <is>
          <t>SENCO</t>
        </is>
      </c>
      <c r="B59" s="31" t="inlineStr">
        <is>
          <t>Senco Gold Ltd</t>
        </is>
      </c>
      <c r="C59" s="31" t="inlineStr">
        <is>
          <t>consumer discretionary</t>
        </is>
      </c>
      <c r="D59" s="31" t="inlineStr">
        <is>
          <t>diamond cutting / jewellery</t>
        </is>
      </c>
      <c r="E59" s="31" t="inlineStr">
        <is>
          <t>midcap</t>
        </is>
      </c>
      <c r="F59" s="31" t="n">
        <v>5995.32</v>
      </c>
      <c r="G59" s="31" t="n">
        <v>377.8</v>
      </c>
      <c r="H59" s="31" t="n">
        <v>3.22</v>
      </c>
      <c r="I59" s="31" t="n">
        <v>1123015</v>
      </c>
      <c r="J59" s="31" t="inlineStr">
        <is>
          <t>543936</t>
        </is>
      </c>
    </row>
    <row r="60">
      <c r="A60" s="31" t="inlineStr">
        <is>
          <t>MRPL</t>
        </is>
      </c>
      <c r="B60" s="31" t="inlineStr">
        <is>
          <t>Mangalore Refinery And Petrochemicals Limited</t>
        </is>
      </c>
      <c r="C60" s="31" t="inlineStr">
        <is>
          <t>energy</t>
        </is>
      </c>
      <c r="D60" s="31" t="inlineStr">
        <is>
          <t>refineries</t>
        </is>
      </c>
      <c r="E60" s="31" t="inlineStr">
        <is>
          <t>largecap</t>
        </is>
      </c>
      <c r="F60" s="31" t="n">
        <v>29955.42</v>
      </c>
      <c r="G60" s="31" t="n">
        <v>176.31</v>
      </c>
      <c r="H60" s="31" t="n">
        <v>3.15</v>
      </c>
      <c r="I60" s="31" t="n">
        <v>16272992</v>
      </c>
      <c r="J60" s="31" t="inlineStr">
        <is>
          <t>500109</t>
        </is>
      </c>
    </row>
    <row r="61">
      <c r="A61" s="31" t="inlineStr">
        <is>
          <t>AJANTPHARM</t>
        </is>
      </c>
      <c r="B61" s="31" t="inlineStr">
        <is>
          <t>Ajanta Pharma Limited</t>
        </is>
      </c>
      <c r="C61" s="31" t="inlineStr">
        <is>
          <t>healthcare</t>
        </is>
      </c>
      <c r="D61" s="31" t="inlineStr">
        <is>
          <t>pharmaceuticals - indian - formulations</t>
        </is>
      </c>
      <c r="E61" s="31" t="inlineStr">
        <is>
          <t>largecap</t>
        </is>
      </c>
      <c r="F61" s="31" t="n">
        <v>43340.17</v>
      </c>
      <c r="G61" s="31" t="n">
        <v>3575.3</v>
      </c>
      <c r="H61" s="31" t="n">
        <v>3.06</v>
      </c>
      <c r="I61" s="31" t="n">
        <v>204702</v>
      </c>
      <c r="J61" s="31" t="inlineStr">
        <is>
          <t>532331</t>
        </is>
      </c>
    </row>
    <row r="62">
      <c r="A62" s="31" t="inlineStr">
        <is>
          <t>MANBA</t>
        </is>
      </c>
      <c r="B62" s="31" t="inlineStr">
        <is>
          <t>Manba Finance Ltd</t>
        </is>
      </c>
      <c r="C62" s="31" t="inlineStr">
        <is>
          <t>financials</t>
        </is>
      </c>
      <c r="D62" s="31" t="inlineStr">
        <is>
          <t>finance &amp; investments</t>
        </is>
      </c>
      <c r="E62" s="31" t="inlineStr">
        <is>
          <t>smallcap</t>
        </is>
      </c>
      <c r="F62" s="31" t="n">
        <v>692.4</v>
      </c>
      <c r="G62" s="31" t="n">
        <v>142</v>
      </c>
      <c r="H62" s="31" t="n">
        <v>3.03</v>
      </c>
      <c r="I62" s="31" t="n">
        <v>535733</v>
      </c>
      <c r="J62" s="31" t="inlineStr">
        <is>
          <t>544262</t>
        </is>
      </c>
    </row>
    <row r="63">
      <c r="A63" s="31" t="inlineStr">
        <is>
          <t>MANALIPETC</t>
        </is>
      </c>
      <c r="B63" s="31" t="inlineStr">
        <is>
          <t>Manali Petrochemicals Limited</t>
        </is>
      </c>
      <c r="C63" s="31" t="inlineStr">
        <is>
          <t>energy</t>
        </is>
      </c>
      <c r="D63" s="31" t="inlineStr">
        <is>
          <t>petrochemicals</t>
        </is>
      </c>
      <c r="E63" s="31" t="inlineStr">
        <is>
          <t>smallcap</t>
        </is>
      </c>
      <c r="F63" s="31" t="n">
        <v>1098.56</v>
      </c>
      <c r="G63" s="31" t="n">
        <v>65.78</v>
      </c>
      <c r="H63" s="31" t="n">
        <v>2.99</v>
      </c>
      <c r="I63" s="31" t="n">
        <v>1223116</v>
      </c>
      <c r="J63" s="31" t="inlineStr">
        <is>
          <t>500268</t>
        </is>
      </c>
    </row>
    <row r="64">
      <c r="A64" s="31" t="inlineStr">
        <is>
          <t>BALRAMCHIN</t>
        </is>
      </c>
      <c r="B64" s="31" t="inlineStr">
        <is>
          <t>Balrampur Chini Mills Limited</t>
        </is>
      </c>
      <c r="C64" s="31" t="inlineStr">
        <is>
          <t>fmcg</t>
        </is>
      </c>
      <c r="D64" s="31" t="inlineStr">
        <is>
          <t>sugar</t>
        </is>
      </c>
      <c r="E64" s="31" t="inlineStr">
        <is>
          <t>midcap</t>
        </is>
      </c>
      <c r="F64" s="31" t="n">
        <v>12677.09</v>
      </c>
      <c r="G64" s="31" t="n">
        <v>617.85</v>
      </c>
      <c r="H64" s="31" t="n">
        <v>2.97</v>
      </c>
      <c r="I64" s="31" t="n">
        <v>2962729</v>
      </c>
      <c r="J64" s="31" t="inlineStr">
        <is>
          <t>500038</t>
        </is>
      </c>
    </row>
    <row r="65">
      <c r="A65" s="31" t="inlineStr">
        <is>
          <t>INDUSINDBK</t>
        </is>
      </c>
      <c r="B65" s="31" t="inlineStr">
        <is>
          <t>Indusind Bank Limited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largecap</t>
        </is>
      </c>
      <c r="F65" s="31" t="n">
        <v>80472.73</v>
      </c>
      <c r="G65" s="31" t="n">
        <v>1063.45</v>
      </c>
      <c r="H65" s="31" t="n">
        <v>2.96</v>
      </c>
      <c r="I65" s="31" t="n">
        <v>5124543</v>
      </c>
      <c r="J65" s="31" t="inlineStr">
        <is>
          <t>532187</t>
        </is>
      </c>
    </row>
    <row r="66">
      <c r="A66" s="31" t="inlineStr">
        <is>
          <t>PANSARI</t>
        </is>
      </c>
      <c r="B66" s="31" t="inlineStr">
        <is>
          <t>Pansari Developers Ltd</t>
        </is>
      </c>
      <c r="C66" s="31" t="inlineStr">
        <is>
          <t>realty</t>
        </is>
      </c>
      <c r="D66" s="31" t="inlineStr">
        <is>
          <t>construction</t>
        </is>
      </c>
      <c r="E66" s="31" t="inlineStr">
        <is>
          <t>smallcap</t>
        </is>
      </c>
      <c r="F66" s="31" t="n">
        <v>622.15</v>
      </c>
      <c r="G66" s="31" t="n">
        <v>367</v>
      </c>
      <c r="H66" s="31" t="n">
        <v>2.92</v>
      </c>
      <c r="I66" s="31" t="n">
        <v>4826</v>
      </c>
      <c r="J66" s="31" t="inlineStr">
        <is>
          <t>538381</t>
        </is>
      </c>
    </row>
    <row r="67">
      <c r="A67" s="31" t="inlineStr">
        <is>
          <t>GEECEE</t>
        </is>
      </c>
      <c r="B67" s="31" t="inlineStr">
        <is>
          <t>Geecee Ventures Limited</t>
        </is>
      </c>
      <c r="C67" s="31" t="inlineStr">
        <is>
          <t>financials</t>
        </is>
      </c>
      <c r="D67" s="31" t="inlineStr">
        <is>
          <t>finance &amp; investments</t>
        </is>
      </c>
      <c r="E67" s="31" t="inlineStr">
        <is>
          <t>smallcap</t>
        </is>
      </c>
      <c r="F67" s="31" t="n">
        <v>721.25</v>
      </c>
      <c r="G67" s="31" t="n">
        <v>354.95</v>
      </c>
      <c r="H67" s="31" t="n">
        <v>2.91</v>
      </c>
      <c r="I67" s="31" t="n">
        <v>2482</v>
      </c>
      <c r="J67" s="31" t="inlineStr">
        <is>
          <t>532764</t>
        </is>
      </c>
    </row>
    <row r="68">
      <c r="A68" s="31" t="inlineStr">
        <is>
          <t>STYLAMIND</t>
        </is>
      </c>
      <c r="B68" s="31" t="inlineStr">
        <is>
          <t>Stylam Industries Ltd</t>
        </is>
      </c>
      <c r="C68" s="31" t="inlineStr">
        <is>
          <t>building materials</t>
        </is>
      </c>
      <c r="D68" s="31" t="inlineStr">
        <is>
          <t>miscellaneous</t>
        </is>
      </c>
      <c r="E68" s="31" t="inlineStr">
        <is>
          <t>midcap</t>
        </is>
      </c>
      <c r="F68" s="31" t="n">
        <v>5786.58</v>
      </c>
      <c r="G68" s="31" t="n">
        <v>3510.7</v>
      </c>
      <c r="H68" s="31" t="n">
        <v>2.82</v>
      </c>
      <c r="I68" s="31" t="n">
        <v>64273</v>
      </c>
      <c r="J68" s="31" t="inlineStr">
        <is>
          <t>526951</t>
        </is>
      </c>
    </row>
    <row r="69">
      <c r="A69" s="31" t="inlineStr">
        <is>
          <t>PRECOT</t>
        </is>
      </c>
      <c r="B69" s="31" t="inlineStr">
        <is>
          <t>Precot Meridian Limited</t>
        </is>
      </c>
      <c r="C69" s="31" t="inlineStr">
        <is>
          <t>textiles</t>
        </is>
      </c>
      <c r="D69" s="31" t="inlineStr">
        <is>
          <t>textiles - cotton/blended</t>
        </is>
      </c>
      <c r="E69" s="31" t="inlineStr">
        <is>
          <t>smallcap</t>
        </is>
      </c>
      <c r="F69" s="31" t="n">
        <v>997.02</v>
      </c>
      <c r="G69" s="31" t="n">
        <v>854</v>
      </c>
      <c r="H69" s="31" t="n">
        <v>2.79</v>
      </c>
      <c r="I69" s="31" t="n">
        <v>11760</v>
      </c>
      <c r="J69" s="31" t="inlineStr">
        <is>
          <t>521184</t>
        </is>
      </c>
    </row>
    <row r="70">
      <c r="A70" s="31" t="inlineStr">
        <is>
          <t>AKUMS</t>
        </is>
      </c>
      <c r="B70" s="31" t="inlineStr">
        <is>
          <t>Akums Drugs &amp; Pharmaceuticals Ltd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midcap</t>
        </is>
      </c>
      <c r="F70" s="31" t="n">
        <v>10648.49</v>
      </c>
      <c r="G70" s="31" t="n">
        <v>695.05</v>
      </c>
      <c r="H70" s="31" t="n">
        <v>2.73</v>
      </c>
      <c r="I70" s="31" t="n">
        <v>433209</v>
      </c>
      <c r="J70" s="31" t="inlineStr">
        <is>
          <t>544222</t>
        </is>
      </c>
    </row>
    <row r="71">
      <c r="A71" s="31" t="inlineStr">
        <is>
          <t>EQUITASBNK</t>
        </is>
      </c>
      <c r="B71" s="31" t="inlineStr">
        <is>
          <t>Equitas Small Finance Bank Ltd</t>
        </is>
      </c>
      <c r="C71" s="31" t="inlineStr">
        <is>
          <t>bank</t>
        </is>
      </c>
      <c r="D71" s="31" t="inlineStr">
        <is>
          <t>banks - private sector</t>
        </is>
      </c>
      <c r="E71" s="31" t="inlineStr">
        <is>
          <t>midcap</t>
        </is>
      </c>
      <c r="F71" s="31" t="n">
        <v>9067.43</v>
      </c>
      <c r="G71" s="31" t="n">
        <v>81.43000000000001</v>
      </c>
      <c r="H71" s="31" t="n">
        <v>2.71</v>
      </c>
      <c r="I71" s="31" t="n">
        <v>2744637</v>
      </c>
      <c r="J71" s="31" t="inlineStr">
        <is>
          <t>543243</t>
        </is>
      </c>
    </row>
    <row r="72">
      <c r="A72" s="31" t="inlineStr">
        <is>
          <t>GHCLTEXTIL</t>
        </is>
      </c>
      <c r="B72" s="31" t="inlineStr">
        <is>
          <t>GHCL Textiles Ltd</t>
        </is>
      </c>
      <c r="C72" s="31" t="inlineStr">
        <is>
          <t>textiles</t>
        </is>
      </c>
      <c r="D72" s="31" t="inlineStr">
        <is>
          <t>textiles - spinning - synthetic / blended</t>
        </is>
      </c>
      <c r="E72" s="31" t="inlineStr">
        <is>
          <t>smallcap</t>
        </is>
      </c>
      <c r="F72" s="31" t="n">
        <v>1091.3</v>
      </c>
      <c r="G72" s="31" t="n">
        <v>117.25</v>
      </c>
      <c r="H72" s="31" t="n">
        <v>2.7</v>
      </c>
      <c r="I72" s="31" t="n">
        <v>1106288</v>
      </c>
      <c r="J72" s="31" t="inlineStr">
        <is>
          <t>543918</t>
        </is>
      </c>
    </row>
    <row r="73">
      <c r="A73" s="31" t="inlineStr">
        <is>
          <t>INDNIPPON</t>
        </is>
      </c>
      <c r="B73" s="31" t="inlineStr">
        <is>
          <t>India Nippon Electricals Limited</t>
        </is>
      </c>
      <c r="C73" s="31" t="inlineStr">
        <is>
          <t>auto</t>
        </is>
      </c>
      <c r="D73" s="31" t="inlineStr">
        <is>
          <t>auto ancillaries</t>
        </is>
      </c>
      <c r="E73" s="31" t="inlineStr">
        <is>
          <t>smallcap</t>
        </is>
      </c>
      <c r="F73" s="31" t="n">
        <v>2735.84</v>
      </c>
      <c r="G73" s="31" t="n">
        <v>1241.6</v>
      </c>
      <c r="H73" s="31" t="n">
        <v>2.66</v>
      </c>
      <c r="I73" s="31" t="n">
        <v>58854</v>
      </c>
      <c r="J73" s="31" t="inlineStr">
        <is>
          <t>532240</t>
        </is>
      </c>
    </row>
    <row r="74">
      <c r="A74" s="31" t="inlineStr">
        <is>
          <t>AEGISVOPAK</t>
        </is>
      </c>
      <c r="B74" s="31" t="inlineStr">
        <is>
          <t>Aegis Vopak Terminals Ltd</t>
        </is>
      </c>
      <c r="C74" s="31" t="inlineStr">
        <is>
          <t>transportation</t>
        </is>
      </c>
      <c r="D74" s="31" t="inlineStr">
        <is>
          <t>miscellaneous</t>
        </is>
      </c>
      <c r="E74" s="31" t="inlineStr">
        <is>
          <t>largecap</t>
        </is>
      </c>
      <c r="F74" s="31" t="n">
        <v>31136.78</v>
      </c>
      <c r="G74" s="31" t="n">
        <v>288.45</v>
      </c>
      <c r="H74" s="31" t="n">
        <v>2.64</v>
      </c>
      <c r="I74" s="31" t="n">
        <v>3392972</v>
      </c>
      <c r="J74" s="31" t="inlineStr">
        <is>
          <t>544407</t>
        </is>
      </c>
    </row>
    <row r="75">
      <c r="A75" s="31" t="inlineStr">
        <is>
          <t>DPABHUSHAN</t>
        </is>
      </c>
      <c r="B75" s="31" t="inlineStr">
        <is>
          <t>D.P. Abhushan Ltd</t>
        </is>
      </c>
      <c r="C75" s="31" t="inlineStr">
        <is>
          <t>consumer discretionary</t>
        </is>
      </c>
      <c r="D75" s="31" t="inlineStr">
        <is>
          <t>diamond cutting / jewellery</t>
        </is>
      </c>
      <c r="E75" s="31" t="inlineStr">
        <is>
          <t>smallcap</t>
        </is>
      </c>
      <c r="F75" s="31" t="n">
        <v>3274.32</v>
      </c>
      <c r="G75" s="31" t="n">
        <v>1472</v>
      </c>
      <c r="H75" s="31" t="n">
        <v>2.62</v>
      </c>
      <c r="I75" s="31" t="n">
        <v>293655</v>
      </c>
      <c r="J75" s="31" t="inlineStr">
        <is>
          <t>535026</t>
        </is>
      </c>
    </row>
    <row r="76">
      <c r="A76" s="31" t="inlineStr">
        <is>
          <t>SHAREINDIA</t>
        </is>
      </c>
      <c r="B76" s="31" t="inlineStr">
        <is>
          <t>Share India Securities Ltd</t>
        </is>
      </c>
      <c r="C76" s="31" t="inlineStr">
        <is>
          <t>financials</t>
        </is>
      </c>
      <c r="D76" s="31" t="inlineStr">
        <is>
          <t>finance &amp; investments</t>
        </is>
      </c>
      <c r="E76" s="31" t="inlineStr">
        <is>
          <t>smallcap</t>
        </is>
      </c>
      <c r="F76" s="31" t="n">
        <v>3963.59</v>
      </c>
      <c r="G76" s="31" t="n">
        <v>185.88</v>
      </c>
      <c r="H76" s="31" t="n">
        <v>2.62</v>
      </c>
      <c r="I76" s="31" t="n">
        <v>1989543</v>
      </c>
      <c r="J76" s="31" t="inlineStr">
        <is>
          <t>540725</t>
        </is>
      </c>
    </row>
    <row r="77">
      <c r="A77" s="31" t="inlineStr">
        <is>
          <t>J&amp;KBANK</t>
        </is>
      </c>
      <c r="B77" s="31" t="inlineStr">
        <is>
          <t>The Jammu &amp; Kashmir Bank Limited</t>
        </is>
      </c>
      <c r="C77" s="31" t="inlineStr">
        <is>
          <t>bank</t>
        </is>
      </c>
      <c r="D77" s="31" t="inlineStr">
        <is>
          <t>banks - private sector</t>
        </is>
      </c>
      <c r="E77" s="31" t="inlineStr">
        <is>
          <t>largecap</t>
        </is>
      </c>
      <c r="F77" s="31" t="n">
        <v>20069.05</v>
      </c>
      <c r="G77" s="31" t="n">
        <v>186.93</v>
      </c>
      <c r="H77" s="31" t="n">
        <v>2.57</v>
      </c>
      <c r="I77" s="31" t="n">
        <v>9197714</v>
      </c>
      <c r="J77" s="31" t="inlineStr">
        <is>
          <t>532209</t>
        </is>
      </c>
    </row>
    <row r="78">
      <c r="A78" s="31" t="inlineStr">
        <is>
          <t>SONACOMS</t>
        </is>
      </c>
      <c r="B78" s="31" t="inlineStr">
        <is>
          <t>Sona BLW Precision Forgings Ltd</t>
        </is>
      </c>
      <c r="C78" s="31" t="inlineStr">
        <is>
          <t>auto</t>
        </is>
      </c>
      <c r="D78" s="31" t="inlineStr">
        <is>
          <t>auto ancillaries</t>
        </is>
      </c>
      <c r="E78" s="31" t="inlineStr">
        <is>
          <t>largecap</t>
        </is>
      </c>
      <c r="F78" s="31" t="n">
        <v>44434.07</v>
      </c>
      <c r="G78" s="31" t="n">
        <v>732.75</v>
      </c>
      <c r="H78" s="31" t="n">
        <v>2.55</v>
      </c>
      <c r="I78" s="31" t="n">
        <v>3284360</v>
      </c>
      <c r="J78" s="31" t="inlineStr">
        <is>
          <t>543300</t>
        </is>
      </c>
    </row>
    <row r="79">
      <c r="A79" s="31" t="inlineStr">
        <is>
          <t>SUNFLAG</t>
        </is>
      </c>
      <c r="B79" s="31" t="inlineStr">
        <is>
          <t>Sunflag Iron And Steel Company Limited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midcap</t>
        </is>
      </c>
      <c r="F79" s="31" t="n">
        <v>6327.5</v>
      </c>
      <c r="G79" s="31" t="n">
        <v>360.05</v>
      </c>
      <c r="H79" s="31" t="n">
        <v>2.55</v>
      </c>
      <c r="I79" s="31" t="n">
        <v>454174</v>
      </c>
      <c r="J79" s="31" t="inlineStr">
        <is>
          <t>500404</t>
        </is>
      </c>
    </row>
    <row r="80">
      <c r="A80" s="31" t="inlineStr">
        <is>
          <t>IIFL</t>
        </is>
      </c>
      <c r="B80" s="31" t="inlineStr">
        <is>
          <t>IIFL Finance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largecap</t>
        </is>
      </c>
      <c r="F80" s="31" t="n">
        <v>23720.37</v>
      </c>
      <c r="G80" s="31" t="n">
        <v>571.8</v>
      </c>
      <c r="H80" s="31" t="n">
        <v>2.53</v>
      </c>
      <c r="I80" s="31" t="n">
        <v>2677295</v>
      </c>
      <c r="J80" s="31" t="inlineStr">
        <is>
          <t>532636</t>
        </is>
      </c>
    </row>
    <row r="81">
      <c r="A81" s="31" t="inlineStr">
        <is>
          <t>VARROC</t>
        </is>
      </c>
      <c r="B81" s="31" t="inlineStr">
        <is>
          <t>Varroc Engineering Ltd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midcap</t>
        </is>
      </c>
      <c r="F81" s="31" t="n">
        <v>9808.889999999999</v>
      </c>
      <c r="G81" s="31" t="n">
        <v>658.15</v>
      </c>
      <c r="H81" s="31" t="n">
        <v>2.52</v>
      </c>
      <c r="I81" s="31" t="n">
        <v>65589</v>
      </c>
      <c r="J81" s="31" t="inlineStr">
        <is>
          <t>541578</t>
        </is>
      </c>
    </row>
    <row r="82">
      <c r="A82" s="31" t="inlineStr">
        <is>
          <t>SHRIRAMFIN</t>
        </is>
      </c>
      <c r="B82" s="31" t="inlineStr">
        <is>
          <t>Shriram Finance Ltd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largecap</t>
        </is>
      </c>
      <c r="F82" s="31" t="n">
        <v>243597.15</v>
      </c>
      <c r="G82" s="31" t="n">
        <v>1061.5</v>
      </c>
      <c r="H82" s="31" t="n">
        <v>2.52</v>
      </c>
      <c r="I82" s="31" t="n">
        <v>7633487</v>
      </c>
      <c r="J82" s="31" t="inlineStr">
        <is>
          <t>511218</t>
        </is>
      </c>
    </row>
    <row r="83">
      <c r="A83" s="31" t="inlineStr">
        <is>
          <t>DIFFNKG</t>
        </is>
      </c>
      <c r="B83" s="31" t="inlineStr">
        <is>
          <t>Diffusion Engineers Ltd</t>
        </is>
      </c>
      <c r="C83" s="31" t="inlineStr">
        <is>
          <t>industrials</t>
        </is>
      </c>
      <c r="D83" s="31" t="inlineStr">
        <is>
          <t>electrodes - welding equipment</t>
        </is>
      </c>
      <c r="E83" s="31" t="inlineStr">
        <is>
          <t>smallcap</t>
        </is>
      </c>
      <c r="F83" s="31" t="n">
        <v>1445.22</v>
      </c>
      <c r="G83" s="31" t="n">
        <v>395.85</v>
      </c>
      <c r="H83" s="31" t="n">
        <v>2.51</v>
      </c>
      <c r="I83" s="31" t="n">
        <v>85889</v>
      </c>
      <c r="J83" s="31" t="inlineStr">
        <is>
          <t>544264</t>
        </is>
      </c>
    </row>
    <row r="84">
      <c r="A84" s="31" t="inlineStr">
        <is>
          <t>CREDITACC</t>
        </is>
      </c>
      <c r="B84" s="31" t="inlineStr">
        <is>
          <t>CreditAccess Grameen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largecap</t>
        </is>
      </c>
      <c r="F84" s="31" t="n">
        <v>24006.88</v>
      </c>
      <c r="G84" s="31" t="n">
        <v>1534.7</v>
      </c>
      <c r="H84" s="31" t="n">
        <v>2.45</v>
      </c>
      <c r="I84" s="31" t="n">
        <v>263244</v>
      </c>
      <c r="J84" s="31" t="inlineStr">
        <is>
          <t>541770</t>
        </is>
      </c>
    </row>
    <row r="85">
      <c r="A85" s="31" t="inlineStr">
        <is>
          <t>RACLGEAR</t>
        </is>
      </c>
      <c r="B85" s="31" t="inlineStr">
        <is>
          <t>RACL Geartech Ltd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smallcap</t>
        </is>
      </c>
      <c r="F85" s="31" t="n">
        <v>1561.45</v>
      </c>
      <c r="G85" s="31" t="n">
        <v>1357</v>
      </c>
      <c r="H85" s="31" t="n">
        <v>2.45</v>
      </c>
      <c r="I85" s="31" t="n">
        <v>23184</v>
      </c>
      <c r="J85" s="31" t="inlineStr">
        <is>
          <t>520073</t>
        </is>
      </c>
    </row>
    <row r="86">
      <c r="A86" s="31" t="inlineStr">
        <is>
          <t>SOUTHBANK</t>
        </is>
      </c>
      <c r="B86" s="31" t="inlineStr">
        <is>
          <t>The South Indian Bank Limited</t>
        </is>
      </c>
      <c r="C86" s="31" t="inlineStr">
        <is>
          <t>bank</t>
        </is>
      </c>
      <c r="D86" s="31" t="inlineStr">
        <is>
          <t>banks - private sector</t>
        </is>
      </c>
      <c r="E86" s="31" t="inlineStr">
        <is>
          <t>midcap</t>
        </is>
      </c>
      <c r="F86" s="31" t="n">
        <v>12090.23</v>
      </c>
      <c r="G86" s="31" t="n">
        <v>47.28</v>
      </c>
      <c r="H86" s="31" t="n">
        <v>2.38</v>
      </c>
      <c r="I86" s="31" t="n">
        <v>34238345</v>
      </c>
      <c r="J86" s="31" t="inlineStr">
        <is>
          <t>532218</t>
        </is>
      </c>
    </row>
    <row r="87">
      <c r="A87" s="31" t="inlineStr">
        <is>
          <t>ARMANFIN</t>
        </is>
      </c>
      <c r="B87" s="31" t="inlineStr">
        <is>
          <t>Arman Financial Services Limited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smallcap</t>
        </is>
      </c>
      <c r="F87" s="31" t="n">
        <v>2043.4</v>
      </c>
      <c r="G87" s="31" t="n">
        <v>1990</v>
      </c>
      <c r="H87" s="31" t="n">
        <v>2.38</v>
      </c>
      <c r="I87" s="31" t="n">
        <v>21664</v>
      </c>
      <c r="J87" s="31" t="inlineStr">
        <is>
          <t>531179</t>
        </is>
      </c>
    </row>
    <row r="88">
      <c r="A88" s="31" t="inlineStr">
        <is>
          <t>SJS</t>
        </is>
      </c>
      <c r="B88" s="31" t="inlineStr">
        <is>
          <t>S J S Enterprises Ltd</t>
        </is>
      </c>
      <c r="C88" s="31" t="inlineStr">
        <is>
          <t>auto</t>
        </is>
      </c>
      <c r="D88" s="31" t="inlineStr">
        <is>
          <t>plastics products</t>
        </is>
      </c>
      <c r="E88" s="31" t="inlineStr">
        <is>
          <t>midcap</t>
        </is>
      </c>
      <c r="F88" s="31" t="n">
        <v>6957.06</v>
      </c>
      <c r="G88" s="31" t="n">
        <v>2225.6</v>
      </c>
      <c r="H88" s="31" t="n">
        <v>2.36</v>
      </c>
      <c r="I88" s="31" t="n">
        <v>73598</v>
      </c>
      <c r="J88" s="31" t="inlineStr">
        <is>
          <t>543387</t>
        </is>
      </c>
    </row>
    <row r="89">
      <c r="A89" s="31" t="inlineStr">
        <is>
          <t>SRF</t>
        </is>
      </c>
      <c r="B89" s="31" t="inlineStr">
        <is>
          <t>Srf Limited</t>
        </is>
      </c>
      <c r="C89" s="31" t="inlineStr">
        <is>
          <t>chemicals</t>
        </is>
      </c>
      <c r="D89" s="31" t="inlineStr">
        <is>
          <t>chemicals</t>
        </is>
      </c>
      <c r="E89" s="31" t="inlineStr">
        <is>
          <t>largecap</t>
        </is>
      </c>
      <c r="F89" s="31" t="n">
        <v>85124.32000000001</v>
      </c>
      <c r="G89" s="31" t="n">
        <v>2939</v>
      </c>
      <c r="H89" s="31" t="n">
        <v>2.34</v>
      </c>
      <c r="I89" s="31" t="n">
        <v>528797</v>
      </c>
      <c r="J89" s="31" t="inlineStr">
        <is>
          <t>503806</t>
        </is>
      </c>
    </row>
    <row r="90">
      <c r="A90" s="31" t="inlineStr">
        <is>
          <t>SHILPAMED</t>
        </is>
      </c>
      <c r="B90" s="31" t="inlineStr">
        <is>
          <t>Shilpa Medicare Limited</t>
        </is>
      </c>
      <c r="C90" s="31" t="inlineStr">
        <is>
          <t>healthcare</t>
        </is>
      </c>
      <c r="D90" s="31" t="inlineStr">
        <is>
          <t>pharmaceuticals - indian - formulations</t>
        </is>
      </c>
      <c r="E90" s="31" t="inlineStr">
        <is>
          <t>midcap</t>
        </is>
      </c>
      <c r="F90" s="31" t="n">
        <v>12232.66</v>
      </c>
      <c r="G90" s="31" t="n">
        <v>640</v>
      </c>
      <c r="H90" s="31" t="n">
        <v>2.33</v>
      </c>
      <c r="I90" s="31" t="n">
        <v>508552</v>
      </c>
      <c r="J90" s="31" t="inlineStr">
        <is>
          <t>530549</t>
        </is>
      </c>
    </row>
    <row r="91">
      <c r="A91" s="31" t="inlineStr">
        <is>
          <t>ARTEMISMED</t>
        </is>
      </c>
      <c r="B91" s="31" t="inlineStr">
        <is>
          <t>Artemis Medicare Services Ltd</t>
        </is>
      </c>
      <c r="C91" s="31" t="inlineStr">
        <is>
          <t>healthcare</t>
        </is>
      </c>
      <c r="D91" s="31" t="inlineStr">
        <is>
          <t>healthcare</t>
        </is>
      </c>
      <c r="E91" s="31" t="inlineStr">
        <is>
          <t>smallcap</t>
        </is>
      </c>
      <c r="F91" s="31" t="n">
        <v>4286.14</v>
      </c>
      <c r="G91" s="31" t="n">
        <v>277</v>
      </c>
      <c r="H91" s="31" t="n">
        <v>2.31</v>
      </c>
      <c r="I91" s="31" t="n">
        <v>159425</v>
      </c>
      <c r="J91" s="31" t="inlineStr">
        <is>
          <t>542919</t>
        </is>
      </c>
    </row>
    <row r="92">
      <c r="A92" s="31" t="inlineStr">
        <is>
          <t>PRESTIGE</t>
        </is>
      </c>
      <c r="B92" s="31" t="inlineStr">
        <is>
          <t>Prestige Estates Projects Limited</t>
        </is>
      </c>
      <c r="C92" s="31" t="inlineStr">
        <is>
          <t>realty</t>
        </is>
      </c>
      <c r="D92" s="31" t="inlineStr">
        <is>
          <t>construction</t>
        </is>
      </c>
      <c r="E92" s="31" t="inlineStr">
        <is>
          <t>largecap</t>
        </is>
      </c>
      <c r="F92" s="31" t="n">
        <v>71893.17999999999</v>
      </c>
      <c r="G92" s="31" t="n">
        <v>1706.9</v>
      </c>
      <c r="H92" s="31" t="n">
        <v>2.26</v>
      </c>
      <c r="I92" s="31" t="n">
        <v>343367</v>
      </c>
      <c r="J92" s="31" t="inlineStr">
        <is>
          <t>533274</t>
        </is>
      </c>
    </row>
    <row r="93">
      <c r="A93" s="31" t="inlineStr">
        <is>
          <t>YASHO</t>
        </is>
      </c>
      <c r="B93" s="31" t="inlineStr">
        <is>
          <t>Yasho Industries Ltd</t>
        </is>
      </c>
      <c r="C93" s="31" t="inlineStr">
        <is>
          <t>chemicals</t>
        </is>
      </c>
      <c r="D93" s="31" t="inlineStr">
        <is>
          <t>chemicals</t>
        </is>
      </c>
      <c r="E93" s="31" t="inlineStr">
        <is>
          <t>smallcap</t>
        </is>
      </c>
      <c r="F93" s="31" t="n">
        <v>3701.83</v>
      </c>
      <c r="G93" s="31" t="n">
        <v>3140</v>
      </c>
      <c r="H93" s="31" t="n">
        <v>2.23</v>
      </c>
      <c r="I93" s="31" t="n">
        <v>11531</v>
      </c>
      <c r="J93" s="31" t="inlineStr">
        <is>
          <t>541167</t>
        </is>
      </c>
    </row>
    <row r="94">
      <c r="A94" s="31" t="inlineStr">
        <is>
          <t>ELGIEQUIP</t>
        </is>
      </c>
      <c r="B94" s="31" t="inlineStr">
        <is>
          <t>Elgi Equipments Limited</t>
        </is>
      </c>
      <c r="C94" s="31" t="inlineStr">
        <is>
          <t>industrials</t>
        </is>
      </c>
      <c r="D94" s="31" t="inlineStr">
        <is>
          <t>compressors / drilling equipment</t>
        </is>
      </c>
      <c r="E94" s="31" t="inlineStr">
        <is>
          <t>midcap</t>
        </is>
      </c>
      <c r="F94" s="31" t="n">
        <v>18634.25</v>
      </c>
      <c r="G94" s="31" t="n">
        <v>601</v>
      </c>
      <c r="H94" s="31" t="n">
        <v>2.21</v>
      </c>
      <c r="I94" s="31" t="n">
        <v>584931</v>
      </c>
      <c r="J94" s="31" t="inlineStr">
        <is>
          <t>522074</t>
        </is>
      </c>
    </row>
    <row r="95">
      <c r="A95" s="31" t="inlineStr">
        <is>
          <t>LAURUSLABS</t>
        </is>
      </c>
      <c r="B95" s="31" t="inlineStr">
        <is>
          <t>Laurus Labs Limited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largecap</t>
        </is>
      </c>
      <c r="F95" s="31" t="n">
        <v>84158.24000000001</v>
      </c>
      <c r="G95" s="31" t="n">
        <v>1593.2</v>
      </c>
      <c r="H95" s="31" t="n">
        <v>2.2</v>
      </c>
      <c r="I95" s="31" t="n">
        <v>1871739</v>
      </c>
      <c r="J95" s="31" t="inlineStr">
        <is>
          <t>540222</t>
        </is>
      </c>
    </row>
    <row r="96">
      <c r="A96" s="31" t="inlineStr">
        <is>
          <t>KTKBANK</t>
        </is>
      </c>
      <c r="B96" s="31" t="inlineStr">
        <is>
          <t>The Karnataka Bank Limited</t>
        </is>
      </c>
      <c r="C96" s="31" t="inlineStr">
        <is>
          <t>bank</t>
        </is>
      </c>
      <c r="D96" s="31" t="inlineStr">
        <is>
          <t>banks - private sector</t>
        </is>
      </c>
      <c r="E96" s="31" t="inlineStr">
        <is>
          <t>midcap</t>
        </is>
      </c>
      <c r="F96" s="31" t="n">
        <v>10408.31</v>
      </c>
      <c r="G96" s="31" t="n">
        <v>281.3</v>
      </c>
      <c r="H96" s="31" t="n">
        <v>2.2</v>
      </c>
      <c r="I96" s="31" t="n">
        <v>2605464</v>
      </c>
      <c r="J96" s="31" t="inlineStr">
        <is>
          <t>532652</t>
        </is>
      </c>
    </row>
    <row r="97">
      <c r="A97" s="31" t="inlineStr">
        <is>
          <t>KABRAEXTRU</t>
        </is>
      </c>
      <c r="B97" s="31" t="inlineStr">
        <is>
          <t>Kabra Extrusion Technik Limited</t>
        </is>
      </c>
      <c r="C97" s="31" t="inlineStr">
        <is>
          <t>industrials</t>
        </is>
      </c>
      <c r="D97" s="31" t="inlineStr">
        <is>
          <t>engineering</t>
        </is>
      </c>
      <c r="E97" s="31" t="inlineStr">
        <is>
          <t>smallcap</t>
        </is>
      </c>
      <c r="F97" s="31" t="n">
        <v>1229.82</v>
      </c>
      <c r="G97" s="31" t="n">
        <v>359.3</v>
      </c>
      <c r="H97" s="31" t="n">
        <v>2.18</v>
      </c>
      <c r="I97" s="31" t="n">
        <v>166122</v>
      </c>
      <c r="J97" s="31" t="inlineStr">
        <is>
          <t>524109</t>
        </is>
      </c>
    </row>
    <row r="98">
      <c r="A98" s="31" t="inlineStr">
        <is>
          <t>PNGJL</t>
        </is>
      </c>
      <c r="B98" s="31" t="inlineStr">
        <is>
          <t>P N Gadgil Jewellers Ltd</t>
        </is>
      </c>
      <c r="C98" s="31" t="inlineStr">
        <is>
          <t>consumer discretionary</t>
        </is>
      </c>
      <c r="D98" s="31" t="inlineStr">
        <is>
          <t>diamond cutting / jewellery</t>
        </is>
      </c>
      <c r="E98" s="31" t="inlineStr">
        <is>
          <t>midcap</t>
        </is>
      </c>
      <c r="F98" s="31" t="n">
        <v>8008.15</v>
      </c>
      <c r="G98" s="31" t="n">
        <v>602.9</v>
      </c>
      <c r="H98" s="31" t="n">
        <v>2.17</v>
      </c>
      <c r="I98" s="31" t="n">
        <v>205211</v>
      </c>
      <c r="J98" s="31" t="n"/>
    </row>
    <row r="99">
      <c r="A99" s="31" t="inlineStr">
        <is>
          <t>IZMO</t>
        </is>
      </c>
      <c r="B99" s="31" t="inlineStr">
        <is>
          <t>Izmo Limited</t>
        </is>
      </c>
      <c r="C99" s="31" t="inlineStr">
        <is>
          <t>i.t</t>
        </is>
      </c>
      <c r="D99" s="31" t="inlineStr">
        <is>
          <t>computers - software - medium / small</t>
        </is>
      </c>
      <c r="E99" s="31" t="inlineStr">
        <is>
          <t>smallcap</t>
        </is>
      </c>
      <c r="F99" s="31" t="n">
        <v>1616.56</v>
      </c>
      <c r="G99" s="31" t="n">
        <v>1103.8</v>
      </c>
      <c r="H99" s="31" t="n">
        <v>2.17</v>
      </c>
      <c r="I99" s="31" t="n">
        <v>115883</v>
      </c>
      <c r="J99" s="31" t="inlineStr">
        <is>
          <t>532341</t>
        </is>
      </c>
    </row>
    <row r="100">
      <c r="A100" s="31" t="inlineStr">
        <is>
          <t>CUB</t>
        </is>
      </c>
      <c r="B100" s="31" t="inlineStr">
        <is>
          <t>City Union Bank Limited</t>
        </is>
      </c>
      <c r="C100" s="31" t="inlineStr">
        <is>
          <t>bank</t>
        </is>
      </c>
      <c r="D100" s="31" t="inlineStr">
        <is>
          <t>banks - private sector</t>
        </is>
      </c>
      <c r="E100" s="31" t="inlineStr">
        <is>
          <t>largecap</t>
        </is>
      </c>
      <c r="F100" s="31" t="n">
        <v>22290.73</v>
      </c>
      <c r="G100" s="31" t="n">
        <v>229.83</v>
      </c>
      <c r="H100" s="31" t="n">
        <v>2.16</v>
      </c>
      <c r="I100" s="31" t="n">
        <v>4752086</v>
      </c>
      <c r="J100" s="31" t="inlineStr">
        <is>
          <t>532210</t>
        </is>
      </c>
    </row>
    <row r="101">
      <c r="A101" s="31" t="inlineStr">
        <is>
          <t>DALMIASUG</t>
        </is>
      </c>
      <c r="B101" s="31" t="inlineStr">
        <is>
          <t>Dalmia Bharat Sugar And Industries Limited</t>
        </is>
      </c>
      <c r="C101" s="31" t="inlineStr">
        <is>
          <t>fmcg</t>
        </is>
      </c>
      <c r="D101" s="31" t="inlineStr">
        <is>
          <t>sugar</t>
        </is>
      </c>
      <c r="E101" s="31" t="inlineStr">
        <is>
          <t>smallcap</t>
        </is>
      </c>
      <c r="F101" s="31" t="n">
        <v>2934.86</v>
      </c>
      <c r="G101" s="31" t="n">
        <v>370.45</v>
      </c>
      <c r="H101" s="31" t="n">
        <v>2.16</v>
      </c>
      <c r="I101" s="31" t="n">
        <v>199645</v>
      </c>
      <c r="J101" s="31" t="inlineStr">
        <is>
          <t>500097</t>
        </is>
      </c>
    </row>
    <row r="102">
      <c r="A102" s="31" t="inlineStr">
        <is>
          <t>GODREJPROP</t>
        </is>
      </c>
      <c r="B102" s="31" t="inlineStr">
        <is>
          <t>Godrej Properties Limited</t>
        </is>
      </c>
      <c r="C102" s="31" t="inlineStr">
        <is>
          <t>realty</t>
        </is>
      </c>
      <c r="D102" s="31" t="inlineStr">
        <is>
          <t>construction</t>
        </is>
      </c>
      <c r="E102" s="31" t="inlineStr">
        <is>
          <t>largecap</t>
        </is>
      </c>
      <c r="F102" s="31" t="n">
        <v>63820.74</v>
      </c>
      <c r="G102" s="31" t="n">
        <v>2164.3</v>
      </c>
      <c r="H102" s="31" t="n">
        <v>2.15</v>
      </c>
      <c r="I102" s="31" t="n">
        <v>706546</v>
      </c>
      <c r="J102" s="31" t="inlineStr">
        <is>
          <t>533150</t>
        </is>
      </c>
    </row>
    <row r="103">
      <c r="A103" s="31" t="inlineStr">
        <is>
          <t>ESAFSFB</t>
        </is>
      </c>
      <c r="B103" s="31" t="inlineStr">
        <is>
          <t>ESAF Small Finance Bank Ltd</t>
        </is>
      </c>
      <c r="C103" s="31" t="inlineStr">
        <is>
          <t>bank</t>
        </is>
      </c>
      <c r="D103" s="31" t="inlineStr">
        <is>
          <t>banks - private sector</t>
        </is>
      </c>
      <c r="E103" s="31" t="inlineStr">
        <is>
          <t>smallcap</t>
        </is>
      </c>
      <c r="F103" s="31" t="n">
        <v>1825.96</v>
      </c>
      <c r="G103" s="31" t="n">
        <v>36.16</v>
      </c>
      <c r="H103" s="31" t="n">
        <v>2.12</v>
      </c>
      <c r="I103" s="31" t="n">
        <v>1433494</v>
      </c>
      <c r="J103" s="31" t="inlineStr">
        <is>
          <t>544020</t>
        </is>
      </c>
    </row>
    <row r="104">
      <c r="A104" s="31" t="inlineStr">
        <is>
          <t>BAJAJFINSV</t>
        </is>
      </c>
      <c r="B104" s="31" t="inlineStr">
        <is>
          <t>Bajaj Finserv Limited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largecap</t>
        </is>
      </c>
      <c r="F104" s="31" t="n">
        <v>297942.38</v>
      </c>
      <c r="G104" s="31" t="n">
        <v>1900.6</v>
      </c>
      <c r="H104" s="31" t="n">
        <v>2.1</v>
      </c>
      <c r="I104" s="31" t="n">
        <v>1668748</v>
      </c>
      <c r="J104" s="31" t="inlineStr">
        <is>
          <t>532978</t>
        </is>
      </c>
    </row>
    <row r="105">
      <c r="A105" s="31" t="inlineStr">
        <is>
          <t>SOTL</t>
        </is>
      </c>
      <c r="B105" s="31" t="inlineStr">
        <is>
          <t>Savita Oil Technologies Limited</t>
        </is>
      </c>
      <c r="C105" s="31" t="inlineStr">
        <is>
          <t>energy</t>
        </is>
      </c>
      <c r="D105" s="31" t="inlineStr">
        <is>
          <t>petrochemicals</t>
        </is>
      </c>
      <c r="E105" s="31" t="inlineStr">
        <is>
          <t>smallcap</t>
        </is>
      </c>
      <c r="F105" s="31" t="n">
        <v>4042.66</v>
      </c>
      <c r="G105" s="31" t="n">
        <v>601.75</v>
      </c>
      <c r="H105" s="31" t="n">
        <v>2.05</v>
      </c>
      <c r="I105" s="31" t="n">
        <v>402941</v>
      </c>
      <c r="J105" s="31" t="inlineStr">
        <is>
          <t>524667</t>
        </is>
      </c>
    </row>
    <row r="106">
      <c r="A106" s="31" t="inlineStr">
        <is>
          <t>NOVARTIND</t>
        </is>
      </c>
      <c r="B106" s="31" t="inlineStr">
        <is>
          <t>Novartis India Ltd</t>
        </is>
      </c>
      <c r="C106" s="31" t="inlineStr">
        <is>
          <t>healthcare</t>
        </is>
      </c>
      <c r="D106" s="31" t="inlineStr">
        <is>
          <t>pharmaceuticals - multinational</t>
        </is>
      </c>
      <c r="E106" s="31" t="inlineStr">
        <is>
          <t>smallcap</t>
        </is>
      </c>
      <c r="F106" s="31" t="n">
        <v>4118.18</v>
      </c>
      <c r="G106" s="31" t="n">
        <v>1701.9</v>
      </c>
      <c r="H106" s="31" t="n">
        <v>2.04</v>
      </c>
      <c r="I106" s="31" t="n">
        <v>51291</v>
      </c>
      <c r="J106" s="31" t="inlineStr">
        <is>
          <t>500672</t>
        </is>
      </c>
    </row>
    <row r="107">
      <c r="A107" s="31" t="inlineStr">
        <is>
          <t>NUVAMA</t>
        </is>
      </c>
      <c r="B107" s="31" t="inlineStr">
        <is>
          <t>Nuvama Wealth Management Ltd</t>
        </is>
      </c>
      <c r="C107" s="31" t="inlineStr">
        <is>
          <t>financials</t>
        </is>
      </c>
      <c r="D107" s="31" t="inlineStr">
        <is>
          <t>finance &amp; investments</t>
        </is>
      </c>
      <c r="E107" s="31" t="inlineStr">
        <is>
          <t>largecap</t>
        </is>
      </c>
      <c r="F107" s="31" t="n">
        <v>33840.84</v>
      </c>
      <c r="G107" s="31" t="n">
        <v>1891.6</v>
      </c>
      <c r="H107" s="31" t="n">
        <v>2.03</v>
      </c>
      <c r="I107" s="31" t="n">
        <v>392814</v>
      </c>
      <c r="J107" s="31" t="inlineStr">
        <is>
          <t>543988</t>
        </is>
      </c>
    </row>
    <row r="108">
      <c r="A108" s="31" t="inlineStr">
        <is>
          <t>EIFFL</t>
        </is>
      </c>
      <c r="B108" s="31" t="inlineStr">
        <is>
          <t>Euro India Fresh Foods Ltd</t>
        </is>
      </c>
      <c r="C108" s="31" t="inlineStr">
        <is>
          <t>fmcg</t>
        </is>
      </c>
      <c r="D108" s="31" t="inlineStr">
        <is>
          <t>food - processing - indian</t>
        </is>
      </c>
      <c r="E108" s="31" t="inlineStr">
        <is>
          <t>smallcap</t>
        </is>
      </c>
      <c r="F108" s="31" t="n">
        <v>794.84</v>
      </c>
      <c r="G108" s="31" t="n">
        <v>327</v>
      </c>
      <c r="H108" s="31" t="n">
        <v>2.03</v>
      </c>
      <c r="I108" s="31" t="n">
        <v>23588</v>
      </c>
      <c r="J108" s="31" t="inlineStr">
        <is>
          <t>538412</t>
        </is>
      </c>
    </row>
    <row r="109">
      <c r="A109" s="31" t="inlineStr">
        <is>
          <t>HAL</t>
        </is>
      </c>
      <c r="B109" s="31" t="inlineStr">
        <is>
          <t>Hindustan Aeronautics Ltd</t>
        </is>
      </c>
      <c r="C109" s="31" t="inlineStr">
        <is>
          <t>aerospace &amp; defence</t>
        </is>
      </c>
      <c r="D109" s="31" t="inlineStr">
        <is>
          <t>engineering</t>
        </is>
      </c>
      <c r="E109" s="31" t="inlineStr">
        <is>
          <t>largecap</t>
        </is>
      </c>
      <c r="F109" s="31" t="n">
        <v>300346.85</v>
      </c>
      <c r="G109" s="31" t="n">
        <v>4581.7</v>
      </c>
      <c r="H109" s="31" t="n">
        <v>2.02</v>
      </c>
      <c r="I109" s="31" t="n">
        <v>697566</v>
      </c>
      <c r="J109" s="31" t="inlineStr">
        <is>
          <t>541154</t>
        </is>
      </c>
    </row>
    <row r="110">
      <c r="A110" s="31" t="inlineStr">
        <is>
          <t>ORIENTHOT</t>
        </is>
      </c>
      <c r="B110" s="31" t="inlineStr">
        <is>
          <t>Oriental Hotels Limited</t>
        </is>
      </c>
      <c r="C110" s="31" t="inlineStr">
        <is>
          <t>services</t>
        </is>
      </c>
      <c r="D110" s="31" t="inlineStr">
        <is>
          <t>hotels</t>
        </is>
      </c>
      <c r="E110" s="31" t="inlineStr">
        <is>
          <t>smallcap</t>
        </is>
      </c>
      <c r="F110" s="31" t="n">
        <v>2566.11</v>
      </c>
      <c r="G110" s="31" t="n">
        <v>146.54</v>
      </c>
      <c r="H110" s="31" t="n">
        <v>1.99</v>
      </c>
      <c r="I110" s="31" t="n">
        <v>4360177</v>
      </c>
      <c r="J110" s="31" t="inlineStr">
        <is>
          <t>500314</t>
        </is>
      </c>
    </row>
    <row r="111">
      <c r="A111" s="31" t="inlineStr">
        <is>
          <t>ABCAPITAL</t>
        </is>
      </c>
      <c r="B111" s="31" t="inlineStr">
        <is>
          <t>Aditya Birla Capital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largecap</t>
        </is>
      </c>
      <c r="F111" s="31" t="n">
        <v>109682.69</v>
      </c>
      <c r="G111" s="31" t="n">
        <v>409.05</v>
      </c>
      <c r="H111" s="31" t="n">
        <v>1.97</v>
      </c>
      <c r="I111" s="31" t="n">
        <v>3359325</v>
      </c>
      <c r="J111" s="31" t="inlineStr">
        <is>
          <t>540691</t>
        </is>
      </c>
    </row>
    <row r="112">
      <c r="A112" s="31" t="inlineStr">
        <is>
          <t>CUPID</t>
        </is>
      </c>
      <c r="B112" s="31" t="inlineStr">
        <is>
          <t>Cupid Limited</t>
        </is>
      </c>
      <c r="C112" s="31" t="inlineStr">
        <is>
          <t>fmcg</t>
        </is>
      </c>
      <c r="D112" s="31" t="inlineStr">
        <is>
          <t>personal care - indian</t>
        </is>
      </c>
      <c r="E112" s="31" t="inlineStr">
        <is>
          <t>largecap</t>
        </is>
      </c>
      <c r="F112" s="31" t="n">
        <v>27870.78</v>
      </c>
      <c r="G112" s="31" t="n">
        <v>211.25</v>
      </c>
      <c r="H112" s="31" t="n">
        <v>1.92</v>
      </c>
      <c r="I112" s="31" t="n">
        <v>25268527</v>
      </c>
      <c r="J112" s="31" t="inlineStr">
        <is>
          <t>530843</t>
        </is>
      </c>
    </row>
    <row r="113">
      <c r="A113" s="31" t="inlineStr">
        <is>
          <t>PANACHE</t>
        </is>
      </c>
      <c r="B113" s="31" t="inlineStr">
        <is>
          <t>Panache Digilife Ltd</t>
        </is>
      </c>
      <c r="C113" s="31" t="inlineStr">
        <is>
          <t>i.t</t>
        </is>
      </c>
      <c r="D113" s="31" t="inlineStr">
        <is>
          <t>computers - hardware</t>
        </is>
      </c>
      <c r="E113" s="31" t="inlineStr">
        <is>
          <t>smallcap</t>
        </is>
      </c>
      <c r="F113" s="31" t="n">
        <v>690.6</v>
      </c>
      <c r="G113" s="31" t="n">
        <v>439.5</v>
      </c>
      <c r="H113" s="31" t="n">
        <v>1.91</v>
      </c>
      <c r="I113" s="31" t="n">
        <v>2021</v>
      </c>
      <c r="J113" s="31" t="inlineStr">
        <is>
          <t>538424</t>
        </is>
      </c>
    </row>
    <row r="114">
      <c r="A114" s="31" t="inlineStr">
        <is>
          <t>ABBOTINDIA</t>
        </is>
      </c>
      <c r="B114" s="31" t="inlineStr">
        <is>
          <t>Abbott India Limited</t>
        </is>
      </c>
      <c r="C114" s="31" t="inlineStr">
        <is>
          <t>healthcare</t>
        </is>
      </c>
      <c r="D114" s="31" t="inlineStr">
        <is>
          <t>pharmaceuticals - multinational</t>
        </is>
      </c>
      <c r="E114" s="31" t="inlineStr">
        <is>
          <t>largecap</t>
        </is>
      </c>
      <c r="F114" s="31" t="n">
        <v>60082.4</v>
      </c>
      <c r="G114" s="31" t="n">
        <v>28800</v>
      </c>
      <c r="H114" s="31" t="n">
        <v>1.86</v>
      </c>
      <c r="I114" s="31" t="n">
        <v>16852</v>
      </c>
      <c r="J114" s="31" t="inlineStr">
        <is>
          <t>500488</t>
        </is>
      </c>
    </row>
    <row r="115">
      <c r="A115" s="31" t="inlineStr">
        <is>
          <t>RSWM</t>
        </is>
      </c>
      <c r="B115" s="31" t="inlineStr">
        <is>
          <t>Rswm Limited</t>
        </is>
      </c>
      <c r="C115" s="31" t="inlineStr">
        <is>
          <t>textiles</t>
        </is>
      </c>
      <c r="D115" s="31" t="inlineStr">
        <is>
          <t>textiles - cotton/blended</t>
        </is>
      </c>
      <c r="E115" s="31" t="inlineStr">
        <is>
          <t>smallcap</t>
        </is>
      </c>
      <c r="F115" s="31" t="n">
        <v>1000.2</v>
      </c>
      <c r="G115" s="31" t="n">
        <v>216.25</v>
      </c>
      <c r="H115" s="31" t="n">
        <v>1.84</v>
      </c>
      <c r="I115" s="31" t="n">
        <v>95477</v>
      </c>
      <c r="J115" s="31" t="inlineStr">
        <is>
          <t>500350</t>
        </is>
      </c>
    </row>
    <row r="116">
      <c r="A116" s="31" t="inlineStr">
        <is>
          <t>MGEL</t>
        </is>
      </c>
      <c r="B116" s="31" t="inlineStr">
        <is>
          <t>Mangalam Global Enterprise Ltd</t>
        </is>
      </c>
      <c r="C116" s="31" t="inlineStr">
        <is>
          <t>services</t>
        </is>
      </c>
      <c r="D116" s="31" t="inlineStr">
        <is>
          <t>trading</t>
        </is>
      </c>
      <c r="E116" s="31" t="inlineStr">
        <is>
          <t>smallcap</t>
        </is>
      </c>
      <c r="F116" s="31" t="n">
        <v>540.47</v>
      </c>
      <c r="G116" s="31" t="n">
        <v>16.7</v>
      </c>
      <c r="H116" s="31" t="n">
        <v>1.83</v>
      </c>
      <c r="I116" s="31" t="n">
        <v>62482</v>
      </c>
      <c r="J116" s="31" t="inlineStr">
        <is>
          <t>535349</t>
        </is>
      </c>
    </row>
    <row r="117">
      <c r="A117" s="31" t="inlineStr">
        <is>
          <t>NAHARINDUS</t>
        </is>
      </c>
      <c r="B117" s="31" t="inlineStr">
        <is>
          <t>Nahar Industrial Enterprises Limited</t>
        </is>
      </c>
      <c r="C117" s="31" t="inlineStr">
        <is>
          <t>textiles</t>
        </is>
      </c>
      <c r="D117" s="31" t="inlineStr">
        <is>
          <t>textiles - cotton/blended</t>
        </is>
      </c>
      <c r="E117" s="31" t="inlineStr">
        <is>
          <t>smallcap</t>
        </is>
      </c>
      <c r="F117" s="31" t="n">
        <v>502.78</v>
      </c>
      <c r="G117" s="31" t="n">
        <v>118.5</v>
      </c>
      <c r="H117" s="31" t="n">
        <v>1.83</v>
      </c>
      <c r="I117" s="31" t="n">
        <v>10001</v>
      </c>
      <c r="J117" s="31" t="inlineStr">
        <is>
          <t>519136</t>
        </is>
      </c>
    </row>
    <row r="118">
      <c r="A118" s="31" t="inlineStr">
        <is>
          <t>CHEVIOT</t>
        </is>
      </c>
      <c r="B118" s="31" t="inlineStr">
        <is>
          <t>Cheviot Company Ltd</t>
        </is>
      </c>
      <c r="C118" s="31" t="inlineStr">
        <is>
          <t>textiles</t>
        </is>
      </c>
      <c r="D118" s="31" t="inlineStr">
        <is>
          <t>textiles - jute - yarn / products</t>
        </is>
      </c>
      <c r="E118" s="31" t="inlineStr">
        <is>
          <t>smallcap</t>
        </is>
      </c>
      <c r="F118" s="31" t="n">
        <v>657.04</v>
      </c>
      <c r="G118" s="31" t="n">
        <v>1145</v>
      </c>
      <c r="H118" s="31" t="n">
        <v>1.8</v>
      </c>
      <c r="I118" s="31" t="n">
        <v>1376</v>
      </c>
      <c r="J118" s="31" t="inlineStr">
        <is>
          <t>526817</t>
        </is>
      </c>
    </row>
    <row r="119">
      <c r="A119" s="31" t="inlineStr">
        <is>
          <t>RML</t>
        </is>
      </c>
      <c r="B119" s="31" t="inlineStr">
        <is>
          <t>Rane (madras) Limited</t>
        </is>
      </c>
      <c r="C119" s="31" t="inlineStr">
        <is>
          <t>auto</t>
        </is>
      </c>
      <c r="D119" s="31" t="inlineStr">
        <is>
          <t>auto ancillaries</t>
        </is>
      </c>
      <c r="E119" s="31" t="inlineStr">
        <is>
          <t>smallcap</t>
        </is>
      </c>
      <c r="F119" s="31" t="n">
        <v>3255.65</v>
      </c>
      <c r="G119" s="31" t="n">
        <v>1199.2</v>
      </c>
      <c r="H119" s="31" t="n">
        <v>1.8</v>
      </c>
      <c r="I119" s="31" t="n">
        <v>25476</v>
      </c>
      <c r="J119" s="31" t="inlineStr">
        <is>
          <t>532661</t>
        </is>
      </c>
    </row>
    <row r="120">
      <c r="A120" s="31" t="inlineStr">
        <is>
          <t>HEG</t>
        </is>
      </c>
      <c r="B120" s="31" t="inlineStr">
        <is>
          <t>Heg Limited</t>
        </is>
      </c>
      <c r="C120" s="31" t="inlineStr">
        <is>
          <t>industrials</t>
        </is>
      </c>
      <c r="D120" s="31" t="inlineStr">
        <is>
          <t>electrodes - graphites</t>
        </is>
      </c>
      <c r="E120" s="31" t="inlineStr">
        <is>
          <t>midcap</t>
        </is>
      </c>
      <c r="F120" s="31" t="n">
        <v>11468.65</v>
      </c>
      <c r="G120" s="31" t="n">
        <v>604.95</v>
      </c>
      <c r="H120" s="31" t="n">
        <v>1.79</v>
      </c>
      <c r="I120" s="31" t="n">
        <v>1167275</v>
      </c>
      <c r="J120" s="31" t="inlineStr">
        <is>
          <t>509631</t>
        </is>
      </c>
    </row>
    <row r="121">
      <c r="A121" s="31" t="inlineStr">
        <is>
          <t>TVSHLTD</t>
        </is>
      </c>
      <c r="B121" s="31" t="inlineStr">
        <is>
          <t>TVS Holdings Ltd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largecap</t>
        </is>
      </c>
      <c r="F121" s="31" t="n">
        <v>28387.67</v>
      </c>
      <c r="G121" s="31" t="n">
        <v>14279</v>
      </c>
      <c r="H121" s="31" t="n">
        <v>1.77</v>
      </c>
      <c r="I121" s="31" t="n">
        <v>21379</v>
      </c>
      <c r="J121" s="31" t="inlineStr">
        <is>
          <t>520056</t>
        </is>
      </c>
    </row>
    <row r="122">
      <c r="A122" s="31" t="inlineStr">
        <is>
          <t>BHARTIHEXA</t>
        </is>
      </c>
      <c r="B122" s="31" t="inlineStr">
        <is>
          <t>Bharti Hexacom Ltd</t>
        </is>
      </c>
      <c r="C122" s="31" t="inlineStr">
        <is>
          <t>telecom-service</t>
        </is>
      </c>
      <c r="D122" s="31" t="inlineStr">
        <is>
          <t>telecommunications - service provider</t>
        </is>
      </c>
      <c r="E122" s="31" t="inlineStr">
        <is>
          <t>largecap</t>
        </is>
      </c>
      <c r="F122" s="31" t="n">
        <v>80860</v>
      </c>
      <c r="G122" s="31" t="n">
        <v>1645.5</v>
      </c>
      <c r="H122" s="31" t="n">
        <v>1.75</v>
      </c>
      <c r="I122" s="31" t="n">
        <v>240122</v>
      </c>
      <c r="J122" s="31" t="inlineStr">
        <is>
          <t>544162</t>
        </is>
      </c>
    </row>
    <row r="123">
      <c r="A123" s="31" t="inlineStr">
        <is>
          <t>TBOTEK</t>
        </is>
      </c>
      <c r="B123" s="31" t="inlineStr">
        <is>
          <t>TBO Tek Ltd</t>
        </is>
      </c>
      <c r="C123" s="31" t="inlineStr">
        <is>
          <t>i.t</t>
        </is>
      </c>
      <c r="D123" s="31" t="inlineStr">
        <is>
          <t>travel agencies</t>
        </is>
      </c>
      <c r="E123" s="31" t="inlineStr">
        <is>
          <t>midcap</t>
        </is>
      </c>
      <c r="F123" s="31" t="n">
        <v>15686.59</v>
      </c>
      <c r="G123" s="31" t="n">
        <v>1469</v>
      </c>
      <c r="H123" s="31" t="n">
        <v>1.69</v>
      </c>
      <c r="I123" s="31" t="n">
        <v>169229</v>
      </c>
      <c r="J123" s="31" t="inlineStr">
        <is>
          <t>544174</t>
        </is>
      </c>
    </row>
    <row r="124">
      <c r="A124" s="31" t="inlineStr">
        <is>
          <t>SWANDEF</t>
        </is>
      </c>
      <c r="B124" s="31" t="inlineStr">
        <is>
          <t>Swan Defence and Heavy Industries Ltd</t>
        </is>
      </c>
      <c r="C124" s="31" t="inlineStr">
        <is>
          <t>transportation</t>
        </is>
      </c>
      <c r="D124" s="31" t="inlineStr">
        <is>
          <t>miscellaneous</t>
        </is>
      </c>
      <c r="E124" s="31" t="inlineStr">
        <is>
          <t>midcap</t>
        </is>
      </c>
      <c r="F124" s="31" t="n">
        <v>11916.18</v>
      </c>
      <c r="G124" s="31" t="n">
        <v>2300</v>
      </c>
      <c r="H124" s="31" t="n">
        <v>1.68</v>
      </c>
      <c r="I124" s="31" t="n">
        <v>34501</v>
      </c>
      <c r="J124" s="31" t="inlineStr">
        <is>
          <t>533107</t>
        </is>
      </c>
    </row>
    <row r="125">
      <c r="A125" s="31" t="inlineStr">
        <is>
          <t>FCL</t>
        </is>
      </c>
      <c r="B125" s="31" t="inlineStr">
        <is>
          <t>Fineotex Chemical Limited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smallcap</t>
        </is>
      </c>
      <c r="F125" s="31" t="n">
        <v>4586.97</v>
      </c>
      <c r="G125" s="31" t="n">
        <v>40.05</v>
      </c>
      <c r="H125" s="31" t="n">
        <v>1.68</v>
      </c>
      <c r="I125" s="31" t="n">
        <v>19846007</v>
      </c>
      <c r="J125" s="31" t="inlineStr">
        <is>
          <t>533333</t>
        </is>
      </c>
    </row>
    <row r="126">
      <c r="A126" s="31" t="inlineStr">
        <is>
          <t>EICHERMOT</t>
        </is>
      </c>
      <c r="B126" s="31" t="inlineStr">
        <is>
          <t>Eicher Motors Limited</t>
        </is>
      </c>
      <c r="C126" s="31" t="inlineStr">
        <is>
          <t>auto</t>
        </is>
      </c>
      <c r="D126" s="31" t="inlineStr">
        <is>
          <t>automobiles - motorcycles / mopeds</t>
        </is>
      </c>
      <c r="E126" s="31" t="inlineStr">
        <is>
          <t>largecap</t>
        </is>
      </c>
      <c r="F126" s="31" t="n">
        <v>207477.55</v>
      </c>
      <c r="G126" s="31" t="n">
        <v>7689.5</v>
      </c>
      <c r="H126" s="31" t="n">
        <v>1.67</v>
      </c>
      <c r="I126" s="31" t="n">
        <v>451076</v>
      </c>
      <c r="J126" s="31" t="inlineStr">
        <is>
          <t>505200</t>
        </is>
      </c>
    </row>
    <row r="127">
      <c r="A127" s="31" t="inlineStr">
        <is>
          <t>WELSPUNLIV</t>
        </is>
      </c>
      <c r="B127" s="31" t="inlineStr">
        <is>
          <t>Welspun Living Ltd</t>
        </is>
      </c>
      <c r="C127" s="31" t="inlineStr">
        <is>
          <t>textiles</t>
        </is>
      </c>
      <c r="D127" s="31" t="inlineStr">
        <is>
          <t>textiles - products</t>
        </is>
      </c>
      <c r="E127" s="31" t="inlineStr">
        <is>
          <t>midcap</t>
        </is>
      </c>
      <c r="F127" s="31" t="n">
        <v>15670.63</v>
      </c>
      <c r="G127" s="31" t="n">
        <v>166.04</v>
      </c>
      <c r="H127" s="31" t="n">
        <v>1.63</v>
      </c>
      <c r="I127" s="31" t="n">
        <v>1222271</v>
      </c>
      <c r="J127" s="31" t="inlineStr">
        <is>
          <t>514162</t>
        </is>
      </c>
    </row>
    <row r="128">
      <c r="A128" s="31" t="inlineStr">
        <is>
          <t>PIDILITIND</t>
        </is>
      </c>
      <c r="B128" s="31" t="inlineStr">
        <is>
          <t>Pidilite Industries Limited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largecap</t>
        </is>
      </c>
      <c r="F128" s="31" t="n">
        <v>159361.85</v>
      </c>
      <c r="G128" s="31" t="n">
        <v>1591.3</v>
      </c>
      <c r="H128" s="31" t="n">
        <v>1.63</v>
      </c>
      <c r="I128" s="31" t="n">
        <v>1640055</v>
      </c>
      <c r="J128" s="31" t="inlineStr">
        <is>
          <t>500331</t>
        </is>
      </c>
    </row>
    <row r="129">
      <c r="A129" s="31" t="inlineStr">
        <is>
          <t>INDOSTAR</t>
        </is>
      </c>
      <c r="B129" s="31" t="inlineStr">
        <is>
          <t>Indostar Capital Finance Ltd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smallcap</t>
        </is>
      </c>
      <c r="F129" s="31" t="n">
        <v>4308.66</v>
      </c>
      <c r="G129" s="31" t="n">
        <v>271</v>
      </c>
      <c r="H129" s="31" t="n">
        <v>1.63</v>
      </c>
      <c r="I129" s="31" t="n">
        <v>59718</v>
      </c>
      <c r="J129" s="31" t="inlineStr">
        <is>
          <t>541336</t>
        </is>
      </c>
    </row>
    <row r="130">
      <c r="A130" s="31" t="inlineStr">
        <is>
          <t>TBZ</t>
        </is>
      </c>
      <c r="B130" s="31" t="inlineStr">
        <is>
          <t>Tribhovandas Bhimji Zaveri Limited</t>
        </is>
      </c>
      <c r="C130" s="31" t="inlineStr">
        <is>
          <t>consumer discretionary</t>
        </is>
      </c>
      <c r="D130" s="31" t="inlineStr">
        <is>
          <t>diamond cutting / jewellery</t>
        </is>
      </c>
      <c r="E130" s="31" t="inlineStr">
        <is>
          <t>smallcap</t>
        </is>
      </c>
      <c r="F130" s="31" t="n">
        <v>1705.77</v>
      </c>
      <c r="G130" s="31" t="n">
        <v>259.73</v>
      </c>
      <c r="H130" s="31" t="n">
        <v>1.61</v>
      </c>
      <c r="I130" s="31" t="n">
        <v>2485821</v>
      </c>
      <c r="J130" s="31" t="inlineStr">
        <is>
          <t>534369</t>
        </is>
      </c>
    </row>
    <row r="131">
      <c r="A131" s="31" t="inlineStr">
        <is>
          <t>ULTRACEMCO</t>
        </is>
      </c>
      <c r="B131" s="31" t="inlineStr">
        <is>
          <t>Ultratech Cement Limited</t>
        </is>
      </c>
      <c r="C131" s="31" t="inlineStr">
        <is>
          <t>building materials</t>
        </is>
      </c>
      <c r="D131" s="31" t="inlineStr">
        <is>
          <t>cement - north india</t>
        </is>
      </c>
      <c r="E131" s="31" t="inlineStr">
        <is>
          <t>largecap</t>
        </is>
      </c>
      <c r="F131" s="31" t="n">
        <v>350756.62</v>
      </c>
      <c r="G131" s="31" t="n">
        <v>12094</v>
      </c>
      <c r="H131" s="31" t="n">
        <v>1.6</v>
      </c>
      <c r="I131" s="31" t="n">
        <v>830840</v>
      </c>
      <c r="J131" s="31" t="inlineStr">
        <is>
          <t>532538</t>
        </is>
      </c>
    </row>
    <row r="132">
      <c r="A132" s="31" t="inlineStr">
        <is>
          <t>ASKAUTOLTD</t>
        </is>
      </c>
      <c r="B132" s="31" t="inlineStr">
        <is>
          <t>ASK Automotive Ltd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midcap</t>
        </is>
      </c>
      <c r="F132" s="31" t="n">
        <v>9410.6</v>
      </c>
      <c r="G132" s="31" t="n">
        <v>485</v>
      </c>
      <c r="H132" s="31" t="n">
        <v>1.6</v>
      </c>
      <c r="I132" s="31" t="n">
        <v>121237</v>
      </c>
      <c r="J132" s="31" t="inlineStr">
        <is>
          <t>544022</t>
        </is>
      </c>
    </row>
    <row r="133">
      <c r="A133" s="31" t="inlineStr">
        <is>
          <t>QUESS</t>
        </is>
      </c>
      <c r="B133" s="31" t="inlineStr">
        <is>
          <t>Quess Corp Limited</t>
        </is>
      </c>
      <c r="C133" s="31" t="inlineStr">
        <is>
          <t>miscellaneous</t>
        </is>
      </c>
      <c r="D133" s="31" t="inlineStr">
        <is>
          <t>diversified - large</t>
        </is>
      </c>
      <c r="E133" s="31" t="inlineStr">
        <is>
          <t>smallcap</t>
        </is>
      </c>
      <c r="F133" s="31" t="n">
        <v>4405.37</v>
      </c>
      <c r="G133" s="31" t="n">
        <v>299.65</v>
      </c>
      <c r="H133" s="31" t="n">
        <v>1.59</v>
      </c>
      <c r="I133" s="31" t="n">
        <v>338826</v>
      </c>
      <c r="J133" s="31" t="inlineStr">
        <is>
          <t>539978</t>
        </is>
      </c>
    </row>
    <row r="134">
      <c r="A134" s="31" t="inlineStr">
        <is>
          <t>KKCL</t>
        </is>
      </c>
      <c r="B134" s="31" t="inlineStr">
        <is>
          <t>Kewal Kiran Clothing Limited</t>
        </is>
      </c>
      <c r="C134" s="31" t="inlineStr">
        <is>
          <t>consumer discretionary</t>
        </is>
      </c>
      <c r="D134" s="31" t="inlineStr">
        <is>
          <t>textiles - products</t>
        </is>
      </c>
      <c r="E134" s="31" t="inlineStr">
        <is>
          <t>smallcap</t>
        </is>
      </c>
      <c r="F134" s="31" t="n">
        <v>3112.07</v>
      </c>
      <c r="G134" s="31" t="n">
        <v>513</v>
      </c>
      <c r="H134" s="31" t="n">
        <v>1.58</v>
      </c>
      <c r="I134" s="31" t="n">
        <v>54987</v>
      </c>
      <c r="J134" s="31" t="inlineStr">
        <is>
          <t>532732</t>
        </is>
      </c>
    </row>
    <row r="135">
      <c r="A135" s="31" t="inlineStr">
        <is>
          <t>EXIDEIND</t>
        </is>
      </c>
      <c r="B135" s="31" t="inlineStr">
        <is>
          <t>Exide Industries Limited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largecap</t>
        </is>
      </c>
      <c r="F135" s="31" t="n">
        <v>37115.25</v>
      </c>
      <c r="G135" s="31" t="n">
        <v>443.45</v>
      </c>
      <c r="H135" s="31" t="n">
        <v>1.56</v>
      </c>
      <c r="I135" s="31" t="n">
        <v>7504550</v>
      </c>
      <c r="J135" s="31" t="inlineStr">
        <is>
          <t>500086</t>
        </is>
      </c>
    </row>
    <row r="136">
      <c r="A136" s="31" t="inlineStr">
        <is>
          <t>INDSWFTLAB</t>
        </is>
      </c>
      <c r="B136" s="31" t="inlineStr">
        <is>
          <t>Ind-swift Laboratories Limited</t>
        </is>
      </c>
      <c r="C136" s="31" t="inlineStr">
        <is>
          <t>healthcare</t>
        </is>
      </c>
      <c r="D136" s="31" t="inlineStr">
        <is>
          <t>pharmaceuticals - indian - bulk drugs &amp; formln</t>
        </is>
      </c>
      <c r="E136" s="31" t="inlineStr">
        <is>
          <t>smallcap</t>
        </is>
      </c>
      <c r="F136" s="31" t="n">
        <v>2031.89</v>
      </c>
      <c r="G136" s="31" t="n">
        <v>237.6</v>
      </c>
      <c r="H136" s="31" t="n">
        <v>1.54</v>
      </c>
      <c r="I136" s="31" t="n">
        <v>271487</v>
      </c>
      <c r="J136" s="31" t="inlineStr">
        <is>
          <t>532305</t>
        </is>
      </c>
    </row>
    <row r="137">
      <c r="A137" s="31" t="inlineStr">
        <is>
          <t>TMB</t>
        </is>
      </c>
      <c r="B137" s="31" t="inlineStr">
        <is>
          <t>Tamilnad Mercantile Bank Ltd</t>
        </is>
      </c>
      <c r="C137" s="31" t="inlineStr">
        <is>
          <t>bank</t>
        </is>
      </c>
      <c r="D137" s="31" t="inlineStr">
        <is>
          <t>banks - private sector</t>
        </is>
      </c>
      <c r="E137" s="31" t="inlineStr">
        <is>
          <t>midcap</t>
        </is>
      </c>
      <c r="F137" s="31" t="n">
        <v>12763.92</v>
      </c>
      <c r="G137" s="31" t="n">
        <v>818.45</v>
      </c>
      <c r="H137" s="31" t="n">
        <v>1.54</v>
      </c>
      <c r="I137" s="31" t="n">
        <v>465847</v>
      </c>
      <c r="J137" s="31" t="inlineStr">
        <is>
          <t>543596</t>
        </is>
      </c>
    </row>
    <row r="138">
      <c r="A138" s="31" t="inlineStr">
        <is>
          <t>FEDERALBNK</t>
        </is>
      </c>
      <c r="B138" s="31" t="inlineStr">
        <is>
          <t>The Federal Bank  Limited</t>
        </is>
      </c>
      <c r="C138" s="31" t="inlineStr">
        <is>
          <t>bank</t>
        </is>
      </c>
      <c r="D138" s="31" t="inlineStr">
        <is>
          <t>banks - private sector</t>
        </is>
      </c>
      <c r="E138" s="31" t="inlineStr">
        <is>
          <t>largecap</t>
        </is>
      </c>
      <c r="F138" s="31" t="n">
        <v>86434.7</v>
      </c>
      <c r="G138" s="31" t="n">
        <v>356.05</v>
      </c>
      <c r="H138" s="31" t="n">
        <v>1.51</v>
      </c>
      <c r="I138" s="31" t="n">
        <v>6342396</v>
      </c>
      <c r="J138" s="31" t="inlineStr">
        <is>
          <t>500469</t>
        </is>
      </c>
    </row>
    <row r="139">
      <c r="A139" s="31" t="inlineStr">
        <is>
          <t>MUKANDLTD</t>
        </is>
      </c>
      <c r="B139" s="31" t="inlineStr">
        <is>
          <t>Mukand Limited</t>
        </is>
      </c>
      <c r="C139" s="31" t="inlineStr">
        <is>
          <t>metals &amp; mining</t>
        </is>
      </c>
      <c r="D139" s="31" t="inlineStr">
        <is>
          <t>steel - medium / small</t>
        </is>
      </c>
      <c r="E139" s="31" t="inlineStr">
        <is>
          <t>smallcap</t>
        </is>
      </c>
      <c r="F139" s="31" t="n">
        <v>2078.71</v>
      </c>
      <c r="G139" s="31" t="n">
        <v>146</v>
      </c>
      <c r="H139" s="31" t="n">
        <v>1.49</v>
      </c>
      <c r="I139" s="31" t="n">
        <v>138913</v>
      </c>
      <c r="J139" s="31" t="inlineStr">
        <is>
          <t>500460</t>
        </is>
      </c>
    </row>
    <row r="140">
      <c r="A140" s="31" t="inlineStr">
        <is>
          <t>LLOYDSME</t>
        </is>
      </c>
      <c r="B140" s="31" t="inlineStr">
        <is>
          <t>Lloyds Metals &amp; Energy Ltd</t>
        </is>
      </c>
      <c r="C140" s="31" t="inlineStr">
        <is>
          <t>metals &amp; mining</t>
        </is>
      </c>
      <c r="D140" s="31" t="inlineStr">
        <is>
          <t>mining / minerals / metals</t>
        </is>
      </c>
      <c r="E140" s="31" t="inlineStr">
        <is>
          <t>largecap</t>
        </is>
      </c>
      <c r="F140" s="31" t="n">
        <v>107397.02</v>
      </c>
      <c r="G140" s="31" t="n">
        <v>1936.4</v>
      </c>
      <c r="H140" s="31" t="n">
        <v>1.49</v>
      </c>
      <c r="I140" s="31" t="n">
        <v>681812</v>
      </c>
      <c r="J140" s="31" t="inlineStr">
        <is>
          <t>512455</t>
        </is>
      </c>
    </row>
    <row r="141">
      <c r="A141" s="31" t="inlineStr">
        <is>
          <t>SHREECEM</t>
        </is>
      </c>
      <c r="B141" s="31" t="inlineStr">
        <is>
          <t>Shree Cements Limited</t>
        </is>
      </c>
      <c r="C141" s="31" t="inlineStr">
        <is>
          <t>building materials</t>
        </is>
      </c>
      <c r="D141" s="31" t="inlineStr">
        <is>
          <t>cement - north india</t>
        </is>
      </c>
      <c r="E141" s="31" t="inlineStr">
        <is>
          <t>largecap</t>
        </is>
      </c>
      <c r="F141" s="31" t="n">
        <v>96876.81</v>
      </c>
      <c r="G141" s="31" t="n">
        <v>27245</v>
      </c>
      <c r="H141" s="31" t="n">
        <v>1.47</v>
      </c>
      <c r="I141" s="31" t="n">
        <v>19707</v>
      </c>
      <c r="J141" s="31" t="inlineStr">
        <is>
          <t>500387</t>
        </is>
      </c>
    </row>
    <row r="142">
      <c r="A142" s="31" t="inlineStr">
        <is>
          <t>LUPIN</t>
        </is>
      </c>
      <c r="B142" s="31" t="inlineStr">
        <is>
          <t>Lupin Limited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largecap</t>
        </is>
      </c>
      <c r="F142" s="31" t="n">
        <v>113311.84</v>
      </c>
      <c r="G142" s="31" t="n">
        <v>2514.8</v>
      </c>
      <c r="H142" s="31" t="n">
        <v>1.46</v>
      </c>
      <c r="I142" s="31" t="n">
        <v>782166</v>
      </c>
      <c r="J142" s="31" t="inlineStr">
        <is>
          <t>500257</t>
        </is>
      </c>
    </row>
    <row r="143">
      <c r="A143" s="31" t="inlineStr">
        <is>
          <t>INDIGO</t>
        </is>
      </c>
      <c r="B143" s="31" t="inlineStr">
        <is>
          <t>Interglobe Aviation Limited</t>
        </is>
      </c>
      <c r="C143" s="31" t="inlineStr">
        <is>
          <t>transportation</t>
        </is>
      </c>
      <c r="D143" s="31" t="inlineStr">
        <is>
          <t>transport - airlines</t>
        </is>
      </c>
      <c r="E143" s="31" t="inlineStr">
        <is>
          <t>largecap</t>
        </is>
      </c>
      <c r="F143" s="31" t="n">
        <v>202159.94</v>
      </c>
      <c r="G143" s="31" t="n">
        <v>5305</v>
      </c>
      <c r="H143" s="31" t="n">
        <v>1.45</v>
      </c>
      <c r="I143" s="31" t="n">
        <v>920994</v>
      </c>
      <c r="J143" s="31" t="inlineStr">
        <is>
          <t>539448</t>
        </is>
      </c>
    </row>
    <row r="144">
      <c r="A144" s="31" t="inlineStr">
        <is>
          <t>WELINV</t>
        </is>
      </c>
      <c r="B144" s="31" t="inlineStr">
        <is>
          <t>Welspun Investments And Commercials Limited</t>
        </is>
      </c>
      <c r="C144" s="31" t="inlineStr">
        <is>
          <t>financials</t>
        </is>
      </c>
      <c r="D144" s="31" t="inlineStr">
        <is>
          <t>finance &amp; investments</t>
        </is>
      </c>
      <c r="E144" s="31" t="inlineStr">
        <is>
          <t>smallcap</t>
        </is>
      </c>
      <c r="F144" s="31" t="n">
        <v>666.65</v>
      </c>
      <c r="G144" s="31" t="n">
        <v>1850.1</v>
      </c>
      <c r="H144" s="31" t="n">
        <v>1.42</v>
      </c>
      <c r="I144" s="31" t="n">
        <v>238</v>
      </c>
      <c r="J144" s="31" t="inlineStr">
        <is>
          <t>533252</t>
        </is>
      </c>
    </row>
    <row r="145">
      <c r="A145" s="31" t="inlineStr">
        <is>
          <t>MUNJALSHOW</t>
        </is>
      </c>
      <c r="B145" s="31" t="inlineStr">
        <is>
          <t>Munjal Showa Limited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smallcap</t>
        </is>
      </c>
      <c r="F145" s="31" t="n">
        <v>540.37</v>
      </c>
      <c r="G145" s="31" t="n">
        <v>137</v>
      </c>
      <c r="H145" s="31" t="n">
        <v>1.4</v>
      </c>
      <c r="I145" s="31" t="n">
        <v>26076</v>
      </c>
      <c r="J145" s="31" t="inlineStr">
        <is>
          <t>520043</t>
        </is>
      </c>
    </row>
    <row r="146">
      <c r="A146" s="31" t="inlineStr">
        <is>
          <t>KROSS</t>
        </is>
      </c>
      <c r="B146" s="31" t="inlineStr">
        <is>
          <t>Kross Ltd</t>
        </is>
      </c>
      <c r="C146" s="31" t="inlineStr">
        <is>
          <t>auto</t>
        </is>
      </c>
      <c r="D146" s="31" t="inlineStr">
        <is>
          <t>auto ancillaries</t>
        </is>
      </c>
      <c r="E146" s="31" t="inlineStr">
        <is>
          <t>smallcap</t>
        </is>
      </c>
      <c r="F146" s="31" t="n">
        <v>1343.86</v>
      </c>
      <c r="G146" s="31" t="n">
        <v>211.23</v>
      </c>
      <c r="H146" s="31" t="n">
        <v>1.4</v>
      </c>
      <c r="I146" s="31" t="n">
        <v>3875819</v>
      </c>
      <c r="J146" s="31" t="inlineStr">
        <is>
          <t>544253</t>
        </is>
      </c>
    </row>
    <row r="147">
      <c r="A147" s="31" t="inlineStr">
        <is>
          <t>AZAD</t>
        </is>
      </c>
      <c r="B147" s="31" t="inlineStr">
        <is>
          <t>Azad Engineering Ltd</t>
        </is>
      </c>
      <c r="C147" s="31" t="inlineStr">
        <is>
          <t>aerospace &amp; defence</t>
        </is>
      </c>
      <c r="D147" s="31" t="inlineStr">
        <is>
          <t>engineering</t>
        </is>
      </c>
      <c r="E147" s="31" t="inlineStr">
        <is>
          <t>midcap</t>
        </is>
      </c>
      <c r="F147" s="31" t="n">
        <v>15148.94</v>
      </c>
      <c r="G147" s="31" t="n">
        <v>2378.6</v>
      </c>
      <c r="H147" s="31" t="n">
        <v>1.4</v>
      </c>
      <c r="I147" s="31" t="n">
        <v>260667</v>
      </c>
      <c r="J147" s="31" t="inlineStr">
        <is>
          <t>544061</t>
        </is>
      </c>
    </row>
    <row r="148">
      <c r="A148" s="31" t="inlineStr">
        <is>
          <t>NYKAA</t>
        </is>
      </c>
      <c r="B148" s="31" t="inlineStr">
        <is>
          <t>FSN E-Commerce Ventures Ltd</t>
        </is>
      </c>
      <c r="C148" s="31" t="inlineStr">
        <is>
          <t>i.t</t>
        </is>
      </c>
      <c r="D148" s="31" t="inlineStr">
        <is>
          <t>trading</t>
        </is>
      </c>
      <c r="E148" s="31" t="inlineStr">
        <is>
          <t>largecap</t>
        </is>
      </c>
      <c r="F148" s="31" t="n">
        <v>92625.41</v>
      </c>
      <c r="G148" s="31" t="n">
        <v>327.95</v>
      </c>
      <c r="H148" s="31" t="n">
        <v>1.38</v>
      </c>
      <c r="I148" s="31" t="n">
        <v>3135783</v>
      </c>
      <c r="J148" s="31" t="inlineStr">
        <is>
          <t>543384</t>
        </is>
      </c>
    </row>
    <row r="149">
      <c r="A149" s="31" t="inlineStr">
        <is>
          <t>SENORES</t>
        </is>
      </c>
      <c r="B149" s="31" t="inlineStr">
        <is>
          <t>Senores Pharmaceuticals Ltd</t>
        </is>
      </c>
      <c r="C149" s="31" t="inlineStr">
        <is>
          <t>healthcare</t>
        </is>
      </c>
      <c r="D149" s="31" t="inlineStr">
        <is>
          <t>pharmaceuticals - indian - formulations</t>
        </is>
      </c>
      <c r="E149" s="31" t="inlineStr">
        <is>
          <t>midcap</t>
        </is>
      </c>
      <c r="F149" s="31" t="n">
        <v>6378.42</v>
      </c>
      <c r="G149" s="31" t="n">
        <v>1404.1</v>
      </c>
      <c r="H149" s="31" t="n">
        <v>1.38</v>
      </c>
      <c r="I149" s="31" t="n">
        <v>130976</v>
      </c>
      <c r="J149" s="31" t="inlineStr">
        <is>
          <t>544319</t>
        </is>
      </c>
    </row>
    <row r="150">
      <c r="A150" s="31" t="inlineStr">
        <is>
          <t>NAUKRI</t>
        </is>
      </c>
      <c r="B150" s="31" t="inlineStr">
        <is>
          <t>Info Edge (india) Limited</t>
        </is>
      </c>
      <c r="C150" s="31" t="inlineStr">
        <is>
          <t>i.t</t>
        </is>
      </c>
      <c r="D150" s="31" t="inlineStr">
        <is>
          <t>miscellaneous</t>
        </is>
      </c>
      <c r="E150" s="31" t="inlineStr">
        <is>
          <t>largecap</t>
        </is>
      </c>
      <c r="F150" s="31" t="n">
        <v>77259.31</v>
      </c>
      <c r="G150" s="31" t="n">
        <v>1207.7</v>
      </c>
      <c r="H150" s="31" t="n">
        <v>1.36</v>
      </c>
      <c r="I150" s="31" t="n">
        <v>4113945</v>
      </c>
      <c r="J150" s="31" t="inlineStr">
        <is>
          <t>532777</t>
        </is>
      </c>
    </row>
    <row r="151">
      <c r="A151" s="31" t="inlineStr">
        <is>
          <t>ANANTRAJ</t>
        </is>
      </c>
      <c r="B151" s="31" t="inlineStr">
        <is>
          <t>Anant Raj Limited</t>
        </is>
      </c>
      <c r="C151" s="31" t="inlineStr">
        <is>
          <t>realty</t>
        </is>
      </c>
      <c r="D151" s="31" t="inlineStr">
        <is>
          <t>construction</t>
        </is>
      </c>
      <c r="E151" s="31" t="inlineStr">
        <is>
          <t>largecap</t>
        </is>
      </c>
      <c r="F151" s="31" t="n">
        <v>21621.41</v>
      </c>
      <c r="G151" s="31" t="n">
        <v>608.85</v>
      </c>
      <c r="H151" s="31" t="n">
        <v>1.34</v>
      </c>
      <c r="I151" s="31" t="n">
        <v>3674765</v>
      </c>
      <c r="J151" s="31" t="inlineStr">
        <is>
          <t>515055</t>
        </is>
      </c>
    </row>
    <row r="152">
      <c r="A152" s="31" t="inlineStr">
        <is>
          <t>PANAMAPET</t>
        </is>
      </c>
      <c r="B152" s="31" t="inlineStr">
        <is>
          <t>Panama Petrochem Limited</t>
        </is>
      </c>
      <c r="C152" s="31" t="inlineStr">
        <is>
          <t>energy</t>
        </is>
      </c>
      <c r="D152" s="31" t="inlineStr">
        <is>
          <t>petrochemicals</t>
        </is>
      </c>
      <c r="E152" s="31" t="inlineStr">
        <is>
          <t>smallcap</t>
        </is>
      </c>
      <c r="F152" s="31" t="n">
        <v>2742.17</v>
      </c>
      <c r="G152" s="31" t="n">
        <v>459.35</v>
      </c>
      <c r="H152" s="31" t="n">
        <v>1.33</v>
      </c>
      <c r="I152" s="31" t="n">
        <v>257580</v>
      </c>
      <c r="J152" s="31" t="inlineStr">
        <is>
          <t>524820</t>
        </is>
      </c>
    </row>
    <row r="153">
      <c r="A153" s="31" t="inlineStr">
        <is>
          <t>AUROPHARMA</t>
        </is>
      </c>
      <c r="B153" s="31" t="inlineStr">
        <is>
          <t>Aurobindo Pharma Limited</t>
        </is>
      </c>
      <c r="C153" s="31" t="inlineStr">
        <is>
          <t>healthcare</t>
        </is>
      </c>
      <c r="D153" s="31" t="inlineStr">
        <is>
          <t>pharmaceuticals - indian - bulk drugs &amp; formln</t>
        </is>
      </c>
      <c r="E153" s="31" t="inlineStr">
        <is>
          <t>largecap</t>
        </is>
      </c>
      <c r="F153" s="31" t="n">
        <v>89735.94</v>
      </c>
      <c r="G153" s="31" t="n">
        <v>1579.7</v>
      </c>
      <c r="H153" s="31" t="n">
        <v>1.29</v>
      </c>
      <c r="I153" s="31" t="n">
        <v>540107</v>
      </c>
      <c r="J153" s="31" t="inlineStr">
        <is>
          <t>524804</t>
        </is>
      </c>
    </row>
    <row r="154">
      <c r="A154" s="31" t="inlineStr">
        <is>
          <t>STARHEALTH</t>
        </is>
      </c>
      <c r="B154" s="31" t="inlineStr">
        <is>
          <t>Star Health &amp; Allied Insurance Company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largecap</t>
        </is>
      </c>
      <c r="F154" s="31" t="n">
        <v>34198.01</v>
      </c>
      <c r="G154" s="31" t="n">
        <v>588.65</v>
      </c>
      <c r="H154" s="31" t="n">
        <v>1.28</v>
      </c>
      <c r="I154" s="31" t="n">
        <v>303960</v>
      </c>
      <c r="J154" s="31" t="inlineStr">
        <is>
          <t>543412</t>
        </is>
      </c>
    </row>
    <row r="155">
      <c r="A155" s="31" t="inlineStr">
        <is>
          <t>VAIBHAVGBL</t>
        </is>
      </c>
      <c r="B155" s="31" t="inlineStr">
        <is>
          <t>Vaibhav Global Limited</t>
        </is>
      </c>
      <c r="C155" s="31" t="inlineStr">
        <is>
          <t>consumer discretionary</t>
        </is>
      </c>
      <c r="D155" s="31" t="inlineStr">
        <is>
          <t>diamond cutting / jewellery</t>
        </is>
      </c>
      <c r="E155" s="31" t="inlineStr">
        <is>
          <t>smallcap</t>
        </is>
      </c>
      <c r="F155" s="31" t="n">
        <v>4258.55</v>
      </c>
      <c r="G155" s="31" t="n">
        <v>258.11</v>
      </c>
      <c r="H155" s="31" t="n">
        <v>1.26</v>
      </c>
      <c r="I155" s="31" t="n">
        <v>359360</v>
      </c>
      <c r="J155" s="31" t="inlineStr">
        <is>
          <t>532156</t>
        </is>
      </c>
    </row>
    <row r="156">
      <c r="A156" s="31" t="inlineStr">
        <is>
          <t>KALYANKJIL</t>
        </is>
      </c>
      <c r="B156" s="31" t="inlineStr">
        <is>
          <t>Kalyan Jewellers India Ltd</t>
        </is>
      </c>
      <c r="C156" s="31" t="inlineStr">
        <is>
          <t>consumer discretionary</t>
        </is>
      </c>
      <c r="D156" s="31" t="inlineStr">
        <is>
          <t>diamond cutting / jewellery</t>
        </is>
      </c>
      <c r="E156" s="31" t="inlineStr">
        <is>
          <t>largecap</t>
        </is>
      </c>
      <c r="F156" s="31" t="n">
        <v>58866.19</v>
      </c>
      <c r="G156" s="31" t="n">
        <v>577</v>
      </c>
      <c r="H156" s="31" t="n">
        <v>1.23</v>
      </c>
      <c r="I156" s="31" t="n">
        <v>28810655</v>
      </c>
      <c r="J156" s="31" t="inlineStr">
        <is>
          <t>543278</t>
        </is>
      </c>
    </row>
    <row r="157">
      <c r="A157" s="31" t="inlineStr">
        <is>
          <t>SUNDRMFAST</t>
        </is>
      </c>
      <c r="B157" s="31" t="inlineStr">
        <is>
          <t>Sundram Fasteners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largecap</t>
        </is>
      </c>
      <c r="F157" s="31" t="n">
        <v>20080.92</v>
      </c>
      <c r="G157" s="31" t="n">
        <v>967.3</v>
      </c>
      <c r="H157" s="31" t="n">
        <v>1.22</v>
      </c>
      <c r="I157" s="31" t="n">
        <v>32082</v>
      </c>
      <c r="J157" s="31" t="inlineStr">
        <is>
          <t>500403</t>
        </is>
      </c>
    </row>
    <row r="158">
      <c r="A158" s="31" t="inlineStr">
        <is>
          <t>JAMNAAUTO</t>
        </is>
      </c>
      <c r="B158" s="31" t="inlineStr">
        <is>
          <t>Jamna Auto Industries Limited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midcap</t>
        </is>
      </c>
      <c r="F158" s="31" t="n">
        <v>5375.53</v>
      </c>
      <c r="G158" s="31" t="n">
        <v>136.07</v>
      </c>
      <c r="H158" s="31" t="n">
        <v>1.2</v>
      </c>
      <c r="I158" s="31" t="n">
        <v>2769330</v>
      </c>
      <c r="J158" s="31" t="inlineStr">
        <is>
          <t>520051</t>
        </is>
      </c>
    </row>
    <row r="159">
      <c r="A159" s="31" t="inlineStr">
        <is>
          <t>AIIL</t>
        </is>
      </c>
      <c r="B159" s="31" t="inlineStr">
        <is>
          <t>Authum Investment &amp; Infrastructure Ltd</t>
        </is>
      </c>
      <c r="C159" s="31" t="inlineStr">
        <is>
          <t>financials</t>
        </is>
      </c>
      <c r="D159" s="31" t="inlineStr">
        <is>
          <t>finance &amp; investments</t>
        </is>
      </c>
      <c r="E159" s="31" t="inlineStr">
        <is>
          <t>largecap</t>
        </is>
      </c>
      <c r="F159" s="31" t="n">
        <v>46873</v>
      </c>
      <c r="G159" s="31" t="n">
        <v>558.55</v>
      </c>
      <c r="H159" s="31" t="n">
        <v>1.2</v>
      </c>
      <c r="I159" s="31" t="n">
        <v>1526027</v>
      </c>
      <c r="J159" s="31" t="inlineStr">
        <is>
          <t>539177</t>
        </is>
      </c>
    </row>
    <row r="160">
      <c r="A160" s="31" t="inlineStr">
        <is>
          <t>SIS</t>
        </is>
      </c>
      <c r="B160" s="31" t="inlineStr">
        <is>
          <t>Security &amp; Intelligence Services India</t>
        </is>
      </c>
      <c r="C160" s="31" t="inlineStr">
        <is>
          <t>miscellaneous</t>
        </is>
      </c>
      <c r="D160" s="31" t="inlineStr">
        <is>
          <t>miscellaneous</t>
        </is>
      </c>
      <c r="E160" s="31" t="inlineStr">
        <is>
          <t>midcap</t>
        </is>
      </c>
      <c r="F160" s="31" t="n">
        <v>6160.17</v>
      </c>
      <c r="G160" s="31" t="n">
        <v>441.25</v>
      </c>
      <c r="H160" s="31" t="n">
        <v>1.19</v>
      </c>
      <c r="I160" s="31" t="n">
        <v>113077</v>
      </c>
      <c r="J160" s="31" t="inlineStr">
        <is>
          <t>540673</t>
        </is>
      </c>
    </row>
    <row r="161">
      <c r="A161" s="31" t="inlineStr">
        <is>
          <t>HCG</t>
        </is>
      </c>
      <c r="B161" s="31" t="inlineStr">
        <is>
          <t>Healthcare Global Enterprises Limited</t>
        </is>
      </c>
      <c r="C161" s="31" t="inlineStr">
        <is>
          <t>healthcare</t>
        </is>
      </c>
      <c r="D161" s="31" t="inlineStr">
        <is>
          <t>healthcare</t>
        </is>
      </c>
      <c r="E161" s="31" t="inlineStr">
        <is>
          <t>midcap</t>
        </is>
      </c>
      <c r="F161" s="31" t="n">
        <v>9759.889999999999</v>
      </c>
      <c r="G161" s="31" t="n">
        <v>661.25</v>
      </c>
      <c r="H161" s="31" t="n">
        <v>1.16</v>
      </c>
      <c r="I161" s="31" t="n">
        <v>497861</v>
      </c>
      <c r="J161" s="31" t="inlineStr">
        <is>
          <t>539787</t>
        </is>
      </c>
    </row>
    <row r="162">
      <c r="A162" s="31" t="inlineStr">
        <is>
          <t>GARFIBRES</t>
        </is>
      </c>
      <c r="B162" s="31" t="inlineStr">
        <is>
          <t>Garware Technical Fibres Ltd</t>
        </is>
      </c>
      <c r="C162" s="31" t="inlineStr">
        <is>
          <t>textiles</t>
        </is>
      </c>
      <c r="D162" s="31" t="inlineStr">
        <is>
          <t>textiles - products</t>
        </is>
      </c>
      <c r="E162" s="31" t="inlineStr">
        <is>
          <t>midcap</t>
        </is>
      </c>
      <c r="F162" s="31" t="n">
        <v>7684.17</v>
      </c>
      <c r="G162" s="31" t="n">
        <v>783</v>
      </c>
      <c r="H162" s="31" t="n">
        <v>1.15</v>
      </c>
      <c r="I162" s="31" t="n">
        <v>40607</v>
      </c>
      <c r="J162" s="31" t="inlineStr">
        <is>
          <t>509557</t>
        </is>
      </c>
    </row>
    <row r="163">
      <c r="A163" s="31" t="inlineStr">
        <is>
          <t>GRASIM</t>
        </is>
      </c>
      <c r="B163" s="31" t="inlineStr">
        <is>
          <t>Grasim Industries Limited</t>
        </is>
      </c>
      <c r="C163" s="31" t="inlineStr">
        <is>
          <t>textiles</t>
        </is>
      </c>
      <c r="D163" s="31" t="inlineStr">
        <is>
          <t>textiles - manmade</t>
        </is>
      </c>
      <c r="E163" s="31" t="inlineStr">
        <is>
          <t>largecap</t>
        </is>
      </c>
      <c r="F163" s="31" t="n">
        <v>213960.92</v>
      </c>
      <c r="G163" s="31" t="n">
        <v>3179.8</v>
      </c>
      <c r="H163" s="31" t="n">
        <v>1.15</v>
      </c>
      <c r="I163" s="31" t="n">
        <v>659160</v>
      </c>
      <c r="J163" s="31" t="inlineStr">
        <is>
          <t>500300</t>
        </is>
      </c>
    </row>
    <row r="164">
      <c r="A164" s="31" t="inlineStr">
        <is>
          <t>GODREJIND</t>
        </is>
      </c>
      <c r="B164" s="31" t="inlineStr">
        <is>
          <t>Godrej Industries Limited</t>
        </is>
      </c>
      <c r="C164" s="31" t="inlineStr">
        <is>
          <t>chemicals</t>
        </is>
      </c>
      <c r="D164" s="31" t="inlineStr">
        <is>
          <t>chemicals</t>
        </is>
      </c>
      <c r="E164" s="31" t="inlineStr">
        <is>
          <t>largecap</t>
        </is>
      </c>
      <c r="F164" s="31" t="n">
        <v>45967.12</v>
      </c>
      <c r="G164" s="31" t="n">
        <v>1380.5</v>
      </c>
      <c r="H164" s="31" t="n">
        <v>1.15</v>
      </c>
      <c r="I164" s="31" t="n">
        <v>131626</v>
      </c>
      <c r="J164" s="31" t="inlineStr">
        <is>
          <t>500164</t>
        </is>
      </c>
    </row>
    <row r="165">
      <c r="A165" s="31" t="inlineStr">
        <is>
          <t>SATIN</t>
        </is>
      </c>
      <c r="B165" s="31" t="inlineStr">
        <is>
          <t>Satin Creditcare Network Limited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smallcap</t>
        </is>
      </c>
      <c r="F165" s="31" t="n">
        <v>2828.83</v>
      </c>
      <c r="G165" s="31" t="n">
        <v>259</v>
      </c>
      <c r="H165" s="31" t="n">
        <v>1.14</v>
      </c>
      <c r="I165" s="31" t="n">
        <v>164231</v>
      </c>
      <c r="J165" s="31" t="inlineStr">
        <is>
          <t>539404</t>
        </is>
      </c>
    </row>
    <row r="166">
      <c r="A166" s="31" t="inlineStr">
        <is>
          <t>KICL</t>
        </is>
      </c>
      <c r="B166" s="31" t="inlineStr">
        <is>
          <t>Kalyani Investment Company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smallcap</t>
        </is>
      </c>
      <c r="F166" s="31" t="n">
        <v>2417.07</v>
      </c>
      <c r="G166" s="31" t="n">
        <v>5600</v>
      </c>
      <c r="H166" s="31" t="n">
        <v>1.14</v>
      </c>
      <c r="I166" s="31" t="n">
        <v>1364</v>
      </c>
      <c r="J166" s="31" t="inlineStr">
        <is>
          <t>533302</t>
        </is>
      </c>
    </row>
    <row r="167">
      <c r="A167" s="31" t="inlineStr">
        <is>
          <t>JSL</t>
        </is>
      </c>
      <c r="B167" s="31" t="inlineStr">
        <is>
          <t>Jindal Stainless Limited</t>
        </is>
      </c>
      <c r="C167" s="31" t="inlineStr">
        <is>
          <t>metals &amp; mining</t>
        </is>
      </c>
      <c r="D167" s="31" t="inlineStr">
        <is>
          <t>steel - large</t>
        </is>
      </c>
      <c r="E167" s="31" t="inlineStr">
        <is>
          <t>largecap</t>
        </is>
      </c>
      <c r="F167" s="31" t="n">
        <v>60244.46</v>
      </c>
      <c r="G167" s="31" t="n">
        <v>739.05</v>
      </c>
      <c r="H167" s="31" t="n">
        <v>1.14</v>
      </c>
      <c r="I167" s="31" t="n">
        <v>719791</v>
      </c>
      <c r="J167" s="31" t="inlineStr">
        <is>
          <t>532508</t>
        </is>
      </c>
    </row>
    <row r="168">
      <c r="A168" s="31" t="inlineStr">
        <is>
          <t>FIEMIND</t>
        </is>
      </c>
      <c r="B168" s="31" t="inlineStr">
        <is>
          <t>Fiem Industries Limited</t>
        </is>
      </c>
      <c r="C168" s="31" t="inlineStr">
        <is>
          <t>auto</t>
        </is>
      </c>
      <c r="D168" s="31" t="inlineStr">
        <is>
          <t>auto ancillaries</t>
        </is>
      </c>
      <c r="E168" s="31" t="inlineStr">
        <is>
          <t>midcap</t>
        </is>
      </c>
      <c r="F168" s="31" t="n">
        <v>6068</v>
      </c>
      <c r="G168" s="31" t="n">
        <v>2331.5</v>
      </c>
      <c r="H168" s="31" t="n">
        <v>1.13</v>
      </c>
      <c r="I168" s="31" t="n">
        <v>44736</v>
      </c>
      <c r="J168" s="31" t="inlineStr">
        <is>
          <t>532768</t>
        </is>
      </c>
    </row>
    <row r="169">
      <c r="A169" s="31" t="inlineStr">
        <is>
          <t>APCOTEXIND</t>
        </is>
      </c>
      <c r="B169" s="31" t="inlineStr">
        <is>
          <t>Apcotex Industries Limited</t>
        </is>
      </c>
      <c r="C169" s="31" t="inlineStr">
        <is>
          <t>chemicals</t>
        </is>
      </c>
      <c r="D169" s="31" t="inlineStr">
        <is>
          <t>miscellaneous</t>
        </is>
      </c>
      <c r="E169" s="31" t="inlineStr">
        <is>
          <t>smallcap</t>
        </is>
      </c>
      <c r="F169" s="31" t="n">
        <v>2862.36</v>
      </c>
      <c r="G169" s="31" t="n">
        <v>558.3</v>
      </c>
      <c r="H169" s="31" t="n">
        <v>1.12</v>
      </c>
      <c r="I169" s="31" t="n">
        <v>156325</v>
      </c>
      <c r="J169" s="31" t="inlineStr">
        <is>
          <t>523694</t>
        </is>
      </c>
    </row>
    <row r="170">
      <c r="A170" s="31" t="inlineStr">
        <is>
          <t>DEEPAKNTR</t>
        </is>
      </c>
      <c r="B170" s="31" t="inlineStr">
        <is>
          <t>Deepak Nitrite Limited</t>
        </is>
      </c>
      <c r="C170" s="31" t="inlineStr">
        <is>
          <t>chemicals</t>
        </is>
      </c>
      <c r="D170" s="31" t="inlineStr">
        <is>
          <t>chemicals</t>
        </is>
      </c>
      <c r="E170" s="31" t="inlineStr">
        <is>
          <t>largecap</t>
        </is>
      </c>
      <c r="F170" s="31" t="n">
        <v>23046.33</v>
      </c>
      <c r="G170" s="31" t="n">
        <v>1708.3</v>
      </c>
      <c r="H170" s="31" t="n">
        <v>1.1</v>
      </c>
      <c r="I170" s="31" t="n">
        <v>184894</v>
      </c>
      <c r="J170" s="31" t="inlineStr">
        <is>
          <t>506401</t>
        </is>
      </c>
    </row>
    <row r="171">
      <c r="A171" s="31" t="inlineStr">
        <is>
          <t>PAISALO</t>
        </is>
      </c>
      <c r="B171" s="31" t="inlineStr">
        <is>
          <t>Paisalo Digital Ltd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midcap</t>
        </is>
      </c>
      <c r="F171" s="31" t="n">
        <v>6494.9</v>
      </c>
      <c r="G171" s="31" t="n">
        <v>72.18000000000001</v>
      </c>
      <c r="H171" s="31" t="n">
        <v>1.08</v>
      </c>
      <c r="I171" s="31" t="n">
        <v>12751903</v>
      </c>
      <c r="J171" s="31" t="inlineStr">
        <is>
          <t>532900</t>
        </is>
      </c>
    </row>
    <row r="172">
      <c r="A172" s="31" t="inlineStr">
        <is>
          <t>JKPAPER</t>
        </is>
      </c>
      <c r="B172" s="31" t="inlineStr">
        <is>
          <t>Jk Paper Limited</t>
        </is>
      </c>
      <c r="C172" s="31" t="inlineStr">
        <is>
          <t>building materials</t>
        </is>
      </c>
      <c r="D172" s="31" t="inlineStr">
        <is>
          <t>paper</t>
        </is>
      </c>
      <c r="E172" s="31" t="inlineStr">
        <is>
          <t>midcap</t>
        </is>
      </c>
      <c r="F172" s="31" t="n">
        <v>6744.15</v>
      </c>
      <c r="G172" s="31" t="n">
        <v>375.95</v>
      </c>
      <c r="H172" s="31" t="n">
        <v>1.08</v>
      </c>
      <c r="I172" s="31" t="n">
        <v>218655</v>
      </c>
      <c r="J172" s="31" t="inlineStr">
        <is>
          <t>532162</t>
        </is>
      </c>
    </row>
    <row r="173">
      <c r="A173" s="31" t="inlineStr">
        <is>
          <t>GREENPLY</t>
        </is>
      </c>
      <c r="B173" s="31" t="inlineStr">
        <is>
          <t>Greenply Industries Limited</t>
        </is>
      </c>
      <c r="C173" s="31" t="inlineStr">
        <is>
          <t>building materials</t>
        </is>
      </c>
      <c r="D173" s="31" t="inlineStr">
        <is>
          <t>miscellaneous</t>
        </is>
      </c>
      <c r="E173" s="31" t="inlineStr">
        <is>
          <t>smallcap</t>
        </is>
      </c>
      <c r="F173" s="31" t="n">
        <v>4016.23</v>
      </c>
      <c r="G173" s="31" t="n">
        <v>325</v>
      </c>
      <c r="H173" s="31" t="n">
        <v>1.07</v>
      </c>
      <c r="I173" s="31" t="n">
        <v>120962</v>
      </c>
      <c r="J173" s="31" t="inlineStr">
        <is>
          <t>526797</t>
        </is>
      </c>
    </row>
    <row r="174">
      <c r="A174" s="31" t="inlineStr">
        <is>
          <t>SSWL</t>
        </is>
      </c>
      <c r="B174" s="31" t="inlineStr">
        <is>
          <t>Steel Strips Wheels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smallcap</t>
        </is>
      </c>
      <c r="F174" s="31" t="n">
        <v>4343.37</v>
      </c>
      <c r="G174" s="31" t="n">
        <v>279.3</v>
      </c>
      <c r="H174" s="31" t="n">
        <v>1.07</v>
      </c>
      <c r="I174" s="31" t="n">
        <v>1407720</v>
      </c>
      <c r="J174" s="31" t="inlineStr">
        <is>
          <t>513262</t>
        </is>
      </c>
    </row>
    <row r="175">
      <c r="A175" s="31" t="inlineStr">
        <is>
          <t>YATHARTH</t>
        </is>
      </c>
      <c r="B175" s="31" t="inlineStr">
        <is>
          <t>Yatharth Hospital &amp; Trauma Care Services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midcap</t>
        </is>
      </c>
      <c r="F175" s="31" t="n">
        <v>8179.52</v>
      </c>
      <c r="G175" s="31" t="n">
        <v>858</v>
      </c>
      <c r="H175" s="31" t="n">
        <v>1.07</v>
      </c>
      <c r="I175" s="31" t="n">
        <v>124633</v>
      </c>
      <c r="J175" s="31" t="inlineStr">
        <is>
          <t>543950</t>
        </is>
      </c>
    </row>
    <row r="176">
      <c r="A176" s="31" t="inlineStr">
        <is>
          <t>THANGAMAYL</t>
        </is>
      </c>
      <c r="B176" s="31" t="inlineStr">
        <is>
          <t>Thangamayil Jewellery Limited</t>
        </is>
      </c>
      <c r="C176" s="31" t="inlineStr">
        <is>
          <t>consumer discretionary</t>
        </is>
      </c>
      <c r="D176" s="31" t="inlineStr">
        <is>
          <t>diamond cutting / jewellery</t>
        </is>
      </c>
      <c r="E176" s="31" t="inlineStr">
        <is>
          <t>midcap</t>
        </is>
      </c>
      <c r="F176" s="31" t="n">
        <v>19847.42</v>
      </c>
      <c r="G176" s="31" t="n">
        <v>6453</v>
      </c>
      <c r="H176" s="31" t="n">
        <v>1.06</v>
      </c>
      <c r="I176" s="31" t="n">
        <v>126997</v>
      </c>
      <c r="J176" s="31" t="inlineStr">
        <is>
          <t>533158</t>
        </is>
      </c>
    </row>
    <row r="177">
      <c r="A177" s="31" t="inlineStr">
        <is>
          <t>ALIVUS</t>
        </is>
      </c>
      <c r="B177" s="31" t="inlineStr">
        <is>
          <t>Alivus Life Sciences Ltd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midcap</t>
        </is>
      </c>
      <c r="F177" s="31" t="n">
        <v>13897.44</v>
      </c>
      <c r="G177" s="31" t="n">
        <v>1144</v>
      </c>
      <c r="H177" s="31" t="n">
        <v>1.03</v>
      </c>
      <c r="I177" s="31" t="n">
        <v>41916</v>
      </c>
      <c r="J177" s="31" t="inlineStr">
        <is>
          <t>543322</t>
        </is>
      </c>
    </row>
    <row r="178">
      <c r="A178" s="31" t="inlineStr">
        <is>
          <t>KAMDHENU</t>
        </is>
      </c>
      <c r="B178" s="31" t="inlineStr">
        <is>
          <t>Kamdhenu Limited</t>
        </is>
      </c>
      <c r="C178" s="31" t="inlineStr">
        <is>
          <t>metals &amp; mining</t>
        </is>
      </c>
      <c r="D178" s="31" t="inlineStr">
        <is>
          <t>steel - medium / small</t>
        </is>
      </c>
      <c r="E178" s="31" t="inlineStr">
        <is>
          <t>smallcap</t>
        </is>
      </c>
      <c r="F178" s="31" t="n">
        <v>948.8200000000001</v>
      </c>
      <c r="G178" s="31" t="n">
        <v>34</v>
      </c>
      <c r="H178" s="31" t="n">
        <v>1.01</v>
      </c>
      <c r="I178" s="31" t="n">
        <v>575393</v>
      </c>
      <c r="J178" s="31" t="inlineStr">
        <is>
          <t>532741</t>
        </is>
      </c>
    </row>
    <row r="179">
      <c r="A179" s="31" t="inlineStr">
        <is>
          <t>WINDLAS</t>
        </is>
      </c>
      <c r="B179" s="31" t="inlineStr">
        <is>
          <t>Windlas Biotech Ltd</t>
        </is>
      </c>
      <c r="C179" s="31" t="inlineStr">
        <is>
          <t>healthcare</t>
        </is>
      </c>
      <c r="D179" s="31" t="inlineStr">
        <is>
          <t>pharmaceuticals - indian - formulations</t>
        </is>
      </c>
      <c r="E179" s="31" t="inlineStr">
        <is>
          <t>smallcap</t>
        </is>
      </c>
      <c r="F179" s="31" t="n">
        <v>1798.55</v>
      </c>
      <c r="G179" s="31" t="n">
        <v>880.25</v>
      </c>
      <c r="H179" s="31" t="n">
        <v>1</v>
      </c>
      <c r="I179" s="31" t="n">
        <v>31993</v>
      </c>
      <c r="J179" s="31" t="inlineStr">
        <is>
          <t>543329</t>
        </is>
      </c>
    </row>
    <row r="180">
      <c r="A180" s="31" t="inlineStr">
        <is>
          <t>HONAUT</t>
        </is>
      </c>
      <c r="B180" s="31" t="inlineStr">
        <is>
          <t>Honeywell Automation India Limited</t>
        </is>
      </c>
      <c r="C180" s="31" t="inlineStr">
        <is>
          <t>consumer discretionary</t>
        </is>
      </c>
      <c r="D180" s="31" t="inlineStr">
        <is>
          <t>electronics - components</t>
        </is>
      </c>
      <c r="E180" s="31" t="inlineStr">
        <is>
          <t>largecap</t>
        </is>
      </c>
      <c r="F180" s="31" t="n">
        <v>33787.88</v>
      </c>
      <c r="G180" s="31" t="n">
        <v>38595</v>
      </c>
      <c r="H180" s="31" t="n">
        <v>0.99</v>
      </c>
      <c r="I180" s="31" t="n">
        <v>5193</v>
      </c>
      <c r="J180" s="31" t="inlineStr">
        <is>
          <t>517174</t>
        </is>
      </c>
    </row>
    <row r="181">
      <c r="A181" s="31" t="inlineStr">
        <is>
          <t>IKIO</t>
        </is>
      </c>
      <c r="B181" s="31" t="inlineStr">
        <is>
          <t>IKIO Lighting Ltd</t>
        </is>
      </c>
      <c r="C181" s="31" t="inlineStr">
        <is>
          <t>consumer discretionary</t>
        </is>
      </c>
      <c r="D181" s="31" t="inlineStr">
        <is>
          <t>electric equipment</t>
        </is>
      </c>
      <c r="E181" s="31" t="inlineStr">
        <is>
          <t>smallcap</t>
        </is>
      </c>
      <c r="F181" s="31" t="n">
        <v>1656.67</v>
      </c>
      <c r="G181" s="31" t="n">
        <v>216.5</v>
      </c>
      <c r="H181" s="31" t="n">
        <v>0.99</v>
      </c>
      <c r="I181" s="31" t="n">
        <v>835637</v>
      </c>
      <c r="J181" s="31" t="inlineStr">
        <is>
          <t>543923</t>
        </is>
      </c>
    </row>
    <row r="182">
      <c r="A182" s="31" t="inlineStr">
        <is>
          <t>TITAN</t>
        </is>
      </c>
      <c r="B182" s="31" t="inlineStr">
        <is>
          <t>Titan Company Limited</t>
        </is>
      </c>
      <c r="C182" s="31" t="inlineStr">
        <is>
          <t>consumer discretionary</t>
        </is>
      </c>
      <c r="D182" s="31" t="inlineStr">
        <is>
          <t>diamond cutting / jewellery</t>
        </is>
      </c>
      <c r="E182" s="31" t="inlineStr">
        <is>
          <t>largecap</t>
        </is>
      </c>
      <c r="F182" s="31" t="n">
        <v>412234.63</v>
      </c>
      <c r="G182" s="31" t="n">
        <v>4688.7</v>
      </c>
      <c r="H182" s="31" t="n">
        <v>0.98</v>
      </c>
      <c r="I182" s="31" t="n">
        <v>530109</v>
      </c>
      <c r="J182" s="31" t="inlineStr">
        <is>
          <t>500114</t>
        </is>
      </c>
    </row>
    <row r="183">
      <c r="A183" s="31" t="inlineStr">
        <is>
          <t>GREAVESCOT</t>
        </is>
      </c>
      <c r="B183" s="31" t="inlineStr">
        <is>
          <t>Greaves Cotton Limited</t>
        </is>
      </c>
      <c r="C183" s="31" t="inlineStr">
        <is>
          <t>industrials</t>
        </is>
      </c>
      <c r="D183" s="31" t="inlineStr">
        <is>
          <t>engines</t>
        </is>
      </c>
      <c r="E183" s="31" t="inlineStr">
        <is>
          <t>midcap</t>
        </is>
      </c>
      <c r="F183" s="31" t="n">
        <v>5724.08</v>
      </c>
      <c r="G183" s="31" t="n">
        <v>248.11</v>
      </c>
      <c r="H183" s="31" t="n">
        <v>0.97</v>
      </c>
      <c r="I183" s="31" t="n">
        <v>1889048</v>
      </c>
      <c r="J183" s="31" t="inlineStr">
        <is>
          <t>501455</t>
        </is>
      </c>
    </row>
    <row r="184">
      <c r="A184" s="31" t="inlineStr">
        <is>
          <t>GLAND</t>
        </is>
      </c>
      <c r="B184" s="31" t="inlineStr">
        <is>
          <t>Gland Pharma Ltd</t>
        </is>
      </c>
      <c r="C184" s="31" t="inlineStr">
        <is>
          <t>healthcare</t>
        </is>
      </c>
      <c r="D184" s="31" t="inlineStr">
        <is>
          <t>pharmaceuticals - indian - formulations</t>
        </is>
      </c>
      <c r="E184" s="31" t="inlineStr">
        <is>
          <t>largecap</t>
        </is>
      </c>
      <c r="F184" s="31" t="n">
        <v>40515.25</v>
      </c>
      <c r="G184" s="31" t="n">
        <v>2482.4</v>
      </c>
      <c r="H184" s="31" t="n">
        <v>0.95</v>
      </c>
      <c r="I184" s="31" t="n">
        <v>210888</v>
      </c>
      <c r="J184" s="31" t="inlineStr">
        <is>
          <t>543245</t>
        </is>
      </c>
    </row>
    <row r="185">
      <c r="A185" s="31" t="inlineStr">
        <is>
          <t>INDIAGLYCO</t>
        </is>
      </c>
      <c r="B185" s="31" t="inlineStr">
        <is>
          <t>India Glycols Limited</t>
        </is>
      </c>
      <c r="C185" s="31" t="inlineStr">
        <is>
          <t>fmcg</t>
        </is>
      </c>
      <c r="D185" s="31" t="inlineStr">
        <is>
          <t>breweries &amp; distilleries</t>
        </is>
      </c>
      <c r="E185" s="31" t="inlineStr">
        <is>
          <t>midcap</t>
        </is>
      </c>
      <c r="F185" s="31" t="n">
        <v>7662.5</v>
      </c>
      <c r="G185" s="31" t="n">
        <v>1153.95</v>
      </c>
      <c r="H185" s="31" t="n">
        <v>0.9399999999999999</v>
      </c>
      <c r="I185" s="31" t="n">
        <v>116335</v>
      </c>
      <c r="J185" s="31" t="inlineStr">
        <is>
          <t>500201</t>
        </is>
      </c>
    </row>
    <row r="186">
      <c r="A186" s="31" t="inlineStr">
        <is>
          <t>SANGHVIMOV</t>
        </is>
      </c>
      <c r="B186" s="31" t="inlineStr">
        <is>
          <t>Sanghvi Movers Limited</t>
        </is>
      </c>
      <c r="C186" s="31" t="inlineStr">
        <is>
          <t>miscellaneous</t>
        </is>
      </c>
      <c r="D186" s="31" t="inlineStr">
        <is>
          <t>miscellaneous</t>
        </is>
      </c>
      <c r="E186" s="31" t="inlineStr">
        <is>
          <t>smallcap</t>
        </is>
      </c>
      <c r="F186" s="31" t="n">
        <v>3780.34</v>
      </c>
      <c r="G186" s="31" t="n">
        <v>440.7</v>
      </c>
      <c r="H186" s="31" t="n">
        <v>0.93</v>
      </c>
      <c r="I186" s="31" t="n">
        <v>193458</v>
      </c>
      <c r="J186" s="31" t="inlineStr">
        <is>
          <t>530073</t>
        </is>
      </c>
    </row>
    <row r="187">
      <c r="A187" s="31" t="inlineStr">
        <is>
          <t>RANEHOLDIN</t>
        </is>
      </c>
      <c r="B187" s="31" t="inlineStr">
        <is>
          <t>Rane Holdings Limited</t>
        </is>
      </c>
      <c r="C187" s="31" t="inlineStr">
        <is>
          <t>financials</t>
        </is>
      </c>
      <c r="D187" s="31" t="inlineStr">
        <is>
          <t>finance &amp; investments</t>
        </is>
      </c>
      <c r="E187" s="31" t="inlineStr">
        <is>
          <t>smallcap</t>
        </is>
      </c>
      <c r="F187" s="31" t="n">
        <v>2491.33</v>
      </c>
      <c r="G187" s="31" t="n">
        <v>1760.9</v>
      </c>
      <c r="H187" s="31" t="n">
        <v>0.92</v>
      </c>
      <c r="I187" s="31" t="n">
        <v>18211</v>
      </c>
      <c r="J187" s="31" t="inlineStr">
        <is>
          <t>505800</t>
        </is>
      </c>
    </row>
    <row r="188">
      <c r="A188" s="31" t="inlineStr">
        <is>
          <t>SBCL</t>
        </is>
      </c>
      <c r="B188" s="31" t="inlineStr">
        <is>
          <t>Shivalik Bimetal Controls Ltd</t>
        </is>
      </c>
      <c r="C188" s="31" t="inlineStr">
        <is>
          <t>metals &amp; mining</t>
        </is>
      </c>
      <c r="D188" s="31" t="inlineStr">
        <is>
          <t>mining / minerals / metals</t>
        </is>
      </c>
      <c r="E188" s="31" t="inlineStr">
        <is>
          <t>smallcap</t>
        </is>
      </c>
      <c r="F188" s="31" t="n">
        <v>4303.03</v>
      </c>
      <c r="G188" s="31" t="n">
        <v>753.75</v>
      </c>
      <c r="H188" s="31" t="n">
        <v>0.9</v>
      </c>
      <c r="I188" s="31" t="n">
        <v>390818</v>
      </c>
      <c r="J188" s="31" t="inlineStr">
        <is>
          <t>513097</t>
        </is>
      </c>
    </row>
    <row r="189">
      <c r="A189" s="31" t="inlineStr">
        <is>
          <t>INDHOTEL</t>
        </is>
      </c>
      <c r="B189" s="31" t="inlineStr">
        <is>
          <t>The Indian Hotels Company Limited</t>
        </is>
      </c>
      <c r="C189" s="31" t="inlineStr">
        <is>
          <t>services</t>
        </is>
      </c>
      <c r="D189" s="31" t="inlineStr">
        <is>
          <t>hotels</t>
        </is>
      </c>
      <c r="E189" s="31" t="inlineStr">
        <is>
          <t>largecap</t>
        </is>
      </c>
      <c r="F189" s="31" t="n">
        <v>103205.95</v>
      </c>
      <c r="G189" s="31" t="n">
        <v>731.6</v>
      </c>
      <c r="H189" s="31" t="n">
        <v>0.9</v>
      </c>
      <c r="I189" s="31" t="n">
        <v>2703107</v>
      </c>
      <c r="J189" s="31" t="inlineStr">
        <is>
          <t>500850</t>
        </is>
      </c>
    </row>
    <row r="190">
      <c r="A190" s="31" t="inlineStr">
        <is>
          <t>LODHA</t>
        </is>
      </c>
      <c r="B190" s="31" t="inlineStr">
        <is>
          <t>Lodha Developers Ltd</t>
        </is>
      </c>
      <c r="C190" s="31" t="inlineStr">
        <is>
          <t>realty</t>
        </is>
      </c>
      <c r="D190" s="31" t="inlineStr">
        <is>
          <t>construction</t>
        </is>
      </c>
      <c r="E190" s="31" t="inlineStr">
        <is>
          <t>largecap</t>
        </is>
      </c>
      <c r="F190" s="31" t="n">
        <v>118711.07</v>
      </c>
      <c r="G190" s="31" t="n">
        <v>1198.95</v>
      </c>
      <c r="H190" s="31" t="n">
        <v>0.89</v>
      </c>
      <c r="I190" s="31" t="n">
        <v>1188038</v>
      </c>
      <c r="J190" s="31" t="inlineStr">
        <is>
          <t>543287</t>
        </is>
      </c>
    </row>
    <row r="191">
      <c r="A191" s="31" t="inlineStr">
        <is>
          <t>RITCO</t>
        </is>
      </c>
      <c r="B191" s="31" t="inlineStr">
        <is>
          <t>Ritco Logistics Ltd</t>
        </is>
      </c>
      <c r="C191" s="31" t="inlineStr">
        <is>
          <t>transportation</t>
        </is>
      </c>
      <c r="D191" s="31" t="inlineStr">
        <is>
          <t>miscellaneous</t>
        </is>
      </c>
      <c r="E191" s="31" t="inlineStr">
        <is>
          <t>smallcap</t>
        </is>
      </c>
      <c r="F191" s="31" t="n">
        <v>794.42</v>
      </c>
      <c r="G191" s="31" t="n">
        <v>280</v>
      </c>
      <c r="H191" s="31" t="n">
        <v>0.88</v>
      </c>
      <c r="I191" s="31" t="n">
        <v>221015</v>
      </c>
      <c r="J191" s="31" t="inlineStr">
        <is>
          <t>542383</t>
        </is>
      </c>
    </row>
    <row r="192">
      <c r="A192" s="31" t="inlineStr">
        <is>
          <t>BIOCON</t>
        </is>
      </c>
      <c r="B192" s="31" t="inlineStr">
        <is>
          <t>Biocon Limited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largecap</t>
        </is>
      </c>
      <c r="F192" s="31" t="n">
        <v>71136.14999999999</v>
      </c>
      <c r="G192" s="31" t="n">
        <v>440.3</v>
      </c>
      <c r="H192" s="31" t="n">
        <v>0.87</v>
      </c>
      <c r="I192" s="31" t="n">
        <v>3319307</v>
      </c>
      <c r="J192" s="31" t="inlineStr">
        <is>
          <t>532523</t>
        </is>
      </c>
    </row>
    <row r="193">
      <c r="A193" s="31" t="inlineStr">
        <is>
          <t>JGCHEM</t>
        </is>
      </c>
      <c r="B193" s="31" t="inlineStr">
        <is>
          <t>J.G.Chemicals Ltd</t>
        </is>
      </c>
      <c r="C193" s="31" t="inlineStr">
        <is>
          <t>chemicals</t>
        </is>
      </c>
      <c r="D193" s="31" t="inlineStr">
        <is>
          <t>chemicals</t>
        </is>
      </c>
      <c r="E193" s="31" t="inlineStr">
        <is>
          <t>smallcap</t>
        </is>
      </c>
      <c r="F193" s="31" t="n">
        <v>1916.98</v>
      </c>
      <c r="G193" s="31" t="n">
        <v>493.35</v>
      </c>
      <c r="H193" s="31" t="n">
        <v>0.85</v>
      </c>
      <c r="I193" s="31" t="n">
        <v>1298132</v>
      </c>
      <c r="J193" s="31" t="n"/>
    </row>
    <row r="194">
      <c r="A194" s="31" t="inlineStr">
        <is>
          <t>JSWSTEEL</t>
        </is>
      </c>
      <c r="B194" s="31" t="inlineStr">
        <is>
          <t>Jsw Steel Limited</t>
        </is>
      </c>
      <c r="C194" s="31" t="inlineStr">
        <is>
          <t>metals &amp; mining</t>
        </is>
      </c>
      <c r="D194" s="31" t="inlineStr">
        <is>
          <t>steel - large</t>
        </is>
      </c>
      <c r="E194" s="31" t="inlineStr">
        <is>
          <t>largecap</t>
        </is>
      </c>
      <c r="F194" s="31" t="n">
        <v>307393.56</v>
      </c>
      <c r="G194" s="31" t="n">
        <v>1267.4</v>
      </c>
      <c r="H194" s="31" t="n">
        <v>0.83</v>
      </c>
      <c r="I194" s="31" t="n">
        <v>1941639</v>
      </c>
      <c r="J194" s="31" t="inlineStr">
        <is>
          <t>500228</t>
        </is>
      </c>
    </row>
    <row r="195">
      <c r="A195" s="31" t="inlineStr">
        <is>
          <t>PHOENIXLTD</t>
        </is>
      </c>
      <c r="B195" s="31" t="inlineStr">
        <is>
          <t>The Phoenix Mills Limited</t>
        </is>
      </c>
      <c r="C195" s="31" t="inlineStr">
        <is>
          <t>realty</t>
        </is>
      </c>
      <c r="D195" s="31" t="inlineStr">
        <is>
          <t>construction</t>
        </is>
      </c>
      <c r="E195" s="31" t="inlineStr">
        <is>
          <t>largecap</t>
        </is>
      </c>
      <c r="F195" s="31" t="n">
        <v>74174.63</v>
      </c>
      <c r="G195" s="31" t="n">
        <v>2091.2</v>
      </c>
      <c r="H195" s="31" t="n">
        <v>0.83</v>
      </c>
      <c r="I195" s="31" t="n">
        <v>618619</v>
      </c>
      <c r="J195" s="31" t="inlineStr">
        <is>
          <t>503100</t>
        </is>
      </c>
    </row>
    <row r="196">
      <c r="A196" s="31" t="inlineStr">
        <is>
          <t>AARTIIND</t>
        </is>
      </c>
      <c r="B196" s="31" t="inlineStr">
        <is>
          <t>Aarti Industries Limited</t>
        </is>
      </c>
      <c r="C196" s="31" t="inlineStr">
        <is>
          <t>chemicals</t>
        </is>
      </c>
      <c r="D196" s="31" t="inlineStr">
        <is>
          <t>chemicals</t>
        </is>
      </c>
      <c r="E196" s="31" t="inlineStr">
        <is>
          <t>midcap</t>
        </is>
      </c>
      <c r="F196" s="31" t="n">
        <v>17969.48</v>
      </c>
      <c r="G196" s="31" t="n">
        <v>499.5</v>
      </c>
      <c r="H196" s="31" t="n">
        <v>0.83</v>
      </c>
      <c r="I196" s="31" t="n">
        <v>542679</v>
      </c>
      <c r="J196" s="31" t="inlineStr">
        <is>
          <t>524208</t>
        </is>
      </c>
    </row>
    <row r="197">
      <c r="A197" s="31" t="inlineStr">
        <is>
          <t>WELCORP</t>
        </is>
      </c>
      <c r="B197" s="31" t="inlineStr">
        <is>
          <t>Welspun Corp Limited</t>
        </is>
      </c>
      <c r="C197" s="31" t="inlineStr">
        <is>
          <t>industrials</t>
        </is>
      </c>
      <c r="D197" s="31" t="inlineStr">
        <is>
          <t>steel - large</t>
        </is>
      </c>
      <c r="E197" s="31" t="inlineStr">
        <is>
          <t>largecap</t>
        </is>
      </c>
      <c r="F197" s="31" t="n">
        <v>42623.29</v>
      </c>
      <c r="G197" s="31" t="n">
        <v>1628.9</v>
      </c>
      <c r="H197" s="31" t="n">
        <v>0.8100000000000001</v>
      </c>
      <c r="I197" s="31" t="n">
        <v>594224</v>
      </c>
      <c r="J197" s="31" t="inlineStr">
        <is>
          <t>532144</t>
        </is>
      </c>
    </row>
    <row r="198">
      <c r="A198" s="31" t="inlineStr">
        <is>
          <t>MEDANTA</t>
        </is>
      </c>
      <c r="B198" s="31" t="inlineStr">
        <is>
          <t>Global Health Ltd</t>
        </is>
      </c>
      <c r="C198" s="31" t="inlineStr">
        <is>
          <t>healthcare</t>
        </is>
      </c>
      <c r="D198" s="31" t="inlineStr">
        <is>
          <t>healthcare</t>
        </is>
      </c>
      <c r="E198" s="31" t="inlineStr">
        <is>
          <t>largecap</t>
        </is>
      </c>
      <c r="F198" s="31" t="n">
        <v>35786.75</v>
      </c>
      <c r="G198" s="31" t="n">
        <v>1342</v>
      </c>
      <c r="H198" s="31" t="n">
        <v>0.8</v>
      </c>
      <c r="I198" s="31" t="n">
        <v>163789</v>
      </c>
      <c r="J198" s="31" t="inlineStr">
        <is>
          <t>543654</t>
        </is>
      </c>
    </row>
    <row r="199">
      <c r="A199" s="31" t="inlineStr">
        <is>
          <t>JLHL</t>
        </is>
      </c>
      <c r="B199" s="31" t="inlineStr">
        <is>
          <t>Jupiter Life Line Hospitals Ltd</t>
        </is>
      </c>
      <c r="C199" s="31" t="inlineStr">
        <is>
          <t>healthcare</t>
        </is>
      </c>
      <c r="D199" s="31" t="inlineStr">
        <is>
          <t>healthcare</t>
        </is>
      </c>
      <c r="E199" s="31" t="inlineStr">
        <is>
          <t>midcap</t>
        </is>
      </c>
      <c r="F199" s="31" t="n">
        <v>10215.84</v>
      </c>
      <c r="G199" s="31" t="n">
        <v>1570.5</v>
      </c>
      <c r="H199" s="31" t="n">
        <v>0.8</v>
      </c>
      <c r="I199" s="31" t="n">
        <v>17744</v>
      </c>
      <c r="J199" s="31" t="inlineStr">
        <is>
          <t>543980</t>
        </is>
      </c>
    </row>
    <row r="200">
      <c r="A200" s="31" t="inlineStr">
        <is>
          <t>FUSION</t>
        </is>
      </c>
      <c r="B200" s="31" t="inlineStr">
        <is>
          <t>Fusion Micro Finance Ltd</t>
        </is>
      </c>
      <c r="C200" s="31" t="inlineStr">
        <is>
          <t>financials</t>
        </is>
      </c>
      <c r="D200" s="31" t="inlineStr">
        <is>
          <t>finance &amp; investments</t>
        </is>
      </c>
      <c r="E200" s="31" t="inlineStr">
        <is>
          <t>smallcap</t>
        </is>
      </c>
      <c r="F200" s="31" t="n">
        <v>3662.74</v>
      </c>
      <c r="G200" s="31" t="n">
        <v>227.77</v>
      </c>
      <c r="H200" s="31" t="n">
        <v>0.79</v>
      </c>
      <c r="I200" s="31" t="n">
        <v>263643</v>
      </c>
      <c r="J200" s="31" t="inlineStr">
        <is>
          <t>543652</t>
        </is>
      </c>
    </row>
    <row r="201">
      <c r="A201" s="31" t="inlineStr">
        <is>
          <t>ICEMAKE</t>
        </is>
      </c>
      <c r="B201" s="31" t="inlineStr">
        <is>
          <t>ICE Make Refrigeration Ltd</t>
        </is>
      </c>
      <c r="C201" s="31" t="inlineStr">
        <is>
          <t>industrials</t>
        </is>
      </c>
      <c r="D201" s="31" t="inlineStr">
        <is>
          <t>engineering</t>
        </is>
      </c>
      <c r="E201" s="31" t="inlineStr">
        <is>
          <t>smallcap</t>
        </is>
      </c>
      <c r="F201" s="31" t="n">
        <v>1321.32</v>
      </c>
      <c r="G201" s="31" t="n">
        <v>844</v>
      </c>
      <c r="H201" s="31" t="n">
        <v>0.79</v>
      </c>
      <c r="I201" s="31" t="n">
        <v>37056</v>
      </c>
      <c r="J201" s="31" t="inlineStr">
        <is>
          <t>535034</t>
        </is>
      </c>
    </row>
    <row r="202">
      <c r="A202" s="31" t="inlineStr">
        <is>
          <t>CEMPRO</t>
        </is>
      </c>
      <c r="B202" s="31" t="inlineStr">
        <is>
          <t>Cemindia Projects Ltd</t>
        </is>
      </c>
      <c r="C202" s="31" t="inlineStr">
        <is>
          <t>realty</t>
        </is>
      </c>
      <c r="D202" s="31" t="inlineStr">
        <is>
          <t>construction</t>
        </is>
      </c>
      <c r="E202" s="31" t="inlineStr">
        <is>
          <t>largecap</t>
        </is>
      </c>
      <c r="F202" s="31" t="n">
        <v>27949.84</v>
      </c>
      <c r="G202" s="31" t="n">
        <v>1639.6</v>
      </c>
      <c r="H202" s="31" t="n">
        <v>0.77</v>
      </c>
      <c r="I202" s="31" t="n">
        <v>458838</v>
      </c>
      <c r="J202" s="31" t="inlineStr">
        <is>
          <t>509496</t>
        </is>
      </c>
    </row>
    <row r="203">
      <c r="A203" s="31" t="inlineStr">
        <is>
          <t>GANDHITUBE</t>
        </is>
      </c>
      <c r="B203" s="31" t="inlineStr">
        <is>
          <t>Gandhi Special Tubes Limited</t>
        </is>
      </c>
      <c r="C203" s="31" t="inlineStr">
        <is>
          <t>metals &amp; mining</t>
        </is>
      </c>
      <c r="D203" s="31" t="inlineStr">
        <is>
          <t>steel - medium / small</t>
        </is>
      </c>
      <c r="E203" s="31" t="inlineStr">
        <is>
          <t>smallcap</t>
        </is>
      </c>
      <c r="F203" s="31" t="n">
        <v>1051.39</v>
      </c>
      <c r="G203" s="31" t="n">
        <v>871.8</v>
      </c>
      <c r="H203" s="31" t="n">
        <v>0.76</v>
      </c>
      <c r="I203" s="31" t="n">
        <v>4460</v>
      </c>
      <c r="J203" s="31" t="inlineStr">
        <is>
          <t>513108</t>
        </is>
      </c>
    </row>
    <row r="204">
      <c r="A204" s="31" t="inlineStr">
        <is>
          <t>SHYAMMETL</t>
        </is>
      </c>
      <c r="B204" s="31" t="inlineStr">
        <is>
          <t>Shyam Metalics &amp; Energy Ltd</t>
        </is>
      </c>
      <c r="C204" s="31" t="inlineStr">
        <is>
          <t>metals &amp; mining</t>
        </is>
      </c>
      <c r="D204" s="31" t="inlineStr">
        <is>
          <t>steel - large</t>
        </is>
      </c>
      <c r="E204" s="31" t="inlineStr">
        <is>
          <t>largecap</t>
        </is>
      </c>
      <c r="F204" s="31" t="n">
        <v>29448.41</v>
      </c>
      <c r="G204" s="31" t="n">
        <v>1062.65</v>
      </c>
      <c r="H204" s="31" t="n">
        <v>0.73</v>
      </c>
      <c r="I204" s="31" t="n">
        <v>1032779</v>
      </c>
      <c r="J204" s="31" t="inlineStr">
        <is>
          <t>543299</t>
        </is>
      </c>
    </row>
    <row r="205">
      <c r="A205" s="31" t="inlineStr">
        <is>
          <t>CCL</t>
        </is>
      </c>
      <c r="B205" s="31" t="inlineStr">
        <is>
          <t>Ccl Products (india) Limited</t>
        </is>
      </c>
      <c r="C205" s="31" t="inlineStr">
        <is>
          <t>fmcg</t>
        </is>
      </c>
      <c r="D205" s="31" t="inlineStr">
        <is>
          <t>tea</t>
        </is>
      </c>
      <c r="E205" s="31" t="inlineStr">
        <is>
          <t>midcap</t>
        </is>
      </c>
      <c r="F205" s="31" t="n">
        <v>16038.04</v>
      </c>
      <c r="G205" s="31" t="n">
        <v>1209.9</v>
      </c>
      <c r="H205" s="31" t="n">
        <v>0.73</v>
      </c>
      <c r="I205" s="31" t="n">
        <v>52670</v>
      </c>
      <c r="J205" s="31" t="inlineStr">
        <is>
          <t>519600</t>
        </is>
      </c>
    </row>
    <row r="206">
      <c r="A206" s="31" t="inlineStr">
        <is>
          <t>TORNTPHARM</t>
        </is>
      </c>
      <c r="B206" s="31" t="inlineStr">
        <is>
          <t>Torrent Pharmaceuticals Limited</t>
        </is>
      </c>
      <c r="C206" s="31" t="inlineStr">
        <is>
          <t>healthcare</t>
        </is>
      </c>
      <c r="D206" s="31" t="inlineStr">
        <is>
          <t>pharmaceuticals - indian - formulations</t>
        </is>
      </c>
      <c r="E206" s="31" t="inlineStr">
        <is>
          <t>largecap</t>
        </is>
      </c>
      <c r="F206" s="31" t="n">
        <v>169405.48</v>
      </c>
      <c r="G206" s="31" t="n">
        <v>5040.7</v>
      </c>
      <c r="H206" s="31" t="n">
        <v>0.71</v>
      </c>
      <c r="I206" s="31" t="n">
        <v>287701</v>
      </c>
      <c r="J206" s="31" t="inlineStr">
        <is>
          <t>500420</t>
        </is>
      </c>
    </row>
    <row r="207">
      <c r="A207" s="31" t="inlineStr">
        <is>
          <t>ADANIENSOL</t>
        </is>
      </c>
      <c r="B207" s="31" t="inlineStr">
        <is>
          <t>Adani Energy Solutions Ltd</t>
        </is>
      </c>
      <c r="C207" s="31" t="inlineStr">
        <is>
          <t>power &amp; utilities</t>
        </is>
      </c>
      <c r="D207" s="31" t="inlineStr">
        <is>
          <t>power generation and supply</t>
        </is>
      </c>
      <c r="E207" s="31" t="inlineStr">
        <is>
          <t>largecap</t>
        </is>
      </c>
      <c r="F207" s="31" t="n">
        <v>207761.83</v>
      </c>
      <c r="G207" s="31" t="n">
        <v>1741.6</v>
      </c>
      <c r="H207" s="31" t="n">
        <v>0.7</v>
      </c>
      <c r="I207" s="31" t="n">
        <v>3706829</v>
      </c>
      <c r="J207" s="31" t="inlineStr">
        <is>
          <t>539254</t>
        </is>
      </c>
    </row>
    <row r="208">
      <c r="A208" s="31" t="inlineStr">
        <is>
          <t>AVL</t>
        </is>
      </c>
      <c r="B208" s="31" t="inlineStr">
        <is>
          <t>Aditya Vision Ltd</t>
        </is>
      </c>
      <c r="C208" s="31" t="inlineStr">
        <is>
          <t>consumer discretionary</t>
        </is>
      </c>
      <c r="D208" s="31" t="inlineStr">
        <is>
          <t>trading</t>
        </is>
      </c>
      <c r="E208" s="31" t="inlineStr">
        <is>
          <t>midcap</t>
        </is>
      </c>
      <c r="F208" s="31" t="n">
        <v>8229.969999999999</v>
      </c>
      <c r="G208" s="31" t="n">
        <v>641.65</v>
      </c>
      <c r="H208" s="31" t="n">
        <v>0.68</v>
      </c>
      <c r="I208" s="31" t="n">
        <v>533348</v>
      </c>
      <c r="J208" s="31" t="inlineStr">
        <is>
          <t>540205</t>
        </is>
      </c>
    </row>
    <row r="209">
      <c r="A209" s="31" t="inlineStr">
        <is>
          <t>PRIVISCL</t>
        </is>
      </c>
      <c r="B209" s="31" t="inlineStr">
        <is>
          <t>Privi Speciality Chemicals Ltd</t>
        </is>
      </c>
      <c r="C209" s="31" t="inlineStr">
        <is>
          <t>chemicals</t>
        </is>
      </c>
      <c r="D209" s="31" t="inlineStr">
        <is>
          <t>chemicals</t>
        </is>
      </c>
      <c r="E209" s="31" t="inlineStr">
        <is>
          <t>midcap</t>
        </is>
      </c>
      <c r="F209" s="31" t="n">
        <v>14357.89</v>
      </c>
      <c r="G209" s="31" t="n">
        <v>3699.9</v>
      </c>
      <c r="H209" s="31" t="n">
        <v>0.66</v>
      </c>
      <c r="I209" s="31" t="n">
        <v>38614</v>
      </c>
      <c r="J209" s="31" t="inlineStr">
        <is>
          <t>530117</t>
        </is>
      </c>
    </row>
    <row r="210">
      <c r="A210" s="31" t="inlineStr">
        <is>
          <t>INNOVACAP</t>
        </is>
      </c>
      <c r="B210" s="31" t="inlineStr">
        <is>
          <t>Innova Captab Ltd</t>
        </is>
      </c>
      <c r="C210" s="31" t="inlineStr">
        <is>
          <t>healthcare</t>
        </is>
      </c>
      <c r="D210" s="31" t="inlineStr">
        <is>
          <t>pharmaceuticals - indian - bulk drugs &amp; formln</t>
        </is>
      </c>
      <c r="E210" s="31" t="inlineStr">
        <is>
          <t>midcap</t>
        </is>
      </c>
      <c r="F210" s="31" t="n">
        <v>5569.42</v>
      </c>
      <c r="G210" s="31" t="n">
        <v>979.5</v>
      </c>
      <c r="H210" s="31" t="n">
        <v>0.64</v>
      </c>
      <c r="I210" s="31" t="n">
        <v>23570</v>
      </c>
      <c r="J210" s="31" t="inlineStr">
        <is>
          <t>544067</t>
        </is>
      </c>
    </row>
    <row r="211">
      <c r="A211" s="31" t="inlineStr">
        <is>
          <t>ALKEM</t>
        </is>
      </c>
      <c r="B211" s="31" t="inlineStr">
        <is>
          <t>Alkem Laboratories Limited</t>
        </is>
      </c>
      <c r="C211" s="31" t="inlineStr">
        <is>
          <t>healthcare</t>
        </is>
      </c>
      <c r="D211" s="31" t="inlineStr">
        <is>
          <t>pharmaceuticals - indian - bulk drugs &amp; formln</t>
        </is>
      </c>
      <c r="E211" s="31" t="inlineStr">
        <is>
          <t>largecap</t>
        </is>
      </c>
      <c r="F211" s="31" t="n">
        <v>67596.07000000001</v>
      </c>
      <c r="G211" s="31" t="n">
        <v>5689</v>
      </c>
      <c r="H211" s="31" t="n">
        <v>0.63</v>
      </c>
      <c r="I211" s="31" t="n">
        <v>27882</v>
      </c>
      <c r="J211" s="31" t="inlineStr">
        <is>
          <t>539523</t>
        </is>
      </c>
    </row>
    <row r="212">
      <c r="A212" s="31" t="inlineStr">
        <is>
          <t>THYROCARE</t>
        </is>
      </c>
      <c r="B212" s="31" t="inlineStr">
        <is>
          <t>Thyrocare Technologies Limited</t>
        </is>
      </c>
      <c r="C212" s="31" t="inlineStr">
        <is>
          <t>healthcare</t>
        </is>
      </c>
      <c r="D212" s="31" t="inlineStr">
        <is>
          <t>healthcare</t>
        </is>
      </c>
      <c r="E212" s="31" t="inlineStr">
        <is>
          <t>midcap</t>
        </is>
      </c>
      <c r="F212" s="31" t="n">
        <v>8841.629999999999</v>
      </c>
      <c r="G212" s="31" t="n">
        <v>559</v>
      </c>
      <c r="H212" s="31" t="n">
        <v>0.63</v>
      </c>
      <c r="I212" s="31" t="n">
        <v>646031</v>
      </c>
      <c r="J212" s="31" t="inlineStr">
        <is>
          <t>539871</t>
        </is>
      </c>
    </row>
    <row r="213">
      <c r="A213" s="31" t="inlineStr">
        <is>
          <t>HINDCOMPOS</t>
        </is>
      </c>
      <c r="B213" s="31" t="inlineStr">
        <is>
          <t>Hindustan Composites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smallcap</t>
        </is>
      </c>
      <c r="F213" s="31" t="n">
        <v>651.6799999999999</v>
      </c>
      <c r="G213" s="31" t="n">
        <v>444</v>
      </c>
      <c r="H213" s="31" t="n">
        <v>0.62</v>
      </c>
      <c r="I213" s="31" t="n">
        <v>2609</v>
      </c>
      <c r="J213" s="31" t="inlineStr">
        <is>
          <t>509635</t>
        </is>
      </c>
    </row>
    <row r="214">
      <c r="A214" s="31" t="inlineStr">
        <is>
          <t>MONARCH</t>
        </is>
      </c>
      <c r="B214" s="31" t="inlineStr">
        <is>
          <t>Monarch Networth Capital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2838.05</v>
      </c>
      <c r="G214" s="31" t="n">
        <v>359.95</v>
      </c>
      <c r="H214" s="31" t="n">
        <v>0.59</v>
      </c>
      <c r="I214" s="31" t="n">
        <v>91478</v>
      </c>
      <c r="J214" s="31" t="inlineStr">
        <is>
          <t>511551</t>
        </is>
      </c>
    </row>
    <row r="215">
      <c r="A215" s="31" t="inlineStr">
        <is>
          <t>SUVEN</t>
        </is>
      </c>
      <c r="B215" s="31" t="inlineStr">
        <is>
          <t>Suven Life Sciences Limited</t>
        </is>
      </c>
      <c r="C215" s="31" t="inlineStr">
        <is>
          <t>healthcare</t>
        </is>
      </c>
      <c r="D215" s="31" t="inlineStr">
        <is>
          <t>miscellaneous</t>
        </is>
      </c>
      <c r="E215" s="31" t="inlineStr">
        <is>
          <t>midcap</t>
        </is>
      </c>
      <c r="F215" s="31" t="n">
        <v>8936.15</v>
      </c>
      <c r="G215" s="31" t="n">
        <v>340.45</v>
      </c>
      <c r="H215" s="31" t="n">
        <v>0.58</v>
      </c>
      <c r="I215" s="31" t="n">
        <v>519721</v>
      </c>
      <c r="J215" s="31" t="inlineStr">
        <is>
          <t>530239</t>
        </is>
      </c>
    </row>
    <row r="216">
      <c r="A216" s="31" t="inlineStr">
        <is>
          <t>GAIL</t>
        </is>
      </c>
      <c r="B216" s="31" t="inlineStr">
        <is>
          <t>Gail (india) Limited</t>
        </is>
      </c>
      <c r="C216" s="31" t="inlineStr">
        <is>
          <t>energy</t>
        </is>
      </c>
      <c r="D216" s="31" t="inlineStr">
        <is>
          <t>miscellaneous</t>
        </is>
      </c>
      <c r="E216" s="31" t="inlineStr">
        <is>
          <t>largecap</t>
        </is>
      </c>
      <c r="F216" s="31" t="n">
        <v>113755.8</v>
      </c>
      <c r="G216" s="31" t="n">
        <v>173.99</v>
      </c>
      <c r="H216" s="31" t="n">
        <v>0.57</v>
      </c>
      <c r="I216" s="31" t="n">
        <v>4650768</v>
      </c>
      <c r="J216" s="31" t="inlineStr">
        <is>
          <t>532155</t>
        </is>
      </c>
    </row>
    <row r="217">
      <c r="A217" s="31" t="inlineStr">
        <is>
          <t>ACUTAAS</t>
        </is>
      </c>
      <c r="B217" s="31" t="inlineStr">
        <is>
          <t>Acutaas Chemicals Ltd</t>
        </is>
      </c>
      <c r="C217" s="31" t="inlineStr">
        <is>
          <t>healthcare</t>
        </is>
      </c>
      <c r="D217" s="31" t="inlineStr">
        <is>
          <t>pharmaceuticals - indian - bulk drugs</t>
        </is>
      </c>
      <c r="E217" s="31" t="inlineStr">
        <is>
          <t>largecap</t>
        </is>
      </c>
      <c r="F217" s="31" t="n">
        <v>29933.72</v>
      </c>
      <c r="G217" s="31" t="n">
        <v>3677</v>
      </c>
      <c r="H217" s="31" t="n">
        <v>0.57</v>
      </c>
      <c r="I217" s="31" t="n">
        <v>179935</v>
      </c>
      <c r="J217" s="31" t="inlineStr">
        <is>
          <t>543349</t>
        </is>
      </c>
    </row>
    <row r="218">
      <c r="A218" s="31" t="inlineStr">
        <is>
          <t>TFCILTD</t>
        </is>
      </c>
      <c r="B218" s="31" t="inlineStr">
        <is>
          <t>Tourism Finance Corporation Of India Limited</t>
        </is>
      </c>
      <c r="C218" s="31" t="inlineStr">
        <is>
          <t>financials</t>
        </is>
      </c>
      <c r="D218" s="31" t="inlineStr">
        <is>
          <t>finance - term-lending institutions</t>
        </is>
      </c>
      <c r="E218" s="31" t="inlineStr">
        <is>
          <t>smallcap</t>
        </is>
      </c>
      <c r="F218" s="31" t="n">
        <v>3830.67</v>
      </c>
      <c r="G218" s="31" t="n">
        <v>83.20999999999999</v>
      </c>
      <c r="H218" s="31" t="n">
        <v>0.57</v>
      </c>
      <c r="I218" s="31" t="n">
        <v>8844355</v>
      </c>
      <c r="J218" s="31" t="inlineStr">
        <is>
          <t>526650</t>
        </is>
      </c>
    </row>
    <row r="219">
      <c r="A219" s="31" t="inlineStr">
        <is>
          <t>SETL</t>
        </is>
      </c>
      <c r="B219" s="31" t="inlineStr">
        <is>
          <t>Standard Enginnering Technology Ltd</t>
        </is>
      </c>
      <c r="C219" s="31" t="inlineStr">
        <is>
          <t>industrials</t>
        </is>
      </c>
      <c r="D219" s="31" t="inlineStr">
        <is>
          <t>engineering</t>
        </is>
      </c>
      <c r="E219" s="31" t="inlineStr">
        <is>
          <t>midcap</t>
        </is>
      </c>
      <c r="F219" s="31" t="n">
        <v>5746.36</v>
      </c>
      <c r="G219" s="31" t="n">
        <v>289.65</v>
      </c>
      <c r="H219" s="31" t="n">
        <v>0.5600000000000001</v>
      </c>
      <c r="I219" s="31" t="n">
        <v>515687</v>
      </c>
      <c r="J219" s="31" t="inlineStr">
        <is>
          <t>544333</t>
        </is>
      </c>
    </row>
    <row r="220">
      <c r="A220" s="31" t="inlineStr">
        <is>
          <t>HOMEFIRST</t>
        </is>
      </c>
      <c r="B220" s="31" t="inlineStr">
        <is>
          <t>Home First Finance Company India Ltd</t>
        </is>
      </c>
      <c r="C220" s="31" t="inlineStr">
        <is>
          <t>financials</t>
        </is>
      </c>
      <c r="D220" s="31" t="inlineStr">
        <is>
          <t>finance - housing</t>
        </is>
      </c>
      <c r="E220" s="31" t="inlineStr">
        <is>
          <t>midcap</t>
        </is>
      </c>
      <c r="F220" s="31" t="n">
        <v>13283.04</v>
      </c>
      <c r="G220" s="31" t="n">
        <v>1280.1</v>
      </c>
      <c r="H220" s="31" t="n">
        <v>0.54</v>
      </c>
      <c r="I220" s="31" t="n">
        <v>306205</v>
      </c>
      <c r="J220" s="31" t="inlineStr">
        <is>
          <t>543259</t>
        </is>
      </c>
    </row>
    <row r="221">
      <c r="A221" s="31" t="inlineStr">
        <is>
          <t>RRKABEL</t>
        </is>
      </c>
      <c r="B221" s="31" t="inlineStr">
        <is>
          <t>R R Kabel Ltd</t>
        </is>
      </c>
      <c r="C221" s="31" t="inlineStr">
        <is>
          <t>industrials</t>
        </is>
      </c>
      <c r="D221" s="31" t="inlineStr">
        <is>
          <t>cables - power</t>
        </is>
      </c>
      <c r="E221" s="31" t="inlineStr">
        <is>
          <t>largecap</t>
        </is>
      </c>
      <c r="F221" s="31" t="n">
        <v>26386.38</v>
      </c>
      <c r="G221" s="31" t="n">
        <v>2345.4</v>
      </c>
      <c r="H221" s="31" t="n">
        <v>0.54</v>
      </c>
      <c r="I221" s="31" t="n">
        <v>399505</v>
      </c>
      <c r="J221" s="31" t="inlineStr">
        <is>
          <t>543981</t>
        </is>
      </c>
    </row>
    <row r="222">
      <c r="A222" s="31" t="inlineStr">
        <is>
          <t>MANKIND</t>
        </is>
      </c>
      <c r="B222" s="31" t="inlineStr">
        <is>
          <t>Mankind Pharma Ltd</t>
        </is>
      </c>
      <c r="C222" s="31" t="inlineStr">
        <is>
          <t>healthcare</t>
        </is>
      </c>
      <c r="D222" s="31" t="inlineStr">
        <is>
          <t>pharmaceuticals - indian - bulk drugs &amp; formln</t>
        </is>
      </c>
      <c r="E222" s="31" t="inlineStr">
        <is>
          <t>largecap</t>
        </is>
      </c>
      <c r="F222" s="31" t="n">
        <v>105923.49</v>
      </c>
      <c r="G222" s="31" t="n">
        <v>2579.5</v>
      </c>
      <c r="H222" s="31" t="n">
        <v>0.53</v>
      </c>
      <c r="I222" s="31" t="n">
        <v>165940</v>
      </c>
      <c r="J222" s="31" t="inlineStr">
        <is>
          <t>543904</t>
        </is>
      </c>
    </row>
    <row r="223">
      <c r="A223" s="31" t="inlineStr">
        <is>
          <t>LLOYDSENGG</t>
        </is>
      </c>
      <c r="B223" s="31" t="inlineStr">
        <is>
          <t>Lloyds Engineering Works Ltd</t>
        </is>
      </c>
      <c r="C223" s="31" t="inlineStr">
        <is>
          <t>industrials</t>
        </is>
      </c>
      <c r="D223" s="31" t="inlineStr">
        <is>
          <t>engineering</t>
        </is>
      </c>
      <c r="E223" s="31" t="inlineStr">
        <is>
          <t>midcap</t>
        </is>
      </c>
      <c r="F223" s="31" t="n">
        <v>13427.77</v>
      </c>
      <c r="G223" s="31" t="n">
        <v>91.17</v>
      </c>
      <c r="H223" s="31" t="n">
        <v>0.51</v>
      </c>
      <c r="I223" s="31" t="n">
        <v>11590894</v>
      </c>
      <c r="J223" s="31" t="inlineStr">
        <is>
          <t>539992</t>
        </is>
      </c>
    </row>
    <row r="224">
      <c r="A224" s="31" t="inlineStr">
        <is>
          <t>VENKEYS</t>
        </is>
      </c>
      <c r="B224" s="31" t="inlineStr">
        <is>
          <t>Venky's (india) Limited</t>
        </is>
      </c>
      <c r="C224" s="31" t="inlineStr">
        <is>
          <t>fmcg</t>
        </is>
      </c>
      <c r="D224" s="31" t="inlineStr">
        <is>
          <t>miscellaneous</t>
        </is>
      </c>
      <c r="E224" s="31" t="inlineStr">
        <is>
          <t>smallcap</t>
        </is>
      </c>
      <c r="F224" s="31" t="n">
        <v>2144.52</v>
      </c>
      <c r="G224" s="31" t="n">
        <v>1530</v>
      </c>
      <c r="H224" s="31" t="n">
        <v>0.51</v>
      </c>
      <c r="I224" s="31" t="n">
        <v>59725</v>
      </c>
      <c r="J224" s="31" t="inlineStr">
        <is>
          <t>523261</t>
        </is>
      </c>
    </row>
    <row r="225">
      <c r="A225" s="31" t="inlineStr">
        <is>
          <t>BAJFINANCE</t>
        </is>
      </c>
      <c r="B225" s="31" t="inlineStr">
        <is>
          <t>Bajaj Finance Limited</t>
        </is>
      </c>
      <c r="C225" s="31" t="inlineStr">
        <is>
          <t>financials</t>
        </is>
      </c>
      <c r="D225" s="31" t="inlineStr">
        <is>
          <t>finance &amp; investments</t>
        </is>
      </c>
      <c r="E225" s="31" t="inlineStr">
        <is>
          <t>largecap</t>
        </is>
      </c>
      <c r="F225" s="31" t="n">
        <v>662072.0699999999</v>
      </c>
      <c r="G225" s="31" t="n">
        <v>1069.2</v>
      </c>
      <c r="H225" s="31" t="n">
        <v>0.49</v>
      </c>
      <c r="I225" s="31" t="n">
        <v>6970658</v>
      </c>
      <c r="J225" s="31" t="inlineStr">
        <is>
          <t>500034</t>
        </is>
      </c>
    </row>
    <row r="226">
      <c r="A226" s="31" t="inlineStr">
        <is>
          <t>PSPPROJECT</t>
        </is>
      </c>
      <c r="B226" s="31" t="inlineStr">
        <is>
          <t>PSP Projects Ltd</t>
        </is>
      </c>
      <c r="C226" s="31" t="inlineStr">
        <is>
          <t>realty</t>
        </is>
      </c>
      <c r="D226" s="31" t="inlineStr">
        <is>
          <t>construction</t>
        </is>
      </c>
      <c r="E226" s="31" t="inlineStr">
        <is>
          <t>smallcap</t>
        </is>
      </c>
      <c r="F226" s="31" t="n">
        <v>4250.79</v>
      </c>
      <c r="G226" s="31" t="n">
        <v>1077.4</v>
      </c>
      <c r="H226" s="31" t="n">
        <v>0.48</v>
      </c>
      <c r="I226" s="31" t="n">
        <v>59773</v>
      </c>
      <c r="J226" s="31" t="inlineStr">
        <is>
          <t>540544</t>
        </is>
      </c>
    </row>
    <row r="227">
      <c r="A227" s="31" t="inlineStr">
        <is>
          <t>GUFICBIO</t>
        </is>
      </c>
      <c r="B227" s="31" t="inlineStr">
        <is>
          <t>Gufic Biosciences Limited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smallcap</t>
        </is>
      </c>
      <c r="F227" s="31" t="n">
        <v>3948.62</v>
      </c>
      <c r="G227" s="31" t="n">
        <v>395.65</v>
      </c>
      <c r="H227" s="31" t="n">
        <v>0.48</v>
      </c>
      <c r="I227" s="31" t="n">
        <v>88652</v>
      </c>
      <c r="J227" s="31" t="inlineStr">
        <is>
          <t>509079</t>
        </is>
      </c>
    </row>
    <row r="228">
      <c r="A228" s="31" t="inlineStr">
        <is>
          <t>SPORTKING</t>
        </is>
      </c>
      <c r="B228" s="31" t="inlineStr">
        <is>
          <t>Sportking India Ltd</t>
        </is>
      </c>
      <c r="C228" s="31" t="inlineStr">
        <is>
          <t>textiles</t>
        </is>
      </c>
      <c r="D228" s="31" t="inlineStr">
        <is>
          <t>textiles - spinning - synthetic / blended</t>
        </is>
      </c>
      <c r="E228" s="31" t="inlineStr">
        <is>
          <t>smallcap</t>
        </is>
      </c>
      <c r="F228" s="31" t="n">
        <v>2510.31</v>
      </c>
      <c r="G228" s="31" t="n">
        <v>198.46</v>
      </c>
      <c r="H228" s="31" t="n">
        <v>0.46</v>
      </c>
      <c r="I228" s="31" t="n">
        <v>351637</v>
      </c>
      <c r="J228" s="31" t="inlineStr">
        <is>
          <t>539221</t>
        </is>
      </c>
    </row>
    <row r="229">
      <c r="A229" s="31" t="inlineStr">
        <is>
          <t>BHARTIARTL</t>
        </is>
      </c>
      <c r="B229" s="31" t="inlineStr">
        <is>
          <t>Bharti Airtel Limited</t>
        </is>
      </c>
      <c r="C229" s="31" t="inlineStr">
        <is>
          <t>telecom-service</t>
        </is>
      </c>
      <c r="D229" s="31" t="inlineStr">
        <is>
          <t>telecommunications - service provider</t>
        </is>
      </c>
      <c r="E229" s="31" t="inlineStr">
        <is>
          <t>largecap</t>
        </is>
      </c>
      <c r="F229" s="31" t="n">
        <v>1210846.35</v>
      </c>
      <c r="G229" s="31" t="n">
        <v>1948.4</v>
      </c>
      <c r="H229" s="31" t="n">
        <v>0.43</v>
      </c>
      <c r="I229" s="31" t="n">
        <v>5061312</v>
      </c>
      <c r="J229" s="31" t="inlineStr">
        <is>
          <t>532454</t>
        </is>
      </c>
    </row>
    <row r="230">
      <c r="A230" s="31" t="inlineStr">
        <is>
          <t>KOPRAN</t>
        </is>
      </c>
      <c r="B230" s="31" t="inlineStr">
        <is>
          <t>Kopran Limited</t>
        </is>
      </c>
      <c r="C230" s="31" t="inlineStr">
        <is>
          <t>healthcare</t>
        </is>
      </c>
      <c r="D230" s="31" t="inlineStr">
        <is>
          <t>pharmaceuticals - indian - bulk drugs &amp; formln</t>
        </is>
      </c>
      <c r="E230" s="31" t="inlineStr">
        <is>
          <t>smallcap</t>
        </is>
      </c>
      <c r="F230" s="31" t="n">
        <v>980.83</v>
      </c>
      <c r="G230" s="31" t="n">
        <v>204</v>
      </c>
      <c r="H230" s="31" t="n">
        <v>0.43</v>
      </c>
      <c r="I230" s="31" t="n">
        <v>116371</v>
      </c>
      <c r="J230" s="31" t="inlineStr">
        <is>
          <t>524280</t>
        </is>
      </c>
    </row>
    <row r="231">
      <c r="A231" s="31" t="inlineStr">
        <is>
          <t>OCCLLTD</t>
        </is>
      </c>
      <c r="B231" s="31" t="inlineStr">
        <is>
          <t>OCCL Ltd</t>
        </is>
      </c>
      <c r="C231" s="31" t="inlineStr">
        <is>
          <t>chemicals</t>
        </is>
      </c>
      <c r="D231" s="31" t="inlineStr">
        <is>
          <t>chemicals</t>
        </is>
      </c>
      <c r="E231" s="31" t="inlineStr">
        <is>
          <t>smallcap</t>
        </is>
      </c>
      <c r="F231" s="31" t="n">
        <v>678.03</v>
      </c>
      <c r="G231" s="31" t="n">
        <v>136.3</v>
      </c>
      <c r="H231" s="31" t="n">
        <v>0.41</v>
      </c>
      <c r="I231" s="31" t="n">
        <v>26075</v>
      </c>
      <c r="J231" s="31" t="inlineStr">
        <is>
          <t>544278</t>
        </is>
      </c>
    </row>
    <row r="232">
      <c r="A232" s="31" t="inlineStr">
        <is>
          <t>ANANDRATHI</t>
        </is>
      </c>
      <c r="B232" s="31" t="inlineStr">
        <is>
          <t>Anand Rathi Wealth Ltd</t>
        </is>
      </c>
      <c r="C232" s="31" t="inlineStr">
        <is>
          <t>financials</t>
        </is>
      </c>
      <c r="D232" s="31" t="inlineStr">
        <is>
          <t>finance &amp; investments</t>
        </is>
      </c>
      <c r="E232" s="31" t="inlineStr">
        <is>
          <t>largecap</t>
        </is>
      </c>
      <c r="F232" s="31" t="n">
        <v>34581.41</v>
      </c>
      <c r="G232" s="31" t="n">
        <v>2091.2</v>
      </c>
      <c r="H232" s="31" t="n">
        <v>0.41</v>
      </c>
      <c r="I232" s="31" t="n">
        <v>108461</v>
      </c>
      <c r="J232" s="31" t="inlineStr">
        <is>
          <t>543415</t>
        </is>
      </c>
    </row>
    <row r="233">
      <c r="A233" s="31" t="inlineStr">
        <is>
          <t>NRL</t>
        </is>
      </c>
      <c r="B233" s="31" t="inlineStr">
        <is>
          <t>Nupur Recyclers Ltd</t>
        </is>
      </c>
      <c r="C233" s="31" t="inlineStr">
        <is>
          <t>services</t>
        </is>
      </c>
      <c r="D233" s="31" t="inlineStr">
        <is>
          <t>trading</t>
        </is>
      </c>
      <c r="E233" s="31" t="inlineStr">
        <is>
          <t>smallcap</t>
        </is>
      </c>
      <c r="F233" s="31" t="n">
        <v>760.45</v>
      </c>
      <c r="G233" s="31" t="n">
        <v>110.55</v>
      </c>
      <c r="H233" s="31" t="n">
        <v>0.41</v>
      </c>
      <c r="I233" s="31" t="n">
        <v>144404</v>
      </c>
      <c r="J233" s="31" t="inlineStr">
        <is>
          <t>535413</t>
        </is>
      </c>
    </row>
    <row r="234">
      <c r="A234" s="31" t="inlineStr">
        <is>
          <t>SAREGAMA</t>
        </is>
      </c>
      <c r="B234" s="31" t="inlineStr">
        <is>
          <t>Saregama India Limited</t>
        </is>
      </c>
      <c r="C234" s="31" t="inlineStr">
        <is>
          <t>media</t>
        </is>
      </c>
      <c r="D234" s="31" t="inlineStr">
        <is>
          <t>entertainment / electronic media software</t>
        </is>
      </c>
      <c r="E234" s="31" t="inlineStr">
        <is>
          <t>midcap</t>
        </is>
      </c>
      <c r="F234" s="31" t="n">
        <v>9913.299999999999</v>
      </c>
      <c r="G234" s="31" t="n">
        <v>516.2</v>
      </c>
      <c r="H234" s="31" t="n">
        <v>0.4</v>
      </c>
      <c r="I234" s="31" t="n">
        <v>445745</v>
      </c>
      <c r="J234" s="31" t="inlineStr">
        <is>
          <t>532163</t>
        </is>
      </c>
    </row>
    <row r="235">
      <c r="A235" s="31" t="inlineStr">
        <is>
          <t>LALPATHLAB</t>
        </is>
      </c>
      <c r="B235" s="31" t="inlineStr">
        <is>
          <t>Dr. Lal Path Labs Ltd.</t>
        </is>
      </c>
      <c r="C235" s="31" t="inlineStr">
        <is>
          <t>healthcare</t>
        </is>
      </c>
      <c r="D235" s="31" t="inlineStr">
        <is>
          <t>healthcare</t>
        </is>
      </c>
      <c r="E235" s="31" t="inlineStr">
        <is>
          <t>largecap</t>
        </is>
      </c>
      <c r="F235" s="31" t="n">
        <v>28372.09</v>
      </c>
      <c r="G235" s="31" t="n">
        <v>1700.1</v>
      </c>
      <c r="H235" s="31" t="n">
        <v>0.4</v>
      </c>
      <c r="I235" s="31" t="n">
        <v>138917</v>
      </c>
      <c r="J235" s="31" t="inlineStr">
        <is>
          <t>539524</t>
        </is>
      </c>
    </row>
    <row r="236">
      <c r="A236" s="31" t="inlineStr">
        <is>
          <t>MUTHOOTMF</t>
        </is>
      </c>
      <c r="B236" s="31" t="inlineStr">
        <is>
          <t>Muthoot Microfin Ltd</t>
        </is>
      </c>
      <c r="C236" s="31" t="inlineStr">
        <is>
          <t>financials</t>
        </is>
      </c>
      <c r="D236" s="31" t="inlineStr">
        <is>
          <t>finance &amp; investments</t>
        </is>
      </c>
      <c r="E236" s="31" t="inlineStr">
        <is>
          <t>smallcap</t>
        </is>
      </c>
      <c r="F236" s="31" t="n">
        <v>4318.4</v>
      </c>
      <c r="G236" s="31" t="n">
        <v>254.3</v>
      </c>
      <c r="H236" s="31" t="n">
        <v>0.4</v>
      </c>
      <c r="I236" s="31" t="n">
        <v>472240</v>
      </c>
      <c r="J236" s="31" t="inlineStr">
        <is>
          <t>544055</t>
        </is>
      </c>
    </row>
    <row r="237">
      <c r="A237" s="31" t="inlineStr">
        <is>
          <t>NESTLEIND</t>
        </is>
      </c>
      <c r="B237" s="31" t="inlineStr">
        <is>
          <t>Nestle India Limited</t>
        </is>
      </c>
      <c r="C237" s="31" t="inlineStr">
        <is>
          <t>fmcg</t>
        </is>
      </c>
      <c r="D237" s="31" t="inlineStr">
        <is>
          <t>food - processing - mnc</t>
        </is>
      </c>
      <c r="E237" s="31" t="inlineStr">
        <is>
          <t>largecap</t>
        </is>
      </c>
      <c r="F237" s="31" t="n">
        <v>278892.1</v>
      </c>
      <c r="G237" s="31" t="n">
        <v>1451.9</v>
      </c>
      <c r="H237" s="31" t="n">
        <v>0.39</v>
      </c>
      <c r="I237" s="31" t="n">
        <v>1657756</v>
      </c>
      <c r="J237" s="31" t="inlineStr">
        <is>
          <t>500790</t>
        </is>
      </c>
    </row>
    <row r="238">
      <c r="A238" s="31" t="inlineStr">
        <is>
          <t>HINDPETRO</t>
        </is>
      </c>
      <c r="B238" s="31" t="inlineStr">
        <is>
          <t>Hindustan Petroleum Corporation Limited</t>
        </is>
      </c>
      <c r="C238" s="31" t="inlineStr">
        <is>
          <t>energy</t>
        </is>
      </c>
      <c r="D238" s="31" t="inlineStr">
        <is>
          <t>refineries</t>
        </is>
      </c>
      <c r="E238" s="31" t="inlineStr">
        <is>
          <t>largecap</t>
        </is>
      </c>
      <c r="F238" s="31" t="n">
        <v>86261.92</v>
      </c>
      <c r="G238" s="31" t="n">
        <v>406.95</v>
      </c>
      <c r="H238" s="31" t="n">
        <v>0.38</v>
      </c>
      <c r="I238" s="31" t="n">
        <v>4149372</v>
      </c>
      <c r="J238" s="31" t="inlineStr">
        <is>
          <t>500104</t>
        </is>
      </c>
    </row>
    <row r="239">
      <c r="A239" s="31" t="inlineStr">
        <is>
          <t>ENDURANCE</t>
        </is>
      </c>
      <c r="B239" s="31" t="inlineStr">
        <is>
          <t>Endurance Technologies Limited</t>
        </is>
      </c>
      <c r="C239" s="31" t="inlineStr">
        <is>
          <t>auto</t>
        </is>
      </c>
      <c r="D239" s="31" t="inlineStr">
        <is>
          <t>auto ancillaries</t>
        </is>
      </c>
      <c r="E239" s="31" t="inlineStr">
        <is>
          <t>largecap</t>
        </is>
      </c>
      <c r="F239" s="31" t="n">
        <v>38562.72</v>
      </c>
      <c r="G239" s="31" t="n">
        <v>2752</v>
      </c>
      <c r="H239" s="31" t="n">
        <v>0.38</v>
      </c>
      <c r="I239" s="31" t="n">
        <v>55674</v>
      </c>
      <c r="J239" s="31" t="inlineStr">
        <is>
          <t>540153</t>
        </is>
      </c>
    </row>
    <row r="240">
      <c r="A240" s="31" t="inlineStr">
        <is>
          <t>ANTELOPUS</t>
        </is>
      </c>
      <c r="B240" s="31" t="inlineStr">
        <is>
          <t>Antelopus Selan Energy Ltd</t>
        </is>
      </c>
      <c r="C240" s="31" t="inlineStr">
        <is>
          <t>energy</t>
        </is>
      </c>
      <c r="D240" s="31" t="inlineStr">
        <is>
          <t>oil drilling / allied services</t>
        </is>
      </c>
      <c r="E240" s="31" t="inlineStr">
        <is>
          <t>smallcap</t>
        </is>
      </c>
      <c r="F240" s="31" t="n">
        <v>3030.29</v>
      </c>
      <c r="G240" s="31" t="n">
        <v>865</v>
      </c>
      <c r="H240" s="31" t="n">
        <v>0.37</v>
      </c>
      <c r="I240" s="31" t="n">
        <v>122455</v>
      </c>
      <c r="J240" s="31" t="inlineStr">
        <is>
          <t>530075</t>
        </is>
      </c>
    </row>
    <row r="241">
      <c r="A241" s="31" t="inlineStr">
        <is>
          <t>MANORAMA</t>
        </is>
      </c>
      <c r="B241" s="31" t="inlineStr">
        <is>
          <t>Manorama Industries Ltd</t>
        </is>
      </c>
      <c r="C241" s="31" t="inlineStr">
        <is>
          <t>fmcg</t>
        </is>
      </c>
      <c r="D241" s="31" t="inlineStr">
        <is>
          <t>food - processing - indian</t>
        </is>
      </c>
      <c r="E241" s="31" t="inlineStr">
        <is>
          <t>midcap</t>
        </is>
      </c>
      <c r="F241" s="31" t="n">
        <v>9559.93</v>
      </c>
      <c r="G241" s="31" t="n">
        <v>1607.1</v>
      </c>
      <c r="H241" s="31" t="n">
        <v>0.37</v>
      </c>
      <c r="I241" s="31" t="n">
        <v>50167</v>
      </c>
      <c r="J241" s="31" t="inlineStr">
        <is>
          <t>541974</t>
        </is>
      </c>
    </row>
    <row r="242">
      <c r="A242" s="31" t="inlineStr">
        <is>
          <t>GNA</t>
        </is>
      </c>
      <c r="B242" s="31" t="inlineStr">
        <is>
          <t>Gna Axles Limited</t>
        </is>
      </c>
      <c r="C242" s="31" t="inlineStr">
        <is>
          <t>auto</t>
        </is>
      </c>
      <c r="D242" s="31" t="inlineStr">
        <is>
          <t>auto ancillaries</t>
        </is>
      </c>
      <c r="E242" s="31" t="inlineStr">
        <is>
          <t>smallcap</t>
        </is>
      </c>
      <c r="F242" s="31" t="n">
        <v>2180.88</v>
      </c>
      <c r="G242" s="31" t="n">
        <v>509.8</v>
      </c>
      <c r="H242" s="31" t="n">
        <v>0.35</v>
      </c>
      <c r="I242" s="31" t="n">
        <v>1071317</v>
      </c>
      <c r="J242" s="31" t="inlineStr">
        <is>
          <t>540124</t>
        </is>
      </c>
    </row>
    <row r="243">
      <c r="A243" s="31" t="inlineStr">
        <is>
          <t>INDOTECH</t>
        </is>
      </c>
      <c r="B243" s="31" t="inlineStr">
        <is>
          <t>Indo Tech Transformers Limited</t>
        </is>
      </c>
      <c r="C243" s="31" t="inlineStr">
        <is>
          <t>industrials</t>
        </is>
      </c>
      <c r="D243" s="31" t="inlineStr">
        <is>
          <t>electric equipment</t>
        </is>
      </c>
      <c r="E243" s="31" t="inlineStr">
        <is>
          <t>smallcap</t>
        </is>
      </c>
      <c r="F243" s="31" t="n">
        <v>3619.19</v>
      </c>
      <c r="G243" s="31" t="n">
        <v>3419.2</v>
      </c>
      <c r="H243" s="31" t="n">
        <v>0.33</v>
      </c>
      <c r="I243" s="31" t="n">
        <v>13590</v>
      </c>
      <c r="J243" s="31" t="inlineStr">
        <is>
          <t>532717</t>
        </is>
      </c>
    </row>
    <row r="244">
      <c r="A244" s="31" t="inlineStr">
        <is>
          <t>PICCADIL</t>
        </is>
      </c>
      <c r="B244" s="31" t="inlineStr">
        <is>
          <t>Piccadily Agro Industries Ltd</t>
        </is>
      </c>
      <c r="C244" s="31" t="inlineStr">
        <is>
          <t>fmcg</t>
        </is>
      </c>
      <c r="D244" s="31" t="inlineStr">
        <is>
          <t>breweries &amp; distilleries</t>
        </is>
      </c>
      <c r="E244" s="31" t="inlineStr">
        <is>
          <t>midcap</t>
        </is>
      </c>
      <c r="F244" s="31" t="n">
        <v>7408.68</v>
      </c>
      <c r="G244" s="31" t="n">
        <v>753.95</v>
      </c>
      <c r="H244" s="31" t="n">
        <v>0.31</v>
      </c>
      <c r="I244" s="31" t="n">
        <v>629956</v>
      </c>
      <c r="J244" s="31" t="inlineStr">
        <is>
          <t>530305</t>
        </is>
      </c>
    </row>
    <row r="245">
      <c r="A245" s="31" t="inlineStr">
        <is>
          <t>PNB</t>
        </is>
      </c>
      <c r="B245" s="31" t="inlineStr">
        <is>
          <t>Punjab National Bank Ltd</t>
        </is>
      </c>
      <c r="C245" s="31" t="inlineStr">
        <is>
          <t>bank</t>
        </is>
      </c>
      <c r="D245" s="31" t="inlineStr">
        <is>
          <t>banks - public sector</t>
        </is>
      </c>
      <c r="E245" s="31" t="inlineStr">
        <is>
          <t>largecap</t>
        </is>
      </c>
      <c r="F245" s="31" t="n">
        <v>128445.13</v>
      </c>
      <c r="G245" s="31" t="n">
        <v>112.08</v>
      </c>
      <c r="H245" s="31" t="n">
        <v>0.29</v>
      </c>
      <c r="I245" s="31" t="n">
        <v>28707183</v>
      </c>
      <c r="J245" s="31" t="inlineStr">
        <is>
          <t>532461</t>
        </is>
      </c>
    </row>
    <row r="246">
      <c r="A246" s="31" t="inlineStr">
        <is>
          <t>SUNPHARMA</t>
        </is>
      </c>
      <c r="B246" s="31" t="inlineStr">
        <is>
          <t>Sun Pharmaceuticals Industries Limited</t>
        </is>
      </c>
      <c r="C246" s="31" t="inlineStr">
        <is>
          <t>healthcare</t>
        </is>
      </c>
      <c r="D246" s="31" t="inlineStr">
        <is>
          <t>pharmaceuticals - indian - bulk drugs &amp; formln</t>
        </is>
      </c>
      <c r="E246" s="31" t="inlineStr">
        <is>
          <t>largecap</t>
        </is>
      </c>
      <c r="F246" s="31" t="n">
        <v>469405.89</v>
      </c>
      <c r="G246" s="31" t="n">
        <v>1961.9</v>
      </c>
      <c r="H246" s="31" t="n">
        <v>0.28</v>
      </c>
      <c r="I246" s="31" t="n">
        <v>1412579</v>
      </c>
      <c r="J246" s="31" t="inlineStr">
        <is>
          <t>524715</t>
        </is>
      </c>
    </row>
    <row r="247">
      <c r="A247" s="31" t="inlineStr">
        <is>
          <t>AGARWALEYE</t>
        </is>
      </c>
      <c r="B247" s="31" t="inlineStr">
        <is>
          <t>Dr Agarwals Health Care Ltd</t>
        </is>
      </c>
      <c r="C247" s="31" t="inlineStr">
        <is>
          <t>healthcare</t>
        </is>
      </c>
      <c r="D247" s="31" t="inlineStr">
        <is>
          <t>healthcare</t>
        </is>
      </c>
      <c r="E247" s="31" t="inlineStr">
        <is>
          <t>midcap</t>
        </is>
      </c>
      <c r="F247" s="31" t="n">
        <v>15364.17</v>
      </c>
      <c r="G247" s="31" t="n">
        <v>486</v>
      </c>
      <c r="H247" s="31" t="n">
        <v>0.27</v>
      </c>
      <c r="I247" s="31" t="n">
        <v>62343</v>
      </c>
      <c r="J247" s="31" t="inlineStr">
        <is>
          <t>544350</t>
        </is>
      </c>
    </row>
    <row r="248">
      <c r="A248" s="31" t="inlineStr">
        <is>
          <t>KMEW</t>
        </is>
      </c>
      <c r="B248" s="31" t="inlineStr">
        <is>
          <t>Knowledge Marine &amp; Engineering Works Ltd</t>
        </is>
      </c>
      <c r="C248" s="31" t="inlineStr">
        <is>
          <t>transportation</t>
        </is>
      </c>
      <c r="D248" s="31" t="inlineStr">
        <is>
          <t>miscellaneous</t>
        </is>
      </c>
      <c r="E248" s="31" t="inlineStr">
        <is>
          <t>midcap</t>
        </is>
      </c>
      <c r="F248" s="31" t="n">
        <v>5977.32</v>
      </c>
      <c r="G248" s="31" t="n">
        <v>2451.8</v>
      </c>
      <c r="H248" s="31" t="n">
        <v>0.27</v>
      </c>
      <c r="I248" s="31" t="n">
        <v>36988</v>
      </c>
      <c r="J248" s="31" t="inlineStr">
        <is>
          <t>543273</t>
        </is>
      </c>
    </row>
    <row r="249">
      <c r="A249" s="31" t="inlineStr">
        <is>
          <t>NAVINFLUOR</t>
        </is>
      </c>
      <c r="B249" s="31" t="inlineStr">
        <is>
          <t>Navin Fluorine International Limited</t>
        </is>
      </c>
      <c r="C249" s="31" t="inlineStr">
        <is>
          <t>chemicals</t>
        </is>
      </c>
      <c r="D249" s="31" t="inlineStr">
        <is>
          <t>chemicals</t>
        </is>
      </c>
      <c r="E249" s="31" t="inlineStr">
        <is>
          <t>largecap</t>
        </is>
      </c>
      <c r="F249" s="31" t="n">
        <v>40289.07</v>
      </c>
      <c r="G249" s="31" t="n">
        <v>7882</v>
      </c>
      <c r="H249" s="31" t="n">
        <v>0.26</v>
      </c>
      <c r="I249" s="31" t="n">
        <v>113475</v>
      </c>
      <c r="J249" s="31" t="inlineStr">
        <is>
          <t>532504</t>
        </is>
      </c>
    </row>
    <row r="250">
      <c r="A250" s="31" t="inlineStr">
        <is>
          <t>TRIVENI</t>
        </is>
      </c>
      <c r="B250" s="31" t="inlineStr">
        <is>
          <t>Triveni Engineering &amp; Industries Limited</t>
        </is>
      </c>
      <c r="C250" s="31" t="inlineStr">
        <is>
          <t>fmcg</t>
        </is>
      </c>
      <c r="D250" s="31" t="inlineStr">
        <is>
          <t>sugar</t>
        </is>
      </c>
      <c r="E250" s="31" t="inlineStr">
        <is>
          <t>midcap</t>
        </is>
      </c>
      <c r="F250" s="31" t="n">
        <v>10295.87</v>
      </c>
      <c r="G250" s="31" t="n">
        <v>471.5</v>
      </c>
      <c r="H250" s="31" t="n">
        <v>0.24</v>
      </c>
      <c r="I250" s="31" t="n">
        <v>1038733</v>
      </c>
      <c r="J250" s="31" t="inlineStr">
        <is>
          <t>532356</t>
        </is>
      </c>
    </row>
    <row r="251">
      <c r="A251" s="31" t="inlineStr">
        <is>
          <t>APOLLOHOSP</t>
        </is>
      </c>
      <c r="B251" s="31" t="inlineStr">
        <is>
          <t>Apollo Hospitals Enterprise Limited</t>
        </is>
      </c>
      <c r="C251" s="31" t="inlineStr">
        <is>
          <t>healthcare</t>
        </is>
      </c>
      <c r="D251" s="31" t="inlineStr">
        <is>
          <t>healthcare</t>
        </is>
      </c>
      <c r="E251" s="31" t="inlineStr">
        <is>
          <t>largecap</t>
        </is>
      </c>
      <c r="F251" s="31" t="n">
        <v>128040.24</v>
      </c>
      <c r="G251" s="31" t="n">
        <v>8926.5</v>
      </c>
      <c r="H251" s="31" t="n">
        <v>0.24</v>
      </c>
      <c r="I251" s="31" t="n">
        <v>200397</v>
      </c>
      <c r="J251" s="31" t="inlineStr">
        <is>
          <t>508869</t>
        </is>
      </c>
    </row>
    <row r="252">
      <c r="A252" s="31" t="inlineStr">
        <is>
          <t>CHOICEIN</t>
        </is>
      </c>
      <c r="B252" s="31" t="inlineStr">
        <is>
          <t>Choice International Ltd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midcap</t>
        </is>
      </c>
      <c r="F252" s="31" t="n">
        <v>18157.4</v>
      </c>
      <c r="G252" s="31" t="n">
        <v>816.9</v>
      </c>
      <c r="H252" s="31" t="n">
        <v>0.23</v>
      </c>
      <c r="I252" s="31" t="n">
        <v>876231</v>
      </c>
      <c r="J252" s="31" t="inlineStr">
        <is>
          <t>531358</t>
        </is>
      </c>
    </row>
    <row r="253">
      <c r="A253" s="31" t="inlineStr">
        <is>
          <t>TIPSMUSIC</t>
        </is>
      </c>
      <c r="B253" s="31" t="inlineStr">
        <is>
          <t>Tips Music Ltd</t>
        </is>
      </c>
      <c r="C253" s="31" t="inlineStr">
        <is>
          <t>media</t>
        </is>
      </c>
      <c r="D253" s="31" t="inlineStr">
        <is>
          <t>entertainment / electronic media software</t>
        </is>
      </c>
      <c r="E253" s="31" t="inlineStr">
        <is>
          <t>midcap</t>
        </is>
      </c>
      <c r="F253" s="31" t="n">
        <v>9083.07</v>
      </c>
      <c r="G253" s="31" t="n">
        <v>712.2</v>
      </c>
      <c r="H253" s="31" t="n">
        <v>0.23</v>
      </c>
      <c r="I253" s="31" t="n">
        <v>365669</v>
      </c>
      <c r="J253" s="31" t="inlineStr">
        <is>
          <t>532375</t>
        </is>
      </c>
    </row>
    <row r="254">
      <c r="A254" s="31" t="inlineStr">
        <is>
          <t>HAPPYFORGE</t>
        </is>
      </c>
      <c r="B254" s="31" t="inlineStr">
        <is>
          <t>Happy Forgings Ltd</t>
        </is>
      </c>
      <c r="C254" s="31" t="inlineStr">
        <is>
          <t>industrials</t>
        </is>
      </c>
      <c r="D254" s="31" t="inlineStr">
        <is>
          <t>castings &amp; forgings</t>
        </is>
      </c>
      <c r="E254" s="31" t="inlineStr">
        <is>
          <t>midcap</t>
        </is>
      </c>
      <c r="F254" s="31" t="n">
        <v>15176.1</v>
      </c>
      <c r="G254" s="31" t="n">
        <v>1611.6</v>
      </c>
      <c r="H254" s="31" t="n">
        <v>0.22</v>
      </c>
      <c r="I254" s="31" t="n">
        <v>35283</v>
      </c>
      <c r="J254" s="31" t="inlineStr">
        <is>
          <t>544057</t>
        </is>
      </c>
    </row>
    <row r="255">
      <c r="A255" s="31" t="inlineStr">
        <is>
          <t>ABB</t>
        </is>
      </c>
      <c r="B255" s="31" t="inlineStr">
        <is>
          <t>Abb India Limited</t>
        </is>
      </c>
      <c r="C255" s="31" t="inlineStr">
        <is>
          <t>industrials</t>
        </is>
      </c>
      <c r="D255" s="31" t="inlineStr">
        <is>
          <t>electric equipment</t>
        </is>
      </c>
      <c r="E255" s="31" t="inlineStr">
        <is>
          <t>largecap</t>
        </is>
      </c>
      <c r="F255" s="31" t="n">
        <v>159291.53</v>
      </c>
      <c r="G255" s="31" t="n">
        <v>7532</v>
      </c>
      <c r="H255" s="31" t="n">
        <v>0.2</v>
      </c>
      <c r="I255" s="31" t="n">
        <v>254098</v>
      </c>
      <c r="J255" s="31" t="inlineStr">
        <is>
          <t>500002</t>
        </is>
      </c>
    </row>
    <row r="256">
      <c r="A256" s="31" t="inlineStr">
        <is>
          <t>ICICIBANK</t>
        </is>
      </c>
      <c r="B256" s="31" t="inlineStr">
        <is>
          <t>Icici Bank Limited</t>
        </is>
      </c>
      <c r="C256" s="31" t="inlineStr">
        <is>
          <t>bank</t>
        </is>
      </c>
      <c r="D256" s="31" t="inlineStr">
        <is>
          <t>banks - private sector</t>
        </is>
      </c>
      <c r="E256" s="31" t="inlineStr">
        <is>
          <t>largecap</t>
        </is>
      </c>
      <c r="F256" s="31" t="n">
        <v>1047491.37</v>
      </c>
      <c r="G256" s="31" t="n">
        <v>1463.1</v>
      </c>
      <c r="H256" s="31" t="n">
        <v>0.2</v>
      </c>
      <c r="I256" s="31" t="n">
        <v>18269907</v>
      </c>
      <c r="J256" s="31" t="inlineStr">
        <is>
          <t>532174</t>
        </is>
      </c>
    </row>
    <row r="257">
      <c r="A257" s="31" t="inlineStr">
        <is>
          <t>DCBBANK</t>
        </is>
      </c>
      <c r="B257" s="31" t="inlineStr">
        <is>
          <t>Dcb Bank Limited</t>
        </is>
      </c>
      <c r="C257" s="31" t="inlineStr">
        <is>
          <t>bank</t>
        </is>
      </c>
      <c r="D257" s="31" t="inlineStr">
        <is>
          <t>banks - private sector</t>
        </is>
      </c>
      <c r="E257" s="31" t="inlineStr">
        <is>
          <t>midcap</t>
        </is>
      </c>
      <c r="F257" s="31" t="n">
        <v>6114.64</v>
      </c>
      <c r="G257" s="31" t="n">
        <v>190.22</v>
      </c>
      <c r="H257" s="31" t="n">
        <v>0.19</v>
      </c>
      <c r="I257" s="31" t="n">
        <v>1471058</v>
      </c>
      <c r="J257" s="31" t="inlineStr">
        <is>
          <t>532772</t>
        </is>
      </c>
    </row>
    <row r="258">
      <c r="A258" s="31" t="inlineStr">
        <is>
          <t>NAHARSPING</t>
        </is>
      </c>
      <c r="B258" s="31" t="inlineStr">
        <is>
          <t>Nahar Spinning Mills Limited</t>
        </is>
      </c>
      <c r="C258" s="31" t="inlineStr">
        <is>
          <t>textiles</t>
        </is>
      </c>
      <c r="D258" s="31" t="inlineStr">
        <is>
          <t>textiles - cotton/blended</t>
        </is>
      </c>
      <c r="E258" s="31" t="inlineStr">
        <is>
          <t>smallcap</t>
        </is>
      </c>
      <c r="F258" s="31" t="n">
        <v>1011.63</v>
      </c>
      <c r="G258" s="31" t="n">
        <v>281</v>
      </c>
      <c r="H258" s="31" t="n">
        <v>0.18</v>
      </c>
      <c r="I258" s="31" t="n">
        <v>8848</v>
      </c>
      <c r="J258" s="31" t="inlineStr">
        <is>
          <t>500296</t>
        </is>
      </c>
    </row>
    <row r="259">
      <c r="A259" s="31" t="inlineStr">
        <is>
          <t>DIVISLAB</t>
        </is>
      </c>
      <c r="B259" s="31" t="inlineStr">
        <is>
          <t>Divi's Laboratories Limited</t>
        </is>
      </c>
      <c r="C259" s="31" t="inlineStr">
        <is>
          <t>healthcare</t>
        </is>
      </c>
      <c r="D259" s="31" t="inlineStr">
        <is>
          <t>pharmaceuticals - indian - bulk drugs</t>
        </is>
      </c>
      <c r="E259" s="31" t="inlineStr">
        <is>
          <t>largecap</t>
        </is>
      </c>
      <c r="F259" s="31" t="n">
        <v>194269.91</v>
      </c>
      <c r="G259" s="31" t="n">
        <v>7330</v>
      </c>
      <c r="H259" s="31" t="n">
        <v>0.16</v>
      </c>
      <c r="I259" s="31" t="n">
        <v>179558</v>
      </c>
      <c r="J259" s="31" t="inlineStr">
        <is>
          <t>532488</t>
        </is>
      </c>
    </row>
    <row r="260">
      <c r="A260" s="31" t="inlineStr">
        <is>
          <t>SILVERTUC</t>
        </is>
      </c>
      <c r="B260" s="31" t="inlineStr">
        <is>
          <t>Silver Touch Technologies Ltd</t>
        </is>
      </c>
      <c r="C260" s="31" t="inlineStr">
        <is>
          <t>i.t</t>
        </is>
      </c>
      <c r="D260" s="31" t="inlineStr">
        <is>
          <t>computers - software - medium / small</t>
        </is>
      </c>
      <c r="E260" s="31" t="inlineStr">
        <is>
          <t>smallcap</t>
        </is>
      </c>
      <c r="F260" s="31" t="n">
        <v>2463.16</v>
      </c>
      <c r="G260" s="31" t="n">
        <v>194.55</v>
      </c>
      <c r="H260" s="31" t="n">
        <v>0.16</v>
      </c>
      <c r="I260" s="31" t="n">
        <v>227273</v>
      </c>
      <c r="J260" s="31" t="inlineStr">
        <is>
          <t>535031</t>
        </is>
      </c>
    </row>
    <row r="261">
      <c r="A261" s="31" t="inlineStr">
        <is>
          <t>TEXINFRA</t>
        </is>
      </c>
      <c r="B261" s="31" t="inlineStr">
        <is>
          <t>Texmaco Infrastructure &amp; Holdings Limited</t>
        </is>
      </c>
      <c r="C261" s="31" t="inlineStr">
        <is>
          <t>realty</t>
        </is>
      </c>
      <c r="D261" s="31" t="inlineStr">
        <is>
          <t>construction</t>
        </is>
      </c>
      <c r="E261" s="31" t="inlineStr">
        <is>
          <t>smallcap</t>
        </is>
      </c>
      <c r="F261" s="31" t="n">
        <v>1452.79</v>
      </c>
      <c r="G261" s="31" t="n">
        <v>114.19</v>
      </c>
      <c r="H261" s="31" t="n">
        <v>0.16</v>
      </c>
      <c r="I261" s="31" t="n">
        <v>81338</v>
      </c>
      <c r="J261" s="31" t="inlineStr">
        <is>
          <t>505400</t>
        </is>
      </c>
    </row>
    <row r="262">
      <c r="A262" s="31" t="inlineStr">
        <is>
          <t>STOVEKRAFT</t>
        </is>
      </c>
      <c r="B262" s="31" t="inlineStr">
        <is>
          <t>Stove Kraft Ltd</t>
        </is>
      </c>
      <c r="C262" s="31" t="inlineStr">
        <is>
          <t>consumer discretionary</t>
        </is>
      </c>
      <c r="D262" s="31" t="inlineStr">
        <is>
          <t>domestic appliances</t>
        </is>
      </c>
      <c r="E262" s="31" t="inlineStr">
        <is>
          <t>smallcap</t>
        </is>
      </c>
      <c r="F262" s="31" t="n">
        <v>2574.92</v>
      </c>
      <c r="G262" s="31" t="n">
        <v>778.9</v>
      </c>
      <c r="H262" s="31" t="n">
        <v>0.15</v>
      </c>
      <c r="I262" s="31" t="n">
        <v>62178</v>
      </c>
      <c r="J262" s="31" t="inlineStr">
        <is>
          <t>543260</t>
        </is>
      </c>
    </row>
    <row r="263">
      <c r="A263" s="31" t="inlineStr">
        <is>
          <t>ADANIPORTS</t>
        </is>
      </c>
      <c r="B263" s="31" t="inlineStr">
        <is>
          <t>Adani Ports And Special Economic Zone Limited</t>
        </is>
      </c>
      <c r="C263" s="31" t="inlineStr">
        <is>
          <t>transportation</t>
        </is>
      </c>
      <c r="D263" s="31" t="inlineStr">
        <is>
          <t>miscellaneous</t>
        </is>
      </c>
      <c r="E263" s="31" t="inlineStr">
        <is>
          <t>largecap</t>
        </is>
      </c>
      <c r="F263" s="31" t="n">
        <v>424850.06</v>
      </c>
      <c r="G263" s="31" t="n">
        <v>1846.5</v>
      </c>
      <c r="H263" s="31" t="n">
        <v>0.14</v>
      </c>
      <c r="I263" s="31" t="n">
        <v>1372350</v>
      </c>
      <c r="J263" s="31" t="inlineStr">
        <is>
          <t>532921</t>
        </is>
      </c>
    </row>
    <row r="264">
      <c r="A264" s="31" t="inlineStr">
        <is>
          <t>UNIMECH</t>
        </is>
      </c>
      <c r="B264" s="31" t="inlineStr">
        <is>
          <t>Unimech Aerospace and Manufacturing Ltd</t>
        </is>
      </c>
      <c r="C264" s="31" t="inlineStr">
        <is>
          <t>aerospace &amp; defence</t>
        </is>
      </c>
      <c r="D264" s="31" t="inlineStr">
        <is>
          <t>engineering</t>
        </is>
      </c>
      <c r="E264" s="31" t="inlineStr">
        <is>
          <t>midcap</t>
        </is>
      </c>
      <c r="F264" s="31" t="n">
        <v>6481.71</v>
      </c>
      <c r="G264" s="31" t="n">
        <v>1276.2</v>
      </c>
      <c r="H264" s="31" t="n">
        <v>0.13</v>
      </c>
      <c r="I264" s="31" t="n">
        <v>71931</v>
      </c>
      <c r="J264" s="31" t="inlineStr">
        <is>
          <t>544322</t>
        </is>
      </c>
    </row>
    <row r="265">
      <c r="A265" s="31" t="inlineStr">
        <is>
          <t>DEEPAKFERT</t>
        </is>
      </c>
      <c r="B265" s="31" t="inlineStr">
        <is>
          <t>Deepak Fertilizers And Petrochemicals Corporation Limited</t>
        </is>
      </c>
      <c r="C265" s="31" t="inlineStr">
        <is>
          <t>chemicals</t>
        </is>
      </c>
      <c r="D265" s="31" t="inlineStr">
        <is>
          <t>chemicals</t>
        </is>
      </c>
      <c r="E265" s="31" t="inlineStr">
        <is>
          <t>largecap</t>
        </is>
      </c>
      <c r="F265" s="31" t="n">
        <v>20262.43</v>
      </c>
      <c r="G265" s="31" t="n">
        <v>1607</v>
      </c>
      <c r="H265" s="31" t="n">
        <v>0.12</v>
      </c>
      <c r="I265" s="31" t="n">
        <v>148092</v>
      </c>
      <c r="J265" s="31" t="inlineStr">
        <is>
          <t>500645</t>
        </is>
      </c>
    </row>
    <row r="266">
      <c r="A266" s="31" t="inlineStr">
        <is>
          <t>OBEROIRLTY</t>
        </is>
      </c>
      <c r="B266" s="31" t="inlineStr">
        <is>
          <t>Oberoi Realty Limited</t>
        </is>
      </c>
      <c r="C266" s="31" t="inlineStr">
        <is>
          <t>realty</t>
        </is>
      </c>
      <c r="D266" s="31" t="inlineStr">
        <is>
          <t>construction</t>
        </is>
      </c>
      <c r="E266" s="31" t="inlineStr">
        <is>
          <t>largecap</t>
        </is>
      </c>
      <c r="F266" s="31" t="n">
        <v>68455.39</v>
      </c>
      <c r="G266" s="31" t="n">
        <v>1884.9</v>
      </c>
      <c r="H266" s="31" t="n">
        <v>0.12</v>
      </c>
      <c r="I266" s="31" t="n">
        <v>198135</v>
      </c>
      <c r="J266" s="31" t="inlineStr">
        <is>
          <t>533273</t>
        </is>
      </c>
    </row>
    <row r="267">
      <c r="A267" s="31" t="inlineStr">
        <is>
          <t>CRAFTSMAN</t>
        </is>
      </c>
      <c r="B267" s="31" t="inlineStr">
        <is>
          <t>Craftsman Automation Ltd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largecap</t>
        </is>
      </c>
      <c r="F267" s="31" t="n">
        <v>24568.17</v>
      </c>
      <c r="G267" s="31" t="n">
        <v>9403.5</v>
      </c>
      <c r="H267" s="31" t="n">
        <v>0.11</v>
      </c>
      <c r="I267" s="31" t="n">
        <v>60078</v>
      </c>
      <c r="J267" s="31" t="inlineStr">
        <is>
          <t>543276</t>
        </is>
      </c>
    </row>
    <row r="268">
      <c r="A268" s="31" t="inlineStr">
        <is>
          <t>3MINDIA</t>
        </is>
      </c>
      <c r="B268" s="31" t="inlineStr">
        <is>
          <t>3m India Limited</t>
        </is>
      </c>
      <c r="C268" s="31" t="inlineStr">
        <is>
          <t>miscellaneous</t>
        </is>
      </c>
      <c r="D268" s="31" t="inlineStr">
        <is>
          <t>diversified - large</t>
        </is>
      </c>
      <c r="E268" s="31" t="inlineStr">
        <is>
          <t>largecap</t>
        </is>
      </c>
      <c r="F268" s="31" t="n">
        <v>39698.11</v>
      </c>
      <c r="G268" s="31" t="n">
        <v>35280</v>
      </c>
      <c r="H268" s="31" t="n">
        <v>0.11</v>
      </c>
      <c r="I268" s="31" t="n">
        <v>2543</v>
      </c>
      <c r="J268" s="31" t="inlineStr">
        <is>
          <t>523395</t>
        </is>
      </c>
    </row>
    <row r="269">
      <c r="A269" s="31" t="inlineStr">
        <is>
          <t>BANKINDIA</t>
        </is>
      </c>
      <c r="B269" s="31" t="inlineStr">
        <is>
          <t>Bank Of India Ltd</t>
        </is>
      </c>
      <c r="C269" s="31" t="inlineStr">
        <is>
          <t>bank</t>
        </is>
      </c>
      <c r="D269" s="31" t="inlineStr">
        <is>
          <t>banks - public sector</t>
        </is>
      </c>
      <c r="E269" s="31" t="inlineStr">
        <is>
          <t>largecap</t>
        </is>
      </c>
      <c r="F269" s="31" t="n">
        <v>66901.45</v>
      </c>
      <c r="G269" s="31" t="n">
        <v>147.1</v>
      </c>
      <c r="H269" s="31" t="n">
        <v>0.1</v>
      </c>
      <c r="I269" s="31" t="n">
        <v>12653380</v>
      </c>
      <c r="J269" s="31" t="inlineStr">
        <is>
          <t>532149</t>
        </is>
      </c>
    </row>
    <row r="270">
      <c r="A270" s="31" t="inlineStr">
        <is>
          <t>OFSS</t>
        </is>
      </c>
      <c r="B270" s="31" t="inlineStr">
        <is>
          <t>Oracle Financial Services Software Limited</t>
        </is>
      </c>
      <c r="C270" s="31" t="inlineStr">
        <is>
          <t>i.t</t>
        </is>
      </c>
      <c r="D270" s="31" t="inlineStr">
        <is>
          <t>computers - software - large</t>
        </is>
      </c>
      <c r="E270" s="31" t="inlineStr">
        <is>
          <t>largecap</t>
        </is>
      </c>
      <c r="F270" s="31" t="n">
        <v>101177.83</v>
      </c>
      <c r="G270" s="31" t="n">
        <v>11632</v>
      </c>
      <c r="H270" s="31" t="n">
        <v>0.1</v>
      </c>
      <c r="I270" s="31" t="n">
        <v>184484</v>
      </c>
      <c r="J270" s="31" t="inlineStr">
        <is>
          <t>532466</t>
        </is>
      </c>
    </row>
    <row r="271">
      <c r="A271" s="31" t="inlineStr">
        <is>
          <t>UNIONBANK</t>
        </is>
      </c>
      <c r="B271" s="31" t="inlineStr">
        <is>
          <t>Union Bank Of India Ltd</t>
        </is>
      </c>
      <c r="C271" s="31" t="inlineStr">
        <is>
          <t>bank</t>
        </is>
      </c>
      <c r="D271" s="31" t="inlineStr">
        <is>
          <t>banks - public sector</t>
        </is>
      </c>
      <c r="E271" s="31" t="inlineStr">
        <is>
          <t>largecap</t>
        </is>
      </c>
      <c r="F271" s="31" t="n">
        <v>134298.02</v>
      </c>
      <c r="G271" s="31" t="n">
        <v>176.11</v>
      </c>
      <c r="H271" s="31" t="n">
        <v>0.1</v>
      </c>
      <c r="I271" s="31" t="n">
        <v>35648418</v>
      </c>
      <c r="J271" s="31" t="inlineStr">
        <is>
          <t>532477</t>
        </is>
      </c>
    </row>
    <row r="272">
      <c r="A272" s="31" t="inlineStr">
        <is>
          <t>SOLARINDS</t>
        </is>
      </c>
      <c r="B272" s="31" t="inlineStr">
        <is>
          <t>Solar Industries India Limited</t>
        </is>
      </c>
      <c r="C272" s="31" t="inlineStr">
        <is>
          <t>aerospace &amp; defence</t>
        </is>
      </c>
      <c r="D272" s="31" t="inlineStr">
        <is>
          <t>chemicals</t>
        </is>
      </c>
      <c r="E272" s="31" t="inlineStr">
        <is>
          <t>largecap</t>
        </is>
      </c>
      <c r="F272" s="31" t="n">
        <v>172184.48</v>
      </c>
      <c r="G272" s="31" t="n">
        <v>19045</v>
      </c>
      <c r="H272" s="31" t="n">
        <v>0.09</v>
      </c>
      <c r="I272" s="31" t="n">
        <v>101711</v>
      </c>
      <c r="J272" s="31" t="inlineStr">
        <is>
          <t>532725</t>
        </is>
      </c>
    </row>
    <row r="273">
      <c r="A273" s="31" t="inlineStr">
        <is>
          <t>VISAKAIND</t>
        </is>
      </c>
      <c r="B273" s="31" t="inlineStr">
        <is>
          <t>Visaka Industries Limited</t>
        </is>
      </c>
      <c r="C273" s="31" t="inlineStr">
        <is>
          <t>building materials</t>
        </is>
      </c>
      <c r="D273" s="31" t="inlineStr">
        <is>
          <t>cement products</t>
        </is>
      </c>
      <c r="E273" s="31" t="inlineStr">
        <is>
          <t>smallcap</t>
        </is>
      </c>
      <c r="F273" s="31" t="n">
        <v>700.74</v>
      </c>
      <c r="G273" s="31" t="n">
        <v>81.14</v>
      </c>
      <c r="H273" s="31" t="n">
        <v>0.05</v>
      </c>
      <c r="I273" s="31" t="n">
        <v>39885</v>
      </c>
      <c r="J273" s="31" t="inlineStr">
        <is>
          <t>509055</t>
        </is>
      </c>
    </row>
    <row r="274">
      <c r="A274" s="31" t="inlineStr">
        <is>
          <t>VISHNU</t>
        </is>
      </c>
      <c r="B274" s="31" t="inlineStr">
        <is>
          <t>Vishnu Chemicals Limited</t>
        </is>
      </c>
      <c r="C274" s="31" t="inlineStr">
        <is>
          <t>chemicals</t>
        </is>
      </c>
      <c r="D274" s="31" t="inlineStr">
        <is>
          <t>chemicals</t>
        </is>
      </c>
      <c r="E274" s="31" t="inlineStr">
        <is>
          <t>smallcap</t>
        </is>
      </c>
      <c r="F274" s="31" t="n">
        <v>4308.85</v>
      </c>
      <c r="G274" s="31" t="n">
        <v>640.45</v>
      </c>
      <c r="H274" s="31" t="n">
        <v>0.05</v>
      </c>
      <c r="I274" s="31" t="n">
        <v>920516</v>
      </c>
      <c r="J274" s="31" t="inlineStr">
        <is>
          <t>516072</t>
        </is>
      </c>
    </row>
    <row r="275">
      <c r="A275" s="31" t="inlineStr">
        <is>
          <t>UJJIVANSFB</t>
        </is>
      </c>
      <c r="B275" s="31" t="inlineStr">
        <is>
          <t>Ujjivan Small Finance Bank Ltd</t>
        </is>
      </c>
      <c r="C275" s="31" t="inlineStr">
        <is>
          <t>bank</t>
        </is>
      </c>
      <c r="D275" s="31" t="inlineStr">
        <is>
          <t>banks - private sector</t>
        </is>
      </c>
      <c r="E275" s="31" t="inlineStr">
        <is>
          <t>midcap</t>
        </is>
      </c>
      <c r="F275" s="31" t="n">
        <v>12762.82</v>
      </c>
      <c r="G275" s="31" t="n">
        <v>65.63</v>
      </c>
      <c r="H275" s="31" t="n">
        <v>0.03</v>
      </c>
      <c r="I275" s="31" t="n">
        <v>11314410</v>
      </c>
      <c r="J275" s="31" t="inlineStr">
        <is>
          <t>542904</t>
        </is>
      </c>
    </row>
    <row r="276">
      <c r="A276" s="31" t="inlineStr">
        <is>
          <t>NAZARA</t>
        </is>
      </c>
      <c r="B276" s="31" t="inlineStr">
        <is>
          <t>Nazara Technologies Ltd</t>
        </is>
      </c>
      <c r="C276" s="31" t="inlineStr">
        <is>
          <t>i.t</t>
        </is>
      </c>
      <c r="D276" s="31" t="inlineStr">
        <is>
          <t>telecommunications - service provider</t>
        </is>
      </c>
      <c r="E276" s="31" t="inlineStr">
        <is>
          <t>midcap</t>
        </is>
      </c>
      <c r="F276" s="31" t="n">
        <v>11456.63</v>
      </c>
      <c r="G276" s="31" t="n">
        <v>309.3</v>
      </c>
      <c r="H276" s="31" t="n">
        <v>0.02</v>
      </c>
      <c r="I276" s="31" t="n">
        <v>2254047</v>
      </c>
      <c r="J276" s="31" t="inlineStr">
        <is>
          <t>543280</t>
        </is>
      </c>
    </row>
    <row r="277">
      <c r="A277" s="31" t="inlineStr">
        <is>
          <t>RELTD</t>
        </is>
      </c>
      <c r="B277" s="31" t="inlineStr">
        <is>
          <t>Ravindra Energy Ltd</t>
        </is>
      </c>
      <c r="C277" s="31" t="inlineStr">
        <is>
          <t>industrials</t>
        </is>
      </c>
      <c r="D277" s="31" t="inlineStr">
        <is>
          <t>electric equipment</t>
        </is>
      </c>
      <c r="E277" s="31" t="inlineStr">
        <is>
          <t>smallcap</t>
        </is>
      </c>
      <c r="F277" s="31" t="n">
        <v>3491.69</v>
      </c>
      <c r="G277" s="31" t="n">
        <v>175.9</v>
      </c>
      <c r="H277" s="31" t="n">
        <v>0.02</v>
      </c>
      <c r="I277" s="31" t="n">
        <v>205869</v>
      </c>
      <c r="J277" s="31" t="inlineStr">
        <is>
          <t>504341</t>
        </is>
      </c>
    </row>
    <row r="278">
      <c r="A278" s="31" t="inlineStr">
        <is>
          <t>TECHM</t>
        </is>
      </c>
      <c r="B278" s="31" t="inlineStr">
        <is>
          <t>Tech Mahindra Limited</t>
        </is>
      </c>
      <c r="C278" s="31" t="inlineStr">
        <is>
          <t>i.t</t>
        </is>
      </c>
      <c r="D278" s="31" t="inlineStr">
        <is>
          <t>computers - software - large</t>
        </is>
      </c>
      <c r="E278" s="31" t="inlineStr">
        <is>
          <t>largecap</t>
        </is>
      </c>
      <c r="F278" s="31" t="n">
        <v>154462.18</v>
      </c>
      <c r="G278" s="31" t="n">
        <v>1576.3</v>
      </c>
      <c r="H278" s="31" t="n">
        <v>-0.01</v>
      </c>
      <c r="I278" s="31" t="n">
        <v>2624891</v>
      </c>
      <c r="J278" s="31" t="inlineStr">
        <is>
          <t>532755</t>
        </is>
      </c>
    </row>
    <row r="279">
      <c r="A279" s="31" t="inlineStr">
        <is>
          <t>ADANIENT</t>
        </is>
      </c>
      <c r="B279" s="31" t="inlineStr">
        <is>
          <t>Adani Enterprises Limited</t>
        </is>
      </c>
      <c r="C279" s="31" t="inlineStr">
        <is>
          <t>services</t>
        </is>
      </c>
      <c r="D279" s="31" t="inlineStr">
        <is>
          <t>trading</t>
        </is>
      </c>
      <c r="E279" s="31" t="inlineStr">
        <is>
          <t>largecap</t>
        </is>
      </c>
      <c r="F279" s="31" t="n">
        <v>430930.52</v>
      </c>
      <c r="G279" s="31" t="n">
        <v>3182.7</v>
      </c>
      <c r="H279" s="31" t="n">
        <v>-0.02</v>
      </c>
      <c r="I279" s="31" t="n">
        <v>951463</v>
      </c>
      <c r="J279" s="31" t="inlineStr">
        <is>
          <t>512599</t>
        </is>
      </c>
    </row>
    <row r="280">
      <c r="A280" s="31" t="inlineStr">
        <is>
          <t>MANGLMCEM</t>
        </is>
      </c>
      <c r="B280" s="31" t="inlineStr">
        <is>
          <t>Mangalam Cement Limited</t>
        </is>
      </c>
      <c r="C280" s="31" t="inlineStr">
        <is>
          <t>building materials</t>
        </is>
      </c>
      <c r="D280" s="31" t="inlineStr">
        <is>
          <t>cement - north india</t>
        </is>
      </c>
      <c r="E280" s="31" t="inlineStr">
        <is>
          <t>smallcap</t>
        </is>
      </c>
      <c r="F280" s="31" t="n">
        <v>2695.15</v>
      </c>
      <c r="G280" s="31" t="n">
        <v>980</v>
      </c>
      <c r="H280" s="31" t="n">
        <v>-0.02</v>
      </c>
      <c r="I280" s="31" t="n">
        <v>27912</v>
      </c>
      <c r="J280" s="31" t="inlineStr">
        <is>
          <t>502157</t>
        </is>
      </c>
    </row>
    <row r="281">
      <c r="A281" s="31" t="inlineStr">
        <is>
          <t>OMAXE</t>
        </is>
      </c>
      <c r="B281" s="31" t="inlineStr">
        <is>
          <t>Omaxe Limited</t>
        </is>
      </c>
      <c r="C281" s="31" t="inlineStr">
        <is>
          <t>realty</t>
        </is>
      </c>
      <c r="D281" s="31" t="inlineStr">
        <is>
          <t>construction</t>
        </is>
      </c>
      <c r="E281" s="31" t="inlineStr">
        <is>
          <t>smallcap</t>
        </is>
      </c>
      <c r="F281" s="31" t="n">
        <v>1693.11</v>
      </c>
      <c r="G281" s="31" t="n">
        <v>92.55</v>
      </c>
      <c r="H281" s="31" t="n">
        <v>-0.02</v>
      </c>
      <c r="I281" s="31" t="n">
        <v>330338</v>
      </c>
      <c r="J281" s="31" t="inlineStr">
        <is>
          <t>532880</t>
        </is>
      </c>
    </row>
    <row r="282">
      <c r="A282" s="31" t="inlineStr">
        <is>
          <t>SUMICHEM</t>
        </is>
      </c>
      <c r="B282" s="31" t="inlineStr">
        <is>
          <t>Sumitomo Chemical India Ltd</t>
        </is>
      </c>
      <c r="C282" s="31" t="inlineStr">
        <is>
          <t>chemicals</t>
        </is>
      </c>
      <c r="D282" s="31" t="inlineStr">
        <is>
          <t>pesticides / agrochemicals - indian</t>
        </is>
      </c>
      <c r="E282" s="31" t="inlineStr">
        <is>
          <t>largecap</t>
        </is>
      </c>
      <c r="F282" s="31" t="n">
        <v>26986.31</v>
      </c>
      <c r="G282" s="31" t="n">
        <v>540.5</v>
      </c>
      <c r="H282" s="31" t="n">
        <v>-0.03</v>
      </c>
      <c r="I282" s="31" t="n">
        <v>732171</v>
      </c>
      <c r="J282" s="31" t="inlineStr">
        <is>
          <t>542920</t>
        </is>
      </c>
    </row>
    <row r="283">
      <c r="A283" s="31" t="inlineStr">
        <is>
          <t>AETHER</t>
        </is>
      </c>
      <c r="B283" s="31" t="inlineStr">
        <is>
          <t>Aether Industries Ltd</t>
        </is>
      </c>
      <c r="C283" s="31" t="inlineStr">
        <is>
          <t>chemicals</t>
        </is>
      </c>
      <c r="D283" s="31" t="inlineStr">
        <is>
          <t>chemicals</t>
        </is>
      </c>
      <c r="E283" s="31" t="inlineStr">
        <is>
          <t>midcap</t>
        </is>
      </c>
      <c r="F283" s="31" t="n">
        <v>19251.29</v>
      </c>
      <c r="G283" s="31" t="n">
        <v>1450</v>
      </c>
      <c r="H283" s="31" t="n">
        <v>-0.04</v>
      </c>
      <c r="I283" s="31" t="n">
        <v>108653</v>
      </c>
      <c r="J283" s="31" t="inlineStr">
        <is>
          <t>543534</t>
        </is>
      </c>
    </row>
    <row r="284">
      <c r="A284" s="31" t="inlineStr">
        <is>
          <t>INDIGOPNTS</t>
        </is>
      </c>
      <c r="B284" s="31" t="inlineStr">
        <is>
          <t>Indigo Paints Ltd</t>
        </is>
      </c>
      <c r="C284" s="31" t="inlineStr">
        <is>
          <t>building materials</t>
        </is>
      </c>
      <c r="D284" s="31" t="inlineStr">
        <is>
          <t>paints / varnishes</t>
        </is>
      </c>
      <c r="E284" s="31" t="inlineStr">
        <is>
          <t>midcap</t>
        </is>
      </c>
      <c r="F284" s="31" t="n">
        <v>5139.44</v>
      </c>
      <c r="G284" s="31" t="n">
        <v>1077.5</v>
      </c>
      <c r="H284" s="31" t="n">
        <v>-0.05</v>
      </c>
      <c r="I284" s="31" t="n">
        <v>39586</v>
      </c>
      <c r="J284" s="31" t="inlineStr">
        <is>
          <t>543258</t>
        </is>
      </c>
    </row>
    <row r="285">
      <c r="A285" s="31" t="inlineStr">
        <is>
          <t>GMRAIRPORT</t>
        </is>
      </c>
      <c r="B285" s="31" t="inlineStr">
        <is>
          <t>GMR Airports Ltd</t>
        </is>
      </c>
      <c r="C285" s="31" t="inlineStr">
        <is>
          <t>miscellaneous</t>
        </is>
      </c>
      <c r="D285" s="31" t="inlineStr">
        <is>
          <t>miscellaneous</t>
        </is>
      </c>
      <c r="E285" s="31" t="inlineStr">
        <is>
          <t>largecap</t>
        </is>
      </c>
      <c r="F285" s="31" t="n">
        <v>117774.82</v>
      </c>
      <c r="G285" s="31" t="n">
        <v>111.48</v>
      </c>
      <c r="H285" s="31" t="n">
        <v>-0.05</v>
      </c>
      <c r="I285" s="31" t="n">
        <v>17518151</v>
      </c>
      <c r="J285" s="31" t="inlineStr">
        <is>
          <t>532754</t>
        </is>
      </c>
    </row>
    <row r="286">
      <c r="A286" s="31" t="inlineStr">
        <is>
          <t>GRANULES</t>
        </is>
      </c>
      <c r="B286" s="31" t="inlineStr">
        <is>
          <t>Granules India Limited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largecap</t>
        </is>
      </c>
      <c r="F286" s="31" t="n">
        <v>21709.49</v>
      </c>
      <c r="G286" s="31" t="n">
        <v>875.7</v>
      </c>
      <c r="H286" s="31" t="n">
        <v>-0.05</v>
      </c>
      <c r="I286" s="31" t="n">
        <v>3141724</v>
      </c>
      <c r="J286" s="31" t="inlineStr">
        <is>
          <t>532482</t>
        </is>
      </c>
    </row>
    <row r="287">
      <c r="A287" s="31" t="inlineStr">
        <is>
          <t>RGL</t>
        </is>
      </c>
      <c r="B287" s="31" t="inlineStr">
        <is>
          <t>Renaissance Global Ltd</t>
        </is>
      </c>
      <c r="C287" s="31" t="inlineStr">
        <is>
          <t>consumer discretionary</t>
        </is>
      </c>
      <c r="D287" s="31" t="inlineStr">
        <is>
          <t>diamond cutting / jewellery</t>
        </is>
      </c>
      <c r="E287" s="31" t="inlineStr">
        <is>
          <t>smallcap</t>
        </is>
      </c>
      <c r="F287" s="31" t="n">
        <v>1285.97</v>
      </c>
      <c r="G287" s="31" t="n">
        <v>119.75</v>
      </c>
      <c r="H287" s="31" t="n">
        <v>-0.06</v>
      </c>
      <c r="I287" s="31" t="n">
        <v>129447</v>
      </c>
      <c r="J287" s="31" t="inlineStr">
        <is>
          <t>532923</t>
        </is>
      </c>
    </row>
    <row r="288">
      <c r="A288" s="31" t="inlineStr">
        <is>
          <t>DHAMPURSUG</t>
        </is>
      </c>
      <c r="B288" s="31" t="inlineStr">
        <is>
          <t>Dhampur Sugar Mills Limited</t>
        </is>
      </c>
      <c r="C288" s="31" t="inlineStr">
        <is>
          <t>fmcg</t>
        </is>
      </c>
      <c r="D288" s="31" t="inlineStr">
        <is>
          <t>sugar</t>
        </is>
      </c>
      <c r="E288" s="31" t="inlineStr">
        <is>
          <t>smallcap</t>
        </is>
      </c>
      <c r="F288" s="31" t="n">
        <v>935.15</v>
      </c>
      <c r="G288" s="31" t="n">
        <v>145.32</v>
      </c>
      <c r="H288" s="31" t="n">
        <v>-0.07000000000000001</v>
      </c>
      <c r="I288" s="31" t="n">
        <v>391854</v>
      </c>
      <c r="J288" s="31" t="inlineStr">
        <is>
          <t>500119</t>
        </is>
      </c>
    </row>
    <row r="289">
      <c r="A289" s="31" t="inlineStr">
        <is>
          <t>CAPITALSFB</t>
        </is>
      </c>
      <c r="B289" s="31" t="inlineStr">
        <is>
          <t>Capital Small Finance Bank Ltd</t>
        </is>
      </c>
      <c r="C289" s="31" t="inlineStr">
        <is>
          <t>bank</t>
        </is>
      </c>
      <c r="D289" s="31" t="inlineStr">
        <is>
          <t>banks - private sector</t>
        </is>
      </c>
      <c r="E289" s="31" t="inlineStr">
        <is>
          <t>smallcap</t>
        </is>
      </c>
      <c r="F289" s="31" t="n">
        <v>1387.82</v>
      </c>
      <c r="G289" s="31" t="n">
        <v>305.05</v>
      </c>
      <c r="H289" s="31" t="n">
        <v>-0.07000000000000001</v>
      </c>
      <c r="I289" s="31" t="n">
        <v>49660</v>
      </c>
      <c r="J289" s="31" t="n"/>
    </row>
    <row r="290">
      <c r="A290" s="31" t="inlineStr">
        <is>
          <t>WELENT</t>
        </is>
      </c>
      <c r="B290" s="31" t="inlineStr">
        <is>
          <t>Welspun Enterprises Limited</t>
        </is>
      </c>
      <c r="C290" s="31" t="inlineStr">
        <is>
          <t>realty</t>
        </is>
      </c>
      <c r="D290" s="31" t="inlineStr">
        <is>
          <t>construction</t>
        </is>
      </c>
      <c r="E290" s="31" t="inlineStr">
        <is>
          <t>midcap</t>
        </is>
      </c>
      <c r="F290" s="31" t="n">
        <v>8658.48</v>
      </c>
      <c r="G290" s="31" t="n">
        <v>624.95</v>
      </c>
      <c r="H290" s="31" t="n">
        <v>-0.1</v>
      </c>
      <c r="I290" s="31" t="n">
        <v>105958</v>
      </c>
      <c r="J290" s="31" t="inlineStr">
        <is>
          <t>532553</t>
        </is>
      </c>
    </row>
    <row r="291">
      <c r="A291" s="31" t="inlineStr">
        <is>
          <t>CENTUM</t>
        </is>
      </c>
      <c r="B291" s="31" t="inlineStr">
        <is>
          <t>Centum Electronics Limited</t>
        </is>
      </c>
      <c r="C291" s="31" t="inlineStr">
        <is>
          <t>consumer discretionary</t>
        </is>
      </c>
      <c r="D291" s="31" t="inlineStr">
        <is>
          <t>electronics - components</t>
        </is>
      </c>
      <c r="E291" s="31" t="inlineStr">
        <is>
          <t>midcap</t>
        </is>
      </c>
      <c r="F291" s="31" t="n">
        <v>5482.38</v>
      </c>
      <c r="G291" s="31" t="n">
        <v>3710</v>
      </c>
      <c r="H291" s="31" t="n">
        <v>-0.12</v>
      </c>
      <c r="I291" s="31" t="n">
        <v>18629</v>
      </c>
      <c r="J291" s="31" t="inlineStr">
        <is>
          <t>517544</t>
        </is>
      </c>
    </row>
    <row r="292">
      <c r="A292" s="31" t="inlineStr">
        <is>
          <t>GRWRHITECH</t>
        </is>
      </c>
      <c r="B292" s="31" t="inlineStr">
        <is>
          <t>Garware Hi Tech Films Ltd</t>
        </is>
      </c>
      <c r="C292" s="31" t="inlineStr">
        <is>
          <t>industrials</t>
        </is>
      </c>
      <c r="D292" s="31" t="inlineStr">
        <is>
          <t>packaging</t>
        </is>
      </c>
      <c r="E292" s="31" t="inlineStr">
        <is>
          <t>midcap</t>
        </is>
      </c>
      <c r="F292" s="31" t="n">
        <v>16083.79</v>
      </c>
      <c r="G292" s="31" t="n">
        <v>6914</v>
      </c>
      <c r="H292" s="31" t="n">
        <v>-0.13</v>
      </c>
      <c r="I292" s="31" t="n">
        <v>15222</v>
      </c>
      <c r="J292" s="31" t="inlineStr">
        <is>
          <t>500655</t>
        </is>
      </c>
    </row>
    <row r="293">
      <c r="A293" s="31" t="inlineStr">
        <is>
          <t>HMVL</t>
        </is>
      </c>
      <c r="B293" s="31" t="inlineStr">
        <is>
          <t>Hindustan Media Ventures Limited</t>
        </is>
      </c>
      <c r="C293" s="31" t="inlineStr">
        <is>
          <t>media</t>
        </is>
      </c>
      <c r="D293" s="31" t="inlineStr">
        <is>
          <t>entertainment / electronic media software</t>
        </is>
      </c>
      <c r="E293" s="31" t="inlineStr">
        <is>
          <t>smallcap</t>
        </is>
      </c>
      <c r="F293" s="31" t="n">
        <v>674.98</v>
      </c>
      <c r="G293" s="31" t="n">
        <v>91.5</v>
      </c>
      <c r="H293" s="31" t="n">
        <v>-0.13</v>
      </c>
      <c r="I293" s="31" t="n">
        <v>146749</v>
      </c>
      <c r="J293" s="31" t="inlineStr">
        <is>
          <t>533217</t>
        </is>
      </c>
    </row>
    <row r="294">
      <c r="A294" s="31" t="inlineStr">
        <is>
          <t>VADILALIND</t>
        </is>
      </c>
      <c r="B294" s="31" t="inlineStr">
        <is>
          <t>Vadilal Industries Limited</t>
        </is>
      </c>
      <c r="C294" s="31" t="inlineStr">
        <is>
          <t>fmcg</t>
        </is>
      </c>
      <c r="D294" s="31" t="inlineStr">
        <is>
          <t>food - processing - indian</t>
        </is>
      </c>
      <c r="E294" s="31" t="inlineStr">
        <is>
          <t>smallcap</t>
        </is>
      </c>
      <c r="F294" s="31" t="n">
        <v>4880.9</v>
      </c>
      <c r="G294" s="31" t="n">
        <v>6782</v>
      </c>
      <c r="H294" s="31" t="n">
        <v>-0.13</v>
      </c>
      <c r="I294" s="31" t="n">
        <v>7016</v>
      </c>
      <c r="J294" s="31" t="inlineStr">
        <is>
          <t>519156</t>
        </is>
      </c>
    </row>
    <row r="295">
      <c r="A295" s="31" t="inlineStr">
        <is>
          <t>CGCL</t>
        </is>
      </c>
      <c r="B295" s="31" t="inlineStr">
        <is>
          <t>Capri Global Capital Limited</t>
        </is>
      </c>
      <c r="C295" s="31" t="inlineStr">
        <is>
          <t>financials</t>
        </is>
      </c>
      <c r="D295" s="31" t="inlineStr">
        <is>
          <t>finance &amp; investments</t>
        </is>
      </c>
      <c r="E295" s="31" t="inlineStr">
        <is>
          <t>largecap</t>
        </is>
      </c>
      <c r="F295" s="31" t="n">
        <v>24055.77</v>
      </c>
      <c r="G295" s="31" t="n">
        <v>249.64</v>
      </c>
      <c r="H295" s="31" t="n">
        <v>-0.15</v>
      </c>
      <c r="I295" s="31" t="n">
        <v>1887889</v>
      </c>
      <c r="J295" s="31" t="inlineStr">
        <is>
          <t>531595</t>
        </is>
      </c>
    </row>
    <row r="296">
      <c r="A296" s="31" t="inlineStr">
        <is>
          <t>IDFCFIRSTB</t>
        </is>
      </c>
      <c r="B296" s="31" t="inlineStr">
        <is>
          <t>IDFC First Bank Ltd</t>
        </is>
      </c>
      <c r="C296" s="31" t="inlineStr">
        <is>
          <t>bank</t>
        </is>
      </c>
      <c r="D296" s="31" t="inlineStr">
        <is>
          <t>banks - private sector</t>
        </is>
      </c>
      <c r="E296" s="31" t="inlineStr">
        <is>
          <t>largecap</t>
        </is>
      </c>
      <c r="F296" s="31" t="n">
        <v>70451.31</v>
      </c>
      <c r="G296" s="31" t="n">
        <v>81.66</v>
      </c>
      <c r="H296" s="31" t="n">
        <v>-0.15</v>
      </c>
      <c r="I296" s="31" t="n">
        <v>17653805</v>
      </c>
      <c r="J296" s="31" t="inlineStr">
        <is>
          <t>539437</t>
        </is>
      </c>
    </row>
    <row r="297">
      <c r="A297" s="31" t="inlineStr">
        <is>
          <t>UNIPARTS</t>
        </is>
      </c>
      <c r="B297" s="31" t="inlineStr">
        <is>
          <t>Uniparts India Ltd</t>
        </is>
      </c>
      <c r="C297" s="31" t="inlineStr">
        <is>
          <t>industrials</t>
        </is>
      </c>
      <c r="D297" s="31" t="inlineStr">
        <is>
          <t>engineering</t>
        </is>
      </c>
      <c r="E297" s="31" t="inlineStr">
        <is>
          <t>smallcap</t>
        </is>
      </c>
      <c r="F297" s="31" t="n">
        <v>3121.42</v>
      </c>
      <c r="G297" s="31" t="n">
        <v>690.35</v>
      </c>
      <c r="H297" s="31" t="n">
        <v>-0.16</v>
      </c>
      <c r="I297" s="31" t="n">
        <v>51475</v>
      </c>
      <c r="J297" s="31" t="inlineStr">
        <is>
          <t>543689</t>
        </is>
      </c>
    </row>
    <row r="298">
      <c r="A298" s="31" t="inlineStr">
        <is>
          <t>ESABINDIA</t>
        </is>
      </c>
      <c r="B298" s="31" t="inlineStr">
        <is>
          <t>Esab India Limited</t>
        </is>
      </c>
      <c r="C298" s="31" t="inlineStr">
        <is>
          <t>industrials</t>
        </is>
      </c>
      <c r="D298" s="31" t="inlineStr">
        <is>
          <t>electrodes - welding equipment</t>
        </is>
      </c>
      <c r="E298" s="31" t="inlineStr">
        <is>
          <t>midcap</t>
        </is>
      </c>
      <c r="F298" s="31" t="n">
        <v>9074.190000000001</v>
      </c>
      <c r="G298" s="31" t="n">
        <v>5884.5</v>
      </c>
      <c r="H298" s="31" t="n">
        <v>-0.18</v>
      </c>
      <c r="I298" s="31" t="n">
        <v>2720</v>
      </c>
      <c r="J298" s="31" t="inlineStr">
        <is>
          <t>500133</t>
        </is>
      </c>
    </row>
    <row r="299">
      <c r="A299" s="31" t="inlineStr">
        <is>
          <t>AUTOAXLES</t>
        </is>
      </c>
      <c r="B299" s="31" t="inlineStr">
        <is>
          <t>Automotive Axles Limited</t>
        </is>
      </c>
      <c r="C299" s="31" t="inlineStr">
        <is>
          <t>auto</t>
        </is>
      </c>
      <c r="D299" s="31" t="inlineStr">
        <is>
          <t>auto ancillaries</t>
        </is>
      </c>
      <c r="E299" s="31" t="inlineStr">
        <is>
          <t>smallcap</t>
        </is>
      </c>
      <c r="F299" s="31" t="n">
        <v>2778.34</v>
      </c>
      <c r="G299" s="31" t="n">
        <v>1835</v>
      </c>
      <c r="H299" s="31" t="n">
        <v>-0.19</v>
      </c>
      <c r="I299" s="31" t="n">
        <v>5719</v>
      </c>
      <c r="J299" s="31" t="inlineStr">
        <is>
          <t>505010</t>
        </is>
      </c>
    </row>
    <row r="300">
      <c r="A300" s="31" t="inlineStr">
        <is>
          <t>MARICO</t>
        </is>
      </c>
      <c r="B300" s="31" t="inlineStr">
        <is>
          <t>Marico Limited</t>
        </is>
      </c>
      <c r="C300" s="31" t="inlineStr">
        <is>
          <t>fmcg</t>
        </is>
      </c>
      <c r="D300" s="31" t="inlineStr">
        <is>
          <t>solvent extraction</t>
        </is>
      </c>
      <c r="E300" s="31" t="inlineStr">
        <is>
          <t>largecap</t>
        </is>
      </c>
      <c r="F300" s="31" t="n">
        <v>111050.99</v>
      </c>
      <c r="G300" s="31" t="n">
        <v>853.55</v>
      </c>
      <c r="H300" s="31" t="n">
        <v>-0.2</v>
      </c>
      <c r="I300" s="31" t="n">
        <v>1219710</v>
      </c>
      <c r="J300" s="31" t="inlineStr">
        <is>
          <t>531642</t>
        </is>
      </c>
    </row>
    <row r="301">
      <c r="A301" s="31" t="inlineStr">
        <is>
          <t>ASTERDM</t>
        </is>
      </c>
      <c r="B301" s="31" t="inlineStr">
        <is>
          <t>Aster DM Healthcare Ltd</t>
        </is>
      </c>
      <c r="C301" s="31" t="inlineStr">
        <is>
          <t>healthcare</t>
        </is>
      </c>
      <c r="D301" s="31" t="inlineStr">
        <is>
          <t>healthcare</t>
        </is>
      </c>
      <c r="E301" s="31" t="inlineStr">
        <is>
          <t>largecap</t>
        </is>
      </c>
      <c r="F301" s="31" t="n">
        <v>42234.64</v>
      </c>
      <c r="G301" s="31" t="n">
        <v>813.45</v>
      </c>
      <c r="H301" s="31" t="n">
        <v>-0.21</v>
      </c>
      <c r="I301" s="31" t="n">
        <v>383734</v>
      </c>
      <c r="J301" s="31" t="inlineStr">
        <is>
          <t>540975</t>
        </is>
      </c>
    </row>
    <row r="302">
      <c r="A302" s="31" t="inlineStr">
        <is>
          <t>ASTRAMICRO</t>
        </is>
      </c>
      <c r="B302" s="31" t="inlineStr">
        <is>
          <t>Astra Microwave Products Limited</t>
        </is>
      </c>
      <c r="C302" s="31" t="inlineStr">
        <is>
          <t>aerospace &amp; defence</t>
        </is>
      </c>
      <c r="D302" s="31" t="inlineStr">
        <is>
          <t>telecommunications - equipment</t>
        </is>
      </c>
      <c r="E302" s="31" t="inlineStr">
        <is>
          <t>midcap</t>
        </is>
      </c>
      <c r="F302" s="31" t="n">
        <v>16624.87</v>
      </c>
      <c r="G302" s="31" t="n">
        <v>1747.1</v>
      </c>
      <c r="H302" s="31" t="n">
        <v>-0.22</v>
      </c>
      <c r="I302" s="31" t="n">
        <v>207689</v>
      </c>
      <c r="J302" s="31" t="inlineStr">
        <is>
          <t>532493</t>
        </is>
      </c>
    </row>
    <row r="303">
      <c r="A303" s="31" t="inlineStr">
        <is>
          <t>BOROSCI</t>
        </is>
      </c>
      <c r="B303" s="31" t="inlineStr">
        <is>
          <t>Borosil Scientific Ltd</t>
        </is>
      </c>
      <c r="C303" s="31" t="inlineStr">
        <is>
          <t>building materials</t>
        </is>
      </c>
      <c r="D303" s="31" t="inlineStr">
        <is>
          <t>glass &amp; glass products</t>
        </is>
      </c>
      <c r="E303" s="31" t="inlineStr">
        <is>
          <t>smallcap</t>
        </is>
      </c>
      <c r="F303" s="31" t="n">
        <v>1444.23</v>
      </c>
      <c r="G303" s="31" t="n">
        <v>162</v>
      </c>
      <c r="H303" s="31" t="n">
        <v>-0.23</v>
      </c>
      <c r="I303" s="31" t="n">
        <v>47354</v>
      </c>
      <c r="J303" s="31" t="inlineStr">
        <is>
          <t>544184</t>
        </is>
      </c>
    </row>
    <row r="304">
      <c r="A304" s="31" t="inlineStr">
        <is>
          <t>CIEINDIA</t>
        </is>
      </c>
      <c r="B304" s="31" t="inlineStr">
        <is>
          <t>CIE Automotive India Ltd</t>
        </is>
      </c>
      <c r="C304" s="31" t="inlineStr">
        <is>
          <t>industrials</t>
        </is>
      </c>
      <c r="D304" s="31" t="inlineStr">
        <is>
          <t>castings &amp; forgings</t>
        </is>
      </c>
      <c r="E304" s="31" t="inlineStr">
        <is>
          <t>midcap</t>
        </is>
      </c>
      <c r="F304" s="31" t="n">
        <v>17974.19</v>
      </c>
      <c r="G304" s="31" t="n">
        <v>472.7</v>
      </c>
      <c r="H304" s="31" t="n">
        <v>-0.23</v>
      </c>
      <c r="I304" s="31" t="n">
        <v>160204</v>
      </c>
      <c r="J304" s="31" t="inlineStr">
        <is>
          <t>532756</t>
        </is>
      </c>
    </row>
    <row r="305">
      <c r="A305" s="31" t="inlineStr">
        <is>
          <t>OPTIEMUS</t>
        </is>
      </c>
      <c r="B305" s="31" t="inlineStr">
        <is>
          <t>Optiemus Infracom Ltd</t>
        </is>
      </c>
      <c r="C305" s="31" t="inlineStr">
        <is>
          <t>telecom</t>
        </is>
      </c>
      <c r="D305" s="31" t="inlineStr">
        <is>
          <t>trading</t>
        </is>
      </c>
      <c r="E305" s="31" t="inlineStr">
        <is>
          <t>midcap</t>
        </is>
      </c>
      <c r="F305" s="31" t="n">
        <v>5383.41</v>
      </c>
      <c r="G305" s="31" t="n">
        <v>605.35</v>
      </c>
      <c r="H305" s="31" t="n">
        <v>-0.27</v>
      </c>
      <c r="I305" s="31" t="n">
        <v>217721</v>
      </c>
      <c r="J305" s="31" t="inlineStr">
        <is>
          <t>530135</t>
        </is>
      </c>
    </row>
    <row r="306">
      <c r="A306" s="31" t="inlineStr">
        <is>
          <t>SIEMENS</t>
        </is>
      </c>
      <c r="B306" s="31" t="inlineStr">
        <is>
          <t>Siemens Limited</t>
        </is>
      </c>
      <c r="C306" s="31" t="inlineStr">
        <is>
          <t>industrials</t>
        </is>
      </c>
      <c r="D306" s="31" t="inlineStr">
        <is>
          <t>electric equipment</t>
        </is>
      </c>
      <c r="E306" s="31" t="inlineStr">
        <is>
          <t>largecap</t>
        </is>
      </c>
      <c r="F306" s="31" t="n">
        <v>130995.37</v>
      </c>
      <c r="G306" s="31" t="n">
        <v>3667.8</v>
      </c>
      <c r="H306" s="31" t="n">
        <v>-0.29</v>
      </c>
      <c r="I306" s="31" t="n">
        <v>244297</v>
      </c>
      <c r="J306" s="31" t="inlineStr">
        <is>
          <t>500550</t>
        </is>
      </c>
    </row>
    <row r="307">
      <c r="A307" s="31" t="inlineStr">
        <is>
          <t>UNOMINDA</t>
        </is>
      </c>
      <c r="B307" s="31" t="inlineStr">
        <is>
          <t>Uno Minda Ltd</t>
        </is>
      </c>
      <c r="C307" s="31" t="inlineStr">
        <is>
          <t>auto</t>
        </is>
      </c>
      <c r="D307" s="31" t="inlineStr">
        <is>
          <t>auto ancillaries</t>
        </is>
      </c>
      <c r="E307" s="31" t="inlineStr">
        <is>
          <t>largecap</t>
        </is>
      </c>
      <c r="F307" s="31" t="n">
        <v>66662.81</v>
      </c>
      <c r="G307" s="31" t="n">
        <v>1151</v>
      </c>
      <c r="H307" s="31" t="n">
        <v>-0.29</v>
      </c>
      <c r="I307" s="31" t="n">
        <v>541121</v>
      </c>
      <c r="J307" s="31" t="inlineStr">
        <is>
          <t>532539</t>
        </is>
      </c>
    </row>
    <row r="308">
      <c r="A308" s="31" t="inlineStr">
        <is>
          <t>UNITDSPR</t>
        </is>
      </c>
      <c r="B308" s="31" t="inlineStr">
        <is>
          <t>United Spirits Ltd</t>
        </is>
      </c>
      <c r="C308" s="31" t="inlineStr">
        <is>
          <t>fmcg</t>
        </is>
      </c>
      <c r="D308" s="31" t="inlineStr">
        <is>
          <t>breweries &amp; distilleries</t>
        </is>
      </c>
      <c r="E308" s="31" t="inlineStr">
        <is>
          <t>largecap</t>
        </is>
      </c>
      <c r="F308" s="31" t="n">
        <v>101487.26</v>
      </c>
      <c r="G308" s="31" t="n">
        <v>1390.8</v>
      </c>
      <c r="H308" s="31" t="n">
        <v>-0.32</v>
      </c>
      <c r="I308" s="31" t="n">
        <v>621923</v>
      </c>
      <c r="J308" s="31" t="inlineStr">
        <is>
          <t>532432</t>
        </is>
      </c>
    </row>
    <row r="309">
      <c r="A309" s="31" t="inlineStr">
        <is>
          <t>POLYPLEX</t>
        </is>
      </c>
      <c r="B309" s="31" t="inlineStr">
        <is>
          <t>Polyplex Corporation Limited</t>
        </is>
      </c>
      <c r="C309" s="31" t="inlineStr">
        <is>
          <t>industrials</t>
        </is>
      </c>
      <c r="D309" s="31" t="inlineStr">
        <is>
          <t>packaging</t>
        </is>
      </c>
      <c r="E309" s="31" t="inlineStr">
        <is>
          <t>smallcap</t>
        </is>
      </c>
      <c r="F309" s="31" t="n">
        <v>3375.79</v>
      </c>
      <c r="G309" s="31" t="n">
        <v>1071.95</v>
      </c>
      <c r="H309" s="31" t="n">
        <v>-0.32</v>
      </c>
      <c r="I309" s="31" t="n">
        <v>40737</v>
      </c>
      <c r="J309" s="31" t="inlineStr">
        <is>
          <t>524051</t>
        </is>
      </c>
    </row>
    <row r="310">
      <c r="A310" s="31" t="inlineStr">
        <is>
          <t>BHARATFORG</t>
        </is>
      </c>
      <c r="B310" s="31" t="inlineStr">
        <is>
          <t>Bharat Forge Limited</t>
        </is>
      </c>
      <c r="C310" s="31" t="inlineStr">
        <is>
          <t>industrials</t>
        </is>
      </c>
      <c r="D310" s="31" t="inlineStr">
        <is>
          <t>castings &amp; forgings</t>
        </is>
      </c>
      <c r="E310" s="31" t="inlineStr">
        <is>
          <t>largecap</t>
        </is>
      </c>
      <c r="F310" s="31" t="n">
        <v>105609.78</v>
      </c>
      <c r="G310" s="31" t="n">
        <v>2201.8</v>
      </c>
      <c r="H310" s="31" t="n">
        <v>-0.33</v>
      </c>
      <c r="I310" s="31" t="n">
        <v>718772</v>
      </c>
      <c r="J310" s="31" t="inlineStr">
        <is>
          <t>500493</t>
        </is>
      </c>
    </row>
    <row r="311">
      <c r="A311" s="31" t="inlineStr">
        <is>
          <t>HNDFDS</t>
        </is>
      </c>
      <c r="B311" s="31" t="inlineStr">
        <is>
          <t>Hindustan Foods Ltd</t>
        </is>
      </c>
      <c r="C311" s="31" t="inlineStr">
        <is>
          <t>fmcg</t>
        </is>
      </c>
      <c r="D311" s="31" t="inlineStr">
        <is>
          <t>diversified - large</t>
        </is>
      </c>
      <c r="E311" s="31" t="inlineStr">
        <is>
          <t>midcap</t>
        </is>
      </c>
      <c r="F311" s="31" t="n">
        <v>6845.71</v>
      </c>
      <c r="G311" s="31" t="n">
        <v>571</v>
      </c>
      <c r="H311" s="31" t="n">
        <v>-0.34</v>
      </c>
      <c r="I311" s="31" t="n">
        <v>40082</v>
      </c>
      <c r="J311" s="31" t="inlineStr">
        <is>
          <t>519126</t>
        </is>
      </c>
    </row>
    <row r="312">
      <c r="A312" s="31" t="inlineStr">
        <is>
          <t>5PAISA</t>
        </is>
      </c>
      <c r="B312" s="31" t="inlineStr">
        <is>
          <t>5Paisa Capital Ltd</t>
        </is>
      </c>
      <c r="C312" s="31" t="inlineStr">
        <is>
          <t>financials</t>
        </is>
      </c>
      <c r="D312" s="31" t="inlineStr">
        <is>
          <t>finance &amp; investments</t>
        </is>
      </c>
      <c r="E312" s="31" t="inlineStr">
        <is>
          <t>smallcap</t>
        </is>
      </c>
      <c r="F312" s="31" t="n">
        <v>1771.21</v>
      </c>
      <c r="G312" s="31" t="n">
        <v>376.5</v>
      </c>
      <c r="H312" s="31" t="n">
        <v>-0.34</v>
      </c>
      <c r="I312" s="31" t="n">
        <v>54585</v>
      </c>
      <c r="J312" s="31" t="inlineStr">
        <is>
          <t>540776</t>
        </is>
      </c>
    </row>
    <row r="313">
      <c r="A313" s="31" t="inlineStr">
        <is>
          <t>SANGAMIND</t>
        </is>
      </c>
      <c r="B313" s="31" t="inlineStr">
        <is>
          <t>Sangam (india) Limited</t>
        </is>
      </c>
      <c r="C313" s="31" t="inlineStr">
        <is>
          <t>textiles</t>
        </is>
      </c>
      <c r="D313" s="31" t="inlineStr">
        <is>
          <t>textiles - spinning - synthetic / blended</t>
        </is>
      </c>
      <c r="E313" s="31" t="inlineStr">
        <is>
          <t>smallcap</t>
        </is>
      </c>
      <c r="F313" s="31" t="n">
        <v>3120.81</v>
      </c>
      <c r="G313" s="31" t="n">
        <v>618.95</v>
      </c>
      <c r="H313" s="31" t="n">
        <v>-0.35</v>
      </c>
      <c r="I313" s="31" t="n">
        <v>61916</v>
      </c>
      <c r="J313" s="31" t="inlineStr">
        <is>
          <t>514234</t>
        </is>
      </c>
    </row>
    <row r="314">
      <c r="A314" s="31" t="inlineStr">
        <is>
          <t>NINSYS</t>
        </is>
      </c>
      <c r="B314" s="31" t="inlineStr">
        <is>
          <t>NINtec Systems Ltd</t>
        </is>
      </c>
      <c r="C314" s="31" t="inlineStr">
        <is>
          <t>i.t</t>
        </is>
      </c>
      <c r="D314" s="31" t="inlineStr">
        <is>
          <t>computers - software - medium / small</t>
        </is>
      </c>
      <c r="E314" s="31" t="inlineStr">
        <is>
          <t>smallcap</t>
        </is>
      </c>
      <c r="F314" s="31" t="n">
        <v>1668.5</v>
      </c>
      <c r="G314" s="31" t="n">
        <v>895</v>
      </c>
      <c r="H314" s="31" t="n">
        <v>-0.36</v>
      </c>
      <c r="I314" s="31" t="n">
        <v>3608</v>
      </c>
      <c r="J314" s="31" t="inlineStr">
        <is>
          <t>539843</t>
        </is>
      </c>
    </row>
    <row r="315">
      <c r="A315" s="31" t="inlineStr">
        <is>
          <t>NEULANDLAB</t>
        </is>
      </c>
      <c r="B315" s="31" t="inlineStr">
        <is>
          <t>Neuland Laboratories Limited</t>
        </is>
      </c>
      <c r="C315" s="31" t="inlineStr">
        <is>
          <t>healthcare</t>
        </is>
      </c>
      <c r="D315" s="31" t="inlineStr">
        <is>
          <t>pharmaceuticals - indian - bulk drugs</t>
        </is>
      </c>
      <c r="E315" s="31" t="inlineStr">
        <is>
          <t>largecap</t>
        </is>
      </c>
      <c r="F315" s="31" t="n">
        <v>24311.36</v>
      </c>
      <c r="G315" s="31" t="n">
        <v>18880</v>
      </c>
      <c r="H315" s="31" t="n">
        <v>-0.36</v>
      </c>
      <c r="I315" s="31" t="n">
        <v>19859</v>
      </c>
      <c r="J315" s="31" t="inlineStr">
        <is>
          <t>524558</t>
        </is>
      </c>
    </row>
    <row r="316">
      <c r="A316" s="31" t="inlineStr">
        <is>
          <t>INDIANB</t>
        </is>
      </c>
      <c r="B316" s="31" t="inlineStr">
        <is>
          <t>Indian Bank Ltd</t>
        </is>
      </c>
      <c r="C316" s="31" t="inlineStr">
        <is>
          <t>bank</t>
        </is>
      </c>
      <c r="D316" s="31" t="inlineStr">
        <is>
          <t>banks - public sector</t>
        </is>
      </c>
      <c r="E316" s="31" t="inlineStr">
        <is>
          <t>largecap</t>
        </is>
      </c>
      <c r="F316" s="31" t="n">
        <v>115636.86</v>
      </c>
      <c r="G316" s="31" t="n">
        <v>855.35</v>
      </c>
      <c r="H316" s="31" t="n">
        <v>-0.37</v>
      </c>
      <c r="I316" s="31" t="n">
        <v>1927868</v>
      </c>
      <c r="J316" s="31" t="inlineStr">
        <is>
          <t>532814</t>
        </is>
      </c>
    </row>
    <row r="317">
      <c r="A317" s="31" t="inlineStr">
        <is>
          <t>PIXTRANS</t>
        </is>
      </c>
      <c r="B317" s="31" t="inlineStr">
        <is>
          <t>Pix Transmission Ltd</t>
        </is>
      </c>
      <c r="C317" s="31" t="inlineStr">
        <is>
          <t>fmcg</t>
        </is>
      </c>
      <c r="D317" s="31" t="inlineStr">
        <is>
          <t>miscellaneous</t>
        </is>
      </c>
      <c r="E317" s="31" t="inlineStr">
        <is>
          <t>smallcap</t>
        </is>
      </c>
      <c r="F317" s="31" t="n">
        <v>2530.61</v>
      </c>
      <c r="G317" s="31" t="n">
        <v>1850</v>
      </c>
      <c r="H317" s="31" t="n">
        <v>-0.39</v>
      </c>
      <c r="I317" s="31" t="n">
        <v>10586</v>
      </c>
      <c r="J317" s="31" t="inlineStr">
        <is>
          <t>500333</t>
        </is>
      </c>
    </row>
    <row r="318">
      <c r="A318" s="31" t="inlineStr">
        <is>
          <t>SKYGOLD</t>
        </is>
      </c>
      <c r="B318" s="31" t="inlineStr">
        <is>
          <t>Sky Gold Ltd</t>
        </is>
      </c>
      <c r="C318" s="31" t="inlineStr">
        <is>
          <t>consumer discretionary</t>
        </is>
      </c>
      <c r="D318" s="31" t="inlineStr">
        <is>
          <t>diamond cutting / jewellery</t>
        </is>
      </c>
      <c r="E318" s="31" t="inlineStr">
        <is>
          <t>midcap</t>
        </is>
      </c>
      <c r="F318" s="31" t="n">
        <v>10196.12</v>
      </c>
      <c r="G318" s="31" t="n">
        <v>655.8</v>
      </c>
      <c r="H318" s="31" t="n">
        <v>-0.39</v>
      </c>
      <c r="I318" s="31" t="n">
        <v>1525584</v>
      </c>
      <c r="J318" s="31" t="inlineStr">
        <is>
          <t>541967</t>
        </is>
      </c>
    </row>
    <row r="319">
      <c r="A319" s="31" t="inlineStr">
        <is>
          <t>GOODLUCK</t>
        </is>
      </c>
      <c r="B319" s="31" t="inlineStr">
        <is>
          <t>Goodluck India Limited</t>
        </is>
      </c>
      <c r="C319" s="31" t="inlineStr">
        <is>
          <t>metals &amp; mining</t>
        </is>
      </c>
      <c r="D319" s="31" t="inlineStr">
        <is>
          <t>steel - medium / small</t>
        </is>
      </c>
      <c r="E319" s="31" t="inlineStr">
        <is>
          <t>midcap</t>
        </is>
      </c>
      <c r="F319" s="31" t="n">
        <v>5186.54</v>
      </c>
      <c r="G319" s="31" t="n">
        <v>1554.1</v>
      </c>
      <c r="H319" s="31" t="n">
        <v>-0.4</v>
      </c>
      <c r="I319" s="31" t="n">
        <v>117809</v>
      </c>
      <c r="J319" s="31" t="inlineStr">
        <is>
          <t>530655</t>
        </is>
      </c>
    </row>
    <row r="320">
      <c r="A320" s="31" t="inlineStr">
        <is>
          <t>RECLTD</t>
        </is>
      </c>
      <c r="B320" s="31" t="inlineStr">
        <is>
          <t>REC Ltd</t>
        </is>
      </c>
      <c r="C320" s="31" t="inlineStr">
        <is>
          <t>financials</t>
        </is>
      </c>
      <c r="D320" s="31" t="inlineStr">
        <is>
          <t>finance - term-lending institutions</t>
        </is>
      </c>
      <c r="E320" s="31" t="inlineStr">
        <is>
          <t>largecap</t>
        </is>
      </c>
      <c r="F320" s="31" t="n">
        <v>95717.69</v>
      </c>
      <c r="G320" s="31" t="n">
        <v>362.05</v>
      </c>
      <c r="H320" s="31" t="n">
        <v>-0.4</v>
      </c>
      <c r="I320" s="31" t="n">
        <v>3427264</v>
      </c>
      <c r="J320" s="31" t="inlineStr">
        <is>
          <t>532955</t>
        </is>
      </c>
    </row>
    <row r="321">
      <c r="A321" s="31" t="inlineStr">
        <is>
          <t>NEOGEN</t>
        </is>
      </c>
      <c r="B321" s="31" t="inlineStr">
        <is>
          <t>Neogen Chemicals Ltd</t>
        </is>
      </c>
      <c r="C321" s="31" t="inlineStr">
        <is>
          <t>chemicals</t>
        </is>
      </c>
      <c r="D321" s="31" t="inlineStr">
        <is>
          <t>chemicals</t>
        </is>
      </c>
      <c r="E321" s="31" t="inlineStr">
        <is>
          <t>midcap</t>
        </is>
      </c>
      <c r="F321" s="31" t="n">
        <v>5976.32</v>
      </c>
      <c r="G321" s="31" t="n">
        <v>2173.9</v>
      </c>
      <c r="H321" s="31" t="n">
        <v>-0.4</v>
      </c>
      <c r="I321" s="31" t="n">
        <v>81260</v>
      </c>
      <c r="J321" s="31" t="inlineStr">
        <is>
          <t>542665</t>
        </is>
      </c>
    </row>
    <row r="322">
      <c r="A322" s="31" t="inlineStr">
        <is>
          <t>GRAVITA</t>
        </is>
      </c>
      <c r="B322" s="31" t="inlineStr">
        <is>
          <t>Gravita India Limited</t>
        </is>
      </c>
      <c r="C322" s="31" t="inlineStr">
        <is>
          <t>metals &amp; mining</t>
        </is>
      </c>
      <c r="D322" s="31" t="inlineStr">
        <is>
          <t>mining / minerals / metals</t>
        </is>
      </c>
      <c r="E322" s="31" t="inlineStr">
        <is>
          <t>midcap</t>
        </is>
      </c>
      <c r="F322" s="31" t="n">
        <v>13356.38</v>
      </c>
      <c r="G322" s="31" t="n">
        <v>1802</v>
      </c>
      <c r="H322" s="31" t="n">
        <v>-0.42</v>
      </c>
      <c r="I322" s="31" t="n">
        <v>98246</v>
      </c>
      <c r="J322" s="31" t="inlineStr">
        <is>
          <t>533282</t>
        </is>
      </c>
    </row>
    <row r="323">
      <c r="A323" s="31" t="inlineStr">
        <is>
          <t>WANBURY</t>
        </is>
      </c>
      <c r="B323" s="31" t="inlineStr">
        <is>
          <t>Wanbury Limited</t>
        </is>
      </c>
      <c r="C323" s="31" t="inlineStr">
        <is>
          <t>healthcare</t>
        </is>
      </c>
      <c r="D323" s="31" t="inlineStr">
        <is>
          <t>pharmaceuticals - indian - bulk drugs &amp; formln</t>
        </is>
      </c>
      <c r="E323" s="31" t="inlineStr">
        <is>
          <t>smallcap</t>
        </is>
      </c>
      <c r="F323" s="31" t="n">
        <v>1187.59</v>
      </c>
      <c r="G323" s="31" t="n">
        <v>338.4</v>
      </c>
      <c r="H323" s="31" t="n">
        <v>-0.44</v>
      </c>
      <c r="I323" s="31" t="n">
        <v>810048</v>
      </c>
      <c r="J323" s="31" t="inlineStr">
        <is>
          <t>524212</t>
        </is>
      </c>
    </row>
    <row r="324">
      <c r="A324" s="31" t="inlineStr">
        <is>
          <t>IRISDOREME</t>
        </is>
      </c>
      <c r="B324" s="31" t="inlineStr">
        <is>
          <t>Iris Clothings Ltd</t>
        </is>
      </c>
      <c r="C324" s="31" t="inlineStr">
        <is>
          <t>consumer discretionary</t>
        </is>
      </c>
      <c r="D324" s="31" t="inlineStr">
        <is>
          <t>textiles - products</t>
        </is>
      </c>
      <c r="E324" s="31" t="inlineStr">
        <is>
          <t>smallcap</t>
        </is>
      </c>
      <c r="F324" s="31" t="n">
        <v>881.4299999999999</v>
      </c>
      <c r="G324" s="31" t="n">
        <v>46.1</v>
      </c>
      <c r="H324" s="31" t="n">
        <v>-0.45</v>
      </c>
      <c r="I324" s="31" t="n">
        <v>325644</v>
      </c>
      <c r="J324" s="31" t="inlineStr">
        <is>
          <t>535123</t>
        </is>
      </c>
    </row>
    <row r="325">
      <c r="A325" s="31" t="inlineStr">
        <is>
          <t>CENTURYPLY</t>
        </is>
      </c>
      <c r="B325" s="31" t="inlineStr">
        <is>
          <t>Century Plyboards (india) Limited</t>
        </is>
      </c>
      <c r="C325" s="31" t="inlineStr">
        <is>
          <t>building materials</t>
        </is>
      </c>
      <c r="D325" s="31" t="inlineStr">
        <is>
          <t>miscellaneous</t>
        </is>
      </c>
      <c r="E325" s="31" t="inlineStr">
        <is>
          <t>midcap</t>
        </is>
      </c>
      <c r="F325" s="31" t="n">
        <v>17693.86</v>
      </c>
      <c r="G325" s="31" t="n">
        <v>792.85</v>
      </c>
      <c r="H325" s="31" t="n">
        <v>-0.45</v>
      </c>
      <c r="I325" s="31" t="n">
        <v>20356</v>
      </c>
      <c r="J325" s="31" t="inlineStr">
        <is>
          <t>532548</t>
        </is>
      </c>
    </row>
    <row r="326">
      <c r="A326" s="31" t="inlineStr">
        <is>
          <t>MAHLOG</t>
        </is>
      </c>
      <c r="B326" s="31" t="inlineStr">
        <is>
          <t>Mahindra Logistics Ltd</t>
        </is>
      </c>
      <c r="C326" s="31" t="inlineStr">
        <is>
          <t>transportation</t>
        </is>
      </c>
      <c r="D326" s="31" t="inlineStr">
        <is>
          <t>miscellaneous</t>
        </is>
      </c>
      <c r="E326" s="31" t="inlineStr">
        <is>
          <t>smallcap</t>
        </is>
      </c>
      <c r="F326" s="31" t="n">
        <v>3899.94</v>
      </c>
      <c r="G326" s="31" t="n">
        <v>391.15</v>
      </c>
      <c r="H326" s="31" t="n">
        <v>-0.48</v>
      </c>
      <c r="I326" s="31" t="n">
        <v>841739</v>
      </c>
      <c r="J326" s="31" t="inlineStr">
        <is>
          <t>540768</t>
        </is>
      </c>
    </row>
    <row r="327">
      <c r="A327" s="31" t="inlineStr">
        <is>
          <t>GANDHAR</t>
        </is>
      </c>
      <c r="B327" s="31" t="inlineStr">
        <is>
          <t>Gandhar Oil Refinery (India) Ltd</t>
        </is>
      </c>
      <c r="C327" s="31" t="inlineStr">
        <is>
          <t>energy</t>
        </is>
      </c>
      <c r="D327" s="31" t="inlineStr">
        <is>
          <t>refineries</t>
        </is>
      </c>
      <c r="E327" s="31" t="inlineStr">
        <is>
          <t>smallcap</t>
        </is>
      </c>
      <c r="F327" s="31" t="n">
        <v>2234.79</v>
      </c>
      <c r="G327" s="31" t="n">
        <v>227.17</v>
      </c>
      <c r="H327" s="31" t="n">
        <v>-0.5</v>
      </c>
      <c r="I327" s="31" t="n">
        <v>2847526</v>
      </c>
      <c r="J327" s="31" t="inlineStr">
        <is>
          <t>544029</t>
        </is>
      </c>
    </row>
    <row r="328">
      <c r="A328" s="31" t="inlineStr">
        <is>
          <t>ZYDUSLIFE</t>
        </is>
      </c>
      <c r="B328" s="31" t="inlineStr">
        <is>
          <t>Zydus Lifesciences Ltd</t>
        </is>
      </c>
      <c r="C328" s="31" t="inlineStr">
        <is>
          <t>healthcare</t>
        </is>
      </c>
      <c r="D328" s="31" t="inlineStr">
        <is>
          <t>pharmaceuticals - indian - bulk drugs &amp; formln</t>
        </is>
      </c>
      <c r="E328" s="31" t="inlineStr">
        <is>
          <t>largecap</t>
        </is>
      </c>
      <c r="F328" s="31" t="n">
        <v>114613.19</v>
      </c>
      <c r="G328" s="31" t="n">
        <v>1143.1</v>
      </c>
      <c r="H328" s="31" t="n">
        <v>-0.51</v>
      </c>
      <c r="I328" s="31" t="n">
        <v>622368</v>
      </c>
      <c r="J328" s="31" t="inlineStr">
        <is>
          <t>532321</t>
        </is>
      </c>
    </row>
    <row r="329">
      <c r="A329" s="31" t="inlineStr">
        <is>
          <t>INDIASHLTR</t>
        </is>
      </c>
      <c r="B329" s="31" t="inlineStr">
        <is>
          <t>India Shelter Finance Corporation Ltd</t>
        </is>
      </c>
      <c r="C329" s="31" t="inlineStr">
        <is>
          <t>financials</t>
        </is>
      </c>
      <c r="D329" s="31" t="inlineStr">
        <is>
          <t>finance - housing</t>
        </is>
      </c>
      <c r="E329" s="31" t="inlineStr">
        <is>
          <t>midcap</t>
        </is>
      </c>
      <c r="F329" s="31" t="n">
        <v>8865.450000000001</v>
      </c>
      <c r="G329" s="31" t="n">
        <v>811</v>
      </c>
      <c r="H329" s="31" t="n">
        <v>-0.51</v>
      </c>
      <c r="I329" s="31" t="n">
        <v>76609</v>
      </c>
      <c r="J329" s="31" t="inlineStr">
        <is>
          <t>544044</t>
        </is>
      </c>
    </row>
    <row r="330">
      <c r="A330" s="31" t="inlineStr">
        <is>
          <t>RICOAUTO</t>
        </is>
      </c>
      <c r="B330" s="31" t="inlineStr">
        <is>
          <t>Rico Auto Industries Limited</t>
        </is>
      </c>
      <c r="C330" s="31" t="inlineStr">
        <is>
          <t>auto</t>
        </is>
      </c>
      <c r="D330" s="31" t="inlineStr">
        <is>
          <t>auto ancillaries</t>
        </is>
      </c>
      <c r="E330" s="31" t="inlineStr">
        <is>
          <t>smallcap</t>
        </is>
      </c>
      <c r="F330" s="31" t="n">
        <v>1871.8</v>
      </c>
      <c r="G330" s="31" t="n">
        <v>137.58</v>
      </c>
      <c r="H330" s="31" t="n">
        <v>-0.5600000000000001</v>
      </c>
      <c r="I330" s="31" t="n">
        <v>2521139</v>
      </c>
      <c r="J330" s="31" t="inlineStr">
        <is>
          <t>520008</t>
        </is>
      </c>
    </row>
    <row r="331">
      <c r="A331" s="31" t="inlineStr">
        <is>
          <t>GEOJITFSL</t>
        </is>
      </c>
      <c r="B331" s="31" t="inlineStr">
        <is>
          <t>Geojit Financial Services Ltd</t>
        </is>
      </c>
      <c r="C331" s="31" t="inlineStr">
        <is>
          <t>financials</t>
        </is>
      </c>
      <c r="D331" s="31" t="inlineStr">
        <is>
          <t>finance &amp; investments</t>
        </is>
      </c>
      <c r="E331" s="31" t="inlineStr">
        <is>
          <t>smallcap</t>
        </is>
      </c>
      <c r="F331" s="31" t="n">
        <v>2314.48</v>
      </c>
      <c r="G331" s="31" t="n">
        <v>82.45</v>
      </c>
      <c r="H331" s="31" t="n">
        <v>-0.57</v>
      </c>
      <c r="I331" s="31" t="n">
        <v>285800</v>
      </c>
      <c r="J331" s="31" t="inlineStr">
        <is>
          <t>532285</t>
        </is>
      </c>
    </row>
    <row r="332">
      <c r="A332" s="31" t="inlineStr">
        <is>
          <t>LANDMARK</t>
        </is>
      </c>
      <c r="B332" s="31" t="inlineStr">
        <is>
          <t>Landmark Cars Ltd</t>
        </is>
      </c>
      <c r="C332" s="31" t="inlineStr">
        <is>
          <t>consumer discretionary</t>
        </is>
      </c>
      <c r="D332" s="31" t="inlineStr">
        <is>
          <t>trading</t>
        </is>
      </c>
      <c r="E332" s="31" t="inlineStr">
        <is>
          <t>smallcap</t>
        </is>
      </c>
      <c r="F332" s="31" t="n">
        <v>2219.82</v>
      </c>
      <c r="G332" s="31" t="n">
        <v>532.2</v>
      </c>
      <c r="H332" s="31" t="n">
        <v>-0.59</v>
      </c>
      <c r="I332" s="31" t="n">
        <v>610275</v>
      </c>
      <c r="J332" s="31" t="inlineStr">
        <is>
          <t>543714</t>
        </is>
      </c>
    </row>
    <row r="333">
      <c r="A333" s="31" t="inlineStr">
        <is>
          <t>RPGLIFE</t>
        </is>
      </c>
      <c r="B333" s="31" t="inlineStr">
        <is>
          <t>Rpg Life Sciences Limited</t>
        </is>
      </c>
      <c r="C333" s="31" t="inlineStr">
        <is>
          <t>healthcare</t>
        </is>
      </c>
      <c r="D333" s="31" t="inlineStr">
        <is>
          <t>pharmaceuticals - indian - bulk drugs &amp; formln</t>
        </is>
      </c>
      <c r="E333" s="31" t="inlineStr">
        <is>
          <t>smallcap</t>
        </is>
      </c>
      <c r="F333" s="31" t="n">
        <v>4989.99</v>
      </c>
      <c r="G333" s="31" t="n">
        <v>2997.9</v>
      </c>
      <c r="H333" s="31" t="n">
        <v>-0.64</v>
      </c>
      <c r="I333" s="31" t="n">
        <v>35293</v>
      </c>
      <c r="J333" s="31" t="inlineStr">
        <is>
          <t>532983</t>
        </is>
      </c>
    </row>
    <row r="334">
      <c r="A334" s="31" t="inlineStr">
        <is>
          <t>SAILIFE</t>
        </is>
      </c>
      <c r="B334" s="31" t="inlineStr">
        <is>
          <t>Sai Life Sciences Ltd</t>
        </is>
      </c>
      <c r="C334" s="31" t="inlineStr">
        <is>
          <t>healthcare</t>
        </is>
      </c>
      <c r="D334" s="31" t="inlineStr">
        <is>
          <t>pharmaceuticals - indian - bulk drugs &amp; formln</t>
        </is>
      </c>
      <c r="E334" s="31" t="inlineStr">
        <is>
          <t>largecap</t>
        </is>
      </c>
      <c r="F334" s="31" t="n">
        <v>27467.77</v>
      </c>
      <c r="G334" s="31" t="n">
        <v>1288.7</v>
      </c>
      <c r="H334" s="31" t="n">
        <v>-0.64</v>
      </c>
      <c r="I334" s="31" t="n">
        <v>310741</v>
      </c>
      <c r="J334" s="31" t="inlineStr">
        <is>
          <t>544306</t>
        </is>
      </c>
    </row>
    <row r="335">
      <c r="A335" s="31" t="inlineStr">
        <is>
          <t>ATHERENERG</t>
        </is>
      </c>
      <c r="B335" s="31" t="inlineStr">
        <is>
          <t>Ather Energy Ltd</t>
        </is>
      </c>
      <c r="C335" s="31" t="inlineStr">
        <is>
          <t>auto</t>
        </is>
      </c>
      <c r="D335" s="31" t="inlineStr">
        <is>
          <t>automobiles - scooters and 3 - wheelers</t>
        </is>
      </c>
      <c r="E335" s="31" t="inlineStr">
        <is>
          <t>largecap</t>
        </is>
      </c>
      <c r="F335" s="31" t="n">
        <v>49679.3</v>
      </c>
      <c r="G335" s="31" t="n">
        <v>1288.4</v>
      </c>
      <c r="H335" s="31" t="n">
        <v>-0.64</v>
      </c>
      <c r="I335" s="31" t="n">
        <v>3844546</v>
      </c>
      <c r="J335" s="31" t="inlineStr">
        <is>
          <t>544397</t>
        </is>
      </c>
    </row>
    <row r="336">
      <c r="A336" s="31" t="inlineStr">
        <is>
          <t>ARE&amp;M</t>
        </is>
      </c>
      <c r="B336" s="31" t="inlineStr">
        <is>
          <t>Amara Raja Energy &amp; Mobility Ltd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midcap</t>
        </is>
      </c>
      <c r="F336" s="31" t="n">
        <v>16679.1</v>
      </c>
      <c r="G336" s="31" t="n">
        <v>905</v>
      </c>
      <c r="H336" s="31" t="n">
        <v>-0.6899999999999999</v>
      </c>
      <c r="I336" s="31" t="n">
        <v>755423</v>
      </c>
      <c r="J336" s="31" t="inlineStr">
        <is>
          <t>500008</t>
        </is>
      </c>
    </row>
    <row r="337">
      <c r="A337" s="31" t="inlineStr">
        <is>
          <t>RISHABH</t>
        </is>
      </c>
      <c r="B337" s="31" t="inlineStr">
        <is>
          <t>Rishabh Instruments Ltd</t>
        </is>
      </c>
      <c r="C337" s="31" t="inlineStr">
        <is>
          <t>industrials</t>
        </is>
      </c>
      <c r="D337" s="31" t="inlineStr">
        <is>
          <t>electric equipment</t>
        </is>
      </c>
      <c r="E337" s="31" t="inlineStr">
        <is>
          <t>smallcap</t>
        </is>
      </c>
      <c r="F337" s="31" t="n">
        <v>2533.05</v>
      </c>
      <c r="G337" s="31" t="n">
        <v>652.6</v>
      </c>
      <c r="H337" s="31" t="n">
        <v>-0.6899999999999999</v>
      </c>
      <c r="I337" s="31" t="n">
        <v>133106</v>
      </c>
      <c r="J337" s="31" t="inlineStr">
        <is>
          <t>543977</t>
        </is>
      </c>
    </row>
    <row r="338">
      <c r="A338" s="31" t="inlineStr">
        <is>
          <t>RAINBOW</t>
        </is>
      </c>
      <c r="B338" s="31" t="inlineStr">
        <is>
          <t>Rainbow Childrens Medicare Ltd</t>
        </is>
      </c>
      <c r="C338" s="31" t="inlineStr">
        <is>
          <t>healthcare</t>
        </is>
      </c>
      <c r="D338" s="31" t="inlineStr">
        <is>
          <t>healthcare</t>
        </is>
      </c>
      <c r="E338" s="31" t="inlineStr">
        <is>
          <t>midcap</t>
        </is>
      </c>
      <c r="F338" s="31" t="n">
        <v>15155.67</v>
      </c>
      <c r="G338" s="31" t="n">
        <v>1481.9</v>
      </c>
      <c r="H338" s="31" t="n">
        <v>-0.7</v>
      </c>
      <c r="I338" s="31" t="n">
        <v>58877</v>
      </c>
      <c r="J338" s="31" t="inlineStr">
        <is>
          <t>543524</t>
        </is>
      </c>
    </row>
    <row r="339">
      <c r="A339" s="31" t="inlineStr">
        <is>
          <t>SUBEXLTD</t>
        </is>
      </c>
      <c r="B339" s="31" t="inlineStr">
        <is>
          <t>Subex Ltd</t>
        </is>
      </c>
      <c r="C339" s="31" t="inlineStr">
        <is>
          <t>i.t</t>
        </is>
      </c>
      <c r="D339" s="31" t="inlineStr">
        <is>
          <t>computers - software - medium / small</t>
        </is>
      </c>
      <c r="E339" s="31" t="inlineStr">
        <is>
          <t>smallcap</t>
        </is>
      </c>
      <c r="F339" s="31" t="n">
        <v>726.67</v>
      </c>
      <c r="G339" s="31" t="n">
        <v>12.84</v>
      </c>
      <c r="H339" s="31" t="n">
        <v>-0.7</v>
      </c>
      <c r="I339" s="31" t="n">
        <v>761911</v>
      </c>
      <c r="J339" s="31" t="inlineStr">
        <is>
          <t>532348</t>
        </is>
      </c>
    </row>
    <row r="340">
      <c r="A340" s="31" t="inlineStr">
        <is>
          <t>HTMEDIA</t>
        </is>
      </c>
      <c r="B340" s="31" t="inlineStr">
        <is>
          <t>Ht Media Limited</t>
        </is>
      </c>
      <c r="C340" s="31" t="inlineStr">
        <is>
          <t>media</t>
        </is>
      </c>
      <c r="D340" s="31" t="inlineStr">
        <is>
          <t>entertainment / electronic media software</t>
        </is>
      </c>
      <c r="E340" s="31" t="inlineStr">
        <is>
          <t>smallcap</t>
        </is>
      </c>
      <c r="F340" s="31" t="n">
        <v>612.4299999999999</v>
      </c>
      <c r="G340" s="31" t="n">
        <v>26.11</v>
      </c>
      <c r="H340" s="31" t="n">
        <v>-0.76</v>
      </c>
      <c r="I340" s="31" t="n">
        <v>109402</v>
      </c>
      <c r="J340" s="31" t="inlineStr">
        <is>
          <t>532662</t>
        </is>
      </c>
    </row>
    <row r="341">
      <c r="A341" s="31" t="inlineStr">
        <is>
          <t>WABAG</t>
        </is>
      </c>
      <c r="B341" s="31" t="inlineStr">
        <is>
          <t>Va Tech Wabag Limited</t>
        </is>
      </c>
      <c r="C341" s="31" t="inlineStr">
        <is>
          <t>realty</t>
        </is>
      </c>
      <c r="D341" s="31" t="inlineStr">
        <is>
          <t>engineering - turnkey services</t>
        </is>
      </c>
      <c r="E341" s="31" t="inlineStr">
        <is>
          <t>midcap</t>
        </is>
      </c>
      <c r="F341" s="31" t="n">
        <v>13190.94</v>
      </c>
      <c r="G341" s="31" t="n">
        <v>2100.2</v>
      </c>
      <c r="H341" s="31" t="n">
        <v>-0.79</v>
      </c>
      <c r="I341" s="31" t="n">
        <v>377949</v>
      </c>
      <c r="J341" s="31" t="inlineStr">
        <is>
          <t>533269</t>
        </is>
      </c>
    </row>
    <row r="342">
      <c r="A342" s="31" t="inlineStr">
        <is>
          <t>IKS</t>
        </is>
      </c>
      <c r="B342" s="31" t="inlineStr">
        <is>
          <t>Inventurus Knowledge Solutions Ltd</t>
        </is>
      </c>
      <c r="C342" s="31" t="inlineStr">
        <is>
          <t>i.t</t>
        </is>
      </c>
      <c r="D342" s="31" t="inlineStr">
        <is>
          <t>computers - software - medium / small</t>
        </is>
      </c>
      <c r="E342" s="31" t="inlineStr">
        <is>
          <t>largecap</t>
        </is>
      </c>
      <c r="F342" s="31" t="n">
        <v>32631.5</v>
      </c>
      <c r="G342" s="31" t="n">
        <v>1886.5</v>
      </c>
      <c r="H342" s="31" t="n">
        <v>-0.8100000000000001</v>
      </c>
      <c r="I342" s="31" t="n">
        <v>46681</v>
      </c>
      <c r="J342" s="31" t="inlineStr">
        <is>
          <t>544309</t>
        </is>
      </c>
    </row>
    <row r="343">
      <c r="A343" s="31" t="inlineStr">
        <is>
          <t>JAYAGROGN</t>
        </is>
      </c>
      <c r="B343" s="31" t="inlineStr">
        <is>
          <t>Jayant Agro Organics Limited</t>
        </is>
      </c>
      <c r="C343" s="31" t="inlineStr">
        <is>
          <t>chemicals</t>
        </is>
      </c>
      <c r="D343" s="31" t="inlineStr">
        <is>
          <t>chemicals</t>
        </is>
      </c>
      <c r="E343" s="31" t="inlineStr">
        <is>
          <t>smallcap</t>
        </is>
      </c>
      <c r="F343" s="31" t="n">
        <v>677.73</v>
      </c>
      <c r="G343" s="31" t="n">
        <v>224.08</v>
      </c>
      <c r="H343" s="31" t="n">
        <v>-0.8100000000000001</v>
      </c>
      <c r="I343" s="31" t="n">
        <v>6805</v>
      </c>
      <c r="J343" s="31" t="inlineStr">
        <is>
          <t>524330</t>
        </is>
      </c>
    </row>
    <row r="344">
      <c r="A344" s="31" t="inlineStr">
        <is>
          <t>BUTTERFLY</t>
        </is>
      </c>
      <c r="B344" s="31" t="inlineStr">
        <is>
          <t>Butterfly Gandhimathi Appliances Limited</t>
        </is>
      </c>
      <c r="C344" s="31" t="inlineStr">
        <is>
          <t>consumer discretionary</t>
        </is>
      </c>
      <c r="D344" s="31" t="inlineStr">
        <is>
          <t>domestic appliances</t>
        </is>
      </c>
      <c r="E344" s="31" t="inlineStr">
        <is>
          <t>smallcap</t>
        </is>
      </c>
      <c r="F344" s="31" t="n">
        <v>1355.63</v>
      </c>
      <c r="G344" s="31" t="n">
        <v>752.05</v>
      </c>
      <c r="H344" s="31" t="n">
        <v>-0.8100000000000001</v>
      </c>
      <c r="I344" s="31" t="n">
        <v>29927</v>
      </c>
      <c r="J344" s="31" t="inlineStr">
        <is>
          <t>517421</t>
        </is>
      </c>
    </row>
    <row r="345">
      <c r="A345" s="31" t="inlineStr">
        <is>
          <t>RAYMOND</t>
        </is>
      </c>
      <c r="B345" s="31" t="inlineStr">
        <is>
          <t>Raymond Limited</t>
        </is>
      </c>
      <c r="C345" s="31" t="inlineStr">
        <is>
          <t>transportation</t>
        </is>
      </c>
      <c r="D345" s="31" t="inlineStr">
        <is>
          <t>transport - airlines</t>
        </is>
      </c>
      <c r="E345" s="31" t="inlineStr">
        <is>
          <t>smallcap</t>
        </is>
      </c>
      <c r="F345" s="31" t="n">
        <v>4079.97</v>
      </c>
      <c r="G345" s="31" t="n">
        <v>607.7</v>
      </c>
      <c r="H345" s="31" t="n">
        <v>-0.84</v>
      </c>
      <c r="I345" s="31" t="n">
        <v>403083</v>
      </c>
      <c r="J345" s="31" t="inlineStr">
        <is>
          <t>500330</t>
        </is>
      </c>
    </row>
    <row r="346">
      <c r="A346" s="31" t="inlineStr">
        <is>
          <t>SBC</t>
        </is>
      </c>
      <c r="B346" s="31" t="inlineStr">
        <is>
          <t>SBC Exports Ltd</t>
        </is>
      </c>
      <c r="C346" s="31" t="inlineStr">
        <is>
          <t>textiles</t>
        </is>
      </c>
      <c r="D346" s="31" t="inlineStr">
        <is>
          <t>textiles - products</t>
        </is>
      </c>
      <c r="E346" s="31" t="inlineStr">
        <is>
          <t>smallcap</t>
        </is>
      </c>
      <c r="F346" s="31" t="n">
        <v>2011.43</v>
      </c>
      <c r="G346" s="31" t="n">
        <v>41.88</v>
      </c>
      <c r="H346" s="31" t="n">
        <v>-0.85</v>
      </c>
      <c r="I346" s="31" t="n">
        <v>7462199</v>
      </c>
      <c r="J346" s="31" t="inlineStr">
        <is>
          <t>542725</t>
        </is>
      </c>
    </row>
    <row r="347">
      <c r="A347" s="31" t="inlineStr">
        <is>
          <t>NHPC</t>
        </is>
      </c>
      <c r="B347" s="31" t="inlineStr">
        <is>
          <t>Nhpc Limited</t>
        </is>
      </c>
      <c r="C347" s="31" t="inlineStr">
        <is>
          <t>power &amp; utilities</t>
        </is>
      </c>
      <c r="D347" s="31" t="inlineStr">
        <is>
          <t>power generation and supply</t>
        </is>
      </c>
      <c r="E347" s="31" t="inlineStr">
        <is>
          <t>largecap</t>
        </is>
      </c>
      <c r="F347" s="31" t="n">
        <v>81364.78</v>
      </c>
      <c r="G347" s="31" t="n">
        <v>80.31</v>
      </c>
      <c r="H347" s="31" t="n">
        <v>-0.85</v>
      </c>
      <c r="I347" s="31" t="n">
        <v>58291294</v>
      </c>
      <c r="J347" s="31" t="inlineStr">
        <is>
          <t>533098</t>
        </is>
      </c>
    </row>
    <row r="348">
      <c r="A348" s="31" t="inlineStr">
        <is>
          <t>MAHLIFE</t>
        </is>
      </c>
      <c r="B348" s="31" t="inlineStr">
        <is>
          <t>Mahindra Lifespace Developers Limited</t>
        </is>
      </c>
      <c r="C348" s="31" t="inlineStr">
        <is>
          <t>realty</t>
        </is>
      </c>
      <c r="D348" s="31" t="inlineStr">
        <is>
          <t>construction</t>
        </is>
      </c>
      <c r="E348" s="31" t="inlineStr">
        <is>
          <t>midcap</t>
        </is>
      </c>
      <c r="F348" s="31" t="n">
        <v>7961.95</v>
      </c>
      <c r="G348" s="31" t="n">
        <v>370</v>
      </c>
      <c r="H348" s="31" t="n">
        <v>-0.86</v>
      </c>
      <c r="I348" s="31" t="n">
        <v>378707</v>
      </c>
      <c r="J348" s="31" t="inlineStr">
        <is>
          <t>532313</t>
        </is>
      </c>
    </row>
    <row r="349">
      <c r="A349" s="31" t="inlineStr">
        <is>
          <t>METROPOLIS</t>
        </is>
      </c>
      <c r="B349" s="31" t="inlineStr">
        <is>
          <t>Metropolis Healthcare Ltd</t>
        </is>
      </c>
      <c r="C349" s="31" t="inlineStr">
        <is>
          <t>healthcare</t>
        </is>
      </c>
      <c r="D349" s="31" t="inlineStr">
        <is>
          <t>healthcare</t>
        </is>
      </c>
      <c r="E349" s="31" t="inlineStr">
        <is>
          <t>midcap</t>
        </is>
      </c>
      <c r="F349" s="31" t="n">
        <v>11895.43</v>
      </c>
      <c r="G349" s="31" t="n">
        <v>568.8</v>
      </c>
      <c r="H349" s="31" t="n">
        <v>-0.86</v>
      </c>
      <c r="I349" s="31" t="n">
        <v>93026</v>
      </c>
      <c r="J349" s="31" t="inlineStr">
        <is>
          <t>542650</t>
        </is>
      </c>
    </row>
    <row r="350">
      <c r="A350" s="31" t="inlineStr">
        <is>
          <t>POONAWALLA</t>
        </is>
      </c>
      <c r="B350" s="31" t="inlineStr">
        <is>
          <t>Poonawalla Fincorp Ltd</t>
        </is>
      </c>
      <c r="C350" s="31" t="inlineStr">
        <is>
          <t>financials</t>
        </is>
      </c>
      <c r="D350" s="31" t="inlineStr">
        <is>
          <t>finance &amp; investments</t>
        </is>
      </c>
      <c r="E350" s="31" t="inlineStr">
        <is>
          <t>largecap</t>
        </is>
      </c>
      <c r="F350" s="31" t="n">
        <v>41141.3</v>
      </c>
      <c r="G350" s="31" t="n">
        <v>463.2</v>
      </c>
      <c r="H350" s="31" t="n">
        <v>-0.87</v>
      </c>
      <c r="I350" s="31" t="n">
        <v>798429</v>
      </c>
      <c r="J350" s="31" t="inlineStr">
        <is>
          <t>524000</t>
        </is>
      </c>
    </row>
    <row r="351">
      <c r="A351" s="31" t="inlineStr">
        <is>
          <t>MOTILALOFS</t>
        </is>
      </c>
      <c r="B351" s="31" t="inlineStr">
        <is>
          <t>Motilal Oswal Financial Services Limited</t>
        </is>
      </c>
      <c r="C351" s="31" t="inlineStr">
        <is>
          <t>financials</t>
        </is>
      </c>
      <c r="D351" s="31" t="inlineStr">
        <is>
          <t>finance &amp; investments</t>
        </is>
      </c>
      <c r="E351" s="31" t="inlineStr">
        <is>
          <t>largecap</t>
        </is>
      </c>
      <c r="F351" s="31" t="n">
        <v>58597.91</v>
      </c>
      <c r="G351" s="31" t="n">
        <v>964.65</v>
      </c>
      <c r="H351" s="31" t="n">
        <v>-0.87</v>
      </c>
      <c r="I351" s="31" t="n">
        <v>265938</v>
      </c>
      <c r="J351" s="31" t="inlineStr">
        <is>
          <t>532892</t>
        </is>
      </c>
    </row>
    <row r="352">
      <c r="A352" s="31" t="inlineStr">
        <is>
          <t>LLOYDSENT</t>
        </is>
      </c>
      <c r="B352" s="31" t="inlineStr">
        <is>
          <t>Lloyds Enterprises Ltd</t>
        </is>
      </c>
      <c r="C352" s="31" t="inlineStr">
        <is>
          <t>services</t>
        </is>
      </c>
      <c r="D352" s="31" t="inlineStr">
        <is>
          <t>trading</t>
        </is>
      </c>
      <c r="E352" s="31" t="inlineStr">
        <is>
          <t>midcap</t>
        </is>
      </c>
      <c r="F352" s="31" t="n">
        <v>12552.84</v>
      </c>
      <c r="G352" s="31" t="n">
        <v>81.48999999999999</v>
      </c>
      <c r="H352" s="31" t="n">
        <v>-0.9</v>
      </c>
      <c r="I352" s="31" t="n">
        <v>3405761</v>
      </c>
      <c r="J352" s="31" t="inlineStr">
        <is>
          <t>512463</t>
        </is>
      </c>
    </row>
    <row r="353">
      <c r="A353" s="31" t="inlineStr">
        <is>
          <t>RAMCOSYS</t>
        </is>
      </c>
      <c r="B353" s="31" t="inlineStr">
        <is>
          <t>Ramco Systems Limited</t>
        </is>
      </c>
      <c r="C353" s="31" t="inlineStr">
        <is>
          <t>i.t</t>
        </is>
      </c>
      <c r="D353" s="31" t="inlineStr">
        <is>
          <t>computers - software - medium / small</t>
        </is>
      </c>
      <c r="E353" s="31" t="inlineStr">
        <is>
          <t>smallcap</t>
        </is>
      </c>
      <c r="F353" s="31" t="n">
        <v>3020.25</v>
      </c>
      <c r="G353" s="31" t="n">
        <v>796.4</v>
      </c>
      <c r="H353" s="31" t="n">
        <v>-0.9</v>
      </c>
      <c r="I353" s="31" t="n">
        <v>444194</v>
      </c>
      <c r="J353" s="31" t="inlineStr">
        <is>
          <t>532370</t>
        </is>
      </c>
    </row>
    <row r="354">
      <c r="A354" s="31" t="inlineStr">
        <is>
          <t>THELEELA</t>
        </is>
      </c>
      <c r="B354" s="31" t="inlineStr">
        <is>
          <t>Leela Palaces Hotels &amp; Resorts Ltd</t>
        </is>
      </c>
      <c r="C354" s="31" t="inlineStr">
        <is>
          <t>services</t>
        </is>
      </c>
      <c r="D354" s="31" t="inlineStr">
        <is>
          <t>hotels</t>
        </is>
      </c>
      <c r="E354" s="31" t="inlineStr">
        <is>
          <t>midcap</t>
        </is>
      </c>
      <c r="F354" s="31" t="n">
        <v>16449.1</v>
      </c>
      <c r="G354" s="31" t="n">
        <v>488</v>
      </c>
      <c r="H354" s="31" t="n">
        <v>-0.92</v>
      </c>
      <c r="I354" s="31" t="n">
        <v>136835</v>
      </c>
      <c r="J354" s="31" t="inlineStr">
        <is>
          <t>544408</t>
        </is>
      </c>
    </row>
    <row r="355">
      <c r="A355" s="31" t="inlineStr">
        <is>
          <t>PDSL</t>
        </is>
      </c>
      <c r="B355" s="31" t="inlineStr">
        <is>
          <t>PDS Ltd</t>
        </is>
      </c>
      <c r="C355" s="31" t="inlineStr">
        <is>
          <t>textiles</t>
        </is>
      </c>
      <c r="D355" s="31" t="inlineStr">
        <is>
          <t>trading</t>
        </is>
      </c>
      <c r="E355" s="31" t="inlineStr">
        <is>
          <t>midcap</t>
        </is>
      </c>
      <c r="F355" s="31" t="n">
        <v>5153.44</v>
      </c>
      <c r="G355" s="31" t="n">
        <v>361</v>
      </c>
      <c r="H355" s="31" t="n">
        <v>-0.92</v>
      </c>
      <c r="I355" s="31" t="n">
        <v>279542</v>
      </c>
      <c r="J355" s="31" t="inlineStr">
        <is>
          <t>538730</t>
        </is>
      </c>
    </row>
    <row r="356">
      <c r="A356" s="31" t="inlineStr">
        <is>
          <t>PNBHOUSING</t>
        </is>
      </c>
      <c r="B356" s="31" t="inlineStr">
        <is>
          <t>Pnb Housing Finance Limited</t>
        </is>
      </c>
      <c r="C356" s="31" t="inlineStr">
        <is>
          <t>financials</t>
        </is>
      </c>
      <c r="D356" s="31" t="inlineStr">
        <is>
          <t>finance - housing</t>
        </is>
      </c>
      <c r="E356" s="31" t="inlineStr">
        <is>
          <t>largecap</t>
        </is>
      </c>
      <c r="F356" s="31" t="n">
        <v>28614.26</v>
      </c>
      <c r="G356" s="31" t="n">
        <v>1088</v>
      </c>
      <c r="H356" s="31" t="n">
        <v>-0.95</v>
      </c>
      <c r="I356" s="31" t="n">
        <v>584454</v>
      </c>
      <c r="J356" s="31" t="inlineStr">
        <is>
          <t>540173</t>
        </is>
      </c>
    </row>
    <row r="357">
      <c r="A357" s="31" t="inlineStr">
        <is>
          <t>EPL</t>
        </is>
      </c>
      <c r="B357" s="31" t="inlineStr">
        <is>
          <t>EPL Ltd</t>
        </is>
      </c>
      <c r="C357" s="31" t="inlineStr">
        <is>
          <t>industrials</t>
        </is>
      </c>
      <c r="D357" s="31" t="inlineStr">
        <is>
          <t>packaging</t>
        </is>
      </c>
      <c r="E357" s="31" t="inlineStr">
        <is>
          <t>midcap</t>
        </is>
      </c>
      <c r="F357" s="31" t="n">
        <v>7677.94</v>
      </c>
      <c r="G357" s="31" t="n">
        <v>237.45</v>
      </c>
      <c r="H357" s="31" t="n">
        <v>-0.96</v>
      </c>
      <c r="I357" s="31" t="n">
        <v>720232</v>
      </c>
      <c r="J357" s="31" t="inlineStr">
        <is>
          <t>500135</t>
        </is>
      </c>
    </row>
    <row r="358">
      <c r="A358" s="31" t="inlineStr">
        <is>
          <t>HITECHCORP</t>
        </is>
      </c>
      <c r="B358" s="31" t="inlineStr">
        <is>
          <t>Hitech Corporation</t>
        </is>
      </c>
      <c r="C358" s="31" t="inlineStr">
        <is>
          <t>industrials</t>
        </is>
      </c>
      <c r="D358" s="31" t="inlineStr">
        <is>
          <t>packaging</t>
        </is>
      </c>
      <c r="E358" s="31" t="inlineStr">
        <is>
          <t>smallcap</t>
        </is>
      </c>
      <c r="F358" s="31" t="n">
        <v>554.52</v>
      </c>
      <c r="G358" s="31" t="n">
        <v>319.75</v>
      </c>
      <c r="H358" s="31" t="n">
        <v>-0.96</v>
      </c>
      <c r="I358" s="31" t="n">
        <v>14728</v>
      </c>
      <c r="J358" s="31" t="inlineStr">
        <is>
          <t>526217</t>
        </is>
      </c>
    </row>
    <row r="359">
      <c r="A359" s="31" t="inlineStr">
        <is>
          <t>TTKPRESTIG</t>
        </is>
      </c>
      <c r="B359" s="31" t="inlineStr">
        <is>
          <t>Ttk Prestige Limited</t>
        </is>
      </c>
      <c r="C359" s="31" t="inlineStr">
        <is>
          <t>consumer discretionary</t>
        </is>
      </c>
      <c r="D359" s="31" t="inlineStr">
        <is>
          <t>domestic appliances</t>
        </is>
      </c>
      <c r="E359" s="31" t="inlineStr">
        <is>
          <t>midcap</t>
        </is>
      </c>
      <c r="F359" s="31" t="n">
        <v>9113.4</v>
      </c>
      <c r="G359" s="31" t="n">
        <v>659</v>
      </c>
      <c r="H359" s="31" t="n">
        <v>-0.97</v>
      </c>
      <c r="I359" s="31" t="n">
        <v>52028</v>
      </c>
      <c r="J359" s="31" t="inlineStr">
        <is>
          <t>517506</t>
        </is>
      </c>
    </row>
    <row r="360">
      <c r="A360" s="31" t="inlineStr">
        <is>
          <t>AJAXENGG</t>
        </is>
      </c>
      <c r="B360" s="31" t="inlineStr">
        <is>
          <t>Ajax Engineering Ltd</t>
        </is>
      </c>
      <c r="C360" s="31" t="inlineStr">
        <is>
          <t>industrials</t>
        </is>
      </c>
      <c r="D360" s="31" t="inlineStr">
        <is>
          <t>engineering</t>
        </is>
      </c>
      <c r="E360" s="31" t="inlineStr">
        <is>
          <t>midcap</t>
        </is>
      </c>
      <c r="F360" s="31" t="n">
        <v>6794.05</v>
      </c>
      <c r="G360" s="31" t="n">
        <v>588</v>
      </c>
      <c r="H360" s="31" t="n">
        <v>-0.99</v>
      </c>
      <c r="I360" s="31" t="n">
        <v>61360</v>
      </c>
      <c r="J360" s="31" t="inlineStr">
        <is>
          <t>544356</t>
        </is>
      </c>
    </row>
    <row r="361">
      <c r="A361" s="31" t="inlineStr">
        <is>
          <t>TALBROAUTO</t>
        </is>
      </c>
      <c r="B361" s="31" t="inlineStr">
        <is>
          <t>Talbros Automotive Components Limited</t>
        </is>
      </c>
      <c r="C361" s="31" t="inlineStr">
        <is>
          <t>auto</t>
        </is>
      </c>
      <c r="D361" s="31" t="inlineStr">
        <is>
          <t>auto ancillaries</t>
        </is>
      </c>
      <c r="E361" s="31" t="inlineStr">
        <is>
          <t>smallcap</t>
        </is>
      </c>
      <c r="F361" s="31" t="n">
        <v>2571.29</v>
      </c>
      <c r="G361" s="31" t="n">
        <v>412.35</v>
      </c>
      <c r="H361" s="31" t="n">
        <v>-1.01</v>
      </c>
      <c r="I361" s="31" t="n">
        <v>91333</v>
      </c>
      <c r="J361" s="31" t="inlineStr">
        <is>
          <t>505160</t>
        </is>
      </c>
    </row>
    <row r="362">
      <c r="A362" s="31" t="inlineStr">
        <is>
          <t>PLASTIBLEN</t>
        </is>
      </c>
      <c r="B362" s="31" t="inlineStr">
        <is>
          <t>Plastiblends India Limited</t>
        </is>
      </c>
      <c r="C362" s="31" t="inlineStr">
        <is>
          <t>chemicals</t>
        </is>
      </c>
      <c r="D362" s="31" t="inlineStr">
        <is>
          <t>chemicals</t>
        </is>
      </c>
      <c r="E362" s="31" t="inlineStr">
        <is>
          <t>smallcap</t>
        </is>
      </c>
      <c r="F362" s="31" t="n">
        <v>519.42</v>
      </c>
      <c r="G362" s="31" t="n">
        <v>197.84</v>
      </c>
      <c r="H362" s="31" t="n">
        <v>-1.01</v>
      </c>
      <c r="I362" s="31" t="n">
        <v>76353</v>
      </c>
      <c r="J362" s="31" t="inlineStr">
        <is>
          <t>523648</t>
        </is>
      </c>
    </row>
    <row r="363">
      <c r="A363" s="31" t="inlineStr">
        <is>
          <t>KAJARIACER</t>
        </is>
      </c>
      <c r="B363" s="31" t="inlineStr">
        <is>
          <t>Kajaria Ceramics Limited</t>
        </is>
      </c>
      <c r="C363" s="31" t="inlineStr">
        <is>
          <t>building materials</t>
        </is>
      </c>
      <c r="D363" s="31" t="inlineStr">
        <is>
          <t>ceramics - tiles / sanitaryware</t>
        </is>
      </c>
      <c r="E363" s="31" t="inlineStr">
        <is>
          <t>midcap</t>
        </is>
      </c>
      <c r="F363" s="31" t="n">
        <v>19784.8</v>
      </c>
      <c r="G363" s="31" t="n">
        <v>1229.3</v>
      </c>
      <c r="H363" s="31" t="n">
        <v>-1.04</v>
      </c>
      <c r="I363" s="31" t="n">
        <v>158882</v>
      </c>
      <c r="J363" s="31" t="inlineStr">
        <is>
          <t>500233</t>
        </is>
      </c>
    </row>
    <row r="364">
      <c r="A364" s="31" t="inlineStr">
        <is>
          <t>RADICO</t>
        </is>
      </c>
      <c r="B364" s="31" t="inlineStr">
        <is>
          <t>Radico Khaitan Limited</t>
        </is>
      </c>
      <c r="C364" s="31" t="inlineStr">
        <is>
          <t>fmcg</t>
        </is>
      </c>
      <c r="D364" s="31" t="inlineStr">
        <is>
          <t>breweries &amp; distilleries</t>
        </is>
      </c>
      <c r="E364" s="31" t="inlineStr">
        <is>
          <t>largecap</t>
        </is>
      </c>
      <c r="F364" s="31" t="n">
        <v>55345.79</v>
      </c>
      <c r="G364" s="31" t="n">
        <v>4088.4</v>
      </c>
      <c r="H364" s="31" t="n">
        <v>-1.06</v>
      </c>
      <c r="I364" s="31" t="n">
        <v>221185</v>
      </c>
      <c r="J364" s="31" t="inlineStr">
        <is>
          <t>532497</t>
        </is>
      </c>
    </row>
    <row r="365">
      <c r="A365" s="31" t="inlineStr">
        <is>
          <t>CARTRADE</t>
        </is>
      </c>
      <c r="B365" s="31" t="inlineStr">
        <is>
          <t>Cartrade Tech Ltd</t>
        </is>
      </c>
      <c r="C365" s="31" t="inlineStr">
        <is>
          <t>consumer discretionary</t>
        </is>
      </c>
      <c r="D365" s="31" t="inlineStr">
        <is>
          <t>miscellaneous</t>
        </is>
      </c>
      <c r="E365" s="31" t="inlineStr">
        <is>
          <t>midcap</t>
        </is>
      </c>
      <c r="F365" s="31" t="n">
        <v>13232.27</v>
      </c>
      <c r="G365" s="31" t="n">
        <v>2726</v>
      </c>
      <c r="H365" s="31" t="n">
        <v>-1.07</v>
      </c>
      <c r="I365" s="31" t="n">
        <v>336866</v>
      </c>
      <c r="J365" s="31" t="inlineStr">
        <is>
          <t>543333</t>
        </is>
      </c>
    </row>
    <row r="366">
      <c r="A366" s="31" t="inlineStr">
        <is>
          <t>PGHL</t>
        </is>
      </c>
      <c r="B366" s="31" t="inlineStr">
        <is>
          <t>Procter &amp; Gamble Health Ltd</t>
        </is>
      </c>
      <c r="C366" s="31" t="inlineStr">
        <is>
          <t>healthcare</t>
        </is>
      </c>
      <c r="D366" s="31" t="inlineStr">
        <is>
          <t>pharmaceuticals - multinational</t>
        </is>
      </c>
      <c r="E366" s="31" t="inlineStr">
        <is>
          <t>midcap</t>
        </is>
      </c>
      <c r="F366" s="31" t="n">
        <v>11374.73</v>
      </c>
      <c r="G366" s="31" t="n">
        <v>6779.5</v>
      </c>
      <c r="H366" s="31" t="n">
        <v>-1.07</v>
      </c>
      <c r="I366" s="31" t="n">
        <v>5291</v>
      </c>
      <c r="J366" s="31" t="inlineStr">
        <is>
          <t>500126</t>
        </is>
      </c>
    </row>
    <row r="367">
      <c r="A367" s="31" t="inlineStr">
        <is>
          <t>CCAVENUE</t>
        </is>
      </c>
      <c r="B367" s="31" t="inlineStr">
        <is>
          <t>AvenuesAI Ltd</t>
        </is>
      </c>
      <c r="C367" s="31" t="inlineStr">
        <is>
          <t>i.t</t>
        </is>
      </c>
      <c r="D367" s="31" t="inlineStr">
        <is>
          <t>miscellaneous</t>
        </is>
      </c>
      <c r="E367" s="31" t="inlineStr">
        <is>
          <t>midcap</t>
        </is>
      </c>
      <c r="F367" s="31" t="n">
        <v>6024.33</v>
      </c>
      <c r="G367" s="31" t="n">
        <v>17.04</v>
      </c>
      <c r="H367" s="31" t="n">
        <v>-1.1</v>
      </c>
      <c r="I367" s="31" t="n">
        <v>4278203</v>
      </c>
      <c r="J367" s="31" t="inlineStr">
        <is>
          <t>539807</t>
        </is>
      </c>
    </row>
    <row r="368">
      <c r="A368" s="31" t="inlineStr">
        <is>
          <t>JSWINFRA</t>
        </is>
      </c>
      <c r="B368" s="31" t="inlineStr">
        <is>
          <t>JSW Infrastructure Ltd</t>
        </is>
      </c>
      <c r="C368" s="31" t="inlineStr">
        <is>
          <t>transportation</t>
        </is>
      </c>
      <c r="D368" s="31" t="inlineStr">
        <is>
          <t>miscellaneous</t>
        </is>
      </c>
      <c r="E368" s="31" t="inlineStr">
        <is>
          <t>largecap</t>
        </is>
      </c>
      <c r="F368" s="31" t="n">
        <v>81188.89999999999</v>
      </c>
      <c r="G368" s="31" t="n">
        <v>344.55</v>
      </c>
      <c r="H368" s="31" t="n">
        <v>-1.12</v>
      </c>
      <c r="I368" s="31" t="n">
        <v>3328854</v>
      </c>
      <c r="J368" s="31" t="inlineStr">
        <is>
          <t>543994</t>
        </is>
      </c>
    </row>
    <row r="369">
      <c r="A369" s="31" t="inlineStr">
        <is>
          <t>BAJAJ-AUTO</t>
        </is>
      </c>
      <c r="B369" s="31" t="inlineStr">
        <is>
          <t>Bajaj Auto Limited</t>
        </is>
      </c>
      <c r="C369" s="31" t="inlineStr">
        <is>
          <t>auto</t>
        </is>
      </c>
      <c r="D369" s="31" t="inlineStr">
        <is>
          <t>automobiles - scooters and 3 - wheelers</t>
        </is>
      </c>
      <c r="E369" s="31" t="inlineStr">
        <is>
          <t>largecap</t>
        </is>
      </c>
      <c r="F369" s="31" t="n">
        <v>294101.6</v>
      </c>
      <c r="G369" s="31" t="n">
        <v>10403.5</v>
      </c>
      <c r="H369" s="31" t="n">
        <v>-1.13</v>
      </c>
      <c r="I369" s="31" t="n">
        <v>834319</v>
      </c>
      <c r="J369" s="31" t="inlineStr">
        <is>
          <t>532977</t>
        </is>
      </c>
    </row>
    <row r="370">
      <c r="A370" s="31" t="inlineStr">
        <is>
          <t>GALAPREC</t>
        </is>
      </c>
      <c r="B370" s="31" t="inlineStr">
        <is>
          <t>Gala Precision Engineering Ltd</t>
        </is>
      </c>
      <c r="C370" s="31" t="inlineStr">
        <is>
          <t>industrials</t>
        </is>
      </c>
      <c r="D370" s="31" t="inlineStr">
        <is>
          <t>fasteners</t>
        </is>
      </c>
      <c r="E370" s="31" t="inlineStr">
        <is>
          <t>smallcap</t>
        </is>
      </c>
      <c r="F370" s="31" t="n">
        <v>1557.17</v>
      </c>
      <c r="G370" s="31" t="n">
        <v>1201.2</v>
      </c>
      <c r="H370" s="31" t="n">
        <v>-1.14</v>
      </c>
      <c r="I370" s="31" t="n">
        <v>37341</v>
      </c>
      <c r="J370" s="31" t="inlineStr">
        <is>
          <t>544244</t>
        </is>
      </c>
    </row>
    <row r="371">
      <c r="A371" s="31" t="inlineStr">
        <is>
          <t>CONSOFINVT</t>
        </is>
      </c>
      <c r="B371" s="31" t="inlineStr">
        <is>
          <t>Consolidated Finvest &amp; Holdings Limited</t>
        </is>
      </c>
      <c r="C371" s="31" t="inlineStr">
        <is>
          <t>financials</t>
        </is>
      </c>
      <c r="D371" s="31" t="inlineStr">
        <is>
          <t>finance &amp; investments</t>
        </is>
      </c>
      <c r="E371" s="31" t="inlineStr">
        <is>
          <t>smallcap</t>
        </is>
      </c>
      <c r="F371" s="31" t="n">
        <v>915</v>
      </c>
      <c r="G371" s="31" t="n">
        <v>279.7</v>
      </c>
      <c r="H371" s="31" t="n">
        <v>-1.18</v>
      </c>
      <c r="I371" s="31" t="n">
        <v>15307</v>
      </c>
      <c r="J371" s="31" t="inlineStr">
        <is>
          <t>500226</t>
        </is>
      </c>
    </row>
    <row r="372">
      <c r="A372" s="31" t="inlineStr">
        <is>
          <t>OAL</t>
        </is>
      </c>
      <c r="B372" s="31" t="inlineStr">
        <is>
          <t>Oriental Aromatics Ltd</t>
        </is>
      </c>
      <c r="C372" s="31" t="inlineStr">
        <is>
          <t>chemicals</t>
        </is>
      </c>
      <c r="D372" s="31" t="inlineStr">
        <is>
          <t>chemicals</t>
        </is>
      </c>
      <c r="E372" s="31" t="inlineStr">
        <is>
          <t>smallcap</t>
        </is>
      </c>
      <c r="F372" s="31" t="n">
        <v>1180.74</v>
      </c>
      <c r="G372" s="31" t="n">
        <v>346.6</v>
      </c>
      <c r="H372" s="31" t="n">
        <v>-1.21</v>
      </c>
      <c r="I372" s="31" t="n">
        <v>15181</v>
      </c>
      <c r="J372" s="31" t="inlineStr">
        <is>
          <t>500078</t>
        </is>
      </c>
    </row>
    <row r="373">
      <c r="A373" s="31" t="inlineStr">
        <is>
          <t>MBAPL</t>
        </is>
      </c>
      <c r="B373" s="31" t="inlineStr">
        <is>
          <t>Madhya Bharat Agro Products Ltd</t>
        </is>
      </c>
      <c r="C373" s="31" t="inlineStr">
        <is>
          <t>chemicals</t>
        </is>
      </c>
      <c r="D373" s="31" t="inlineStr">
        <is>
          <t>fertilizers</t>
        </is>
      </c>
      <c r="E373" s="31" t="inlineStr">
        <is>
          <t>smallcap</t>
        </is>
      </c>
      <c r="F373" s="31" t="n">
        <v>1275.41</v>
      </c>
      <c r="G373" s="31" t="n">
        <v>143.75</v>
      </c>
      <c r="H373" s="31" t="n">
        <v>-1.24</v>
      </c>
      <c r="I373" s="31" t="n">
        <v>3922946</v>
      </c>
      <c r="J373" s="31" t="inlineStr">
        <is>
          <t>538370</t>
        </is>
      </c>
    </row>
    <row r="374">
      <c r="A374" s="31" t="inlineStr">
        <is>
          <t>SANSERA</t>
        </is>
      </c>
      <c r="B374" s="31" t="inlineStr">
        <is>
          <t>Sansera Engineering Ltd</t>
        </is>
      </c>
      <c r="C374" s="31" t="inlineStr">
        <is>
          <t>auto</t>
        </is>
      </c>
      <c r="D374" s="31" t="inlineStr">
        <is>
          <t>auto ancillaries</t>
        </is>
      </c>
      <c r="E374" s="31" t="inlineStr">
        <is>
          <t>largecap</t>
        </is>
      </c>
      <c r="F374" s="31" t="n">
        <v>20812.84</v>
      </c>
      <c r="G374" s="31" t="n">
        <v>3292.5</v>
      </c>
      <c r="H374" s="31" t="n">
        <v>-1.28</v>
      </c>
      <c r="I374" s="31" t="n">
        <v>514111</v>
      </c>
      <c r="J374" s="31" t="inlineStr">
        <is>
          <t>543358</t>
        </is>
      </c>
    </row>
    <row r="375">
      <c r="A375" s="31" t="inlineStr">
        <is>
          <t>CONFIPET</t>
        </is>
      </c>
      <c r="B375" s="31" t="inlineStr">
        <is>
          <t>Confidence Petroleum India Ltd</t>
        </is>
      </c>
      <c r="C375" s="31" t="inlineStr">
        <is>
          <t>miscellaneous</t>
        </is>
      </c>
      <c r="D375" s="31" t="inlineStr">
        <is>
          <t>miscellaneous</t>
        </is>
      </c>
      <c r="E375" s="31" t="inlineStr">
        <is>
          <t>smallcap</t>
        </is>
      </c>
      <c r="F375" s="31" t="n">
        <v>2546.96</v>
      </c>
      <c r="G375" s="31" t="n">
        <v>75.65000000000001</v>
      </c>
      <c r="H375" s="31" t="n">
        <v>-1.32</v>
      </c>
      <c r="I375" s="31" t="n">
        <v>1574779</v>
      </c>
      <c r="J375" s="31" t="inlineStr">
        <is>
          <t>526829</t>
        </is>
      </c>
    </row>
    <row r="376">
      <c r="A376" s="31" t="inlineStr">
        <is>
          <t>VMART</t>
        </is>
      </c>
      <c r="B376" s="31" t="inlineStr">
        <is>
          <t>V-mart Retail Limited</t>
        </is>
      </c>
      <c r="C376" s="31" t="inlineStr">
        <is>
          <t>consumer discretionary</t>
        </is>
      </c>
      <c r="D376" s="31" t="inlineStr">
        <is>
          <t>trading</t>
        </is>
      </c>
      <c r="E376" s="31" t="inlineStr">
        <is>
          <t>midcap</t>
        </is>
      </c>
      <c r="F376" s="31" t="n">
        <v>6238.27</v>
      </c>
      <c r="G376" s="31" t="n">
        <v>774.2</v>
      </c>
      <c r="H376" s="31" t="n">
        <v>-1.39</v>
      </c>
      <c r="I376" s="31" t="n">
        <v>110176</v>
      </c>
      <c r="J376" s="31" t="inlineStr">
        <is>
          <t>534976</t>
        </is>
      </c>
    </row>
    <row r="377">
      <c r="A377" s="31" t="inlineStr">
        <is>
          <t>RAMCOIND</t>
        </is>
      </c>
      <c r="B377" s="31" t="inlineStr">
        <is>
          <t>Ramco Industries Limited</t>
        </is>
      </c>
      <c r="C377" s="31" t="inlineStr">
        <is>
          <t>building materials</t>
        </is>
      </c>
      <c r="D377" s="31" t="inlineStr">
        <is>
          <t>cement products</t>
        </is>
      </c>
      <c r="E377" s="31" t="inlineStr">
        <is>
          <t>smallcap</t>
        </is>
      </c>
      <c r="F377" s="31" t="n">
        <v>3077.23</v>
      </c>
      <c r="G377" s="31" t="n">
        <v>349.3</v>
      </c>
      <c r="H377" s="31" t="n">
        <v>-1.43</v>
      </c>
      <c r="I377" s="31" t="n">
        <v>117774</v>
      </c>
      <c r="J377" s="31" t="inlineStr">
        <is>
          <t>532369</t>
        </is>
      </c>
    </row>
    <row r="378">
      <c r="A378" s="31" t="inlineStr">
        <is>
          <t>UNICHEMLAB</t>
        </is>
      </c>
      <c r="B378" s="31" t="inlineStr">
        <is>
          <t>Unichem Laboratories Limited</t>
        </is>
      </c>
      <c r="C378" s="31" t="inlineStr">
        <is>
          <t>healthcare</t>
        </is>
      </c>
      <c r="D378" s="31" t="inlineStr">
        <is>
          <t>pharmaceuticals - indian - bulk drugs &amp; formln</t>
        </is>
      </c>
      <c r="E378" s="31" t="inlineStr">
        <is>
          <t>smallcap</t>
        </is>
      </c>
      <c r="F378" s="31" t="n">
        <v>4193.37</v>
      </c>
      <c r="G378" s="31" t="n">
        <v>587</v>
      </c>
      <c r="H378" s="31" t="n">
        <v>-1.44</v>
      </c>
      <c r="I378" s="31" t="n">
        <v>59015</v>
      </c>
      <c r="J378" s="31" t="inlineStr">
        <is>
          <t>506690</t>
        </is>
      </c>
    </row>
    <row r="379">
      <c r="A379" s="31" t="inlineStr">
        <is>
          <t>APTUS</t>
        </is>
      </c>
      <c r="B379" s="31" t="inlineStr">
        <is>
          <t>Aptus Value Housing Finance India Ltd</t>
        </is>
      </c>
      <c r="C379" s="31" t="inlineStr">
        <is>
          <t>financials</t>
        </is>
      </c>
      <c r="D379" s="31" t="inlineStr">
        <is>
          <t>finance - housing</t>
        </is>
      </c>
      <c r="E379" s="31" t="inlineStr">
        <is>
          <t>midcap</t>
        </is>
      </c>
      <c r="F379" s="31" t="n">
        <v>15296.71</v>
      </c>
      <c r="G379" s="31" t="n">
        <v>301.05</v>
      </c>
      <c r="H379" s="31" t="n">
        <v>-1.44</v>
      </c>
      <c r="I379" s="31" t="n">
        <v>729294</v>
      </c>
      <c r="J379" s="31" t="inlineStr">
        <is>
          <t>543335</t>
        </is>
      </c>
    </row>
    <row r="380">
      <c r="A380" s="31" t="inlineStr">
        <is>
          <t>IBULLSLTD</t>
        </is>
      </c>
      <c r="B380" s="31" t="inlineStr">
        <is>
          <t>Indiabulls Limited</t>
        </is>
      </c>
      <c r="C380" s="31" t="inlineStr">
        <is>
          <t>miscellaneous</t>
        </is>
      </c>
      <c r="D380" s="31" t="inlineStr">
        <is>
          <t>diversified - medium / small</t>
        </is>
      </c>
      <c r="E380" s="31" t="inlineStr">
        <is>
          <t>midcap</t>
        </is>
      </c>
      <c r="F380" s="31" t="n">
        <v>6846.53</v>
      </c>
      <c r="G380" s="31" t="n">
        <v>28.96</v>
      </c>
      <c r="H380" s="31" t="n">
        <v>-1.46</v>
      </c>
      <c r="I380" s="31" t="n">
        <v>2022400</v>
      </c>
      <c r="J380" s="31" t="inlineStr">
        <is>
          <t>533520</t>
        </is>
      </c>
    </row>
    <row r="381">
      <c r="A381" s="31" t="inlineStr">
        <is>
          <t>SBIN</t>
        </is>
      </c>
      <c r="B381" s="31" t="inlineStr">
        <is>
          <t>State Bank Of India Ltd</t>
        </is>
      </c>
      <c r="C381" s="31" t="inlineStr">
        <is>
          <t>bank</t>
        </is>
      </c>
      <c r="D381" s="31" t="inlineStr">
        <is>
          <t>banks - public sector</t>
        </is>
      </c>
      <c r="E381" s="31" t="inlineStr">
        <is>
          <t>largecap</t>
        </is>
      </c>
      <c r="F381" s="31" t="n">
        <v>978445.46</v>
      </c>
      <c r="G381" s="31" t="n">
        <v>1044.4</v>
      </c>
      <c r="H381" s="31" t="n">
        <v>-1.47</v>
      </c>
      <c r="I381" s="31" t="n">
        <v>10514887</v>
      </c>
      <c r="J381" s="31" t="inlineStr">
        <is>
          <t>500112</t>
        </is>
      </c>
    </row>
    <row r="382">
      <c r="A382" s="31" t="inlineStr">
        <is>
          <t>RPEL</t>
        </is>
      </c>
      <c r="B382" s="31" t="inlineStr">
        <is>
          <t>Raghav Productivity Enhancers Ltd</t>
        </is>
      </c>
      <c r="C382" s="31" t="inlineStr">
        <is>
          <t>building materials</t>
        </is>
      </c>
      <c r="D382" s="31" t="inlineStr">
        <is>
          <t>refractories / intermediates</t>
        </is>
      </c>
      <c r="E382" s="31" t="inlineStr">
        <is>
          <t>midcap</t>
        </is>
      </c>
      <c r="F382" s="31" t="n">
        <v>5892.25</v>
      </c>
      <c r="G382" s="31" t="n">
        <v>1264.3</v>
      </c>
      <c r="H382" s="31" t="n">
        <v>-1.47</v>
      </c>
      <c r="I382" s="31" t="n">
        <v>39585</v>
      </c>
      <c r="J382" s="31" t="inlineStr">
        <is>
          <t>539837</t>
        </is>
      </c>
    </row>
    <row r="383">
      <c r="A383" s="31" t="inlineStr">
        <is>
          <t>ETHOSLTD</t>
        </is>
      </c>
      <c r="B383" s="31" t="inlineStr">
        <is>
          <t>Ethos Ltd</t>
        </is>
      </c>
      <c r="C383" s="31" t="inlineStr">
        <is>
          <t>consumer discretionary</t>
        </is>
      </c>
      <c r="D383" s="31" t="inlineStr">
        <is>
          <t>trading</t>
        </is>
      </c>
      <c r="E383" s="31" t="inlineStr">
        <is>
          <t>midcap</t>
        </is>
      </c>
      <c r="F383" s="31" t="n">
        <v>7100.96</v>
      </c>
      <c r="G383" s="31" t="n">
        <v>2614</v>
      </c>
      <c r="H383" s="31" t="n">
        <v>-1.5</v>
      </c>
      <c r="I383" s="31" t="n">
        <v>16694</v>
      </c>
      <c r="J383" s="31" t="inlineStr">
        <is>
          <t>543532</t>
        </is>
      </c>
    </row>
    <row r="384">
      <c r="A384" s="31" t="inlineStr">
        <is>
          <t>GANESHBE</t>
        </is>
      </c>
      <c r="B384" s="31" t="inlineStr">
        <is>
          <t>Ganesh Benzoplast Ltd</t>
        </is>
      </c>
      <c r="C384" s="31" t="inlineStr">
        <is>
          <t>miscellaneous</t>
        </is>
      </c>
      <c r="D384" s="31" t="inlineStr">
        <is>
          <t>miscellaneous</t>
        </is>
      </c>
      <c r="E384" s="31" t="inlineStr">
        <is>
          <t>smallcap</t>
        </is>
      </c>
      <c r="F384" s="31" t="n">
        <v>770.4299999999999</v>
      </c>
      <c r="G384" s="31" t="n">
        <v>105.39</v>
      </c>
      <c r="H384" s="31" t="n">
        <v>-1.52</v>
      </c>
      <c r="I384" s="31" t="n">
        <v>157194</v>
      </c>
      <c r="J384" s="31" t="inlineStr">
        <is>
          <t>500153</t>
        </is>
      </c>
    </row>
    <row r="385">
      <c r="A385" s="31" t="inlineStr">
        <is>
          <t>JUBLPHARMA</t>
        </is>
      </c>
      <c r="B385" s="31" t="inlineStr">
        <is>
          <t>Jubilant Pharmova Ltd</t>
        </is>
      </c>
      <c r="C385" s="31" t="inlineStr">
        <is>
          <t>healthcare</t>
        </is>
      </c>
      <c r="D385" s="31" t="inlineStr">
        <is>
          <t>pharmaceuticals - indian - bulk drugs</t>
        </is>
      </c>
      <c r="E385" s="31" t="inlineStr">
        <is>
          <t>midcap</t>
        </is>
      </c>
      <c r="F385" s="31" t="n">
        <v>16308</v>
      </c>
      <c r="G385" s="31" t="n">
        <v>1007.8</v>
      </c>
      <c r="H385" s="31" t="n">
        <v>-1.57</v>
      </c>
      <c r="I385" s="31" t="n">
        <v>71486</v>
      </c>
      <c r="J385" s="31" t="inlineStr">
        <is>
          <t>530019</t>
        </is>
      </c>
    </row>
    <row r="386">
      <c r="A386" s="31" t="inlineStr">
        <is>
          <t>FILATEX</t>
        </is>
      </c>
      <c r="B386" s="31" t="inlineStr">
        <is>
          <t>Filatex India Limited</t>
        </is>
      </c>
      <c r="C386" s="31" t="inlineStr">
        <is>
          <t>textiles</t>
        </is>
      </c>
      <c r="D386" s="31" t="inlineStr">
        <is>
          <t>textiles - manmade</t>
        </is>
      </c>
      <c r="E386" s="31" t="inlineStr">
        <is>
          <t>smallcap</t>
        </is>
      </c>
      <c r="F386" s="31" t="n">
        <v>3218.09</v>
      </c>
      <c r="G386" s="31" t="n">
        <v>71.3</v>
      </c>
      <c r="H386" s="31" t="n">
        <v>-1.61</v>
      </c>
      <c r="I386" s="31" t="n">
        <v>1899439</v>
      </c>
      <c r="J386" s="31" t="inlineStr">
        <is>
          <t>526227</t>
        </is>
      </c>
    </row>
    <row r="387">
      <c r="A387" s="31" t="inlineStr">
        <is>
          <t>BLSE</t>
        </is>
      </c>
      <c r="B387" s="31" t="inlineStr">
        <is>
          <t>BLS E-Services Ltd</t>
        </is>
      </c>
      <c r="C387" s="31" t="inlineStr">
        <is>
          <t>i.t</t>
        </is>
      </c>
      <c r="D387" s="31" t="inlineStr">
        <is>
          <t>computers - software - medium / small</t>
        </is>
      </c>
      <c r="E387" s="31" t="inlineStr">
        <is>
          <t>smallcap</t>
        </is>
      </c>
      <c r="F387" s="31" t="n">
        <v>2479.11</v>
      </c>
      <c r="G387" s="31" t="n">
        <v>268.45</v>
      </c>
      <c r="H387" s="31" t="n">
        <v>-1.62</v>
      </c>
      <c r="I387" s="31" t="n">
        <v>541807</v>
      </c>
      <c r="J387" s="31" t="inlineStr">
        <is>
          <t>544107</t>
        </is>
      </c>
    </row>
    <row r="388">
      <c r="A388" s="31" t="inlineStr">
        <is>
          <t>CAPLIPOINT</t>
        </is>
      </c>
      <c r="B388" s="31" t="inlineStr">
        <is>
          <t>Caplin Point Laboratories Limited</t>
        </is>
      </c>
      <c r="C388" s="31" t="inlineStr">
        <is>
          <t>healthcare</t>
        </is>
      </c>
      <c r="D388" s="31" t="inlineStr">
        <is>
          <t>pharmaceuticals - indian - formulations</t>
        </is>
      </c>
      <c r="E388" s="31" t="inlineStr">
        <is>
          <t>largecap</t>
        </is>
      </c>
      <c r="F388" s="31" t="n">
        <v>20137.02</v>
      </c>
      <c r="G388" s="31" t="n">
        <v>2606</v>
      </c>
      <c r="H388" s="31" t="n">
        <v>-1.63</v>
      </c>
      <c r="I388" s="31" t="n">
        <v>53155</v>
      </c>
      <c r="J388" s="31" t="inlineStr">
        <is>
          <t>524742</t>
        </is>
      </c>
    </row>
    <row r="389">
      <c r="A389" s="31" t="inlineStr">
        <is>
          <t>RPTECH</t>
        </is>
      </c>
      <c r="B389" s="31" t="inlineStr">
        <is>
          <t>Rashi Peripherals Ltd</t>
        </is>
      </c>
      <c r="C389" s="31" t="inlineStr">
        <is>
          <t>services</t>
        </is>
      </c>
      <c r="D389" s="31" t="inlineStr">
        <is>
          <t>trading</t>
        </is>
      </c>
      <c r="E389" s="31" t="inlineStr">
        <is>
          <t>smallcap</t>
        </is>
      </c>
      <c r="F389" s="31" t="n">
        <v>4986.63</v>
      </c>
      <c r="G389" s="31" t="n">
        <v>744.4</v>
      </c>
      <c r="H389" s="31" t="n">
        <v>-1.63</v>
      </c>
      <c r="I389" s="31" t="n">
        <v>201091</v>
      </c>
      <c r="J389" s="31" t="n"/>
    </row>
    <row r="390">
      <c r="A390" s="31" t="inlineStr">
        <is>
          <t>RAYMONDREL</t>
        </is>
      </c>
      <c r="B390" s="31" t="inlineStr">
        <is>
          <t>Raymond Realty Ltd</t>
        </is>
      </c>
      <c r="C390" s="31" t="inlineStr">
        <is>
          <t>realty</t>
        </is>
      </c>
      <c r="D390" s="31" t="inlineStr">
        <is>
          <t>construction</t>
        </is>
      </c>
      <c r="E390" s="31" t="inlineStr">
        <is>
          <t>smallcap</t>
        </is>
      </c>
      <c r="F390" s="31" t="n">
        <v>4683.46</v>
      </c>
      <c r="G390" s="31" t="n">
        <v>691.8</v>
      </c>
      <c r="H390" s="31" t="n">
        <v>-1.66</v>
      </c>
      <c r="I390" s="31" t="n">
        <v>238704</v>
      </c>
      <c r="J390" s="31" t="inlineStr">
        <is>
          <t>544420</t>
        </is>
      </c>
    </row>
    <row r="391">
      <c r="A391" s="31" t="inlineStr">
        <is>
          <t>CENTENKA</t>
        </is>
      </c>
      <c r="B391" s="31" t="inlineStr">
        <is>
          <t>Century Enka Limited</t>
        </is>
      </c>
      <c r="C391" s="31" t="inlineStr">
        <is>
          <t>textiles</t>
        </is>
      </c>
      <c r="D391" s="31" t="inlineStr">
        <is>
          <t>textiles - manmade</t>
        </is>
      </c>
      <c r="E391" s="31" t="inlineStr">
        <is>
          <t>smallcap</t>
        </is>
      </c>
      <c r="F391" s="31" t="n">
        <v>1200.47</v>
      </c>
      <c r="G391" s="31" t="n">
        <v>540.2</v>
      </c>
      <c r="H391" s="31" t="n">
        <v>-1.67</v>
      </c>
      <c r="I391" s="31" t="n">
        <v>28976</v>
      </c>
      <c r="J391" s="31" t="inlineStr">
        <is>
          <t>500280</t>
        </is>
      </c>
    </row>
    <row r="392">
      <c r="A392" s="31" t="inlineStr">
        <is>
          <t>TATVA</t>
        </is>
      </c>
      <c r="B392" s="31" t="inlineStr">
        <is>
          <t>Tatva Chintan Pharma Chem Ltd</t>
        </is>
      </c>
      <c r="C392" s="31" t="inlineStr">
        <is>
          <t>chemicals</t>
        </is>
      </c>
      <c r="D392" s="31" t="inlineStr">
        <is>
          <t>chemicals</t>
        </is>
      </c>
      <c r="E392" s="31" t="inlineStr">
        <is>
          <t>smallcap</t>
        </is>
      </c>
      <c r="F392" s="31" t="n">
        <v>4008.7</v>
      </c>
      <c r="G392" s="31" t="n">
        <v>1685</v>
      </c>
      <c r="H392" s="31" t="n">
        <v>-1.67</v>
      </c>
      <c r="I392" s="31" t="n">
        <v>1658861</v>
      </c>
      <c r="J392" s="31" t="inlineStr">
        <is>
          <t>543321</t>
        </is>
      </c>
    </row>
    <row r="393">
      <c r="A393" s="31" t="inlineStr">
        <is>
          <t>ZYDUSWELL</t>
        </is>
      </c>
      <c r="B393" s="31" t="inlineStr">
        <is>
          <t>Zydus Wellness Limited</t>
        </is>
      </c>
      <c r="C393" s="31" t="inlineStr">
        <is>
          <t>fmcg</t>
        </is>
      </c>
      <c r="D393" s="31" t="inlineStr">
        <is>
          <t>food - processing - indian</t>
        </is>
      </c>
      <c r="E393" s="31" t="inlineStr">
        <is>
          <t>midcap</t>
        </is>
      </c>
      <c r="F393" s="31" t="n">
        <v>19169.18</v>
      </c>
      <c r="G393" s="31" t="n">
        <v>592.25</v>
      </c>
      <c r="H393" s="31" t="n">
        <v>-1.7</v>
      </c>
      <c r="I393" s="31" t="n">
        <v>171824</v>
      </c>
      <c r="J393" s="31" t="inlineStr">
        <is>
          <t>531335</t>
        </is>
      </c>
    </row>
    <row r="394">
      <c r="A394" s="31" t="inlineStr">
        <is>
          <t>VSSL</t>
        </is>
      </c>
      <c r="B394" s="31" t="inlineStr">
        <is>
          <t>Vardhman Special Steels Limited</t>
        </is>
      </c>
      <c r="C394" s="31" t="inlineStr">
        <is>
          <t>metals &amp; mining</t>
        </is>
      </c>
      <c r="D394" s="31" t="inlineStr">
        <is>
          <t>steel - medium / small</t>
        </is>
      </c>
      <c r="E394" s="31" t="inlineStr">
        <is>
          <t>smallcap</t>
        </is>
      </c>
      <c r="F394" s="31" t="n">
        <v>2985.65</v>
      </c>
      <c r="G394" s="31" t="n">
        <v>303.35</v>
      </c>
      <c r="H394" s="31" t="n">
        <v>-1.76</v>
      </c>
      <c r="I394" s="31" t="n">
        <v>276688</v>
      </c>
      <c r="J394" s="31" t="inlineStr">
        <is>
          <t>534392</t>
        </is>
      </c>
    </row>
    <row r="395">
      <c r="A395" s="31" t="inlineStr">
        <is>
          <t>SVLL</t>
        </is>
      </c>
      <c r="B395" s="31" t="inlineStr">
        <is>
          <t>Shree Vasu Logistics Ltd</t>
        </is>
      </c>
      <c r="C395" s="31" t="inlineStr">
        <is>
          <t>transportation</t>
        </is>
      </c>
      <c r="D395" s="31" t="inlineStr">
        <is>
          <t>miscellaneous</t>
        </is>
      </c>
      <c r="E395" s="31" t="inlineStr">
        <is>
          <t>smallcap</t>
        </is>
      </c>
      <c r="F395" s="31" t="n">
        <v>899.4400000000001</v>
      </c>
      <c r="G395" s="31" t="n">
        <v>768.7</v>
      </c>
      <c r="H395" s="31" t="n">
        <v>-1.77</v>
      </c>
      <c r="I395" s="31" t="n">
        <v>11720</v>
      </c>
      <c r="J395" s="31" t="inlineStr">
        <is>
          <t>535084</t>
        </is>
      </c>
    </row>
    <row r="396">
      <c r="A396" s="31" t="inlineStr">
        <is>
          <t>SKMEGGPROD</t>
        </is>
      </c>
      <c r="B396" s="31" t="inlineStr">
        <is>
          <t>Skm Egg Products Export (india) Limited</t>
        </is>
      </c>
      <c r="C396" s="31" t="inlineStr">
        <is>
          <t>fmcg</t>
        </is>
      </c>
      <c r="D396" s="31" t="inlineStr">
        <is>
          <t>food - processing - indian</t>
        </is>
      </c>
      <c r="E396" s="31" t="inlineStr">
        <is>
          <t>smallcap</t>
        </is>
      </c>
      <c r="F396" s="31" t="n">
        <v>1681.7</v>
      </c>
      <c r="G396" s="31" t="n">
        <v>313.7</v>
      </c>
      <c r="H396" s="31" t="n">
        <v>-1.77</v>
      </c>
      <c r="I396" s="31" t="n">
        <v>381597</v>
      </c>
      <c r="J396" s="31" t="inlineStr">
        <is>
          <t>532143</t>
        </is>
      </c>
    </row>
    <row r="397">
      <c r="A397" s="31" t="inlineStr">
        <is>
          <t>SMCGLOBAL</t>
        </is>
      </c>
      <c r="B397" s="31" t="inlineStr">
        <is>
          <t>SMC Global Securities Ltd</t>
        </is>
      </c>
      <c r="C397" s="31" t="inlineStr">
        <is>
          <t>financials</t>
        </is>
      </c>
      <c r="D397" s="31" t="inlineStr">
        <is>
          <t>finance &amp; investments</t>
        </is>
      </c>
      <c r="E397" s="31" t="inlineStr">
        <is>
          <t>smallcap</t>
        </is>
      </c>
      <c r="F397" s="31" t="n">
        <v>1686.51</v>
      </c>
      <c r="G397" s="31" t="n">
        <v>79.08</v>
      </c>
      <c r="H397" s="31" t="n">
        <v>-1.81</v>
      </c>
      <c r="I397" s="31" t="n">
        <v>346874</v>
      </c>
      <c r="J397" s="31" t="inlineStr">
        <is>
          <t>543263</t>
        </is>
      </c>
    </row>
    <row r="398">
      <c r="A398" s="31" t="inlineStr">
        <is>
          <t>ITDC</t>
        </is>
      </c>
      <c r="B398" s="31" t="inlineStr">
        <is>
          <t>India Tourism Development Corporation Ltd</t>
        </is>
      </c>
      <c r="C398" s="31" t="inlineStr">
        <is>
          <t>services</t>
        </is>
      </c>
      <c r="D398" s="31" t="inlineStr">
        <is>
          <t>hotels</t>
        </is>
      </c>
      <c r="E398" s="31" t="inlineStr">
        <is>
          <t>midcap</t>
        </is>
      </c>
      <c r="F398" s="31" t="n">
        <v>6637.69</v>
      </c>
      <c r="G398" s="31" t="n">
        <v>757.4</v>
      </c>
      <c r="H398" s="31" t="n">
        <v>-2.13</v>
      </c>
      <c r="I398" s="31" t="n">
        <v>793242</v>
      </c>
      <c r="J398" s="31" t="inlineStr">
        <is>
          <t>532189</t>
        </is>
      </c>
    </row>
    <row r="399">
      <c r="A399" s="31" t="inlineStr">
        <is>
          <t>IPCALAB</t>
        </is>
      </c>
      <c r="B399" s="31" t="inlineStr">
        <is>
          <t>Ipca Laboratories Limited</t>
        </is>
      </c>
      <c r="C399" s="31" t="inlineStr">
        <is>
          <t>healthcare</t>
        </is>
      </c>
      <c r="D399" s="31" t="inlineStr">
        <is>
          <t>pharmaceuticals - indian - bulk drugs &amp; formln</t>
        </is>
      </c>
      <c r="E399" s="31" t="inlineStr">
        <is>
          <t>largecap</t>
        </is>
      </c>
      <c r="F399" s="31" t="n">
        <v>46646.06</v>
      </c>
      <c r="G399" s="31" t="n">
        <v>1799</v>
      </c>
      <c r="H399" s="31" t="n">
        <v>-2.15</v>
      </c>
      <c r="I399" s="31" t="n">
        <v>437799</v>
      </c>
      <c r="J399" s="31" t="inlineStr">
        <is>
          <t>524494</t>
        </is>
      </c>
    </row>
    <row r="400">
      <c r="A400" s="31" t="inlineStr">
        <is>
          <t>SAKAR</t>
        </is>
      </c>
      <c r="B400" s="31" t="inlineStr">
        <is>
          <t>Sakar Healthcare Ltd</t>
        </is>
      </c>
      <c r="C400" s="31" t="inlineStr">
        <is>
          <t>healthcare</t>
        </is>
      </c>
      <c r="D400" s="31" t="inlineStr">
        <is>
          <t>pharmaceuticals - indian - bulk drugs &amp; formln</t>
        </is>
      </c>
      <c r="E400" s="31" t="inlineStr">
        <is>
          <t>smallcap</t>
        </is>
      </c>
      <c r="F400" s="31" t="n">
        <v>1999.82</v>
      </c>
      <c r="G400" s="31" t="n">
        <v>878.75</v>
      </c>
      <c r="H400" s="31" t="n">
        <v>-2.23</v>
      </c>
      <c r="I400" s="31" t="n">
        <v>67314</v>
      </c>
      <c r="J400" s="31" t="inlineStr">
        <is>
          <t>538377</t>
        </is>
      </c>
    </row>
    <row r="401">
      <c r="A401" s="31" t="inlineStr">
        <is>
          <t>PGIL</t>
        </is>
      </c>
      <c r="B401" s="31" t="inlineStr">
        <is>
          <t>Pearl Global Industries Limited</t>
        </is>
      </c>
      <c r="C401" s="31" t="inlineStr">
        <is>
          <t>consumer discretionary</t>
        </is>
      </c>
      <c r="D401" s="31" t="inlineStr">
        <is>
          <t>textiles - products</t>
        </is>
      </c>
      <c r="E401" s="31" t="inlineStr">
        <is>
          <t>midcap</t>
        </is>
      </c>
      <c r="F401" s="31" t="n">
        <v>9674.190000000001</v>
      </c>
      <c r="G401" s="31" t="n">
        <v>2047.8</v>
      </c>
      <c r="H401" s="31" t="n">
        <v>-2.24</v>
      </c>
      <c r="I401" s="31" t="n">
        <v>62216</v>
      </c>
      <c r="J401" s="31" t="inlineStr">
        <is>
          <t>532808</t>
        </is>
      </c>
    </row>
    <row r="402">
      <c r="A402" s="31" t="inlineStr">
        <is>
          <t>ORCHPHARMA</t>
        </is>
      </c>
      <c r="B402" s="31" t="inlineStr">
        <is>
          <t>Orchid Pharma Ltd</t>
        </is>
      </c>
      <c r="C402" s="31" t="inlineStr">
        <is>
          <t>healthcare</t>
        </is>
      </c>
      <c r="D402" s="31" t="inlineStr">
        <is>
          <t>pharmaceuticals - indian - bulk drugs &amp; formln</t>
        </is>
      </c>
      <c r="E402" s="31" t="inlineStr">
        <is>
          <t>midcap</t>
        </is>
      </c>
      <c r="F402" s="31" t="n">
        <v>5308.26</v>
      </c>
      <c r="G402" s="31" t="n">
        <v>1023</v>
      </c>
      <c r="H402" s="31" t="n">
        <v>-2.25</v>
      </c>
      <c r="I402" s="31" t="n">
        <v>79985</v>
      </c>
      <c r="J402" s="31" t="inlineStr">
        <is>
          <t>524372</t>
        </is>
      </c>
    </row>
    <row r="403">
      <c r="A403" s="31" t="inlineStr">
        <is>
          <t>MIRZAINT</t>
        </is>
      </c>
      <c r="B403" s="31" t="inlineStr">
        <is>
          <t>Mirza International Limited</t>
        </is>
      </c>
      <c r="C403" s="31" t="inlineStr">
        <is>
          <t>consumer discretionary</t>
        </is>
      </c>
      <c r="D403" s="31" t="inlineStr">
        <is>
          <t>leather / leather products</t>
        </is>
      </c>
      <c r="E403" s="31" t="inlineStr">
        <is>
          <t>smallcap</t>
        </is>
      </c>
      <c r="F403" s="31" t="n">
        <v>526.83</v>
      </c>
      <c r="G403" s="31" t="n">
        <v>37.25</v>
      </c>
      <c r="H403" s="31" t="n">
        <v>-2.28</v>
      </c>
      <c r="I403" s="31" t="n">
        <v>234179</v>
      </c>
      <c r="J403" s="31" t="inlineStr">
        <is>
          <t>526642</t>
        </is>
      </c>
    </row>
    <row r="404">
      <c r="A404" s="31" t="inlineStr">
        <is>
          <t>RATEGAIN</t>
        </is>
      </c>
      <c r="B404" s="31" t="inlineStr">
        <is>
          <t>Rategain Travel Technologies Ltd</t>
        </is>
      </c>
      <c r="C404" s="31" t="inlineStr">
        <is>
          <t>i.t</t>
        </is>
      </c>
      <c r="D404" s="31" t="inlineStr">
        <is>
          <t>computers - software - medium / small</t>
        </is>
      </c>
      <c r="E404" s="31" t="inlineStr">
        <is>
          <t>midcap</t>
        </is>
      </c>
      <c r="F404" s="31" t="n">
        <v>11232.07</v>
      </c>
      <c r="G404" s="31" t="n">
        <v>926.4</v>
      </c>
      <c r="H404" s="31" t="n">
        <v>-2.32</v>
      </c>
      <c r="I404" s="31" t="n">
        <v>255743</v>
      </c>
      <c r="J404" s="31" t="inlineStr">
        <is>
          <t>543417</t>
        </is>
      </c>
    </row>
    <row r="405">
      <c r="A405" s="31" t="inlineStr">
        <is>
          <t>TIMETECHNO</t>
        </is>
      </c>
      <c r="B405" s="31" t="inlineStr">
        <is>
          <t>Time Technoplast Limited</t>
        </is>
      </c>
      <c r="C405" s="31" t="inlineStr">
        <is>
          <t>plastic products</t>
        </is>
      </c>
      <c r="D405" s="31" t="inlineStr">
        <is>
          <t>plastics products</t>
        </is>
      </c>
      <c r="E405" s="31" t="inlineStr">
        <is>
          <t>midcap</t>
        </is>
      </c>
      <c r="F405" s="31" t="n">
        <v>10519.86</v>
      </c>
      <c r="G405" s="31" t="n">
        <v>207.86</v>
      </c>
      <c r="H405" s="31" t="n">
        <v>-2.46</v>
      </c>
      <c r="I405" s="31" t="n">
        <v>3466856</v>
      </c>
      <c r="J405" s="31" t="inlineStr">
        <is>
          <t>532856</t>
        </is>
      </c>
    </row>
    <row r="406">
      <c r="A406" s="31" t="inlineStr">
        <is>
          <t>DYCL</t>
        </is>
      </c>
      <c r="B406" s="31" t="inlineStr">
        <is>
          <t>Dynamic Cables Ltd</t>
        </is>
      </c>
      <c r="C406" s="31" t="inlineStr">
        <is>
          <t>industrials</t>
        </is>
      </c>
      <c r="D406" s="31" t="inlineStr">
        <is>
          <t>cables - power</t>
        </is>
      </c>
      <c r="E406" s="31" t="inlineStr">
        <is>
          <t>smallcap</t>
        </is>
      </c>
      <c r="F406" s="31" t="n">
        <v>2159.56</v>
      </c>
      <c r="G406" s="31" t="n">
        <v>434.6</v>
      </c>
      <c r="H406" s="31" t="n">
        <v>-2.48</v>
      </c>
      <c r="I406" s="31" t="n">
        <v>9805722</v>
      </c>
      <c r="J406" s="31" t="inlineStr">
        <is>
          <t>540795</t>
        </is>
      </c>
    </row>
    <row r="407">
      <c r="A407" s="31" t="inlineStr">
        <is>
          <t>PREMIERPOL</t>
        </is>
      </c>
      <c r="B407" s="31" t="inlineStr">
        <is>
          <t>Premier Polyfilm Limited</t>
        </is>
      </c>
      <c r="C407" s="31" t="inlineStr">
        <is>
          <t>plastic products</t>
        </is>
      </c>
      <c r="D407" s="31" t="inlineStr">
        <is>
          <t>plastics products</t>
        </is>
      </c>
      <c r="E407" s="31" t="inlineStr">
        <is>
          <t>smallcap</t>
        </is>
      </c>
      <c r="F407" s="31" t="n">
        <v>774.99</v>
      </c>
      <c r="G407" s="31" t="n">
        <v>72.06999999999999</v>
      </c>
      <c r="H407" s="31" t="n">
        <v>-2.59</v>
      </c>
      <c r="I407" s="31" t="n">
        <v>274796</v>
      </c>
      <c r="J407" s="31" t="inlineStr">
        <is>
          <t>514354</t>
        </is>
      </c>
    </row>
    <row r="408">
      <c r="A408" s="31" t="inlineStr">
        <is>
          <t>AURUM</t>
        </is>
      </c>
      <c r="B408" s="31" t="inlineStr">
        <is>
          <t>Aurum Proptech Ltd</t>
        </is>
      </c>
      <c r="C408" s="31" t="inlineStr">
        <is>
          <t>i.t</t>
        </is>
      </c>
      <c r="D408" s="31" t="inlineStr">
        <is>
          <t>computers - software - medium / small</t>
        </is>
      </c>
      <c r="E408" s="31" t="inlineStr">
        <is>
          <t>smallcap</t>
        </is>
      </c>
      <c r="F408" s="31" t="n">
        <v>1799.94</v>
      </c>
      <c r="G408" s="31" t="n">
        <v>228.33</v>
      </c>
      <c r="H408" s="31" t="n">
        <v>-2.76</v>
      </c>
      <c r="I408" s="31" t="n">
        <v>308844</v>
      </c>
      <c r="J408" s="31" t="inlineStr">
        <is>
          <t>539289</t>
        </is>
      </c>
    </row>
    <row r="409">
      <c r="A409" s="31" t="inlineStr">
        <is>
          <t>ROLEXRINGS</t>
        </is>
      </c>
      <c r="B409" s="31" t="inlineStr">
        <is>
          <t>Rolex Rings Ltd</t>
        </is>
      </c>
      <c r="C409" s="31" t="inlineStr">
        <is>
          <t>auto</t>
        </is>
      </c>
      <c r="D409" s="31" t="inlineStr">
        <is>
          <t>auto ancillaries</t>
        </is>
      </c>
      <c r="E409" s="31" t="inlineStr">
        <is>
          <t>smallcap</t>
        </is>
      </c>
      <c r="F409" s="31" t="n">
        <v>4227.97</v>
      </c>
      <c r="G409" s="31" t="n">
        <v>150.86</v>
      </c>
      <c r="H409" s="31" t="n">
        <v>-2.83</v>
      </c>
      <c r="I409" s="31" t="n">
        <v>2118990</v>
      </c>
      <c r="J409" s="31" t="inlineStr">
        <is>
          <t>543325</t>
        </is>
      </c>
    </row>
    <row r="410">
      <c r="A410" s="31" t="inlineStr">
        <is>
          <t>SPECIALITY</t>
        </is>
      </c>
      <c r="B410" s="31" t="inlineStr">
        <is>
          <t>Speciality Restaurants Limited</t>
        </is>
      </c>
      <c r="C410" s="31" t="inlineStr">
        <is>
          <t>services</t>
        </is>
      </c>
      <c r="D410" s="31" t="inlineStr">
        <is>
          <t>hotels</t>
        </is>
      </c>
      <c r="E410" s="31" t="inlineStr">
        <is>
          <t>smallcap</t>
        </is>
      </c>
      <c r="F410" s="31" t="n">
        <v>653.54</v>
      </c>
      <c r="G410" s="31" t="n">
        <v>131.58</v>
      </c>
      <c r="H410" s="31" t="n">
        <v>-2.89</v>
      </c>
      <c r="I410" s="31" t="n">
        <v>33350</v>
      </c>
      <c r="J410" s="31" t="inlineStr">
        <is>
          <t>534425</t>
        </is>
      </c>
    </row>
    <row r="411">
      <c r="A411" s="31" t="inlineStr">
        <is>
          <t>TPLPLASTEH</t>
        </is>
      </c>
      <c r="B411" s="31" t="inlineStr">
        <is>
          <t>Tpl Plastech Limited</t>
        </is>
      </c>
      <c r="C411" s="31" t="inlineStr">
        <is>
          <t>industrials</t>
        </is>
      </c>
      <c r="D411" s="31" t="inlineStr">
        <is>
          <t>packaging</t>
        </is>
      </c>
      <c r="E411" s="31" t="inlineStr">
        <is>
          <t>smallcap</t>
        </is>
      </c>
      <c r="F411" s="31" t="n">
        <v>646.88</v>
      </c>
      <c r="G411" s="31" t="n">
        <v>80.40000000000001</v>
      </c>
      <c r="H411" s="31" t="n">
        <v>-3.05</v>
      </c>
      <c r="I411" s="31" t="n">
        <v>135372</v>
      </c>
      <c r="J411" s="31" t="inlineStr">
        <is>
          <t>526582</t>
        </is>
      </c>
    </row>
    <row r="412">
      <c r="A412" s="31" t="inlineStr">
        <is>
          <t>INDIANHUME</t>
        </is>
      </c>
      <c r="B412" s="31" t="inlineStr">
        <is>
          <t>Indian Hume Pipe Company Limited</t>
        </is>
      </c>
      <c r="C412" s="31" t="inlineStr">
        <is>
          <t>realty</t>
        </is>
      </c>
      <c r="D412" s="31" t="inlineStr">
        <is>
          <t>construction</t>
        </is>
      </c>
      <c r="E412" s="31" t="inlineStr">
        <is>
          <t>smallcap</t>
        </is>
      </c>
      <c r="F412" s="31" t="n">
        <v>2125.45</v>
      </c>
      <c r="G412" s="31" t="n">
        <v>390.05</v>
      </c>
      <c r="H412" s="31" t="n">
        <v>-3.32</v>
      </c>
      <c r="I412" s="31" t="n">
        <v>42266</v>
      </c>
      <c r="J412" s="31" t="inlineStr">
        <is>
          <t>504741</t>
        </is>
      </c>
    </row>
    <row r="413">
      <c r="A413" s="31" t="inlineStr">
        <is>
          <t>BEPL</t>
        </is>
      </c>
      <c r="B413" s="31" t="inlineStr">
        <is>
          <t>Bhansali Engineering Polymers Limited</t>
        </is>
      </c>
      <c r="C413" s="31" t="inlineStr">
        <is>
          <t>energy</t>
        </is>
      </c>
      <c r="D413" s="31" t="inlineStr">
        <is>
          <t>petrochemicals</t>
        </is>
      </c>
      <c r="E413" s="31" t="inlineStr">
        <is>
          <t>smallcap</t>
        </is>
      </c>
      <c r="F413" s="31" t="n">
        <v>3179.66</v>
      </c>
      <c r="G413" s="31" t="n">
        <v>123.44</v>
      </c>
      <c r="H413" s="31" t="n">
        <v>-3.39</v>
      </c>
      <c r="I413" s="31" t="n">
        <v>69963117</v>
      </c>
      <c r="J413" s="31" t="inlineStr">
        <is>
          <t>500052</t>
        </is>
      </c>
    </row>
    <row r="414">
      <c r="A414" s="31" t="inlineStr">
        <is>
          <t>TINNARUBR</t>
        </is>
      </c>
      <c r="B414" s="31" t="inlineStr">
        <is>
          <t>Tinna Rubber &amp; Infrastructure Ltd</t>
        </is>
      </c>
      <c r="C414" s="31" t="inlineStr">
        <is>
          <t>fmcg</t>
        </is>
      </c>
      <c r="D414" s="31" t="inlineStr">
        <is>
          <t>miscellaneous</t>
        </is>
      </c>
      <c r="E414" s="31" t="inlineStr">
        <is>
          <t>smallcap</t>
        </is>
      </c>
      <c r="F414" s="31" t="n">
        <v>2143.69</v>
      </c>
      <c r="G414" s="31" t="n">
        <v>1148.9</v>
      </c>
      <c r="H414" s="31" t="n">
        <v>-3.45</v>
      </c>
      <c r="I414" s="31" t="n">
        <v>2689606</v>
      </c>
      <c r="J414" s="31" t="inlineStr">
        <is>
          <t>530475</t>
        </is>
      </c>
    </row>
    <row r="415">
      <c r="A415" s="31" t="inlineStr">
        <is>
          <t>PAYTM</t>
        </is>
      </c>
      <c r="B415" s="31" t="inlineStr">
        <is>
          <t>One 97 Communications Ltd</t>
        </is>
      </c>
      <c r="C415" s="31" t="inlineStr">
        <is>
          <t>i.t</t>
        </is>
      </c>
      <c r="D415" s="31" t="inlineStr">
        <is>
          <t>miscellaneous</t>
        </is>
      </c>
      <c r="E415" s="31" t="inlineStr">
        <is>
          <t>largecap</t>
        </is>
      </c>
      <c r="F415" s="31" t="n">
        <v>86285.41</v>
      </c>
      <c r="G415" s="31" t="n">
        <v>1300.5</v>
      </c>
      <c r="H415" s="31" t="n">
        <v>-3.49</v>
      </c>
      <c r="I415" s="31" t="n">
        <v>10474615</v>
      </c>
      <c r="J415" s="31" t="inlineStr">
        <is>
          <t>543396</t>
        </is>
      </c>
    </row>
    <row r="416">
      <c r="A416" s="31" t="inlineStr">
        <is>
          <t>HESTERBIO</t>
        </is>
      </c>
      <c r="B416" s="31" t="inlineStr">
        <is>
          <t>Hester Biosciences Limited</t>
        </is>
      </c>
      <c r="C416" s="31" t="inlineStr">
        <is>
          <t>healthcare</t>
        </is>
      </c>
      <c r="D416" s="31" t="inlineStr">
        <is>
          <t>pharmaceuticals - indian - formulations</t>
        </is>
      </c>
      <c r="E416" s="31" t="inlineStr">
        <is>
          <t>smallcap</t>
        </is>
      </c>
      <c r="F416" s="31" t="n">
        <v>2146.62</v>
      </c>
      <c r="G416" s="31" t="n">
        <v>2432</v>
      </c>
      <c r="H416" s="31" t="n">
        <v>-3.62</v>
      </c>
      <c r="I416" s="31" t="n">
        <v>15268</v>
      </c>
      <c r="J416" s="31" t="inlineStr">
        <is>
          <t>524669</t>
        </is>
      </c>
    </row>
    <row r="417">
      <c r="A417" s="31" t="inlineStr">
        <is>
          <t>SUMEETINDS</t>
        </is>
      </c>
      <c r="B417" s="31" t="inlineStr">
        <is>
          <t>Sumeet Industries Limited</t>
        </is>
      </c>
      <c r="C417" s="31" t="inlineStr">
        <is>
          <t>textiles</t>
        </is>
      </c>
      <c r="D417" s="31" t="inlineStr">
        <is>
          <t>textiles - manmade</t>
        </is>
      </c>
      <c r="E417" s="31" t="inlineStr">
        <is>
          <t>smallcap</t>
        </is>
      </c>
      <c r="F417" s="31" t="n">
        <v>1857.93</v>
      </c>
      <c r="G417" s="31" t="n">
        <v>33.54</v>
      </c>
      <c r="H417" s="31" t="n">
        <v>-4.99</v>
      </c>
      <c r="I417" s="31" t="n">
        <v>73062</v>
      </c>
      <c r="J417" s="31" t="inlineStr">
        <is>
          <t>514211</t>
        </is>
      </c>
    </row>
    <row r="418">
      <c r="A418" s="31" t="inlineStr">
        <is>
          <t>AEGISLOG</t>
        </is>
      </c>
      <c r="B418" s="31" t="inlineStr">
        <is>
          <t>Aegis Logistics Ltd</t>
        </is>
      </c>
      <c r="C418" s="31" t="inlineStr">
        <is>
          <t>services</t>
        </is>
      </c>
      <c r="D418" s="31" t="inlineStr">
        <is>
          <t>trading</t>
        </is>
      </c>
      <c r="E418" s="31" t="inlineStr">
        <is>
          <t>largecap</t>
        </is>
      </c>
      <c r="F418" s="31" t="n">
        <v>48574.89</v>
      </c>
      <c r="G418" s="31" t="n">
        <v>1313.5</v>
      </c>
      <c r="H418" s="31" t="n">
        <v>-5.09</v>
      </c>
      <c r="I418" s="31" t="n">
        <v>1593955</v>
      </c>
      <c r="J418" s="31" t="inlineStr">
        <is>
          <t>500003</t>
        </is>
      </c>
    </row>
  </sheetData>
  <autoFilter ref="A1:J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CEMPRO</t>
        </is>
      </c>
      <c r="E3" s="31" t="inlineStr">
        <is>
          <t>Cemindia Projects Ltd</t>
        </is>
      </c>
      <c r="F3" s="31" t="inlineStr">
        <is>
          <t>Infra - Construction &amp; Contracting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RAIN</t>
        </is>
      </c>
      <c r="E4" s="31" t="inlineStr">
        <is>
          <t>Rain Industries Limited</t>
        </is>
      </c>
      <c r="F4" s="31" t="inlineStr">
        <is>
          <t>Cement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18</v>
      </c>
      <c r="K4" s="31" t="n">
        <v>24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MUTHOOTMF</t>
        </is>
      </c>
      <c r="E5" s="31" t="inlineStr">
        <is>
          <t>Muthoot Microfin Ltd</t>
        </is>
      </c>
      <c r="F5" s="31" t="inlineStr">
        <is>
          <t>Finance &amp; Investments - Microfinance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16</v>
      </c>
      <c r="K5" s="31" t="n">
        <v>17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NOVARTIND</t>
        </is>
      </c>
      <c r="E6" s="31" t="inlineStr">
        <is>
          <t>Novartis India Ltd</t>
        </is>
      </c>
      <c r="F6" s="31" t="inlineStr">
        <is>
          <t>Pharma - MNC bulk Drugs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24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DIACABS</t>
        </is>
      </c>
      <c r="E7" s="31" t="inlineStr">
        <is>
          <t>Diamond Power Infrastructure Ltd</t>
        </is>
      </c>
      <c r="F7" s="31" t="inlineStr">
        <is>
          <t>Cables - Power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27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KAPSTON</t>
        </is>
      </c>
      <c r="E8" s="31" t="inlineStr">
        <is>
          <t>Kapston Services Ltd</t>
        </is>
      </c>
      <c r="F8" s="31" t="inlineStr">
        <is>
          <t>Services - Others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18</v>
      </c>
      <c r="K8" s="31" t="n">
        <v>20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LLOYDSME</t>
        </is>
      </c>
      <c r="E9" s="31" t="inlineStr">
        <is>
          <t>Lloyds Metals &amp; Energy Ltd</t>
        </is>
      </c>
      <c r="F9" s="31" t="inlineStr">
        <is>
          <t>Mining/Minerals - Iron Ore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19</v>
      </c>
      <c r="K9" s="31" t="n">
        <v>16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RPEL</t>
        </is>
      </c>
      <c r="E10" s="31" t="inlineStr">
        <is>
          <t>Raghav Productivity Enhancers Ltd</t>
        </is>
      </c>
      <c r="F10" s="31" t="inlineStr">
        <is>
          <t>Steel Products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18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SURYODAY</t>
        </is>
      </c>
      <c r="E11" s="31" t="inlineStr">
        <is>
          <t>Suryoday Small Finance Bank Ltd</t>
        </is>
      </c>
      <c r="F11" s="31" t="inlineStr">
        <is>
          <t>Banks - Small 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19</v>
      </c>
      <c r="K11" s="31" t="n">
        <v>29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IBULLSLTD</t>
        </is>
      </c>
      <c r="E12" s="31" t="inlineStr">
        <is>
          <t>Indiabulls Limited</t>
        </is>
      </c>
      <c r="F12" s="31" t="inlineStr">
        <is>
          <t>Diversified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16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PAISALO</t>
        </is>
      </c>
      <c r="E13" s="31" t="inlineStr">
        <is>
          <t>Paisalo Digital Ltd</t>
        </is>
      </c>
      <c r="F13" s="31" t="inlineStr">
        <is>
          <t>Finance - Capital Markets - Brokers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19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TFCILTD</t>
        </is>
      </c>
      <c r="E14" s="31" t="inlineStr">
        <is>
          <t>Tourism Finance Corporation Of India Limited</t>
        </is>
      </c>
      <c r="F14" s="31" t="inlineStr">
        <is>
          <t>Finance - PSU Lending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10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J&amp;KBANK</t>
        </is>
      </c>
      <c r="E15" s="31" t="inlineStr">
        <is>
          <t>The Jammu &amp; Kashmir Bank Limited</t>
        </is>
      </c>
      <c r="F15" s="31" t="inlineStr">
        <is>
          <t>Banks - Private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16</v>
      </c>
      <c r="K15" s="31" t="n">
        <v>29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UJJIVANSFB</t>
        </is>
      </c>
      <c r="E16" s="31" t="inlineStr">
        <is>
          <t>Ujjivan Small Finance Bank Ltd</t>
        </is>
      </c>
      <c r="F16" s="31" t="inlineStr">
        <is>
          <t>Banks - Small Finance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17</v>
      </c>
      <c r="K16" s="31" t="n">
        <v>10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INDIAGLYCO</t>
        </is>
      </c>
      <c r="E17" s="31" t="inlineStr">
        <is>
          <t>India Glycols Limited</t>
        </is>
      </c>
      <c r="F17" s="31" t="inlineStr">
        <is>
          <t>Alcoholic Beverages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16</v>
      </c>
      <c r="K17" s="31" t="n">
        <v>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TINNARUBR</t>
        </is>
      </c>
      <c r="E18" s="31" t="inlineStr">
        <is>
          <t>Tinna Rubber &amp; Infrastructure Ltd</t>
        </is>
      </c>
      <c r="F18" s="31" t="inlineStr">
        <is>
          <t>Rubber Processing/Rubber Products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17</v>
      </c>
      <c r="K18" s="31" t="n">
        <v>22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E2E</t>
        </is>
      </c>
      <c r="E19" s="31" t="inlineStr">
        <is>
          <t>E2E Networks Ltd</t>
        </is>
      </c>
      <c r="F19" s="31" t="inlineStr">
        <is>
          <t>Data Centre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23</v>
      </c>
      <c r="K19" s="31" t="n">
        <v>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STYLAMIND</t>
        </is>
      </c>
      <c r="E20" s="31" t="inlineStr">
        <is>
          <t>Stylam Industries Ltd</t>
        </is>
      </c>
      <c r="F20" s="31" t="inlineStr">
        <is>
          <t>Plywood Boards/Laminates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14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ACUTAAS</t>
        </is>
      </c>
      <c r="E21" s="31" t="inlineStr">
        <is>
          <t>Acutaas Chemicals Ltd</t>
        </is>
      </c>
      <c r="F21" s="31" t="inlineStr">
        <is>
          <t>Pharma - API &amp; CRAMS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22</v>
      </c>
      <c r="K21" s="31" t="n">
        <v>28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JSFB</t>
        </is>
      </c>
      <c r="E22" s="31" t="inlineStr">
        <is>
          <t>Jana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22</v>
      </c>
      <c r="K22" s="31" t="n">
        <v>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GODREJIND</t>
        </is>
      </c>
      <c r="E23" s="31" t="inlineStr">
        <is>
          <t>Godrej Industries Limited</t>
        </is>
      </c>
      <c r="F23" s="31" t="inlineStr">
        <is>
          <t>Finance - Holding Company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16</v>
      </c>
      <c r="K23" s="31" t="n">
        <v>12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UNIPARTS</t>
        </is>
      </c>
      <c r="E24" s="31" t="inlineStr">
        <is>
          <t>Uniparts India Ltd</t>
        </is>
      </c>
      <c r="F24" s="31" t="inlineStr">
        <is>
          <t>Castings, Forgings &amp; Fastners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EMCURE</t>
        </is>
      </c>
      <c r="E25" s="31" t="inlineStr">
        <is>
          <t>Emcure Pharmaceuticals Ltd</t>
        </is>
      </c>
      <c r="F25" s="31" t="inlineStr">
        <is>
          <t>Pharma - Formulators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14</v>
      </c>
      <c r="K25" s="31" t="n">
        <v>17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TIPSMUSIC</t>
        </is>
      </c>
      <c r="E26" s="31" t="inlineStr">
        <is>
          <t>Tips Music Ltd</t>
        </is>
      </c>
      <c r="F26" s="31" t="inlineStr">
        <is>
          <t>Music Licensing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13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AURUM</t>
        </is>
      </c>
      <c r="E27" s="31" t="inlineStr">
        <is>
          <t>Aurum Proptech Ltd</t>
        </is>
      </c>
      <c r="F27" s="31" t="inlineStr">
        <is>
          <t>IT Enabled Services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24</v>
      </c>
      <c r="K27" s="31" t="n">
        <v>21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PGHL</t>
        </is>
      </c>
      <c r="E28" s="31" t="inlineStr">
        <is>
          <t>Procter &amp; Gamble Health Ltd</t>
        </is>
      </c>
      <c r="F28" s="31" t="inlineStr">
        <is>
          <t>Pharma - MNC bulk Drugs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16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CUPID</t>
        </is>
      </c>
      <c r="E30" s="31" t="inlineStr">
        <is>
          <t>Cupid Limited</t>
        </is>
      </c>
      <c r="F30" s="31" t="inlineStr">
        <is>
          <t>Contraceptives/Protectives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THANGAMAYL</t>
        </is>
      </c>
      <c r="E31" s="31" t="inlineStr">
        <is>
          <t>Thangamayil Jewellery Limited</t>
        </is>
      </c>
      <c r="F31" s="31" t="inlineStr">
        <is>
          <t>Diamond, Gems &amp; Jewellery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FEDERALBNK</t>
        </is>
      </c>
      <c r="E32" s="31" t="inlineStr">
        <is>
          <t>The Federal Bank  Limited</t>
        </is>
      </c>
      <c r="F32" s="31" t="inlineStr">
        <is>
          <t>Banks - Private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10</v>
      </c>
      <c r="K32" s="31" t="n">
        <v>26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ATHERENERG</t>
        </is>
      </c>
      <c r="E33" s="31" t="inlineStr">
        <is>
          <t>Ather Energy Ltd</t>
        </is>
      </c>
      <c r="F33" s="31" t="inlineStr">
        <is>
          <t>Auto - 2 &amp; 3 Wheelers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VADILALIND</t>
        </is>
      </c>
      <c r="E34" s="31" t="inlineStr">
        <is>
          <t>Vadilal Industries Limited</t>
        </is>
      </c>
      <c r="F34" s="31" t="inlineStr">
        <is>
          <t>FMCG - Dairy Products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18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KARURVYSYA</t>
        </is>
      </c>
      <c r="E35" s="31" t="inlineStr">
        <is>
          <t>Karur Vysya Bank Limited</t>
        </is>
      </c>
      <c r="F35" s="31" t="inlineStr">
        <is>
          <t>Banks - Private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GRANULES</t>
        </is>
      </c>
      <c r="E36" s="31" t="inlineStr">
        <is>
          <t>Granules India Limited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23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GHCLTEXTIL</t>
        </is>
      </c>
      <c r="E37" s="31" t="inlineStr">
        <is>
          <t>GHCL Textiles Ltd</t>
        </is>
      </c>
      <c r="F37" s="31" t="inlineStr">
        <is>
          <t>Textiles - General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17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MANAPPURAM</t>
        </is>
      </c>
      <c r="E38" s="31" t="inlineStr">
        <is>
          <t>Manappuram Finance Limited</t>
        </is>
      </c>
      <c r="F38" s="31" t="inlineStr">
        <is>
          <t>Finance &amp; Investments - Gold Loan</t>
        </is>
      </c>
      <c r="G38" s="31" t="n">
        <v>2</v>
      </c>
      <c r="H38" s="31" t="inlineStr">
        <is>
          <t>52W Breakout</t>
        </is>
      </c>
      <c r="I38" s="31" t="inlineStr">
        <is>
          <t>Yes</t>
        </is>
      </c>
      <c r="J38" s="31" t="n">
        <v>11</v>
      </c>
      <c r="K38" s="31" t="n">
        <v>14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FILATEX</t>
        </is>
      </c>
      <c r="E39" s="31" t="inlineStr">
        <is>
          <t>Filatex India Limited</t>
        </is>
      </c>
      <c r="F39" s="31" t="inlineStr">
        <is>
          <t>Textiles - Manmade Fibre - PFY/PSF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11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ADOR</t>
        </is>
      </c>
      <c r="E40" s="31" t="inlineStr">
        <is>
          <t>Ador Welding Ltd</t>
        </is>
      </c>
      <c r="F40" s="31" t="inlineStr">
        <is>
          <t>Welding Equipments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17</v>
      </c>
      <c r="K40" s="31" t="n">
        <v>29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PICCADIL</t>
        </is>
      </c>
      <c r="E41" s="31" t="inlineStr">
        <is>
          <t>Piccadily Agro Industries Ltd</t>
        </is>
      </c>
      <c r="F41" s="31" t="inlineStr">
        <is>
          <t>Alcoholic Beverages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16</v>
      </c>
      <c r="K41" s="31" t="n">
        <v>2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HESTERBIO</t>
        </is>
      </c>
      <c r="E42" s="31" t="inlineStr">
        <is>
          <t>Hester Biosciences Limited</t>
        </is>
      </c>
      <c r="F42" s="31" t="inlineStr">
        <is>
          <t>Pharma - Animal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17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INDNIPPON</t>
        </is>
      </c>
      <c r="E43" s="31" t="inlineStr">
        <is>
          <t>India Nippon Electricals Limited</t>
        </is>
      </c>
      <c r="F43" s="31" t="inlineStr">
        <is>
          <t>Auto Ancillaries - Engine Parts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26</v>
      </c>
      <c r="K43" s="31" t="n">
        <v>28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OFSS</t>
        </is>
      </c>
      <c r="E44" s="31" t="inlineStr">
        <is>
          <t>Oracle Financial Services Software Limited</t>
        </is>
      </c>
      <c r="F44" s="31" t="inlineStr">
        <is>
          <t>unknown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0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SUNPHARMA</t>
        </is>
      </c>
      <c r="E45" s="31" t="inlineStr">
        <is>
          <t>Sun Pharmaceuticals Industries Limited</t>
        </is>
      </c>
      <c r="F45" s="31" t="inlineStr">
        <is>
          <t>Pharma - Formulators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11</v>
      </c>
      <c r="K45" s="31" t="n">
        <v>12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TATVA</t>
        </is>
      </c>
      <c r="E46" s="31" t="inlineStr">
        <is>
          <t>Tatva Chintan Pharma Chem Ltd</t>
        </is>
      </c>
      <c r="F46" s="31" t="inlineStr">
        <is>
          <t>Speciality Chemicals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24</v>
      </c>
      <c r="K46" s="31" t="n">
        <v>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SAREGAMA</t>
        </is>
      </c>
      <c r="E47" s="31" t="inlineStr">
        <is>
          <t>Saregama India Limited</t>
        </is>
      </c>
      <c r="F47" s="31" t="inlineStr">
        <is>
          <t>Music Licensing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15</v>
      </c>
      <c r="K47" s="31" t="n">
        <v>14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SSWL</t>
        </is>
      </c>
      <c r="E48" s="31" t="inlineStr">
        <is>
          <t>Steel Strips Wheels Limited</t>
        </is>
      </c>
      <c r="F48" s="31" t="inlineStr">
        <is>
          <t>Auto Ancillaries - Wheels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24</v>
      </c>
      <c r="K48" s="31" t="n">
        <v>23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KMEW</t>
        </is>
      </c>
      <c r="E49" s="31" t="inlineStr">
        <is>
          <t>Knowledge Marine &amp; Engineering Works Ltd</t>
        </is>
      </c>
      <c r="F49" s="31" t="inlineStr">
        <is>
          <t>Shipping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13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SANSERA</t>
        </is>
      </c>
      <c r="E50" s="31" t="inlineStr">
        <is>
          <t>Sansera Engineering Ltd</t>
        </is>
      </c>
      <c r="F50" s="31" t="inlineStr">
        <is>
          <t>unknown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0</v>
      </c>
      <c r="K50" s="31" t="n">
        <v>29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SKYGOLD</t>
        </is>
      </c>
      <c r="E51" s="31" t="inlineStr">
        <is>
          <t>Sky Gold Ltd</t>
        </is>
      </c>
      <c r="F51" s="31" t="inlineStr">
        <is>
          <t>Diamond, Gems &amp; Jewellery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26</v>
      </c>
      <c r="K51" s="31" t="n">
        <v>19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INDOTECH</t>
        </is>
      </c>
      <c r="E52" s="31" t="inlineStr">
        <is>
          <t>Indo Tech Transformers Limited</t>
        </is>
      </c>
      <c r="F52" s="31" t="inlineStr">
        <is>
          <t>Capital Goods - Transformers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23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LUPIN</t>
        </is>
      </c>
      <c r="E53" s="31" t="inlineStr">
        <is>
          <t>Lupin Limited</t>
        </is>
      </c>
      <c r="F53" s="31" t="inlineStr">
        <is>
          <t>Pharma - Formulators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14</v>
      </c>
      <c r="K53" s="31" t="n">
        <v>12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KABRAEXTRU</t>
        </is>
      </c>
      <c r="E54" s="31" t="inlineStr">
        <is>
          <t>Kabra Extrusion Technik Limited</t>
        </is>
      </c>
      <c r="F54" s="31" t="inlineStr">
        <is>
          <t>Capital Goods - Engineering Heavy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17</v>
      </c>
      <c r="K54" s="31" t="n">
        <v>4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LAURUSLABS</t>
        </is>
      </c>
      <c r="E55" s="31" t="inlineStr">
        <is>
          <t>Laurus Labs Limited</t>
        </is>
      </c>
      <c r="F55" s="31" t="inlineStr">
        <is>
          <t>Pharma - API &amp; CRAMS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14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NYKAA</t>
        </is>
      </c>
      <c r="E56" s="31" t="inlineStr">
        <is>
          <t>FSN E-Commerce Ventures Ltd</t>
        </is>
      </c>
      <c r="F56" s="31" t="inlineStr">
        <is>
          <t>New age - Platform - E-Retail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16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WELCORP</t>
        </is>
      </c>
      <c r="E57" s="31" t="inlineStr">
        <is>
          <t>Welspun Corp Limited</t>
        </is>
      </c>
      <c r="F57" s="31" t="inlineStr">
        <is>
          <t>DI Pipes/Saw Pipes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GABRIEL</t>
        </is>
      </c>
      <c r="E58" s="31" t="inlineStr">
        <is>
          <t>Gabriel India Limited</t>
        </is>
      </c>
      <c r="F58" s="31" t="inlineStr">
        <is>
          <t>Auto Ancillaries - Shock Absorber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16</v>
      </c>
      <c r="K58" s="31" t="n">
        <v>15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SHAREINDIA</t>
        </is>
      </c>
      <c r="E59" s="31" t="inlineStr">
        <is>
          <t>Share India Securities Ltd</t>
        </is>
      </c>
      <c r="F59" s="31" t="inlineStr">
        <is>
          <t>Finance - Capital Markets - Brokers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TRIVENI</t>
        </is>
      </c>
      <c r="E60" s="31" t="inlineStr">
        <is>
          <t>Triveni Engineering &amp; Industries Limited</t>
        </is>
      </c>
      <c r="F60" s="31" t="inlineStr">
        <is>
          <t>unknown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0</v>
      </c>
      <c r="K60" s="31" t="n">
        <v>15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HFCL</t>
        </is>
      </c>
      <c r="E61" s="31" t="inlineStr">
        <is>
          <t>HFCL Ltd</t>
        </is>
      </c>
      <c r="F61" s="31" t="inlineStr">
        <is>
          <t>Telecom Services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28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IKIO</t>
        </is>
      </c>
      <c r="E62" s="31" t="inlineStr">
        <is>
          <t>IKIO Lighting Ltd</t>
        </is>
      </c>
      <c r="F62" s="31" t="inlineStr">
        <is>
          <t>Capital Goods - Electric General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16</v>
      </c>
      <c r="K62" s="31" t="n">
        <v>2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LLOYDSENT</t>
        </is>
      </c>
      <c r="E63" s="31" t="inlineStr">
        <is>
          <t>Lloyds Enterprises Ltd</t>
        </is>
      </c>
      <c r="F63" s="31" t="inlineStr">
        <is>
          <t>Trading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DYCL</t>
        </is>
      </c>
      <c r="E64" s="31" t="inlineStr">
        <is>
          <t>Dynamic Cables Ltd</t>
        </is>
      </c>
      <c r="F64" s="31" t="inlineStr">
        <is>
          <t>Cables - Power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21</v>
      </c>
      <c r="K64" s="31" t="n">
        <v>2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AEGISVOPAK</t>
        </is>
      </c>
      <c r="E65" s="31" t="inlineStr">
        <is>
          <t>Aegis Vopak Terminals Ltd</t>
        </is>
      </c>
      <c r="F65" s="31" t="inlineStr">
        <is>
          <t>Miscellaneous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16</v>
      </c>
      <c r="K65" s="31" t="n">
        <v>4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IKS</t>
        </is>
      </c>
      <c r="E66" s="31" t="inlineStr">
        <is>
          <t>Inventurus Knowledge Solutions Ltd</t>
        </is>
      </c>
      <c r="F66" s="31" t="inlineStr">
        <is>
          <t>IT Enabled Services/Business Process Outsourcing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16</v>
      </c>
      <c r="K66" s="31" t="n">
        <v>19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INOXINDIA</t>
        </is>
      </c>
      <c r="E67" s="31" t="inlineStr">
        <is>
          <t>Inox India Ltd</t>
        </is>
      </c>
      <c r="F67" s="31" t="inlineStr">
        <is>
          <t>Industrial Gas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13</v>
      </c>
      <c r="K67" s="31" t="n">
        <v>27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ITDC</t>
        </is>
      </c>
      <c r="E68" s="31" t="inlineStr">
        <is>
          <t>India Tourism Development Corporation Ltd</t>
        </is>
      </c>
      <c r="F68" s="31" t="inlineStr">
        <is>
          <t>unknown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0</v>
      </c>
      <c r="K68" s="31" t="n">
        <v>15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JLHL</t>
        </is>
      </c>
      <c r="E69" s="31" t="inlineStr">
        <is>
          <t>Jupiter Life Line Hospitals Ltd</t>
        </is>
      </c>
      <c r="F69" s="31" t="inlineStr">
        <is>
          <t>Hospitals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17</v>
      </c>
      <c r="K69" s="31" t="n">
        <v>10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POONAWALLA</t>
        </is>
      </c>
      <c r="E70" s="31" t="inlineStr">
        <is>
          <t>Poonawalla Fincorp Ltd</t>
        </is>
      </c>
      <c r="F70" s="31" t="inlineStr">
        <is>
          <t>Conglomerate Backed NBFC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2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HUHTAMAKI</t>
        </is>
      </c>
      <c r="E71" s="31" t="inlineStr">
        <is>
          <t>Huhtamaki India Ltd</t>
        </is>
      </c>
      <c r="F71" s="31" t="inlineStr">
        <is>
          <t>Packaging - FMCG/Consumers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2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TBZ</t>
        </is>
      </c>
      <c r="E72" s="31" t="inlineStr">
        <is>
          <t>Tribhovandas Bhimji Zaveri Limited</t>
        </is>
      </c>
      <c r="F72" s="31" t="inlineStr">
        <is>
          <t>Diamond, Gems &amp; Jewellery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AZAD</t>
        </is>
      </c>
      <c r="E73" s="31" t="inlineStr">
        <is>
          <t>Azad Engineering Ltd</t>
        </is>
      </c>
      <c r="F73" s="31" t="inlineStr">
        <is>
          <t>Aerospace &amp; Defence - Equipments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10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MBAPL</t>
        </is>
      </c>
      <c r="E74" s="31" t="inlineStr">
        <is>
          <t>Madhya Bharat Agro Products Ltd</t>
        </is>
      </c>
      <c r="F74" s="31" t="inlineStr">
        <is>
          <t>Fertilisers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15</v>
      </c>
      <c r="K74" s="31" t="n">
        <v>16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CHENNPETRO</t>
        </is>
      </c>
      <c r="E75" s="31" t="inlineStr">
        <is>
          <t>Chennai Petroleum Corporation Limited</t>
        </is>
      </c>
      <c r="F75" s="31" t="inlineStr">
        <is>
          <t>Refineries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16</v>
      </c>
      <c r="K75" s="31" t="n">
        <v>22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KALYANKJIL</t>
        </is>
      </c>
      <c r="E76" s="31" t="inlineStr">
        <is>
          <t>Kalyan Jewellers India Ltd</t>
        </is>
      </c>
      <c r="F76" s="31" t="inlineStr">
        <is>
          <t>Diamond, Gems &amp; Jewellery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20</v>
      </c>
      <c r="K76" s="31" t="n">
        <v>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BEPL</t>
        </is>
      </c>
      <c r="E77" s="31" t="inlineStr">
        <is>
          <t>Bhansali Engineering Polymers Limited</t>
        </is>
      </c>
      <c r="F77" s="31" t="inlineStr">
        <is>
          <t>Petrochem - Polymers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BALRAMCHIN</t>
        </is>
      </c>
      <c r="E78" s="31" t="inlineStr">
        <is>
          <t>Balrampur Chini Mills Limited</t>
        </is>
      </c>
      <c r="F78" s="31" t="inlineStr">
        <is>
          <t>Sugar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16</v>
      </c>
      <c r="K78" s="31" t="n">
        <v>10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HIRECT</t>
        </is>
      </c>
      <c r="E79" s="31" t="inlineStr">
        <is>
          <t>Hind Rectifiers Limited</t>
        </is>
      </c>
      <c r="F79" s="31" t="inlineStr">
        <is>
          <t>Electronics - Equipment/Components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16</v>
      </c>
      <c r="K79" s="31" t="n">
        <v>27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ADANIENSOL</t>
        </is>
      </c>
      <c r="E80" s="31" t="inlineStr">
        <is>
          <t>Adani Energy Solutions Ltd</t>
        </is>
      </c>
      <c r="F80" s="31" t="inlineStr">
        <is>
          <t>Power - Transmission/Equipment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25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DPABHUSHAN</t>
        </is>
      </c>
      <c r="E81" s="31" t="inlineStr">
        <is>
          <t>D.P. Abhushan Ltd</t>
        </is>
      </c>
      <c r="F81" s="31" t="inlineStr">
        <is>
          <t>Diamond, Gems &amp; Jewellery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19</v>
      </c>
      <c r="K81" s="31" t="n">
        <v>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GALAPREC</t>
        </is>
      </c>
      <c r="E82" s="31" t="inlineStr">
        <is>
          <t>Gala Precision Engineering Ltd</t>
        </is>
      </c>
      <c r="F82" s="31" t="inlineStr">
        <is>
          <t>Castings, Forgings &amp; Fastners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16</v>
      </c>
      <c r="K82" s="31" t="n">
        <v>28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SHYAMMETL</t>
        </is>
      </c>
      <c r="E83" s="31" t="inlineStr">
        <is>
          <t>Shyam Metalics &amp; Energy Ltd</t>
        </is>
      </c>
      <c r="F83" s="31" t="inlineStr">
        <is>
          <t>Steel Products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21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SENCO</t>
        </is>
      </c>
      <c r="E84" s="31" t="inlineStr">
        <is>
          <t>Senco Gold Ltd</t>
        </is>
      </c>
      <c r="F84" s="31" t="inlineStr">
        <is>
          <t>Diamond, Gems &amp; Jewellery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17</v>
      </c>
      <c r="K84" s="31" t="n">
        <v>10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TORNTPHARM</t>
        </is>
      </c>
      <c r="E85" s="31" t="inlineStr">
        <is>
          <t>Torrent Pharmaceuticals Limited</t>
        </is>
      </c>
      <c r="F85" s="31" t="inlineStr">
        <is>
          <t>Pharma - Formulators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11</v>
      </c>
      <c r="K85" s="31" t="n">
        <v>14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RPTECH</t>
        </is>
      </c>
      <c r="E86" s="31" t="inlineStr">
        <is>
          <t>Rashi Peripherals Ltd</t>
        </is>
      </c>
      <c r="F86" s="31" t="inlineStr">
        <is>
          <t>Trading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18</v>
      </c>
      <c r="K86" s="31" t="n">
        <v>28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GANDHAR</t>
        </is>
      </c>
      <c r="E87" s="31" t="inlineStr">
        <is>
          <t>Gandhar Oil Refinery (India) Ltd</t>
        </is>
      </c>
      <c r="F87" s="31" t="inlineStr">
        <is>
          <t>Refineries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16</v>
      </c>
      <c r="K87" s="31" t="n">
        <v>20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RPGLIFE</t>
        </is>
      </c>
      <c r="E88" s="31" t="inlineStr">
        <is>
          <t>Rpg Life Sciences Limited</t>
        </is>
      </c>
      <c r="F88" s="31" t="inlineStr">
        <is>
          <t>Pharma - Formulators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16</v>
      </c>
      <c r="K88" s="31" t="n">
        <v>12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TITAN</t>
        </is>
      </c>
      <c r="E89" s="31" t="inlineStr">
        <is>
          <t>Titan Company Limited</t>
        </is>
      </c>
      <c r="F89" s="31" t="inlineStr">
        <is>
          <t>Diamond, Gems &amp; Jewellery</t>
        </is>
      </c>
      <c r="G89" s="31" t="n">
        <v>2</v>
      </c>
      <c r="H89" s="31" t="inlineStr">
        <is>
          <t>52W Breakout</t>
        </is>
      </c>
      <c r="I89" s="31" t="inlineStr">
        <is>
          <t>Yes</t>
        </is>
      </c>
      <c r="J89" s="31" t="n">
        <v>8</v>
      </c>
      <c r="K89" s="31" t="n">
        <v>14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BAJAJFINSV</t>
        </is>
      </c>
      <c r="E90" s="31" t="inlineStr">
        <is>
          <t>Bajaj Finserv Limited</t>
        </is>
      </c>
      <c r="F90" s="31" t="inlineStr">
        <is>
          <t>Finance - Holding Company</t>
        </is>
      </c>
      <c r="G90" s="31" t="n">
        <v>2</v>
      </c>
      <c r="H90" s="31" t="inlineStr">
        <is>
          <t>EMA Crossover</t>
        </is>
      </c>
      <c r="I90" s="31" t="inlineStr">
        <is>
          <t>Yes</t>
        </is>
      </c>
      <c r="J90" s="31" t="n">
        <v>4</v>
      </c>
      <c r="K90" s="31" t="n">
        <v>1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TVSMOTOR</t>
        </is>
      </c>
      <c r="E91" s="31" t="inlineStr">
        <is>
          <t>Tvs Motor Company Limited</t>
        </is>
      </c>
      <c r="F91" s="31" t="inlineStr">
        <is>
          <t>Auto - 2 &amp; 3 Wheelers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16</v>
      </c>
      <c r="K91" s="31" t="n">
        <v>4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MRPL</t>
        </is>
      </c>
      <c r="E92" s="31" t="inlineStr">
        <is>
          <t>Mangalore Refinery And Petrochemicals Limited</t>
        </is>
      </c>
      <c r="F92" s="31" t="inlineStr">
        <is>
          <t>Refineries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19</v>
      </c>
      <c r="K92" s="31" t="n">
        <v>2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JSL</t>
        </is>
      </c>
      <c r="E93" s="31" t="inlineStr">
        <is>
          <t>Jindal Stainless Limited</t>
        </is>
      </c>
      <c r="F93" s="31" t="inlineStr">
        <is>
          <t>Stainless Steel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4</v>
      </c>
      <c r="K93" s="31" t="n">
        <v>1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SATIN</t>
        </is>
      </c>
      <c r="E94" s="31" t="inlineStr">
        <is>
          <t>Satin Creditcare Network Limited</t>
        </is>
      </c>
      <c r="F94" s="31" t="inlineStr">
        <is>
          <t>Finance &amp; Investments - Microfinance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19</v>
      </c>
      <c r="K94" s="31" t="n">
        <v>27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TIRUPATIFL</t>
        </is>
      </c>
      <c r="E95" s="31" t="inlineStr">
        <is>
          <t>Tirupati Forge Ltd</t>
        </is>
      </c>
      <c r="F95" s="31" t="inlineStr">
        <is>
          <t>Castings, Forgings &amp; Fastners</t>
        </is>
      </c>
      <c r="G95" s="31" t="n">
        <v>2</v>
      </c>
      <c r="H95" s="31" t="inlineStr">
        <is>
          <t>52W Breakout</t>
        </is>
      </c>
      <c r="I95" s="31" t="inlineStr">
        <is>
          <t>Yes</t>
        </is>
      </c>
      <c r="J95" s="31" t="n">
        <v>2</v>
      </c>
      <c r="K95" s="31" t="n">
        <v>23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AJANTPHARM</t>
        </is>
      </c>
      <c r="E96" s="31" t="inlineStr">
        <is>
          <t>Ajanta Pharma Limited</t>
        </is>
      </c>
      <c r="F96" s="31" t="inlineStr">
        <is>
          <t>Pharma - Formulators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12</v>
      </c>
      <c r="K96" s="31" t="n">
        <v>13</v>
      </c>
    </row>
  </sheetData>
  <autoFilter ref="A1:K96"/>
  <conditionalFormatting sqref="G2:G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6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IF(B2=0,"",RANK(B2,$B$2:$B$354,0))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507.47</v>
      </c>
      <c r="I2" s="32" t="n">
        <v>557</v>
      </c>
      <c r="J2" s="32" t="n">
        <v>15.25</v>
      </c>
      <c r="K2" s="32" t="n">
        <v>242333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68.88</v>
      </c>
      <c r="P2" s="32" t="n">
        <v>50.58</v>
      </c>
      <c r="Q2" s="32" t="n">
        <v>389.97</v>
      </c>
      <c r="R2" s="31" t="inlineStr">
        <is>
          <t>Near 52W High Breakout</t>
        </is>
      </c>
      <c r="S2" s="31" t="inlineStr">
        <is>
          <t>Nifty FMCG</t>
        </is>
      </c>
      <c r="T2" s="32" t="n">
        <v>-10.38</v>
      </c>
      <c r="U2" s="32" t="n">
        <v>85.45999999999999</v>
      </c>
      <c r="V2" s="32" t="n">
        <v>106.93</v>
      </c>
      <c r="W2" s="32" t="n">
        <v>30.68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IF(B3=0,"",RANK(B3,$B$2:$B$354,0))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RPEL</t>
        </is>
      </c>
      <c r="D3" s="31" t="inlineStr">
        <is>
          <t>Raghav Productivity Enhancers Ltd</t>
        </is>
      </c>
      <c r="E3" s="31" t="inlineStr">
        <is>
          <t>building materials</t>
        </is>
      </c>
      <c r="F3" s="31" t="inlineStr">
        <is>
          <t>refractories / intermediates</t>
        </is>
      </c>
      <c r="G3" s="31" t="inlineStr">
        <is>
          <t>midcap</t>
        </is>
      </c>
      <c r="H3" s="32" t="n">
        <v>5892.25</v>
      </c>
      <c r="I3" s="32" t="n">
        <v>1264.3</v>
      </c>
      <c r="J3" s="32" t="n">
        <v>-1.47</v>
      </c>
      <c r="K3" s="32" t="n">
        <v>39585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73.88</v>
      </c>
      <c r="P3" s="32" t="n">
        <v>43.22</v>
      </c>
      <c r="Q3" s="32" t="n">
        <v>1028.33</v>
      </c>
      <c r="R3" s="31" t="inlineStr">
        <is>
          <t>Near 52W High Breakout</t>
        </is>
      </c>
      <c r="S3" s="31" t="inlineStr">
        <is>
          <t>Nifty Infra</t>
        </is>
      </c>
      <c r="T3" s="32" t="n">
        <v>4.24</v>
      </c>
      <c r="U3" s="32" t="n">
        <v>92.2</v>
      </c>
      <c r="V3" s="32" t="n">
        <v>84.39</v>
      </c>
      <c r="W3" s="32" t="n">
        <v>35.37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IF(B4=0,"",RANK(B4,$B$2:$B$354,0))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MENONBE</t>
        </is>
      </c>
      <c r="D4" s="31" t="inlineStr">
        <is>
          <t>Menon Bearings Limited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1174.88</v>
      </c>
      <c r="I4" s="32" t="n">
        <v>220.13</v>
      </c>
      <c r="J4" s="32" t="n">
        <v>5</v>
      </c>
      <c r="K4" s="32" t="n">
        <v>305801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77.68000000000001</v>
      </c>
      <c r="P4" s="32" t="n">
        <v>45.45</v>
      </c>
      <c r="Q4" s="32" t="n">
        <v>168.3</v>
      </c>
      <c r="R4" s="31" t="inlineStr">
        <is>
          <t>Near 52W High Breakout</t>
        </is>
      </c>
      <c r="S4" s="31" t="inlineStr">
        <is>
          <t>Nifty Auto</t>
        </is>
      </c>
      <c r="T4" s="32" t="n">
        <v>14.71</v>
      </c>
      <c r="U4" s="32" t="n">
        <v>71.63</v>
      </c>
      <c r="V4" s="32" t="n">
        <v>49.62</v>
      </c>
      <c r="W4" s="32" t="n">
        <v>32.64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IF(B5=0,"",RANK(B5,$B$2:$B$354,0))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CONFIPET</t>
        </is>
      </c>
      <c r="D5" s="31" t="inlineStr">
        <is>
          <t>Confidence Petroleum India Ltd</t>
        </is>
      </c>
      <c r="E5" s="31" t="inlineStr">
        <is>
          <t>miscellaneous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2546.96</v>
      </c>
      <c r="I5" s="32" t="n">
        <v>75.65000000000001</v>
      </c>
      <c r="J5" s="32" t="n">
        <v>-1.32</v>
      </c>
      <c r="K5" s="32" t="n">
        <v>1574779</v>
      </c>
      <c r="L5" s="31" t="n">
        <v>80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69.12</v>
      </c>
      <c r="P5" s="32" t="n">
        <v>65.41</v>
      </c>
      <c r="Q5" s="32" t="n">
        <v>53.22</v>
      </c>
      <c r="R5" s="31" t="inlineStr">
        <is>
          <t>Near 52W High Breakout</t>
        </is>
      </c>
      <c r="S5" s="31" t="inlineStr">
        <is>
          <t>Nifty Energy</t>
        </is>
      </c>
      <c r="T5" s="32" t="n">
        <v>12.3</v>
      </c>
      <c r="U5" s="32" t="n">
        <v>45.23</v>
      </c>
      <c r="V5" s="32" t="n">
        <v>29.32</v>
      </c>
      <c r="W5" s="32" t="n">
        <v>20.82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IF(B6=0,"",RANK(B6,$B$2:$B$354,0))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IBULLSLTD</t>
        </is>
      </c>
      <c r="D6" s="31" t="inlineStr">
        <is>
          <t>Indiabulls Limited</t>
        </is>
      </c>
      <c r="E6" s="31" t="inlineStr">
        <is>
          <t>miscellaneous</t>
        </is>
      </c>
      <c r="F6" s="31" t="inlineStr">
        <is>
          <t>diversified - medium / small</t>
        </is>
      </c>
      <c r="G6" s="31" t="inlineStr">
        <is>
          <t>midcap</t>
        </is>
      </c>
      <c r="H6" s="32" t="n">
        <v>6846.53</v>
      </c>
      <c r="I6" s="32" t="n">
        <v>28.96</v>
      </c>
      <c r="J6" s="32" t="n">
        <v>-1.46</v>
      </c>
      <c r="K6" s="32" t="n">
        <v>2022400</v>
      </c>
      <c r="L6" s="31" t="n">
        <v>95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75.58</v>
      </c>
      <c r="P6" s="32" t="n">
        <v>46.52</v>
      </c>
      <c r="Q6" s="32" t="n">
        <v>21.71</v>
      </c>
      <c r="R6" s="31" t="inlineStr">
        <is>
          <t>Near 52W High Breakout</t>
        </is>
      </c>
      <c r="S6" s="31" t="inlineStr">
        <is>
          <t>Nifty 50</t>
        </is>
      </c>
      <c r="T6" s="32" t="n">
        <v>-2.61</v>
      </c>
      <c r="U6" s="32" t="n">
        <v>87.08</v>
      </c>
      <c r="V6" s="32" t="n">
        <v>92.09999999999999</v>
      </c>
      <c r="W6" s="32" t="n">
        <v>35.38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IF(B7=0,"",RANK(B7,$B$2:$B$354,0))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E2E</t>
        </is>
      </c>
      <c r="D7" s="31" t="inlineStr">
        <is>
          <t>E2E Networks Ltd</t>
        </is>
      </c>
      <c r="E7" s="31" t="inlineStr">
        <is>
          <t>i.t</t>
        </is>
      </c>
      <c r="F7" s="31" t="inlineStr">
        <is>
          <t>computers - software - medium / small</t>
        </is>
      </c>
      <c r="G7" s="31" t="inlineStr">
        <is>
          <t>midcap</t>
        </is>
      </c>
      <c r="H7" s="32" t="n">
        <v>8739.59</v>
      </c>
      <c r="I7" s="32" t="n">
        <v>446.4</v>
      </c>
      <c r="J7" s="32" t="n">
        <v>5</v>
      </c>
      <c r="K7" s="32" t="n">
        <v>2758582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65.69</v>
      </c>
      <c r="P7" s="32" t="n">
        <v>42.68</v>
      </c>
      <c r="Q7" s="32" t="n">
        <v>314.35</v>
      </c>
      <c r="R7" s="31" t="inlineStr">
        <is>
          <t>Near 52W High Breakout</t>
        </is>
      </c>
      <c r="S7" s="31" t="inlineStr">
        <is>
          <t>Nifty IT</t>
        </is>
      </c>
      <c r="T7" s="32" t="n">
        <v>-18.64</v>
      </c>
      <c r="U7" s="32" t="n">
        <v>108.64</v>
      </c>
      <c r="V7" s="32" t="n">
        <v>156.43</v>
      </c>
      <c r="W7" s="32" t="n">
        <v>32.02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Less than 12%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IF(B8=0,"",RANK(B8,$B$2:$B$354,0))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INDIAGLYCO</t>
        </is>
      </c>
      <c r="D8" s="31" t="inlineStr">
        <is>
          <t>India Glycols Limited</t>
        </is>
      </c>
      <c r="E8" s="31" t="inlineStr">
        <is>
          <t>fmcg</t>
        </is>
      </c>
      <c r="F8" s="31" t="inlineStr">
        <is>
          <t>breweries &amp; distilleries</t>
        </is>
      </c>
      <c r="G8" s="31" t="inlineStr">
        <is>
          <t>midcap</t>
        </is>
      </c>
      <c r="H8" s="32" t="n">
        <v>7662.5</v>
      </c>
      <c r="I8" s="32" t="n">
        <v>1153.95</v>
      </c>
      <c r="J8" s="32" t="n">
        <v>0.9399999999999999</v>
      </c>
      <c r="K8" s="32" t="n">
        <v>116335</v>
      </c>
      <c r="L8" s="31" t="n">
        <v>55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64.65000000000001</v>
      </c>
      <c r="P8" s="32" t="n">
        <v>23.89</v>
      </c>
      <c r="Q8" s="32" t="n">
        <v>910.91</v>
      </c>
      <c r="R8" s="31" t="inlineStr">
        <is>
          <t>Near 52W High Breakout</t>
        </is>
      </c>
      <c r="S8" s="31" t="inlineStr">
        <is>
          <t>Nifty FMCG</t>
        </is>
      </c>
      <c r="T8" s="32" t="n">
        <v>-10.38</v>
      </c>
      <c r="U8" s="32" t="n">
        <v>35.56</v>
      </c>
      <c r="V8" s="32" t="n">
        <v>51.25</v>
      </c>
      <c r="W8" s="32" t="n">
        <v>11.12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IF(B9=0,"",RANK(B9,$B$2:$B$354,0))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TINNARUBR</t>
        </is>
      </c>
      <c r="D9" s="31" t="inlineStr">
        <is>
          <t>Tinna Rubber &amp; Infrastructure Ltd</t>
        </is>
      </c>
      <c r="E9" s="31" t="inlineStr">
        <is>
          <t>fmcg</t>
        </is>
      </c>
      <c r="F9" s="31" t="inlineStr">
        <is>
          <t>miscellaneous</t>
        </is>
      </c>
      <c r="G9" s="31" t="inlineStr">
        <is>
          <t>smallcap</t>
        </is>
      </c>
      <c r="H9" s="32" t="n">
        <v>2143.69</v>
      </c>
      <c r="I9" s="32" t="n">
        <v>1148.9</v>
      </c>
      <c r="J9" s="32" t="n">
        <v>-3.45</v>
      </c>
      <c r="K9" s="32" t="n">
        <v>2689606</v>
      </c>
      <c r="L9" s="31" t="n">
        <v>81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73.84</v>
      </c>
      <c r="P9" s="32" t="n">
        <v>31.4</v>
      </c>
      <c r="Q9" s="32" t="n">
        <v>837.05</v>
      </c>
      <c r="R9" s="31" t="inlineStr">
        <is>
          <t>Volume Spike &amp; Near 52W High Breakout</t>
        </is>
      </c>
      <c r="S9" s="31" t="inlineStr">
        <is>
          <t>Nifty FMCG</t>
        </is>
      </c>
      <c r="T9" s="32" t="n">
        <v>-10.38</v>
      </c>
      <c r="U9" s="32" t="n">
        <v>24.8</v>
      </c>
      <c r="V9" s="32" t="n">
        <v>39.25</v>
      </c>
      <c r="W9" s="32" t="n">
        <v>21.59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IF(B10=0,"",RANK(B10,$B$2:$B$354,0))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STYLAMIND</t>
        </is>
      </c>
      <c r="D10" s="31" t="inlineStr">
        <is>
          <t>Stylam Industries Ltd</t>
        </is>
      </c>
      <c r="E10" s="31" t="inlineStr">
        <is>
          <t>building materials</t>
        </is>
      </c>
      <c r="F10" s="31" t="inlineStr">
        <is>
          <t>miscellaneous</t>
        </is>
      </c>
      <c r="G10" s="31" t="inlineStr">
        <is>
          <t>midcap</t>
        </is>
      </c>
      <c r="H10" s="32" t="n">
        <v>5786.58</v>
      </c>
      <c r="I10" s="32" t="n">
        <v>3510.7</v>
      </c>
      <c r="J10" s="32" t="n">
        <v>2.82</v>
      </c>
      <c r="K10" s="32" t="n">
        <v>64273</v>
      </c>
      <c r="L10" s="31" t="n">
        <v>88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85.23</v>
      </c>
      <c r="P10" s="32" t="n">
        <v>68.23</v>
      </c>
      <c r="Q10" s="32" t="n">
        <v>2939.48</v>
      </c>
      <c r="R10" s="31" t="inlineStr">
        <is>
          <t>Near 52W High Breakout</t>
        </is>
      </c>
      <c r="S10" s="31" t="inlineStr">
        <is>
          <t>Nifty Infra</t>
        </is>
      </c>
      <c r="T10" s="32" t="n">
        <v>4.24</v>
      </c>
      <c r="U10" s="32" t="n">
        <v>86.64</v>
      </c>
      <c r="V10" s="32" t="n">
        <v>79.06</v>
      </c>
      <c r="W10" s="32" t="n">
        <v>26.48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IF(B11=0,"",RANK(B11,$B$2:$B$354,0))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PRECOT</t>
        </is>
      </c>
      <c r="D11" s="31" t="inlineStr">
        <is>
          <t>Precot Meridian Limited</t>
        </is>
      </c>
      <c r="E11" s="31" t="inlineStr">
        <is>
          <t>textiles</t>
        </is>
      </c>
      <c r="F11" s="31" t="inlineStr">
        <is>
          <t>textiles - cotton/blended</t>
        </is>
      </c>
      <c r="G11" s="31" t="inlineStr">
        <is>
          <t>smallcap</t>
        </is>
      </c>
      <c r="H11" s="32" t="n">
        <v>997.02</v>
      </c>
      <c r="I11" s="32" t="n">
        <v>854</v>
      </c>
      <c r="J11" s="32" t="n">
        <v>2.79</v>
      </c>
      <c r="K11" s="32" t="n">
        <v>11760</v>
      </c>
      <c r="L11" s="31" t="n">
        <v>87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72.04000000000001</v>
      </c>
      <c r="P11" s="32" t="n">
        <v>44.71</v>
      </c>
      <c r="Q11" s="32" t="n">
        <v>618.5599999999999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-2.61</v>
      </c>
      <c r="U11" s="32" t="n">
        <v>42.96</v>
      </c>
      <c r="V11" s="32" t="n">
        <v>46.8</v>
      </c>
      <c r="W11" s="32" t="n">
        <v>25.92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IF(B12=0,"",RANK(B12,$B$2:$B$354,0))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PREMIERPOL</t>
        </is>
      </c>
      <c r="D12" s="31" t="inlineStr">
        <is>
          <t>Premier Polyfilm Limited</t>
        </is>
      </c>
      <c r="E12" s="31" t="inlineStr">
        <is>
          <t>plastic products</t>
        </is>
      </c>
      <c r="F12" s="31" t="inlineStr">
        <is>
          <t>plastics products</t>
        </is>
      </c>
      <c r="G12" s="31" t="inlineStr">
        <is>
          <t>smallcap</t>
        </is>
      </c>
      <c r="H12" s="32" t="n">
        <v>774.99</v>
      </c>
      <c r="I12" s="32" t="n">
        <v>72.06999999999999</v>
      </c>
      <c r="J12" s="32" t="n">
        <v>-2.59</v>
      </c>
      <c r="K12" s="32" t="n">
        <v>274796</v>
      </c>
      <c r="L12" s="31" t="n">
        <v>69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65.2</v>
      </c>
      <c r="P12" s="32" t="n">
        <v>46.31</v>
      </c>
      <c r="Q12" s="32" t="n">
        <v>49.76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-2.61</v>
      </c>
      <c r="U12" s="32" t="n">
        <v>40.47</v>
      </c>
      <c r="V12" s="32" t="n">
        <v>44.24</v>
      </c>
      <c r="W12" s="32" t="n">
        <v>15.25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IF(B13=0,"",RANK(B13,$B$2:$B$354,0))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largecap</t>
        </is>
      </c>
      <c r="H13" s="32" t="n">
        <v>48574.89</v>
      </c>
      <c r="I13" s="32" t="n">
        <v>1313.5</v>
      </c>
      <c r="J13" s="32" t="n">
        <v>-5.09</v>
      </c>
      <c r="K13" s="32" t="n">
        <v>1593955</v>
      </c>
      <c r="L13" s="31" t="n">
        <v>94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76.56999999999999</v>
      </c>
      <c r="P13" s="32" t="n">
        <v>43.99</v>
      </c>
      <c r="Q13" s="32" t="n">
        <v>1016.19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-2.61</v>
      </c>
      <c r="U13" s="32" t="n">
        <v>79.37</v>
      </c>
      <c r="V13" s="32" t="n">
        <v>84.18000000000001</v>
      </c>
      <c r="W13" s="32" t="n">
        <v>33.77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IF(B14=0,"",RANK(B14,$B$2:$B$354,0))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EMCURE</t>
        </is>
      </c>
      <c r="D14" s="31" t="inlineStr">
        <is>
          <t>Emcure Pharmaceuticals Ltd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largecap</t>
        </is>
      </c>
      <c r="H14" s="32" t="n">
        <v>35286.41</v>
      </c>
      <c r="I14" s="32" t="n">
        <v>1939.8</v>
      </c>
      <c r="J14" s="32" t="n">
        <v>4.22</v>
      </c>
      <c r="K14" s="32" t="n">
        <v>215541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68.56</v>
      </c>
      <c r="P14" s="32" t="n">
        <v>56.56</v>
      </c>
      <c r="Q14" s="32" t="n">
        <v>1542.67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15.14</v>
      </c>
      <c r="U14" s="32" t="n">
        <v>36.99</v>
      </c>
      <c r="V14" s="32" t="n">
        <v>18.98</v>
      </c>
      <c r="W14" s="32" t="n">
        <v>10.29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IF(B15=0,"",RANK(B15,$B$2:$B$354,0))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GLAND</t>
        </is>
      </c>
      <c r="D15" s="31" t="inlineStr">
        <is>
          <t>Gland Pharma Ltd</t>
        </is>
      </c>
      <c r="E15" s="31" t="inlineStr">
        <is>
          <t>healthcare</t>
        </is>
      </c>
      <c r="F15" s="31" t="inlineStr">
        <is>
          <t>pharmaceuticals - indian - formulations</t>
        </is>
      </c>
      <c r="G15" s="31" t="inlineStr">
        <is>
          <t>largecap</t>
        </is>
      </c>
      <c r="H15" s="32" t="n">
        <v>40515.25</v>
      </c>
      <c r="I15" s="32" t="n">
        <v>2482.4</v>
      </c>
      <c r="J15" s="32" t="n">
        <v>0.95</v>
      </c>
      <c r="K15" s="32" t="n">
        <v>210888</v>
      </c>
      <c r="L15" s="31" t="n">
        <v>68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71.41</v>
      </c>
      <c r="P15" s="32" t="n">
        <v>51.92</v>
      </c>
      <c r="Q15" s="32" t="n">
        <v>2022.63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15.14</v>
      </c>
      <c r="U15" s="32" t="n">
        <v>24.14</v>
      </c>
      <c r="V15" s="32" t="n">
        <v>7.82</v>
      </c>
      <c r="W15" s="32" t="n">
        <v>15.07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IF(B16=0,"",RANK(B16,$B$2:$B$354,0))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SUVEN</t>
        </is>
      </c>
      <c r="D16" s="31" t="inlineStr">
        <is>
          <t>Suven Life Sciences Limited</t>
        </is>
      </c>
      <c r="E16" s="31" t="inlineStr">
        <is>
          <t>healthcare</t>
        </is>
      </c>
      <c r="F16" s="31" t="inlineStr">
        <is>
          <t>miscellaneous</t>
        </is>
      </c>
      <c r="G16" s="31" t="inlineStr">
        <is>
          <t>midcap</t>
        </is>
      </c>
      <c r="H16" s="32" t="n">
        <v>8936.15</v>
      </c>
      <c r="I16" s="32" t="n">
        <v>340.45</v>
      </c>
      <c r="J16" s="32" t="n">
        <v>0.58</v>
      </c>
      <c r="K16" s="32" t="n">
        <v>519721</v>
      </c>
      <c r="L16" s="31" t="n">
        <v>86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69.97</v>
      </c>
      <c r="P16" s="32" t="n">
        <v>47.46</v>
      </c>
      <c r="Q16" s="32" t="n">
        <v>256.18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15.14</v>
      </c>
      <c r="U16" s="32" t="n">
        <v>21.09</v>
      </c>
      <c r="V16" s="32" t="n">
        <v>5.17</v>
      </c>
      <c r="W16" s="32" t="n">
        <v>25.17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IF(B17=0,"",RANK(B17,$B$2:$B$354,0))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ACUTAAS</t>
        </is>
      </c>
      <c r="D17" s="31" t="inlineStr">
        <is>
          <t>Acutaas Chemicals Ltd</t>
        </is>
      </c>
      <c r="E17" s="31" t="inlineStr">
        <is>
          <t>healthcare</t>
        </is>
      </c>
      <c r="F17" s="31" t="inlineStr">
        <is>
          <t>pharmaceuticals - indian - bulk drugs</t>
        </is>
      </c>
      <c r="G17" s="31" t="inlineStr">
        <is>
          <t>largecap</t>
        </is>
      </c>
      <c r="H17" s="32" t="n">
        <v>29933.72</v>
      </c>
      <c r="I17" s="32" t="n">
        <v>3677</v>
      </c>
      <c r="J17" s="32" t="n">
        <v>0.57</v>
      </c>
      <c r="K17" s="32" t="n">
        <v>179935</v>
      </c>
      <c r="L17" s="31" t="n">
        <v>96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72.28</v>
      </c>
      <c r="P17" s="32" t="n">
        <v>69.86</v>
      </c>
      <c r="Q17" s="32" t="n">
        <v>2911.28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15.14</v>
      </c>
      <c r="U17" s="32" t="n">
        <v>217.59</v>
      </c>
      <c r="V17" s="32" t="n">
        <v>175.84</v>
      </c>
      <c r="W17" s="32" t="n">
        <v>39.1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IF(B18=0,"",RANK(B18,$B$2:$B$354,0))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TIPSMUSIC</t>
        </is>
      </c>
      <c r="D18" s="31" t="inlineStr">
        <is>
          <t>Tips Music Ltd</t>
        </is>
      </c>
      <c r="E18" s="31" t="inlineStr">
        <is>
          <t>media</t>
        </is>
      </c>
      <c r="F18" s="31" t="inlineStr">
        <is>
          <t>entertainment / electronic media software</t>
        </is>
      </c>
      <c r="G18" s="31" t="inlineStr">
        <is>
          <t>midcap</t>
        </is>
      </c>
      <c r="H18" s="32" t="n">
        <v>9083.07</v>
      </c>
      <c r="I18" s="32" t="n">
        <v>712.2</v>
      </c>
      <c r="J18" s="32" t="n">
        <v>0.23</v>
      </c>
      <c r="K18" s="32" t="n">
        <v>365669</v>
      </c>
      <c r="L18" s="31" t="n">
        <v>30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62.29</v>
      </c>
      <c r="P18" s="32" t="n">
        <v>42.77</v>
      </c>
      <c r="Q18" s="32" t="n">
        <v>546.04</v>
      </c>
      <c r="R18" s="31" t="inlineStr">
        <is>
          <t>Volume Spike &amp; Near 52W High Breakout</t>
        </is>
      </c>
      <c r="S18" s="31" t="inlineStr">
        <is>
          <t>Nifty IT</t>
        </is>
      </c>
      <c r="T18" s="32" t="n">
        <v>-18.64</v>
      </c>
      <c r="U18" s="32" t="n">
        <v>19.86</v>
      </c>
      <c r="V18" s="32" t="n">
        <v>47.31</v>
      </c>
      <c r="W18" s="32" t="n">
        <v>5.85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IF(B19=0,"",RANK(B19,$B$2:$B$354,0))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RAMCOSYS</t>
        </is>
      </c>
      <c r="D19" s="31" t="inlineStr">
        <is>
          <t>Ramco Systems Limited</t>
        </is>
      </c>
      <c r="E19" s="31" t="inlineStr">
        <is>
          <t>i.t</t>
        </is>
      </c>
      <c r="F19" s="31" t="inlineStr">
        <is>
          <t>computers - software - medium / small</t>
        </is>
      </c>
      <c r="G19" s="31" t="inlineStr">
        <is>
          <t>smallcap</t>
        </is>
      </c>
      <c r="H19" s="32" t="n">
        <v>3020.25</v>
      </c>
      <c r="I19" s="32" t="n">
        <v>796.4</v>
      </c>
      <c r="J19" s="32" t="n">
        <v>-0.9</v>
      </c>
      <c r="K19" s="32" t="n">
        <v>444194</v>
      </c>
      <c r="L19" s="31" t="n">
        <v>96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74.06</v>
      </c>
      <c r="P19" s="32" t="n">
        <v>30.71</v>
      </c>
      <c r="Q19" s="32" t="n">
        <v>556.87</v>
      </c>
      <c r="R19" s="31" t="inlineStr">
        <is>
          <t>Near 52W High Breakout</t>
        </is>
      </c>
      <c r="S19" s="31" t="inlineStr">
        <is>
          <t>Nifty IT</t>
        </is>
      </c>
      <c r="T19" s="32" t="n">
        <v>-18.64</v>
      </c>
      <c r="U19" s="32" t="n">
        <v>101.26</v>
      </c>
      <c r="V19" s="32" t="n">
        <v>147.37</v>
      </c>
      <c r="W19" s="32" t="n">
        <v>39.93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IF(B20=0,"",RANK(B20,$B$2:$B$354,0))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RADICO</t>
        </is>
      </c>
      <c r="D20" s="31" t="inlineStr">
        <is>
          <t>Radico Khaitan Limited</t>
        </is>
      </c>
      <c r="E20" s="31" t="inlineStr">
        <is>
          <t>fmcg</t>
        </is>
      </c>
      <c r="F20" s="31" t="inlineStr">
        <is>
          <t>breweries &amp; distilleries</t>
        </is>
      </c>
      <c r="G20" s="31" t="inlineStr">
        <is>
          <t>largecap</t>
        </is>
      </c>
      <c r="H20" s="32" t="n">
        <v>55345.79</v>
      </c>
      <c r="I20" s="32" t="n">
        <v>4088.4</v>
      </c>
      <c r="J20" s="32" t="n">
        <v>-1.06</v>
      </c>
      <c r="K20" s="32" t="n">
        <v>221185</v>
      </c>
      <c r="L20" s="31" t="n">
        <v>68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79.29000000000001</v>
      </c>
      <c r="P20" s="32" t="n">
        <v>55.17</v>
      </c>
      <c r="Q20" s="32" t="n">
        <v>3482.63</v>
      </c>
      <c r="R20" s="31" t="inlineStr">
        <is>
          <t>Near 52W High Breakout</t>
        </is>
      </c>
      <c r="S20" s="31" t="inlineStr">
        <is>
          <t>Nifty FMCG</t>
        </is>
      </c>
      <c r="T20" s="32" t="n">
        <v>-10.38</v>
      </c>
      <c r="U20" s="32" t="n">
        <v>51.3</v>
      </c>
      <c r="V20" s="32" t="n">
        <v>68.81999999999999</v>
      </c>
      <c r="W20" s="32" t="n">
        <v>15.06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IF(B21=0,"",RANK(B21,$B$2:$B$354,0))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SKMEGGPROD</t>
        </is>
      </c>
      <c r="D21" s="31" t="inlineStr">
        <is>
          <t>Skm Egg Products Export (india) Limited</t>
        </is>
      </c>
      <c r="E21" s="31" t="inlineStr">
        <is>
          <t>fmcg</t>
        </is>
      </c>
      <c r="F21" s="31" t="inlineStr">
        <is>
          <t>food - processing - indian</t>
        </is>
      </c>
      <c r="G21" s="31" t="inlineStr">
        <is>
          <t>smallcap</t>
        </is>
      </c>
      <c r="H21" s="32" t="n">
        <v>1681.7</v>
      </c>
      <c r="I21" s="32" t="n">
        <v>313.7</v>
      </c>
      <c r="J21" s="32" t="n">
        <v>-1.77</v>
      </c>
      <c r="K21" s="32" t="n">
        <v>381597</v>
      </c>
      <c r="L21" s="31" t="n">
        <v>95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76.73999999999999</v>
      </c>
      <c r="P21" s="32" t="n">
        <v>44.65</v>
      </c>
      <c r="Q21" s="32" t="n">
        <v>230.88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-10.38</v>
      </c>
      <c r="U21" s="32" t="n">
        <v>108.37</v>
      </c>
      <c r="V21" s="32" t="n">
        <v>132.49</v>
      </c>
      <c r="W21" s="32" t="n">
        <v>36.63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IF(B22=0,"",RANK(B22,$B$2:$B$354,0))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SAKAR</t>
        </is>
      </c>
      <c r="D22" s="31" t="inlineStr">
        <is>
          <t>Sakar Healthcare Ltd</t>
        </is>
      </c>
      <c r="E22" s="31" t="inlineStr">
        <is>
          <t>healthcare</t>
        </is>
      </c>
      <c r="F22" s="31" t="inlineStr">
        <is>
          <t>pharmaceuticals - indian - bulk drugs &amp; formln</t>
        </is>
      </c>
      <c r="G22" s="31" t="inlineStr">
        <is>
          <t>smallcap</t>
        </is>
      </c>
      <c r="H22" s="32" t="n">
        <v>1999.82</v>
      </c>
      <c r="I22" s="32" t="n">
        <v>878.75</v>
      </c>
      <c r="J22" s="32" t="n">
        <v>-2.23</v>
      </c>
      <c r="K22" s="32" t="n">
        <v>67314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75.06</v>
      </c>
      <c r="P22" s="32" t="n">
        <v>56.59</v>
      </c>
      <c r="Q22" s="32" t="n">
        <v>627.3099999999999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15.14</v>
      </c>
      <c r="U22" s="32" t="n">
        <v>142.31</v>
      </c>
      <c r="V22" s="32" t="n">
        <v>110.46</v>
      </c>
      <c r="W22" s="32" t="n">
        <v>29.72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IF(B23=0,"",RANK(B23,$B$2:$B$354,0))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AURUM</t>
        </is>
      </c>
      <c r="D23" s="31" t="inlineStr">
        <is>
          <t>Aurum Proptech Ltd</t>
        </is>
      </c>
      <c r="E23" s="31" t="inlineStr">
        <is>
          <t>i.t</t>
        </is>
      </c>
      <c r="F23" s="31" t="inlineStr">
        <is>
          <t>computers - software - medium / small</t>
        </is>
      </c>
      <c r="G23" s="31" t="inlineStr">
        <is>
          <t>smallcap</t>
        </is>
      </c>
      <c r="H23" s="32" t="n">
        <v>1799.94</v>
      </c>
      <c r="I23" s="32" t="n">
        <v>228.33</v>
      </c>
      <c r="J23" s="32" t="n">
        <v>-2.76</v>
      </c>
      <c r="K23" s="32" t="n">
        <v>308844</v>
      </c>
      <c r="L23" s="31" t="n">
        <v>46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66.06</v>
      </c>
      <c r="P23" s="32" t="n">
        <v>41.42</v>
      </c>
      <c r="Q23" s="32" t="n">
        <v>185.15</v>
      </c>
      <c r="R23" s="31" t="inlineStr">
        <is>
          <t>Volume Spike &amp; Near 52W High Breakout</t>
        </is>
      </c>
      <c r="S23" s="31" t="inlineStr">
        <is>
          <t>Nifty IT</t>
        </is>
      </c>
      <c r="T23" s="32" t="n">
        <v>-18.64</v>
      </c>
      <c r="U23" s="32" t="n">
        <v>16.57</v>
      </c>
      <c r="V23" s="32" t="n">
        <v>43.27</v>
      </c>
      <c r="W23" s="32" t="n">
        <v>9.08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IF(B24=0,"",RANK(B24,$B$2:$B$354,0))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KANORICHEM</t>
        </is>
      </c>
      <c r="D24" s="31" t="inlineStr">
        <is>
          <t>Kanoria Chemicals &amp; Industries Limited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smallcap</t>
        </is>
      </c>
      <c r="H24" s="32" t="n">
        <v>639.41</v>
      </c>
      <c r="I24" s="32" t="n">
        <v>153.64</v>
      </c>
      <c r="J24" s="32" t="n">
        <v>4.99</v>
      </c>
      <c r="K24" s="32" t="n">
        <v>85352</v>
      </c>
      <c r="L24" s="31" t="n">
        <v>94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80.69</v>
      </c>
      <c r="P24" s="32" t="n">
        <v>52.74</v>
      </c>
      <c r="Q24" s="32" t="n">
        <v>115.18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-2.61</v>
      </c>
      <c r="U24" s="32" t="n">
        <v>71.34</v>
      </c>
      <c r="V24" s="32" t="n">
        <v>75.94</v>
      </c>
      <c r="W24" s="32" t="n">
        <v>34.55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IF(B25=0,"",RANK(B25,$B$2:$B$354,0))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SJS</t>
        </is>
      </c>
      <c r="D25" s="31" t="inlineStr">
        <is>
          <t>S J S Enterprises Ltd</t>
        </is>
      </c>
      <c r="E25" s="31" t="inlineStr">
        <is>
          <t>auto</t>
        </is>
      </c>
      <c r="F25" s="31" t="inlineStr">
        <is>
          <t>plastics products</t>
        </is>
      </c>
      <c r="G25" s="31" t="inlineStr">
        <is>
          <t>midcap</t>
        </is>
      </c>
      <c r="H25" s="32" t="n">
        <v>6957.06</v>
      </c>
      <c r="I25" s="32" t="n">
        <v>2225.6</v>
      </c>
      <c r="J25" s="32" t="n">
        <v>2.36</v>
      </c>
      <c r="K25" s="32" t="n">
        <v>73598</v>
      </c>
      <c r="L25" s="31" t="n">
        <v>80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65.47</v>
      </c>
      <c r="P25" s="32" t="n">
        <v>35.49</v>
      </c>
      <c r="Q25" s="32" t="n">
        <v>1785.11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14.71</v>
      </c>
      <c r="U25" s="32" t="n">
        <v>78.42</v>
      </c>
      <c r="V25" s="32" t="n">
        <v>55.54</v>
      </c>
      <c r="W25" s="32" t="n">
        <v>20.71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IF(B26=0,"",RANK(B26,$B$2:$B$354,0))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UNIPARTS</t>
        </is>
      </c>
      <c r="D26" s="31" t="inlineStr">
        <is>
          <t>Uniparts India Ltd</t>
        </is>
      </c>
      <c r="E26" s="31" t="inlineStr">
        <is>
          <t>industrials</t>
        </is>
      </c>
      <c r="F26" s="31" t="inlineStr">
        <is>
          <t>engineering</t>
        </is>
      </c>
      <c r="G26" s="31" t="inlineStr">
        <is>
          <t>smallcap</t>
        </is>
      </c>
      <c r="H26" s="32" t="n">
        <v>3121.42</v>
      </c>
      <c r="I26" s="32" t="n">
        <v>690.35</v>
      </c>
      <c r="J26" s="32" t="n">
        <v>-0.16</v>
      </c>
      <c r="K26" s="32" t="n">
        <v>51475</v>
      </c>
      <c r="L26" s="31" t="n">
        <v>85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69.70999999999999</v>
      </c>
      <c r="P26" s="32" t="n">
        <v>55.4</v>
      </c>
      <c r="Q26" s="32" t="n">
        <v>557.22</v>
      </c>
      <c r="R26" s="31" t="inlineStr">
        <is>
          <t>Near 52W High Breakout</t>
        </is>
      </c>
      <c r="S26" s="31" t="inlineStr">
        <is>
          <t>Nifty 50</t>
        </is>
      </c>
      <c r="T26" s="32" t="n">
        <v>-2.61</v>
      </c>
      <c r="U26" s="32" t="n">
        <v>101.41</v>
      </c>
      <c r="V26" s="32" t="n">
        <v>106.81</v>
      </c>
      <c r="W26" s="32" t="n">
        <v>24.15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IF(B27=0,"",RANK(B27,$B$2:$B$354,0))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RISHABH</t>
        </is>
      </c>
      <c r="D27" s="31" t="inlineStr">
        <is>
          <t>Rishabh Instruments Ltd</t>
        </is>
      </c>
      <c r="E27" s="31" t="inlineStr">
        <is>
          <t>industrials</t>
        </is>
      </c>
      <c r="F27" s="31" t="inlineStr">
        <is>
          <t>electric equipment</t>
        </is>
      </c>
      <c r="G27" s="31" t="inlineStr">
        <is>
          <t>smallcap</t>
        </is>
      </c>
      <c r="H27" s="32" t="n">
        <v>2533.05</v>
      </c>
      <c r="I27" s="32" t="n">
        <v>652.6</v>
      </c>
      <c r="J27" s="32" t="n">
        <v>-0.6899999999999999</v>
      </c>
      <c r="K27" s="32" t="n">
        <v>133106</v>
      </c>
      <c r="L27" s="31" t="n">
        <v>89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71.16</v>
      </c>
      <c r="P27" s="32" t="n">
        <v>43.18</v>
      </c>
      <c r="Q27" s="32" t="n">
        <v>490.24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4.24</v>
      </c>
      <c r="U27" s="32" t="n">
        <v>129.02</v>
      </c>
      <c r="V27" s="32" t="n">
        <v>119.72</v>
      </c>
      <c r="W27" s="32" t="n">
        <v>26.97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IF(B28=0,"",RANK(B28,$B$2:$B$354,0))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TALBROAUTO</t>
        </is>
      </c>
      <c r="D28" s="31" t="inlineStr">
        <is>
          <t>Talbros Automotive Components Limited</t>
        </is>
      </c>
      <c r="E28" s="31" t="inlineStr">
        <is>
          <t>auto</t>
        </is>
      </c>
      <c r="F28" s="31" t="inlineStr">
        <is>
          <t>auto ancillaries</t>
        </is>
      </c>
      <c r="G28" s="31" t="inlineStr">
        <is>
          <t>smallcap</t>
        </is>
      </c>
      <c r="H28" s="32" t="n">
        <v>2571.29</v>
      </c>
      <c r="I28" s="32" t="n">
        <v>412.35</v>
      </c>
      <c r="J28" s="32" t="n">
        <v>-1.01</v>
      </c>
      <c r="K28" s="32" t="n">
        <v>91333</v>
      </c>
      <c r="L28" s="31" t="n">
        <v>78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74.88</v>
      </c>
      <c r="P28" s="32" t="n">
        <v>40.19</v>
      </c>
      <c r="Q28" s="32" t="n">
        <v>316.28</v>
      </c>
      <c r="R28" s="31" t="inlineStr">
        <is>
          <t>Near 52W High Breakout</t>
        </is>
      </c>
      <c r="S28" s="31" t="inlineStr">
        <is>
          <t>Nifty Auto</t>
        </is>
      </c>
      <c r="T28" s="32" t="n">
        <v>14.71</v>
      </c>
      <c r="U28" s="32" t="n">
        <v>46.03</v>
      </c>
      <c r="V28" s="32" t="n">
        <v>27.3</v>
      </c>
      <c r="W28" s="32" t="n">
        <v>19.48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IF(B29=0,"",RANK(B29,$B$2:$B$354,0))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CUPID</t>
        </is>
      </c>
      <c r="D29" s="31" t="inlineStr">
        <is>
          <t>Cupid Limited</t>
        </is>
      </c>
      <c r="E29" s="31" t="inlineStr">
        <is>
          <t>fmcg</t>
        </is>
      </c>
      <c r="F29" s="31" t="inlineStr">
        <is>
          <t>personal care - indian</t>
        </is>
      </c>
      <c r="G29" s="31" t="inlineStr">
        <is>
          <t>largecap</t>
        </is>
      </c>
      <c r="H29" s="32" t="n">
        <v>27870.78</v>
      </c>
      <c r="I29" s="32" t="n">
        <v>211.25</v>
      </c>
      <c r="J29" s="32" t="n">
        <v>1.92</v>
      </c>
      <c r="K29" s="32" t="n">
        <v>25268527</v>
      </c>
      <c r="L29" s="31" t="n">
        <v>99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86.06999999999999</v>
      </c>
      <c r="P29" s="32" t="n">
        <v>65.62</v>
      </c>
      <c r="Q29" s="32" t="n">
        <v>167.52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-10.38</v>
      </c>
      <c r="U29" s="32" t="n">
        <v>614.12</v>
      </c>
      <c r="V29" s="32" t="n">
        <v>696.78</v>
      </c>
      <c r="W29" s="32" t="n">
        <v>68.77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IF(B30=0,"",RANK(B30,$B$2:$B$354,0))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CCL</t>
        </is>
      </c>
      <c r="D30" s="31" t="inlineStr">
        <is>
          <t>Ccl Products (india) Limited</t>
        </is>
      </c>
      <c r="E30" s="31" t="inlineStr">
        <is>
          <t>fmcg</t>
        </is>
      </c>
      <c r="F30" s="31" t="inlineStr">
        <is>
          <t>tea</t>
        </is>
      </c>
      <c r="G30" s="31" t="inlineStr">
        <is>
          <t>midcap</t>
        </is>
      </c>
      <c r="H30" s="32" t="n">
        <v>16038.04</v>
      </c>
      <c r="I30" s="32" t="n">
        <v>1209.9</v>
      </c>
      <c r="J30" s="32" t="n">
        <v>0.73</v>
      </c>
      <c r="K30" s="32" t="n">
        <v>52670</v>
      </c>
      <c r="L30" s="31" t="n">
        <v>49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67.94</v>
      </c>
      <c r="P30" s="32" t="n">
        <v>47.76</v>
      </c>
      <c r="Q30" s="32" t="n">
        <v>994.73</v>
      </c>
      <c r="R30" s="31" t="inlineStr">
        <is>
          <t>Near 52W High Breakout</t>
        </is>
      </c>
      <c r="S30" s="31" t="inlineStr">
        <is>
          <t>Nifty FMCG</t>
        </is>
      </c>
      <c r="T30" s="32" t="n">
        <v>-10.38</v>
      </c>
      <c r="U30" s="32" t="n">
        <v>44.53</v>
      </c>
      <c r="V30" s="32" t="n">
        <v>61.26</v>
      </c>
      <c r="W30" s="32" t="n">
        <v>9.82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IF(B31=0,"",RANK(B31,$B$2:$B$354,0))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ASTERDM</t>
        </is>
      </c>
      <c r="D31" s="31" t="inlineStr">
        <is>
          <t>Aster DM Healthcare Ltd</t>
        </is>
      </c>
      <c r="E31" s="31" t="inlineStr">
        <is>
          <t>healthcare</t>
        </is>
      </c>
      <c r="F31" s="31" t="inlineStr">
        <is>
          <t>healthcare</t>
        </is>
      </c>
      <c r="G31" s="31" t="inlineStr">
        <is>
          <t>largecap</t>
        </is>
      </c>
      <c r="H31" s="32" t="n">
        <v>42234.64</v>
      </c>
      <c r="I31" s="32" t="n">
        <v>813.45</v>
      </c>
      <c r="J31" s="32" t="n">
        <v>-0.21</v>
      </c>
      <c r="K31" s="32" t="n">
        <v>383734</v>
      </c>
      <c r="L31" s="31" t="n">
        <v>58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66.23</v>
      </c>
      <c r="P31" s="32" t="n">
        <v>49.65</v>
      </c>
      <c r="Q31" s="32" t="n">
        <v>676.96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15.14</v>
      </c>
      <c r="U31" s="32" t="n">
        <v>40.52</v>
      </c>
      <c r="V31" s="32" t="n">
        <v>22.05</v>
      </c>
      <c r="W31" s="32" t="n">
        <v>11.66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IF(B32=0,"",RANK(B32,$B$2:$B$354,0))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PGHL</t>
        </is>
      </c>
      <c r="D32" s="31" t="inlineStr">
        <is>
          <t>Procter &amp; Gamble Health Ltd</t>
        </is>
      </c>
      <c r="E32" s="31" t="inlineStr">
        <is>
          <t>healthcare</t>
        </is>
      </c>
      <c r="F32" s="31" t="inlineStr">
        <is>
          <t>pharmaceuticals - multinational</t>
        </is>
      </c>
      <c r="G32" s="31" t="inlineStr">
        <is>
          <t>midcap</t>
        </is>
      </c>
      <c r="H32" s="32" t="n">
        <v>11374.73</v>
      </c>
      <c r="I32" s="32" t="n">
        <v>6779.5</v>
      </c>
      <c r="J32" s="32" t="n">
        <v>-1.07</v>
      </c>
      <c r="K32" s="32" t="n">
        <v>5291</v>
      </c>
      <c r="L32" s="31" t="n">
        <v>55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79.27</v>
      </c>
      <c r="P32" s="32" t="n">
        <v>64.98</v>
      </c>
      <c r="Q32" s="32" t="n">
        <v>5885.09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15.14</v>
      </c>
      <c r="U32" s="32" t="n">
        <v>21.04</v>
      </c>
      <c r="V32" s="32" t="n">
        <v>5.13</v>
      </c>
      <c r="W32" s="32" t="n">
        <v>11.22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IF(B33=0,"",RANK(B33,$B$2:$B$354,0))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ORCHPHARMA</t>
        </is>
      </c>
      <c r="D33" s="31" t="inlineStr">
        <is>
          <t>Orchid Pharma Ltd</t>
        </is>
      </c>
      <c r="E33" s="31" t="inlineStr">
        <is>
          <t>healthcare</t>
        </is>
      </c>
      <c r="F33" s="31" t="inlineStr">
        <is>
          <t>pharmaceuticals - indian - bulk drugs &amp; formln</t>
        </is>
      </c>
      <c r="G33" s="31" t="inlineStr">
        <is>
          <t>midcap</t>
        </is>
      </c>
      <c r="H33" s="32" t="n">
        <v>5308.26</v>
      </c>
      <c r="I33" s="32" t="n">
        <v>1023</v>
      </c>
      <c r="J33" s="32" t="n">
        <v>-2.25</v>
      </c>
      <c r="K33" s="32" t="n">
        <v>79985</v>
      </c>
      <c r="L33" s="31" t="n">
        <v>90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73.14</v>
      </c>
      <c r="P33" s="32" t="n">
        <v>41.39</v>
      </c>
      <c r="Q33" s="32" t="n">
        <v>776.98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15.14</v>
      </c>
      <c r="U33" s="32" t="n">
        <v>44</v>
      </c>
      <c r="V33" s="32" t="n">
        <v>25.07</v>
      </c>
      <c r="W33" s="32" t="n">
        <v>28.05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IF(B34=0,"",RANK(B34,$B$2:$B$354,0))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SPECTRUM</t>
        </is>
      </c>
      <c r="D34" s="31" t="inlineStr">
        <is>
          <t>Spectrum Electrical Industries Ltd</t>
        </is>
      </c>
      <c r="E34" s="31" t="inlineStr">
        <is>
          <t>industrials</t>
        </is>
      </c>
      <c r="F34" s="31" t="inlineStr">
        <is>
          <t>electric equipment</t>
        </is>
      </c>
      <c r="G34" s="31" t="inlineStr">
        <is>
          <t>smallcap</t>
        </is>
      </c>
      <c r="H34" s="32" t="n">
        <v>3035.91</v>
      </c>
      <c r="I34" s="32" t="n">
        <v>2132.5</v>
      </c>
      <c r="J34" s="32" t="n">
        <v>10.38</v>
      </c>
      <c r="K34" s="32" t="n">
        <v>122569</v>
      </c>
      <c r="L34" s="31" t="n">
        <v>90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71.97</v>
      </c>
      <c r="P34" s="32" t="n">
        <v>42.2</v>
      </c>
      <c r="Q34" s="32" t="n">
        <v>1500.6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-2.61</v>
      </c>
      <c r="U34" s="32" t="n">
        <v>36.24</v>
      </c>
      <c r="V34" s="32" t="n">
        <v>39.9</v>
      </c>
      <c r="W34" s="32" t="n">
        <v>29.19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IF(B35=0,"",RANK(B35,$B$2:$B$354,0))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RACLGEAR</t>
        </is>
      </c>
      <c r="D35" s="31" t="inlineStr">
        <is>
          <t>RACL Geartech Ltd</t>
        </is>
      </c>
      <c r="E35" s="31" t="inlineStr">
        <is>
          <t>auto</t>
        </is>
      </c>
      <c r="F35" s="31" t="inlineStr">
        <is>
          <t>auto ancillaries</t>
        </is>
      </c>
      <c r="G35" s="31" t="inlineStr">
        <is>
          <t>smallcap</t>
        </is>
      </c>
      <c r="H35" s="32" t="n">
        <v>1561.45</v>
      </c>
      <c r="I35" s="32" t="n">
        <v>1357</v>
      </c>
      <c r="J35" s="32" t="n">
        <v>2.45</v>
      </c>
      <c r="K35" s="32" t="n">
        <v>23184</v>
      </c>
      <c r="L35" s="31" t="n">
        <v>47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55.5</v>
      </c>
      <c r="P35" s="32" t="n">
        <v>49.98</v>
      </c>
      <c r="Q35" s="32" t="n">
        <v>961.6799999999999</v>
      </c>
      <c r="R35" s="31" t="inlineStr">
        <is>
          <t>Earnings / Momentum Support</t>
        </is>
      </c>
      <c r="S35" s="31" t="inlineStr">
        <is>
          <t>Nifty Auto</t>
        </is>
      </c>
      <c r="T35" s="32" t="n">
        <v>14.71</v>
      </c>
      <c r="U35" s="32" t="n">
        <v>35.71</v>
      </c>
      <c r="V35" s="32" t="n">
        <v>18.31</v>
      </c>
      <c r="W35" s="32" t="n">
        <v>9.34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IF(B36=0,"",RANK(B36,$B$2:$B$354,0))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QUESS</t>
        </is>
      </c>
      <c r="D36" s="31" t="inlineStr">
        <is>
          <t>Quess Corp Limited</t>
        </is>
      </c>
      <c r="E36" s="31" t="inlineStr">
        <is>
          <t>miscellaneous</t>
        </is>
      </c>
      <c r="F36" s="31" t="inlineStr">
        <is>
          <t>diversified - large</t>
        </is>
      </c>
      <c r="G36" s="31" t="inlineStr">
        <is>
          <t>smallcap</t>
        </is>
      </c>
      <c r="H36" s="32" t="n">
        <v>4405.37</v>
      </c>
      <c r="I36" s="32" t="n">
        <v>299.65</v>
      </c>
      <c r="J36" s="32" t="n">
        <v>1.59</v>
      </c>
      <c r="K36" s="32" t="n">
        <v>338826</v>
      </c>
      <c r="L36" s="31" t="n">
        <v>73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74.04000000000001</v>
      </c>
      <c r="P36" s="32" t="n">
        <v>38.02</v>
      </c>
      <c r="Q36" s="32" t="n">
        <v>238.71</v>
      </c>
      <c r="R36" s="31" t="inlineStr">
        <is>
          <t>Near 52W High Breakout</t>
        </is>
      </c>
      <c r="S36" s="31" t="inlineStr">
        <is>
          <t>Nifty 50</t>
        </is>
      </c>
      <c r="T36" s="32" t="n">
        <v>-2.61</v>
      </c>
      <c r="U36" s="32" t="n">
        <v>5.11</v>
      </c>
      <c r="V36" s="32" t="n">
        <v>7.93</v>
      </c>
      <c r="W36" s="32" t="n">
        <v>16.32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IF(B37=0,"",RANK(B37,$B$2:$B$354,0))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SIS</t>
        </is>
      </c>
      <c r="D37" s="31" t="inlineStr">
        <is>
          <t>Security &amp; Intelligence Services India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midcap</t>
        </is>
      </c>
      <c r="H37" s="32" t="n">
        <v>6160.17</v>
      </c>
      <c r="I37" s="32" t="n">
        <v>441.25</v>
      </c>
      <c r="J37" s="32" t="n">
        <v>1.19</v>
      </c>
      <c r="K37" s="32" t="n">
        <v>113077</v>
      </c>
      <c r="L37" s="31" t="n">
        <v>54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74.92</v>
      </c>
      <c r="P37" s="32" t="n">
        <v>55.14</v>
      </c>
      <c r="Q37" s="32" t="n">
        <v>355.44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-2.61</v>
      </c>
      <c r="U37" s="32" t="n">
        <v>18.52</v>
      </c>
      <c r="V37" s="32" t="n">
        <v>21.7</v>
      </c>
      <c r="W37" s="32" t="n">
        <v>10.7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Between 0.7 to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IF(B38=0,"",RANK(B38,$B$2:$B$354,0))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THANGAMAYL</t>
        </is>
      </c>
      <c r="D38" s="31" t="inlineStr">
        <is>
          <t>Thangamayil Jewellery Limited</t>
        </is>
      </c>
      <c r="E38" s="31" t="inlineStr">
        <is>
          <t>consumer discretionary</t>
        </is>
      </c>
      <c r="F38" s="31" t="inlineStr">
        <is>
          <t>diamond cutting / jewellery</t>
        </is>
      </c>
      <c r="G38" s="31" t="inlineStr">
        <is>
          <t>midcap</t>
        </is>
      </c>
      <c r="H38" s="32" t="n">
        <v>19847.42</v>
      </c>
      <c r="I38" s="32" t="n">
        <v>6453</v>
      </c>
      <c r="J38" s="32" t="n">
        <v>1.06</v>
      </c>
      <c r="K38" s="32" t="n">
        <v>126997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75.95999999999999</v>
      </c>
      <c r="P38" s="32" t="n">
        <v>49.01</v>
      </c>
      <c r="Q38" s="32" t="n">
        <v>4923.51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-2.61</v>
      </c>
      <c r="U38" s="32" t="n">
        <v>251.93</v>
      </c>
      <c r="V38" s="32" t="n">
        <v>261.38</v>
      </c>
      <c r="W38" s="32" t="n">
        <v>46.47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IF(B39=0,"",RANK(B39,$B$2:$B$354,0))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SANGHVIMOV</t>
        </is>
      </c>
      <c r="D39" s="31" t="inlineStr">
        <is>
          <t>Sanghvi Movers Limited</t>
        </is>
      </c>
      <c r="E39" s="31" t="inlineStr">
        <is>
          <t>miscellaneous</t>
        </is>
      </c>
      <c r="F39" s="31" t="inlineStr">
        <is>
          <t>miscellaneous</t>
        </is>
      </c>
      <c r="G39" s="31" t="inlineStr">
        <is>
          <t>smallcap</t>
        </is>
      </c>
      <c r="H39" s="32" t="n">
        <v>3780.34</v>
      </c>
      <c r="I39" s="32" t="n">
        <v>440.7</v>
      </c>
      <c r="J39" s="32" t="n">
        <v>0.93</v>
      </c>
      <c r="K39" s="32" t="n">
        <v>193458</v>
      </c>
      <c r="L39" s="31" t="n">
        <v>85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</v>
      </c>
      <c r="P39" s="32" t="n">
        <v>34.23</v>
      </c>
      <c r="Q39" s="32" t="n">
        <v>346.65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-2.61</v>
      </c>
      <c r="U39" s="32" t="n">
        <v>70.56</v>
      </c>
      <c r="V39" s="32" t="n">
        <v>75.13</v>
      </c>
      <c r="W39" s="32" t="n">
        <v>23.76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IF(B40=0,"",RANK(B40,$B$2:$B$354,0))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NRL</t>
        </is>
      </c>
      <c r="D40" s="31" t="inlineStr">
        <is>
          <t>Nupur Recyclers Ltd</t>
        </is>
      </c>
      <c r="E40" s="31" t="inlineStr">
        <is>
          <t>services</t>
        </is>
      </c>
      <c r="F40" s="31" t="inlineStr">
        <is>
          <t>trading</t>
        </is>
      </c>
      <c r="G40" s="31" t="inlineStr">
        <is>
          <t>smallcap</t>
        </is>
      </c>
      <c r="H40" s="32" t="n">
        <v>760.45</v>
      </c>
      <c r="I40" s="32" t="n">
        <v>110.55</v>
      </c>
      <c r="J40" s="32" t="n">
        <v>0.41</v>
      </c>
      <c r="K40" s="32" t="n">
        <v>144404</v>
      </c>
      <c r="L40" s="31" t="n">
        <v>94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86.02</v>
      </c>
      <c r="P40" s="32" t="n">
        <v>40.72</v>
      </c>
      <c r="Q40" s="32" t="n">
        <v>87.68000000000001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-2.61</v>
      </c>
      <c r="U40" s="32" t="n">
        <v>45.49</v>
      </c>
      <c r="V40" s="32" t="n">
        <v>49.4</v>
      </c>
      <c r="W40" s="32" t="n">
        <v>34.91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IF(B41=0,"",RANK(B41,$B$2:$B$354,0))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GRWRHITECH</t>
        </is>
      </c>
      <c r="D41" s="31" t="inlineStr">
        <is>
          <t>Garware Hi Tech Films Ltd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midcap</t>
        </is>
      </c>
      <c r="H41" s="32" t="n">
        <v>16083.79</v>
      </c>
      <c r="I41" s="32" t="n">
        <v>6914</v>
      </c>
      <c r="J41" s="32" t="n">
        <v>-0.13</v>
      </c>
      <c r="K41" s="32" t="n">
        <v>15222</v>
      </c>
      <c r="L41" s="31" t="n">
        <v>93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76.62</v>
      </c>
      <c r="P41" s="32" t="n">
        <v>52.42</v>
      </c>
      <c r="Q41" s="32" t="n">
        <v>5418.37</v>
      </c>
      <c r="R41" s="31" t="inlineStr">
        <is>
          <t>Near 52W High Breakout</t>
        </is>
      </c>
      <c r="S41" s="31" t="inlineStr">
        <is>
          <t>Nifty 50</t>
        </is>
      </c>
      <c r="T41" s="32" t="n">
        <v>-2.61</v>
      </c>
      <c r="U41" s="32" t="n">
        <v>88.94</v>
      </c>
      <c r="V41" s="32" t="n">
        <v>94.01000000000001</v>
      </c>
      <c r="W41" s="32" t="n">
        <v>32.18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IF(B42=0,"",RANK(B42,$B$2:$B$354,0))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ATHERENERG</t>
        </is>
      </c>
      <c r="D42" s="31" t="inlineStr">
        <is>
          <t>Ather Energy Ltd</t>
        </is>
      </c>
      <c r="E42" s="31" t="inlineStr">
        <is>
          <t>auto</t>
        </is>
      </c>
      <c r="F42" s="31" t="inlineStr">
        <is>
          <t>automobiles - scooters and 3 - wheelers</t>
        </is>
      </c>
      <c r="G42" s="31" t="inlineStr">
        <is>
          <t>largecap</t>
        </is>
      </c>
      <c r="H42" s="32" t="n">
        <v>49679.3</v>
      </c>
      <c r="I42" s="32" t="n">
        <v>1288.4</v>
      </c>
      <c r="J42" s="32" t="n">
        <v>-0.64</v>
      </c>
      <c r="K42" s="32" t="n">
        <v>3844546</v>
      </c>
      <c r="L42" s="31" t="n">
        <v>98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79.73999999999999</v>
      </c>
      <c r="P42" s="32" t="n">
        <v>55.67</v>
      </c>
      <c r="Q42" s="32" t="n">
        <v>995.46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14.71</v>
      </c>
      <c r="U42" s="32" t="n">
        <v>285.4</v>
      </c>
      <c r="V42" s="32" t="n">
        <v>235.97</v>
      </c>
      <c r="W42" s="32" t="n">
        <v>46.64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IF(B43=0,"",RANK(B43,$B$2:$B$354,0))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BUTTERFLY</t>
        </is>
      </c>
      <c r="D43" s="31" t="inlineStr">
        <is>
          <t>Butterfly Gandhimathi Appliances Limited</t>
        </is>
      </c>
      <c r="E43" s="31" t="inlineStr">
        <is>
          <t>consumer discretionary</t>
        </is>
      </c>
      <c r="F43" s="31" t="inlineStr">
        <is>
          <t>domestic appliances</t>
        </is>
      </c>
      <c r="G43" s="31" t="inlineStr">
        <is>
          <t>smallcap</t>
        </is>
      </c>
      <c r="H43" s="32" t="n">
        <v>1355.63</v>
      </c>
      <c r="I43" s="32" t="n">
        <v>752.05</v>
      </c>
      <c r="J43" s="32" t="n">
        <v>-0.8100000000000001</v>
      </c>
      <c r="K43" s="32" t="n">
        <v>29927</v>
      </c>
      <c r="L43" s="31" t="n">
        <v>31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64.12</v>
      </c>
      <c r="P43" s="32" t="n">
        <v>39.89</v>
      </c>
      <c r="Q43" s="32" t="n">
        <v>608.58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-2.61</v>
      </c>
      <c r="U43" s="32" t="n">
        <v>2.43</v>
      </c>
      <c r="V43" s="32" t="n">
        <v>5.18</v>
      </c>
      <c r="W43" s="32" t="n">
        <v>6.2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IF(B44=0,"",RANK(B44,$B$2:$B$354,0))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THELEELA</t>
        </is>
      </c>
      <c r="D44" s="31" t="inlineStr">
        <is>
          <t>Leela Palaces Hotels &amp; Resorts Ltd</t>
        </is>
      </c>
      <c r="E44" s="31" t="inlineStr">
        <is>
          <t>services</t>
        </is>
      </c>
      <c r="F44" s="31" t="inlineStr">
        <is>
          <t>hotels</t>
        </is>
      </c>
      <c r="G44" s="31" t="inlineStr">
        <is>
          <t>midcap</t>
        </is>
      </c>
      <c r="H44" s="32" t="n">
        <v>16449.1</v>
      </c>
      <c r="I44" s="32" t="n">
        <v>488</v>
      </c>
      <c r="J44" s="32" t="n">
        <v>-0.92</v>
      </c>
      <c r="K44" s="32" t="n">
        <v>136835</v>
      </c>
      <c r="L44" s="31" t="n">
        <v>25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60.51</v>
      </c>
      <c r="P44" s="32" t="n">
        <v>20.27</v>
      </c>
      <c r="Q44" s="32" t="n">
        <v>410.9</v>
      </c>
      <c r="R44" s="31" t="inlineStr">
        <is>
          <t>Near 52W High Breakout</t>
        </is>
      </c>
      <c r="S44" s="31" t="inlineStr">
        <is>
          <t>Nifty 50</t>
        </is>
      </c>
      <c r="T44" s="32" t="n">
        <v>-2.61</v>
      </c>
      <c r="U44" s="32" t="n">
        <v>9.57</v>
      </c>
      <c r="V44" s="32" t="n">
        <v>12.51</v>
      </c>
      <c r="W44" s="32" t="n">
        <v>4.79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IF(B45=0,"",RANK(B45,$B$2:$B$354,0))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HITECHCORP</t>
        </is>
      </c>
      <c r="D45" s="31" t="inlineStr">
        <is>
          <t>Hitech Corporation</t>
        </is>
      </c>
      <c r="E45" s="31" t="inlineStr">
        <is>
          <t>industrials</t>
        </is>
      </c>
      <c r="F45" s="31" t="inlineStr">
        <is>
          <t>packaging</t>
        </is>
      </c>
      <c r="G45" s="31" t="inlineStr">
        <is>
          <t>smallcap</t>
        </is>
      </c>
      <c r="H45" s="32" t="n">
        <v>554.52</v>
      </c>
      <c r="I45" s="32" t="n">
        <v>319.75</v>
      </c>
      <c r="J45" s="32" t="n">
        <v>-0.96</v>
      </c>
      <c r="K45" s="32" t="n">
        <v>14728</v>
      </c>
      <c r="L45" s="31" t="n">
        <v>97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79.84</v>
      </c>
      <c r="P45" s="32" t="n">
        <v>48.66</v>
      </c>
      <c r="Q45" s="32" t="n">
        <v>252.95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-2.61</v>
      </c>
      <c r="U45" s="32" t="n">
        <v>60.74</v>
      </c>
      <c r="V45" s="32" t="n">
        <v>65.06</v>
      </c>
      <c r="W45" s="32" t="n">
        <v>45.36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IF(B46=0,"",RANK(B46,$B$2:$B$354,0))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PLASTIBLEN</t>
        </is>
      </c>
      <c r="D46" s="31" t="inlineStr">
        <is>
          <t>Plastiblends India Limited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smallcap</t>
        </is>
      </c>
      <c r="H46" s="32" t="n">
        <v>519.42</v>
      </c>
      <c r="I46" s="32" t="n">
        <v>197.84</v>
      </c>
      <c r="J46" s="32" t="n">
        <v>-1.01</v>
      </c>
      <c r="K46" s="32" t="n">
        <v>76353</v>
      </c>
      <c r="L46" s="31" t="n">
        <v>37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70.06</v>
      </c>
      <c r="P46" s="32" t="n">
        <v>23.3</v>
      </c>
      <c r="Q46" s="32" t="n">
        <v>157.34</v>
      </c>
      <c r="R46" s="31" t="inlineStr">
        <is>
          <t>Near 52W High Breakout</t>
        </is>
      </c>
      <c r="S46" s="31" t="inlineStr">
        <is>
          <t>Nifty 50</t>
        </is>
      </c>
      <c r="T46" s="32" t="n">
        <v>-2.61</v>
      </c>
      <c r="U46" s="32" t="n">
        <v>1.83</v>
      </c>
      <c r="V46" s="32" t="n">
        <v>4.56</v>
      </c>
      <c r="W46" s="32" t="n">
        <v>7.43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IF(B47=0,"",RANK(B47,$B$2:$B$354,0))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CENTENKA</t>
        </is>
      </c>
      <c r="D47" s="31" t="inlineStr">
        <is>
          <t>Century Enka Limited</t>
        </is>
      </c>
      <c r="E47" s="31" t="inlineStr">
        <is>
          <t>textiles</t>
        </is>
      </c>
      <c r="F47" s="31" t="inlineStr">
        <is>
          <t>textiles - manmade</t>
        </is>
      </c>
      <c r="G47" s="31" t="inlineStr">
        <is>
          <t>smallcap</t>
        </is>
      </c>
      <c r="H47" s="32" t="n">
        <v>1200.47</v>
      </c>
      <c r="I47" s="32" t="n">
        <v>540.2</v>
      </c>
      <c r="J47" s="32" t="n">
        <v>-1.67</v>
      </c>
      <c r="K47" s="32" t="n">
        <v>28976</v>
      </c>
      <c r="L47" s="31" t="n">
        <v>42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63.08</v>
      </c>
      <c r="P47" s="32" t="n">
        <v>52.46</v>
      </c>
      <c r="Q47" s="32" t="n">
        <v>418.11</v>
      </c>
      <c r="R47" s="31" t="inlineStr">
        <is>
          <t>Near 52W High Breakout</t>
        </is>
      </c>
      <c r="S47" s="31" t="inlineStr">
        <is>
          <t>Nifty 50</t>
        </is>
      </c>
      <c r="T47" s="32" t="n">
        <v>-2.61</v>
      </c>
      <c r="U47" s="32" t="n">
        <v>8.27</v>
      </c>
      <c r="V47" s="32" t="n">
        <v>11.18</v>
      </c>
      <c r="W47" s="32" t="n">
        <v>8.24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IF(B48=0,"",RANK(B48,$B$2:$B$354,0))</f>
        <v/>
      </c>
      <c r="B48" s="32">
        <f>SUM(N48,Y48,AA48,AC48,AE48,AG48,AI48,AK48,AM48,AO48,AQ48,AS48,AU48,AW48,AY48,BA48,BC48,BE48,BG48,BI48,BK48,BM48,BO48,BQ48,BS48,BU48,BW48,BY48,CA48,CC48,CE48)</f>
        <v/>
      </c>
      <c r="C48" s="33" t="inlineStr">
        <is>
          <t>INNOVACAP</t>
        </is>
      </c>
      <c r="D48" s="33" t="inlineStr">
        <is>
          <t>Innova Captab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midcap</t>
        </is>
      </c>
      <c r="H48" s="32" t="n">
        <v>5569.42</v>
      </c>
      <c r="I48" s="32" t="n">
        <v>979.5</v>
      </c>
      <c r="J48" s="32" t="n">
        <v>0.64</v>
      </c>
      <c r="K48" s="32" t="n">
        <v>23570</v>
      </c>
      <c r="L48" s="31" t="n">
        <v>52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70.28</v>
      </c>
      <c r="P48" s="32" t="n">
        <v>53.88</v>
      </c>
      <c r="Q48" s="32" t="n">
        <v>782.16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15.14</v>
      </c>
      <c r="U48" s="32" t="n">
        <v>8.58</v>
      </c>
      <c r="V48" s="32" t="n">
        <v>-5.69</v>
      </c>
      <c r="W48" s="32" t="n">
        <v>10.33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IF(B49=0,"",RANK(B49,$B$2:$B$354,0))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THYROCARE</t>
        </is>
      </c>
      <c r="D49" s="31" t="inlineStr">
        <is>
          <t>Thyrocare Technologies Limited</t>
        </is>
      </c>
      <c r="E49" s="31" t="inlineStr">
        <is>
          <t>healthcare</t>
        </is>
      </c>
      <c r="F49" s="31" t="inlineStr">
        <is>
          <t>healthcare</t>
        </is>
      </c>
      <c r="G49" s="31" t="inlineStr">
        <is>
          <t>midcap</t>
        </is>
      </c>
      <c r="H49" s="32" t="n">
        <v>8841.629999999999</v>
      </c>
      <c r="I49" s="32" t="n">
        <v>559</v>
      </c>
      <c r="J49" s="32" t="n">
        <v>0.63</v>
      </c>
      <c r="K49" s="32" t="n">
        <v>646031</v>
      </c>
      <c r="L49" s="31" t="n">
        <v>71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67.12</v>
      </c>
      <c r="P49" s="32" t="n">
        <v>47.8</v>
      </c>
      <c r="Q49" s="32" t="n">
        <v>427.94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15.14</v>
      </c>
      <c r="U49" s="32" t="n">
        <v>31.09</v>
      </c>
      <c r="V49" s="32" t="n">
        <v>13.86</v>
      </c>
      <c r="W49" s="32" t="n">
        <v>15.94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IF(B50=0,"",RANK(B50,$B$2:$B$354,0))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KOPRAN</t>
        </is>
      </c>
      <c r="D50" s="31" t="inlineStr">
        <is>
          <t>Kopran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smallcap</t>
        </is>
      </c>
      <c r="H50" s="32" t="n">
        <v>980.83</v>
      </c>
      <c r="I50" s="32" t="n">
        <v>204</v>
      </c>
      <c r="J50" s="32" t="n">
        <v>0.43</v>
      </c>
      <c r="K50" s="32" t="n">
        <v>116371</v>
      </c>
      <c r="L50" s="31" t="n">
        <v>58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65.23</v>
      </c>
      <c r="P50" s="32" t="n">
        <v>37.38</v>
      </c>
      <c r="Q50" s="32" t="n">
        <v>150.04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15.14</v>
      </c>
      <c r="U50" s="32" t="n">
        <v>20.17</v>
      </c>
      <c r="V50" s="32" t="n">
        <v>4.38</v>
      </c>
      <c r="W50" s="32" t="n">
        <v>11.67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IF(B51=0,"",RANK(B51,$B$2:$B$354,0))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NESTLEIND</t>
        </is>
      </c>
      <c r="D51" s="31" t="inlineStr">
        <is>
          <t>Nestle India Limited</t>
        </is>
      </c>
      <c r="E51" s="31" t="inlineStr">
        <is>
          <t>fmcg</t>
        </is>
      </c>
      <c r="F51" s="31" t="inlineStr">
        <is>
          <t>food - processing - mnc</t>
        </is>
      </c>
      <c r="G51" s="31" t="inlineStr">
        <is>
          <t>largecap</t>
        </is>
      </c>
      <c r="H51" s="32" t="n">
        <v>278892.1</v>
      </c>
      <c r="I51" s="32" t="n">
        <v>1451.9</v>
      </c>
      <c r="J51" s="32" t="n">
        <v>0.39</v>
      </c>
      <c r="K51" s="32" t="n">
        <v>1657756</v>
      </c>
      <c r="L51" s="31" t="n">
        <v>30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63.41</v>
      </c>
      <c r="P51" s="32" t="n">
        <v>35.16</v>
      </c>
      <c r="Q51" s="32" t="n">
        <v>1303.42</v>
      </c>
      <c r="R51" s="31" t="inlineStr">
        <is>
          <t>Near 52W High Breakout</t>
        </is>
      </c>
      <c r="S51" s="31" t="inlineStr">
        <is>
          <t>Nifty FMCG</t>
        </is>
      </c>
      <c r="T51" s="32" t="n">
        <v>-10.38</v>
      </c>
      <c r="U51" s="32" t="n">
        <v>28.97</v>
      </c>
      <c r="V51" s="32" t="n">
        <v>43.9</v>
      </c>
      <c r="W51" s="32" t="n">
        <v>5.88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IF(B52=0,"",RANK(B52,$B$2:$B$354,0))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GRANULES</t>
        </is>
      </c>
      <c r="D52" s="31" t="inlineStr">
        <is>
          <t>Granules India Limited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largecap</t>
        </is>
      </c>
      <c r="H52" s="32" t="n">
        <v>21709.49</v>
      </c>
      <c r="I52" s="32" t="n">
        <v>875.7</v>
      </c>
      <c r="J52" s="32" t="n">
        <v>-0.05</v>
      </c>
      <c r="K52" s="32" t="n">
        <v>3141724</v>
      </c>
      <c r="L52" s="31" t="n">
        <v>78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75.13</v>
      </c>
      <c r="P52" s="32" t="n">
        <v>50.36</v>
      </c>
      <c r="Q52" s="32" t="n">
        <v>748.5599999999999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15.14</v>
      </c>
      <c r="U52" s="32" t="n">
        <v>87.25</v>
      </c>
      <c r="V52" s="32" t="n">
        <v>62.63</v>
      </c>
      <c r="W52" s="32" t="n">
        <v>19.37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IF(B53=0,"",RANK(B53,$B$2:$B$354,0))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VADILALIND</t>
        </is>
      </c>
      <c r="D53" s="31" t="inlineStr">
        <is>
          <t>Vadilal Industries Limited</t>
        </is>
      </c>
      <c r="E53" s="31" t="inlineStr">
        <is>
          <t>fmcg</t>
        </is>
      </c>
      <c r="F53" s="31" t="inlineStr">
        <is>
          <t>food - processing - indian</t>
        </is>
      </c>
      <c r="G53" s="31" t="inlineStr">
        <is>
          <t>smallcap</t>
        </is>
      </c>
      <c r="H53" s="32" t="n">
        <v>4880.9</v>
      </c>
      <c r="I53" s="32" t="n">
        <v>6782</v>
      </c>
      <c r="J53" s="32" t="n">
        <v>-0.13</v>
      </c>
      <c r="K53" s="32" t="n">
        <v>7016</v>
      </c>
      <c r="L53" s="31" t="n">
        <v>76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73.36</v>
      </c>
      <c r="P53" s="32" t="n">
        <v>29.27</v>
      </c>
      <c r="Q53" s="32" t="n">
        <v>5465.08</v>
      </c>
      <c r="R53" s="31" t="inlineStr">
        <is>
          <t>Near 52W High Breakout</t>
        </is>
      </c>
      <c r="S53" s="31" t="inlineStr">
        <is>
          <t>Nifty FMCG</t>
        </is>
      </c>
      <c r="T53" s="32" t="n">
        <v>-10.38</v>
      </c>
      <c r="U53" s="32" t="n">
        <v>24.54</v>
      </c>
      <c r="V53" s="32" t="n">
        <v>38.96</v>
      </c>
      <c r="W53" s="32" t="n">
        <v>18.12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IF(B54=0,"",RANK(B54,$B$2:$B$354,0))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NINSYS</t>
        </is>
      </c>
      <c r="D54" s="31" t="inlineStr">
        <is>
          <t>NINtec Systems Ltd</t>
        </is>
      </c>
      <c r="E54" s="31" t="inlineStr">
        <is>
          <t>i.t</t>
        </is>
      </c>
      <c r="F54" s="31" t="inlineStr">
        <is>
          <t>computers - software - medium / small</t>
        </is>
      </c>
      <c r="G54" s="31" t="inlineStr">
        <is>
          <t>smallcap</t>
        </is>
      </c>
      <c r="H54" s="32" t="n">
        <v>1668.5</v>
      </c>
      <c r="I54" s="32" t="n">
        <v>895</v>
      </c>
      <c r="J54" s="32" t="n">
        <v>-0.36</v>
      </c>
      <c r="K54" s="32" t="n">
        <v>3608</v>
      </c>
      <c r="L54" s="31" t="n">
        <v>96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86.91</v>
      </c>
      <c r="P54" s="32" t="n">
        <v>69.22</v>
      </c>
      <c r="Q54" s="32" t="n">
        <v>695.85</v>
      </c>
      <c r="R54" s="31" t="inlineStr">
        <is>
          <t>Near 52W High Breakout</t>
        </is>
      </c>
      <c r="S54" s="31" t="inlineStr">
        <is>
          <t>Nifty IT</t>
        </is>
      </c>
      <c r="T54" s="32" t="n">
        <v>-18.64</v>
      </c>
      <c r="U54" s="32" t="n">
        <v>108.65</v>
      </c>
      <c r="V54" s="32" t="n">
        <v>156.44</v>
      </c>
      <c r="W54" s="32" t="n">
        <v>37.74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IF(B55=0,"",RANK(B55,$B$2:$B$354,0))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NEULANDLAB</t>
        </is>
      </c>
      <c r="D55" s="31" t="inlineStr">
        <is>
          <t>Neuland Laboratories Limited</t>
        </is>
      </c>
      <c r="E55" s="31" t="inlineStr">
        <is>
          <t>healthcare</t>
        </is>
      </c>
      <c r="F55" s="31" t="inlineStr">
        <is>
          <t>pharmaceuticals - indian - bulk drugs</t>
        </is>
      </c>
      <c r="G55" s="31" t="inlineStr">
        <is>
          <t>largecap</t>
        </is>
      </c>
      <c r="H55" s="32" t="n">
        <v>24311.36</v>
      </c>
      <c r="I55" s="32" t="n">
        <v>18880</v>
      </c>
      <c r="J55" s="32" t="n">
        <v>-0.36</v>
      </c>
      <c r="K55" s="32" t="n">
        <v>19859</v>
      </c>
      <c r="L55" s="31" t="n">
        <v>64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64.91</v>
      </c>
      <c r="P55" s="32" t="n">
        <v>43.43</v>
      </c>
      <c r="Q55" s="32" t="n">
        <v>15650.21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15.14</v>
      </c>
      <c r="U55" s="32" t="n">
        <v>37.32</v>
      </c>
      <c r="V55" s="32" t="n">
        <v>19.27</v>
      </c>
      <c r="W55" s="32" t="n">
        <v>14.07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IF(B56=0,"",RANK(B56,$B$2:$B$354,0))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PIXTRANS</t>
        </is>
      </c>
      <c r="D56" s="31" t="inlineStr">
        <is>
          <t>Pix Transmission Ltd</t>
        </is>
      </c>
      <c r="E56" s="31" t="inlineStr">
        <is>
          <t>fmcg</t>
        </is>
      </c>
      <c r="F56" s="31" t="inlineStr">
        <is>
          <t>miscellaneous</t>
        </is>
      </c>
      <c r="G56" s="31" t="inlineStr">
        <is>
          <t>smallcap</t>
        </is>
      </c>
      <c r="H56" s="32" t="n">
        <v>2530.61</v>
      </c>
      <c r="I56" s="32" t="n">
        <v>1850</v>
      </c>
      <c r="J56" s="32" t="n">
        <v>-0.39</v>
      </c>
      <c r="K56" s="32" t="n">
        <v>10586</v>
      </c>
      <c r="L56" s="31" t="n">
        <v>50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72.72</v>
      </c>
      <c r="P56" s="32" t="n">
        <v>41.97</v>
      </c>
      <c r="Q56" s="32" t="n">
        <v>1493.15</v>
      </c>
      <c r="R56" s="31" t="inlineStr">
        <is>
          <t>Near 52W High Breakout</t>
        </is>
      </c>
      <c r="S56" s="31" t="inlineStr">
        <is>
          <t>Nifty FMCG</t>
        </is>
      </c>
      <c r="T56" s="32" t="n">
        <v>-10.38</v>
      </c>
      <c r="U56" s="32" t="n">
        <v>22.99</v>
      </c>
      <c r="V56" s="32" t="n">
        <v>37.23</v>
      </c>
      <c r="W56" s="32" t="n">
        <v>10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IF(B57=0,"",RANK(B57,$B$2:$B$354,0))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METROPOLIS</t>
        </is>
      </c>
      <c r="D57" s="31" t="inlineStr">
        <is>
          <t>Metropolis Healthcare Ltd</t>
        </is>
      </c>
      <c r="E57" s="31" t="inlineStr">
        <is>
          <t>healthcare</t>
        </is>
      </c>
      <c r="F57" s="31" t="inlineStr">
        <is>
          <t>healthcare</t>
        </is>
      </c>
      <c r="G57" s="31" t="inlineStr">
        <is>
          <t>midcap</t>
        </is>
      </c>
      <c r="H57" s="32" t="n">
        <v>11895.43</v>
      </c>
      <c r="I57" s="32" t="n">
        <v>568.8</v>
      </c>
      <c r="J57" s="32" t="n">
        <v>-0.86</v>
      </c>
      <c r="K57" s="32" t="n">
        <v>93026</v>
      </c>
      <c r="L57" s="31" t="n">
        <v>39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62.01</v>
      </c>
      <c r="P57" s="32" t="n">
        <v>39.27</v>
      </c>
      <c r="Q57" s="32" t="n">
        <v>450.42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15.14</v>
      </c>
      <c r="U57" s="32" t="n">
        <v>16.03</v>
      </c>
      <c r="V57" s="32" t="n">
        <v>0.78</v>
      </c>
      <c r="W57" s="32" t="n">
        <v>7.84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IF(B58=0,"",RANK(B58,$B$2:$B$354,0))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RATEGAIN</t>
        </is>
      </c>
      <c r="D58" s="31" t="inlineStr">
        <is>
          <t>Rategain Travel Technologies Ltd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midcap</t>
        </is>
      </c>
      <c r="H58" s="32" t="n">
        <v>11232.07</v>
      </c>
      <c r="I58" s="32" t="n">
        <v>926.4</v>
      </c>
      <c r="J58" s="32" t="n">
        <v>-2.32</v>
      </c>
      <c r="K58" s="32" t="n">
        <v>255743</v>
      </c>
      <c r="L58" s="31" t="n">
        <v>91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74.37</v>
      </c>
      <c r="P58" s="32" t="n">
        <v>37.81</v>
      </c>
      <c r="Q58" s="32" t="n">
        <v>748.29</v>
      </c>
      <c r="R58" s="31" t="inlineStr">
        <is>
          <t>Near 52W High Breakout</t>
        </is>
      </c>
      <c r="S58" s="31" t="inlineStr">
        <is>
          <t>Nifty IT</t>
        </is>
      </c>
      <c r="T58" s="32" t="n">
        <v>-18.64</v>
      </c>
      <c r="U58" s="32" t="n">
        <v>108.04</v>
      </c>
      <c r="V58" s="32" t="n">
        <v>155.69</v>
      </c>
      <c r="W58" s="32" t="n">
        <v>30.01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IF(B59=0,"",RANK(B59,$B$2:$B$354,0))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ASHIANA</t>
        </is>
      </c>
      <c r="D59" s="31" t="inlineStr">
        <is>
          <t>Ashiana Housing Limited</t>
        </is>
      </c>
      <c r="E59" s="31" t="inlineStr">
        <is>
          <t>realty</t>
        </is>
      </c>
      <c r="F59" s="31" t="inlineStr">
        <is>
          <t>construction</t>
        </is>
      </c>
      <c r="G59" s="31" t="inlineStr">
        <is>
          <t>smallcap</t>
        </is>
      </c>
      <c r="H59" s="32" t="n">
        <v>3755.61</v>
      </c>
      <c r="I59" s="32" t="n">
        <v>395.3</v>
      </c>
      <c r="J59" s="32" t="n">
        <v>5.81</v>
      </c>
      <c r="K59" s="32" t="n">
        <v>7376140</v>
      </c>
      <c r="L59" s="31" t="n">
        <v>45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65.26000000000001</v>
      </c>
      <c r="P59" s="32" t="n">
        <v>40.1</v>
      </c>
      <c r="Q59" s="32" t="n">
        <v>301.02</v>
      </c>
      <c r="R59" s="31" t="inlineStr">
        <is>
          <t>Volume Spike &amp; Near 52W High Breakout</t>
        </is>
      </c>
      <c r="S59" s="31" t="inlineStr">
        <is>
          <t>Nifty Realty</t>
        </is>
      </c>
      <c r="T59" s="32" t="n">
        <v>-2.45</v>
      </c>
      <c r="U59" s="32" t="n">
        <v>25.92</v>
      </c>
      <c r="V59" s="32" t="n">
        <v>29.08</v>
      </c>
      <c r="W59" s="32" t="n">
        <v>8.93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IF(B60=0,"",RANK(B60,$B$2:$B$354,0))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RUBYMILLS</t>
        </is>
      </c>
      <c r="D60" s="31" t="inlineStr">
        <is>
          <t>The Ruby Mills Limited</t>
        </is>
      </c>
      <c r="E60" s="31" t="inlineStr">
        <is>
          <t>textiles</t>
        </is>
      </c>
      <c r="F60" s="31" t="inlineStr">
        <is>
          <t>textiles - composite</t>
        </is>
      </c>
      <c r="G60" s="31" t="inlineStr">
        <is>
          <t>smallcap</t>
        </is>
      </c>
      <c r="H60" s="32" t="n">
        <v>1314.02</v>
      </c>
      <c r="I60" s="32" t="n">
        <v>411.85</v>
      </c>
      <c r="J60" s="32" t="n">
        <v>4.81</v>
      </c>
      <c r="K60" s="32" t="n">
        <v>71659</v>
      </c>
      <c r="L60" s="31" t="n">
        <v>93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81.03</v>
      </c>
      <c r="P60" s="32" t="n">
        <v>52.17</v>
      </c>
      <c r="Q60" s="32" t="n">
        <v>313.48</v>
      </c>
      <c r="R60" s="31" t="inlineStr">
        <is>
          <t>Near 52W High Breakout</t>
        </is>
      </c>
      <c r="S60" s="31" t="inlineStr">
        <is>
          <t>Nifty 50</t>
        </is>
      </c>
      <c r="T60" s="32" t="n">
        <v>-2.61</v>
      </c>
      <c r="U60" s="32" t="n">
        <v>75.09</v>
      </c>
      <c r="V60" s="32" t="n">
        <v>79.79000000000001</v>
      </c>
      <c r="W60" s="32" t="n">
        <v>32.46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IF(B61=0,"",RANK(B61,$B$2:$B$354,0))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HSCL</t>
        </is>
      </c>
      <c r="D61" s="31" t="inlineStr">
        <is>
          <t>Himadri Speciality Chemical Limited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largecap</t>
        </is>
      </c>
      <c r="H61" s="32" t="n">
        <v>38844.66</v>
      </c>
      <c r="I61" s="32" t="n">
        <v>800.9</v>
      </c>
      <c r="J61" s="32" t="n">
        <v>4.03</v>
      </c>
      <c r="K61" s="32" t="n">
        <v>21404570</v>
      </c>
      <c r="L61" s="31" t="n">
        <v>79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78.5</v>
      </c>
      <c r="P61" s="32" t="n">
        <v>42.91</v>
      </c>
      <c r="Q61" s="32" t="n">
        <v>624.23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-2.61</v>
      </c>
      <c r="U61" s="32" t="n">
        <v>60.93</v>
      </c>
      <c r="V61" s="32" t="n">
        <v>65.25</v>
      </c>
      <c r="W61" s="32" t="n">
        <v>19.88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IF(B62=0,"",RANK(B62,$B$2:$B$354,0))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ADOR</t>
        </is>
      </c>
      <c r="D62" s="31" t="inlineStr">
        <is>
          <t>Ador Welding Ltd</t>
        </is>
      </c>
      <c r="E62" s="31" t="inlineStr">
        <is>
          <t>industrials</t>
        </is>
      </c>
      <c r="F62" s="31" t="inlineStr">
        <is>
          <t>electrodes - welding equipment</t>
        </is>
      </c>
      <c r="G62" s="31" t="inlineStr">
        <is>
          <t>smallcap</t>
        </is>
      </c>
      <c r="H62" s="32" t="n">
        <v>2532.63</v>
      </c>
      <c r="I62" s="32" t="n">
        <v>1507.2</v>
      </c>
      <c r="J62" s="32" t="n">
        <v>3.57</v>
      </c>
      <c r="K62" s="32" t="n">
        <v>405565</v>
      </c>
      <c r="L62" s="31" t="n">
        <v>81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82.20999999999999</v>
      </c>
      <c r="P62" s="32" t="n">
        <v>38.91</v>
      </c>
      <c r="Q62" s="32" t="n">
        <v>1219.19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-2.61</v>
      </c>
      <c r="U62" s="32" t="n">
        <v>46.83</v>
      </c>
      <c r="V62" s="32" t="n">
        <v>50.77</v>
      </c>
      <c r="W62" s="32" t="n">
        <v>21.49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IF(B63=0,"",RANK(B63,$B$2:$B$354,0))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GHCLTEXTIL</t>
        </is>
      </c>
      <c r="D63" s="31" t="inlineStr">
        <is>
          <t>GHCL Textiles Ltd</t>
        </is>
      </c>
      <c r="E63" s="31" t="inlineStr">
        <is>
          <t>textiles</t>
        </is>
      </c>
      <c r="F63" s="31" t="inlineStr">
        <is>
          <t>textiles - spinning - synthetic / blended</t>
        </is>
      </c>
      <c r="G63" s="31" t="inlineStr">
        <is>
          <t>smallcap</t>
        </is>
      </c>
      <c r="H63" s="32" t="n">
        <v>1091.3</v>
      </c>
      <c r="I63" s="32" t="n">
        <v>117.25</v>
      </c>
      <c r="J63" s="32" t="n">
        <v>2.7</v>
      </c>
      <c r="K63" s="32" t="n">
        <v>1106288</v>
      </c>
      <c r="L63" s="31" t="n">
        <v>65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72.54000000000001</v>
      </c>
      <c r="P63" s="32" t="n">
        <v>24.62</v>
      </c>
      <c r="Q63" s="32" t="n">
        <v>91.16</v>
      </c>
      <c r="R63" s="31" t="inlineStr">
        <is>
          <t>Near 52W High Breakout</t>
        </is>
      </c>
      <c r="S63" s="31" t="inlineStr">
        <is>
          <t>Nifty 50</t>
        </is>
      </c>
      <c r="T63" s="32" t="n">
        <v>-2.61</v>
      </c>
      <c r="U63" s="32" t="n">
        <v>28.63</v>
      </c>
      <c r="V63" s="32" t="n">
        <v>32.09</v>
      </c>
      <c r="W63" s="32" t="n">
        <v>14.52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IF(B64=0,"",RANK(B64,$B$2:$B$354,0))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FIEMIND</t>
        </is>
      </c>
      <c r="D64" s="31" t="inlineStr">
        <is>
          <t>Fiem Industries Limited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midcap</t>
        </is>
      </c>
      <c r="H64" s="32" t="n">
        <v>6068</v>
      </c>
      <c r="I64" s="32" t="n">
        <v>2331.5</v>
      </c>
      <c r="J64" s="32" t="n">
        <v>1.13</v>
      </c>
      <c r="K64" s="32" t="n">
        <v>44736</v>
      </c>
      <c r="L64" s="31" t="n">
        <v>24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59.24</v>
      </c>
      <c r="P64" s="32" t="n">
        <v>22.38</v>
      </c>
      <c r="Q64" s="32" t="n">
        <v>1901.94</v>
      </c>
      <c r="R64" s="31" t="inlineStr">
        <is>
          <t>Near 52W High Breakout</t>
        </is>
      </c>
      <c r="S64" s="31" t="inlineStr">
        <is>
          <t>Nifty Auto</t>
        </is>
      </c>
      <c r="T64" s="32" t="n">
        <v>14.71</v>
      </c>
      <c r="U64" s="32" t="n">
        <v>17.36</v>
      </c>
      <c r="V64" s="32" t="n">
        <v>2.3</v>
      </c>
      <c r="W64" s="32" t="n">
        <v>4.73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IF(B65=0,"",RANK(B65,$B$2:$B$354,0))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CEMPRO</t>
        </is>
      </c>
      <c r="D65" s="31" t="inlineStr">
        <is>
          <t>Cemindia Projects Ltd</t>
        </is>
      </c>
      <c r="E65" s="31" t="inlineStr">
        <is>
          <t>realty</t>
        </is>
      </c>
      <c r="F65" s="31" t="inlineStr">
        <is>
          <t>construction</t>
        </is>
      </c>
      <c r="G65" s="31" t="inlineStr">
        <is>
          <t>largecap</t>
        </is>
      </c>
      <c r="H65" s="32" t="n">
        <v>27949.84</v>
      </c>
      <c r="I65" s="32" t="n">
        <v>1639.6</v>
      </c>
      <c r="J65" s="32" t="n">
        <v>0.77</v>
      </c>
      <c r="K65" s="32" t="n">
        <v>458838</v>
      </c>
      <c r="L65" s="31" t="n">
        <v>99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84.86</v>
      </c>
      <c r="P65" s="32" t="n">
        <v>56.92</v>
      </c>
      <c r="Q65" s="32" t="n">
        <v>1312.69</v>
      </c>
      <c r="R65" s="31" t="inlineStr">
        <is>
          <t>Near 52W High Breakout</t>
        </is>
      </c>
      <c r="S65" s="31" t="inlineStr">
        <is>
          <t>Nifty Realty</t>
        </is>
      </c>
      <c r="T65" s="32" t="n">
        <v>-2.45</v>
      </c>
      <c r="U65" s="32" t="n">
        <v>113.76</v>
      </c>
      <c r="V65" s="32" t="n">
        <v>119.12</v>
      </c>
      <c r="W65" s="32" t="n">
        <v>58.56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IF(B66=0,"",RANK(B66,$B$2:$B$354,0))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HAPPYFORGE</t>
        </is>
      </c>
      <c r="D66" s="31" t="inlineStr">
        <is>
          <t>Happy Forgings Ltd</t>
        </is>
      </c>
      <c r="E66" s="31" t="inlineStr">
        <is>
          <t>industrials</t>
        </is>
      </c>
      <c r="F66" s="31" t="inlineStr">
        <is>
          <t>castings &amp; forgings</t>
        </is>
      </c>
      <c r="G66" s="31" t="inlineStr">
        <is>
          <t>midcap</t>
        </is>
      </c>
      <c r="H66" s="32" t="n">
        <v>15176.1</v>
      </c>
      <c r="I66" s="32" t="n">
        <v>1611.6</v>
      </c>
      <c r="J66" s="32" t="n">
        <v>0.22</v>
      </c>
      <c r="K66" s="32" t="n">
        <v>35283</v>
      </c>
      <c r="L66" s="31" t="n">
        <v>72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72.59999999999999</v>
      </c>
      <c r="P66" s="32" t="n">
        <v>46.08</v>
      </c>
      <c r="Q66" s="32" t="n">
        <v>1308.27</v>
      </c>
      <c r="R66" s="31" t="inlineStr">
        <is>
          <t>Near 52W High Breakout</t>
        </is>
      </c>
      <c r="S66" s="31" t="inlineStr">
        <is>
          <t>Nifty Infra</t>
        </is>
      </c>
      <c r="T66" s="32" t="n">
        <v>4.24</v>
      </c>
      <c r="U66" s="32" t="n">
        <v>68.12</v>
      </c>
      <c r="V66" s="32" t="n">
        <v>61.29</v>
      </c>
      <c r="W66" s="32" t="n">
        <v>16.01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IF(B67=0,"",RANK(B67,$B$2:$B$354,0))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WELENT</t>
        </is>
      </c>
      <c r="D67" s="31" t="inlineStr">
        <is>
          <t>Welspun Enterprises Limited</t>
        </is>
      </c>
      <c r="E67" s="31" t="inlineStr">
        <is>
          <t>realty</t>
        </is>
      </c>
      <c r="F67" s="31" t="inlineStr">
        <is>
          <t>construction</t>
        </is>
      </c>
      <c r="G67" s="31" t="inlineStr">
        <is>
          <t>midcap</t>
        </is>
      </c>
      <c r="H67" s="32" t="n">
        <v>8658.48</v>
      </c>
      <c r="I67" s="32" t="n">
        <v>624.95</v>
      </c>
      <c r="J67" s="32" t="n">
        <v>-0.1</v>
      </c>
      <c r="K67" s="32" t="n">
        <v>105958</v>
      </c>
      <c r="L67" s="31" t="n">
        <v>50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72.2</v>
      </c>
      <c r="P67" s="32" t="n">
        <v>20.58</v>
      </c>
      <c r="Q67" s="32" t="n">
        <v>512.46</v>
      </c>
      <c r="R67" s="31" t="inlineStr">
        <is>
          <t>Near 52W High Breakout</t>
        </is>
      </c>
      <c r="S67" s="31" t="inlineStr">
        <is>
          <t>Nifty Realty</t>
        </is>
      </c>
      <c r="T67" s="32" t="n">
        <v>-2.45</v>
      </c>
      <c r="U67" s="32" t="n">
        <v>25.33</v>
      </c>
      <c r="V67" s="32" t="n">
        <v>28.47</v>
      </c>
      <c r="W67" s="32" t="n">
        <v>10.06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IF(B68=0,"",RANK(B68,$B$2:$B$354,0))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SANGAMIND</t>
        </is>
      </c>
      <c r="D68" s="31" t="inlineStr">
        <is>
          <t>Sangam (india) Limited</t>
        </is>
      </c>
      <c r="E68" s="31" t="inlineStr">
        <is>
          <t>textiles</t>
        </is>
      </c>
      <c r="F68" s="31" t="inlineStr">
        <is>
          <t>textiles - spinning - synthetic / blended</t>
        </is>
      </c>
      <c r="G68" s="31" t="inlineStr">
        <is>
          <t>smallcap</t>
        </is>
      </c>
      <c r="H68" s="32" t="n">
        <v>3120.81</v>
      </c>
      <c r="I68" s="32" t="n">
        <v>618.95</v>
      </c>
      <c r="J68" s="32" t="n">
        <v>-0.35</v>
      </c>
      <c r="K68" s="32" t="n">
        <v>61916</v>
      </c>
      <c r="L68" s="31" t="n">
        <v>57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73.45</v>
      </c>
      <c r="P68" s="32" t="n">
        <v>46.41</v>
      </c>
      <c r="Q68" s="32" t="n">
        <v>500.86</v>
      </c>
      <c r="R68" s="31" t="inlineStr">
        <is>
          <t>Near 52W High Breakout</t>
        </is>
      </c>
      <c r="S68" s="31" t="inlineStr">
        <is>
          <t>Nifty 50</t>
        </is>
      </c>
      <c r="T68" s="32" t="n">
        <v>-2.61</v>
      </c>
      <c r="U68" s="32" t="n">
        <v>39.26</v>
      </c>
      <c r="V68" s="32" t="n">
        <v>42.99</v>
      </c>
      <c r="W68" s="32" t="n">
        <v>11.65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IF(B69=0,"",RANK(B69,$B$2:$B$354,0))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FILATEX</t>
        </is>
      </c>
      <c r="D69" s="31" t="inlineStr">
        <is>
          <t>Filatex India Limited</t>
        </is>
      </c>
      <c r="E69" s="31" t="inlineStr">
        <is>
          <t>textiles</t>
        </is>
      </c>
      <c r="F69" s="31" t="inlineStr">
        <is>
          <t>textiles - manmade</t>
        </is>
      </c>
      <c r="G69" s="31" t="inlineStr">
        <is>
          <t>smallcap</t>
        </is>
      </c>
      <c r="H69" s="32" t="n">
        <v>3218.09</v>
      </c>
      <c r="I69" s="32" t="n">
        <v>71.3</v>
      </c>
      <c r="J69" s="32" t="n">
        <v>-1.61</v>
      </c>
      <c r="K69" s="32" t="n">
        <v>1899439</v>
      </c>
      <c r="L69" s="31" t="n">
        <v>82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75.16</v>
      </c>
      <c r="P69" s="32" t="n">
        <v>24.3</v>
      </c>
      <c r="Q69" s="32" t="n">
        <v>54.99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-2.61</v>
      </c>
      <c r="U69" s="32" t="n">
        <v>20.58</v>
      </c>
      <c r="V69" s="32" t="n">
        <v>23.82</v>
      </c>
      <c r="W69" s="32" t="n">
        <v>22.64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Between 12 to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IF(B70=0,"",RANK(B70,$B$2:$B$354,0))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NGLFINE</t>
        </is>
      </c>
      <c r="D70" s="31" t="inlineStr">
        <is>
          <t>NGL Fine Chem Ltd</t>
        </is>
      </c>
      <c r="E70" s="31" t="inlineStr">
        <is>
          <t>healthcare</t>
        </is>
      </c>
      <c r="F70" s="31" t="inlineStr">
        <is>
          <t>pharmaceuticals - indian - bulk drugs</t>
        </is>
      </c>
      <c r="G70" s="31" t="inlineStr">
        <is>
          <t>smallcap</t>
        </is>
      </c>
      <c r="H70" s="32" t="n">
        <v>1859.59</v>
      </c>
      <c r="I70" s="32" t="n">
        <v>3220.3</v>
      </c>
      <c r="J70" s="32" t="n">
        <v>6.99</v>
      </c>
      <c r="K70" s="32" t="n">
        <v>16796</v>
      </c>
      <c r="L70" s="31" t="n">
        <v>92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77.05</v>
      </c>
      <c r="P70" s="32" t="n">
        <v>67.91</v>
      </c>
      <c r="Q70" s="32" t="n">
        <v>2261.38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15.14</v>
      </c>
      <c r="U70" s="32" t="n">
        <v>153.17</v>
      </c>
      <c r="V70" s="32" t="n">
        <v>119.89</v>
      </c>
      <c r="W70" s="32" t="n">
        <v>31.01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IF(B71=0,"",RANK(B71,$B$2:$B$354,0))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SHILPAMED</t>
        </is>
      </c>
      <c r="D71" s="31" t="inlineStr">
        <is>
          <t>Shilpa Medicare Limited</t>
        </is>
      </c>
      <c r="E71" s="31" t="inlineStr">
        <is>
          <t>healthcare</t>
        </is>
      </c>
      <c r="F71" s="31" t="inlineStr">
        <is>
          <t>pharmaceuticals - indian - formulations</t>
        </is>
      </c>
      <c r="G71" s="31" t="inlineStr">
        <is>
          <t>midcap</t>
        </is>
      </c>
      <c r="H71" s="32" t="n">
        <v>12232.66</v>
      </c>
      <c r="I71" s="32" t="n">
        <v>640</v>
      </c>
      <c r="J71" s="32" t="n">
        <v>2.33</v>
      </c>
      <c r="K71" s="32" t="n">
        <v>508552</v>
      </c>
      <c r="L71" s="31" t="n">
        <v>84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84.38</v>
      </c>
      <c r="P71" s="32" t="n">
        <v>67.91</v>
      </c>
      <c r="Q71" s="32" t="n">
        <v>511.98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15.14</v>
      </c>
      <c r="U71" s="32" t="n">
        <v>40.81</v>
      </c>
      <c r="V71" s="32" t="n">
        <v>22.3</v>
      </c>
      <c r="W71" s="32" t="n">
        <v>23.54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IF(B72=0,"",RANK(B72,$B$2:$B$354,0))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AUROPHARMA</t>
        </is>
      </c>
      <c r="D72" s="31" t="inlineStr">
        <is>
          <t>Aurobindo Pharma Limited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largecap</t>
        </is>
      </c>
      <c r="H72" s="32" t="n">
        <v>89735.94</v>
      </c>
      <c r="I72" s="32" t="n">
        <v>1579.7</v>
      </c>
      <c r="J72" s="32" t="n">
        <v>1.29</v>
      </c>
      <c r="K72" s="32" t="n">
        <v>540107</v>
      </c>
      <c r="L72" s="31" t="n">
        <v>50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67.04000000000001</v>
      </c>
      <c r="P72" s="32" t="n">
        <v>45.53</v>
      </c>
      <c r="Q72" s="32" t="n">
        <v>1386.85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15.14</v>
      </c>
      <c r="U72" s="32" t="n">
        <v>41.22</v>
      </c>
      <c r="V72" s="32" t="n">
        <v>22.66</v>
      </c>
      <c r="W72" s="32" t="n">
        <v>9.94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IF(B73=0,"",RANK(B73,$B$2:$B$354,0))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SAREGAMA</t>
        </is>
      </c>
      <c r="D73" s="31" t="inlineStr">
        <is>
          <t>Saregama India Limited</t>
        </is>
      </c>
      <c r="E73" s="31" t="inlineStr">
        <is>
          <t>media</t>
        </is>
      </c>
      <c r="F73" s="31" t="inlineStr">
        <is>
          <t>entertainment / electronic media software</t>
        </is>
      </c>
      <c r="G73" s="31" t="inlineStr">
        <is>
          <t>midcap</t>
        </is>
      </c>
      <c r="H73" s="32" t="n">
        <v>9913.299999999999</v>
      </c>
      <c r="I73" s="32" t="n">
        <v>516.2</v>
      </c>
      <c r="J73" s="32" t="n">
        <v>0.4</v>
      </c>
      <c r="K73" s="32" t="n">
        <v>445745</v>
      </c>
      <c r="L73" s="31" t="n">
        <v>64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72.73999999999999</v>
      </c>
      <c r="P73" s="32" t="n">
        <v>40.82</v>
      </c>
      <c r="Q73" s="32" t="n">
        <v>409.54</v>
      </c>
      <c r="R73" s="31" t="inlineStr">
        <is>
          <t>Near 52W High Breakout</t>
        </is>
      </c>
      <c r="S73" s="31" t="inlineStr">
        <is>
          <t>Nifty IT</t>
        </is>
      </c>
      <c r="T73" s="32" t="n">
        <v>-18.64</v>
      </c>
      <c r="U73" s="32" t="n">
        <v>7.44</v>
      </c>
      <c r="V73" s="32" t="n">
        <v>32.06</v>
      </c>
      <c r="W73" s="32" t="n">
        <v>13.92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IF(B74=0,"",RANK(B74,$B$2:$B$354,0))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PICCADIL</t>
        </is>
      </c>
      <c r="D74" s="31" t="inlineStr">
        <is>
          <t>Piccadily Agro Industries Ltd</t>
        </is>
      </c>
      <c r="E74" s="31" t="inlineStr">
        <is>
          <t>fmcg</t>
        </is>
      </c>
      <c r="F74" s="31" t="inlineStr">
        <is>
          <t>breweries &amp; distilleries</t>
        </is>
      </c>
      <c r="G74" s="31" t="inlineStr">
        <is>
          <t>midcap</t>
        </is>
      </c>
      <c r="H74" s="32" t="n">
        <v>7408.68</v>
      </c>
      <c r="I74" s="32" t="n">
        <v>753.95</v>
      </c>
      <c r="J74" s="32" t="n">
        <v>0.31</v>
      </c>
      <c r="K74" s="32" t="n">
        <v>629956</v>
      </c>
      <c r="L74" s="31" t="n">
        <v>44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</v>
      </c>
      <c r="P74" s="32" t="n">
        <v>41.19</v>
      </c>
      <c r="Q74" s="32" t="n">
        <v>594.6900000000001</v>
      </c>
      <c r="R74" s="31" t="inlineStr">
        <is>
          <t>Near 52W High Breakout</t>
        </is>
      </c>
      <c r="S74" s="31" t="inlineStr">
        <is>
          <t>Nifty FMCG</t>
        </is>
      </c>
      <c r="T74" s="32" t="n">
        <v>-10.38</v>
      </c>
      <c r="U74" s="32" t="n">
        <v>24</v>
      </c>
      <c r="V74" s="32" t="n">
        <v>38.36</v>
      </c>
      <c r="W74" s="32" t="n">
        <v>8.85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IF(B75=0,"",RANK(B75,$B$2:$B$354,0))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SUNPHARMA</t>
        </is>
      </c>
      <c r="D75" s="31" t="inlineStr">
        <is>
          <t>Sun Pharmaceuticals Industries Limited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largecap</t>
        </is>
      </c>
      <c r="H75" s="32" t="n">
        <v>469405.89</v>
      </c>
      <c r="I75" s="32" t="n">
        <v>1961.9</v>
      </c>
      <c r="J75" s="32" t="n">
        <v>0.28</v>
      </c>
      <c r="K75" s="32" t="n">
        <v>1412579</v>
      </c>
      <c r="L75" s="31" t="n">
        <v>39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66.94</v>
      </c>
      <c r="P75" s="32" t="n">
        <v>20.54</v>
      </c>
      <c r="Q75" s="32" t="n">
        <v>1743.01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15.14</v>
      </c>
      <c r="U75" s="32" t="n">
        <v>16.53</v>
      </c>
      <c r="V75" s="32" t="n">
        <v>1.21</v>
      </c>
      <c r="W75" s="32" t="n">
        <v>7.76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IF(B76=0,"",RANK(B76,$B$2:$B$354,0))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MARICO</t>
        </is>
      </c>
      <c r="D76" s="31" t="inlineStr">
        <is>
          <t>Marico Limited</t>
        </is>
      </c>
      <c r="E76" s="31" t="inlineStr">
        <is>
          <t>fmcg</t>
        </is>
      </c>
      <c r="F76" s="31" t="inlineStr">
        <is>
          <t>solvent extraction</t>
        </is>
      </c>
      <c r="G76" s="31" t="inlineStr">
        <is>
          <t>largecap</t>
        </is>
      </c>
      <c r="H76" s="32" t="n">
        <v>111050.99</v>
      </c>
      <c r="I76" s="32" t="n">
        <v>853.55</v>
      </c>
      <c r="J76" s="32" t="n">
        <v>-0.2</v>
      </c>
      <c r="K76" s="32" t="n">
        <v>1219710</v>
      </c>
      <c r="L76" s="31" t="n">
        <v>31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66.72</v>
      </c>
      <c r="P76" s="32" t="n">
        <v>27.89</v>
      </c>
      <c r="Q76" s="32" t="n">
        <v>758.77</v>
      </c>
      <c r="R76" s="31" t="inlineStr">
        <is>
          <t>Near 52W High Breakout</t>
        </is>
      </c>
      <c r="S76" s="31" t="inlineStr">
        <is>
          <t>Nifty FMCG</t>
        </is>
      </c>
      <c r="T76" s="32" t="n">
        <v>-10.38</v>
      </c>
      <c r="U76" s="32" t="n">
        <v>24.22</v>
      </c>
      <c r="V76" s="32" t="n">
        <v>38.6</v>
      </c>
      <c r="W76" s="32" t="n">
        <v>6.27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IF(B77=0,"",RANK(B77,$B$2:$B$354,0))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HESTERBIO</t>
        </is>
      </c>
      <c r="D77" s="31" t="inlineStr">
        <is>
          <t>Hester Biosciences Limited</t>
        </is>
      </c>
      <c r="E77" s="31" t="inlineStr">
        <is>
          <t>healthcare</t>
        </is>
      </c>
      <c r="F77" s="31" t="inlineStr">
        <is>
          <t>pharmaceuticals - indian - formulations</t>
        </is>
      </c>
      <c r="G77" s="31" t="inlineStr">
        <is>
          <t>smallcap</t>
        </is>
      </c>
      <c r="H77" s="32" t="n">
        <v>2146.62</v>
      </c>
      <c r="I77" s="32" t="n">
        <v>2432</v>
      </c>
      <c r="J77" s="32" t="n">
        <v>-3.62</v>
      </c>
      <c r="K77" s="32" t="n">
        <v>15268</v>
      </c>
      <c r="L77" s="31" t="n">
        <v>82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76.16</v>
      </c>
      <c r="P77" s="32" t="n">
        <v>49.25</v>
      </c>
      <c r="Q77" s="32" t="n">
        <v>1871.31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15.14</v>
      </c>
      <c r="U77" s="32" t="n">
        <v>36.91</v>
      </c>
      <c r="V77" s="32" t="n">
        <v>18.91</v>
      </c>
      <c r="W77" s="32" t="n">
        <v>22.72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IF(B78=0,"",RANK(B78,$B$2:$B$354,0))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RAIN</t>
        </is>
      </c>
      <c r="D78" s="31" t="inlineStr">
        <is>
          <t>Rain Industries Limited</t>
        </is>
      </c>
      <c r="E78" s="31" t="inlineStr">
        <is>
          <t>miscellaneous</t>
        </is>
      </c>
      <c r="F78" s="31" t="inlineStr">
        <is>
          <t>miscellaneous</t>
        </is>
      </c>
      <c r="G78" s="31" t="inlineStr">
        <is>
          <t>midcap</t>
        </is>
      </c>
      <c r="H78" s="32" t="n">
        <v>7131.2</v>
      </c>
      <c r="I78" s="32" t="n">
        <v>223.4</v>
      </c>
      <c r="J78" s="32" t="n">
        <v>5.37</v>
      </c>
      <c r="K78" s="32" t="n">
        <v>9359486</v>
      </c>
      <c r="L78" s="31" t="n">
        <v>88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75.37</v>
      </c>
      <c r="P78" s="32" t="n">
        <v>40.46</v>
      </c>
      <c r="Q78" s="32" t="n">
        <v>170.67</v>
      </c>
      <c r="R78" s="31" t="inlineStr">
        <is>
          <t>Near 52W High Breakout</t>
        </is>
      </c>
      <c r="S78" s="31" t="inlineStr">
        <is>
          <t>Nifty 50</t>
        </is>
      </c>
      <c r="T78" s="32" t="n">
        <v>-2.61</v>
      </c>
      <c r="U78" s="32" t="n">
        <v>44.81</v>
      </c>
      <c r="V78" s="32" t="n">
        <v>48.7</v>
      </c>
      <c r="W78" s="32" t="n">
        <v>26.34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IF(B79=0,"",RANK(B79,$B$2:$B$354,0))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INDNIPPON</t>
        </is>
      </c>
      <c r="D79" s="31" t="inlineStr">
        <is>
          <t>India Nippon Electricals Limited</t>
        </is>
      </c>
      <c r="E79" s="31" t="inlineStr">
        <is>
          <t>auto</t>
        </is>
      </c>
      <c r="F79" s="31" t="inlineStr">
        <is>
          <t>auto ancillaries</t>
        </is>
      </c>
      <c r="G79" s="31" t="inlineStr">
        <is>
          <t>smallcap</t>
        </is>
      </c>
      <c r="H79" s="32" t="n">
        <v>2735.84</v>
      </c>
      <c r="I79" s="32" t="n">
        <v>1241.6</v>
      </c>
      <c r="J79" s="32" t="n">
        <v>2.66</v>
      </c>
      <c r="K79" s="32" t="n">
        <v>58854</v>
      </c>
      <c r="L79" s="31" t="n">
        <v>87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78.81</v>
      </c>
      <c r="P79" s="32" t="n">
        <v>32.02</v>
      </c>
      <c r="Q79" s="32" t="n">
        <v>1006.59</v>
      </c>
      <c r="R79" s="31" t="inlineStr">
        <is>
          <t>Near 52W High Breakout</t>
        </is>
      </c>
      <c r="S79" s="31" t="inlineStr">
        <is>
          <t>Nifty Auto</t>
        </is>
      </c>
      <c r="T79" s="32" t="n">
        <v>14.71</v>
      </c>
      <c r="U79" s="32" t="n">
        <v>63.38</v>
      </c>
      <c r="V79" s="32" t="n">
        <v>42.42</v>
      </c>
      <c r="W79" s="32" t="n">
        <v>26.1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IF(B80=0,"",RANK(B80,$B$2:$B$354,0))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DIFFNKG</t>
        </is>
      </c>
      <c r="D80" s="31" t="inlineStr">
        <is>
          <t>Diffusion Engineers Ltd</t>
        </is>
      </c>
      <c r="E80" s="31" t="inlineStr">
        <is>
          <t>industrials</t>
        </is>
      </c>
      <c r="F80" s="31" t="inlineStr">
        <is>
          <t>electrodes - welding equipment</t>
        </is>
      </c>
      <c r="G80" s="31" t="inlineStr">
        <is>
          <t>smallcap</t>
        </is>
      </c>
      <c r="H80" s="32" t="n">
        <v>1445.22</v>
      </c>
      <c r="I80" s="32" t="n">
        <v>395.85</v>
      </c>
      <c r="J80" s="32" t="n">
        <v>2.51</v>
      </c>
      <c r="K80" s="32" t="n">
        <v>85889</v>
      </c>
      <c r="L80" s="31" t="n">
        <v>57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64.51000000000001</v>
      </c>
      <c r="P80" s="32" t="n">
        <v>28.52</v>
      </c>
      <c r="Q80" s="32" t="n">
        <v>314.04</v>
      </c>
      <c r="R80" s="31" t="inlineStr">
        <is>
          <t>Near 52W High Breakout</t>
        </is>
      </c>
      <c r="S80" s="31" t="inlineStr">
        <is>
          <t>Nifty 50</t>
        </is>
      </c>
      <c r="T80" s="32" t="n">
        <v>-2.61</v>
      </c>
      <c r="U80" s="32" t="n">
        <v>17.25</v>
      </c>
      <c r="V80" s="32" t="n">
        <v>20.4</v>
      </c>
      <c r="W80" s="32" t="n">
        <v>11.62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IF(B81=0,"",RANK(B81,$B$2:$B$354,0))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SWANDEF</t>
        </is>
      </c>
      <c r="D81" s="31" t="inlineStr">
        <is>
          <t>Swan Defence and Heavy Industries Ltd</t>
        </is>
      </c>
      <c r="E81" s="31" t="inlineStr">
        <is>
          <t>transportation</t>
        </is>
      </c>
      <c r="F81" s="31" t="inlineStr">
        <is>
          <t>miscellaneous</t>
        </is>
      </c>
      <c r="G81" s="31" t="inlineStr">
        <is>
          <t>midcap</t>
        </is>
      </c>
      <c r="H81" s="32" t="n">
        <v>11916.18</v>
      </c>
      <c r="I81" s="32" t="n">
        <v>2300</v>
      </c>
      <c r="J81" s="32" t="n">
        <v>1.68</v>
      </c>
      <c r="K81" s="32" t="n">
        <v>34501</v>
      </c>
      <c r="L81" s="31" t="n">
        <v>99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67.03</v>
      </c>
      <c r="P81" s="32" t="n">
        <v>47.68</v>
      </c>
      <c r="Q81" s="32" t="n">
        <v>1797.85</v>
      </c>
      <c r="R81" s="31" t="inlineStr">
        <is>
          <t>Near 52W High Breakout</t>
        </is>
      </c>
      <c r="S81" s="31" t="inlineStr">
        <is>
          <t>Nifty 50</t>
        </is>
      </c>
      <c r="T81" s="32" t="n">
        <v>-2.61</v>
      </c>
      <c r="U81" s="32" t="n">
        <v>658.11</v>
      </c>
      <c r="V81" s="32" t="n">
        <v>678.46</v>
      </c>
      <c r="W81" s="32" t="n">
        <v>67.52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IF(B82=0,"",RANK(B82,$B$2:$B$354,0))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VAIBHAVGBL</t>
        </is>
      </c>
      <c r="D82" s="31" t="inlineStr">
        <is>
          <t>Vaibhav Global Limited</t>
        </is>
      </c>
      <c r="E82" s="31" t="inlineStr">
        <is>
          <t>consumer discretionary</t>
        </is>
      </c>
      <c r="F82" s="31" t="inlineStr">
        <is>
          <t>diamond cutting / jewellery</t>
        </is>
      </c>
      <c r="G82" s="31" t="inlineStr">
        <is>
          <t>smallcap</t>
        </is>
      </c>
      <c r="H82" s="32" t="n">
        <v>4258.55</v>
      </c>
      <c r="I82" s="32" t="n">
        <v>258.11</v>
      </c>
      <c r="J82" s="32" t="n">
        <v>1.26</v>
      </c>
      <c r="K82" s="32" t="n">
        <v>359360</v>
      </c>
      <c r="L82" s="31" t="n">
        <v>36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61.1</v>
      </c>
      <c r="P82" s="32" t="n">
        <v>20.42</v>
      </c>
      <c r="Q82" s="32" t="n">
        <v>199.71</v>
      </c>
      <c r="R82" s="31" t="inlineStr">
        <is>
          <t>Near 52W High Breakout</t>
        </is>
      </c>
      <c r="S82" s="31" t="inlineStr">
        <is>
          <t>Nifty 50</t>
        </is>
      </c>
      <c r="T82" s="32" t="n">
        <v>-2.61</v>
      </c>
      <c r="U82" s="32" t="n">
        <v>13.68</v>
      </c>
      <c r="V82" s="32" t="n">
        <v>16.73</v>
      </c>
      <c r="W82" s="32" t="n">
        <v>7.18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IF(B83=0,"",RANK(B83,$B$2:$B$354,0))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JAMNAAUTO</t>
        </is>
      </c>
      <c r="D83" s="31" t="inlineStr">
        <is>
          <t>Jamna Auto Industries Limited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midcap</t>
        </is>
      </c>
      <c r="H83" s="32" t="n">
        <v>5375.53</v>
      </c>
      <c r="I83" s="32" t="n">
        <v>136.07</v>
      </c>
      <c r="J83" s="32" t="n">
        <v>1.2</v>
      </c>
      <c r="K83" s="32" t="n">
        <v>2769330</v>
      </c>
      <c r="L83" s="31" t="n">
        <v>54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57.07</v>
      </c>
      <c r="P83" s="32" t="n">
        <v>23.5</v>
      </c>
      <c r="Q83" s="32" t="n">
        <v>106.17</v>
      </c>
      <c r="R83" s="31" t="inlineStr">
        <is>
          <t>Earnings / Momentum Support</t>
        </is>
      </c>
      <c r="S83" s="31" t="inlineStr">
        <is>
          <t>Nifty Auto</t>
        </is>
      </c>
      <c r="T83" s="32" t="n">
        <v>14.71</v>
      </c>
      <c r="U83" s="32" t="n">
        <v>48.54</v>
      </c>
      <c r="V83" s="32" t="n">
        <v>29.49</v>
      </c>
      <c r="W83" s="32" t="n">
        <v>10.7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IF(B84=0,"",RANK(B84,$B$2:$B$354,0))</f>
        <v/>
      </c>
      <c r="B84" s="32">
        <f>SUM(N84,Y84,AA84,AC84,AE84,AG84,AI84,AK84,AM84,AO84,AQ84,AS84,AU84,AW84,AY84,BA84,BC84,BE84,BG84,BI84,BK84,BM84,BO84,BQ84,BS84,BU84,BW84,BY84,CA84,CC84,CE84)</f>
        <v/>
      </c>
      <c r="C84" s="33" t="inlineStr">
        <is>
          <t>GREENPLY</t>
        </is>
      </c>
      <c r="D84" s="33" t="inlineStr">
        <is>
          <t>Greenply Industries Limited</t>
        </is>
      </c>
      <c r="E84" s="31" t="inlineStr">
        <is>
          <t>building materials</t>
        </is>
      </c>
      <c r="F84" s="31" t="inlineStr">
        <is>
          <t>miscellaneous</t>
        </is>
      </c>
      <c r="G84" s="31" t="inlineStr">
        <is>
          <t>smallcap</t>
        </is>
      </c>
      <c r="H84" s="32" t="n">
        <v>4016.23</v>
      </c>
      <c r="I84" s="32" t="n">
        <v>325</v>
      </c>
      <c r="J84" s="32" t="n">
        <v>1.07</v>
      </c>
      <c r="K84" s="32" t="n">
        <v>120962</v>
      </c>
      <c r="L84" s="31" t="n">
        <v>43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69.26000000000001</v>
      </c>
      <c r="P84" s="32" t="n">
        <v>31.52</v>
      </c>
      <c r="Q84" s="32" t="n">
        <v>254.34</v>
      </c>
      <c r="R84" s="31" t="inlineStr">
        <is>
          <t>Near 52W High Breakout</t>
        </is>
      </c>
      <c r="S84" s="31" t="inlineStr">
        <is>
          <t>Nifty Infra</t>
        </is>
      </c>
      <c r="T84" s="32" t="n">
        <v>4.24</v>
      </c>
      <c r="U84" s="32" t="n">
        <v>-2.42</v>
      </c>
      <c r="V84" s="32" t="n">
        <v>-6.39</v>
      </c>
      <c r="W84" s="32" t="n">
        <v>8.67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IF(B85=0,"",RANK(B85,$B$2:$B$354,0))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SSWL</t>
        </is>
      </c>
      <c r="D85" s="31" t="inlineStr">
        <is>
          <t>Steel Strips Wheels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smallcap</t>
        </is>
      </c>
      <c r="H85" s="32" t="n">
        <v>4343.37</v>
      </c>
      <c r="I85" s="32" t="n">
        <v>279.3</v>
      </c>
      <c r="J85" s="32" t="n">
        <v>1.07</v>
      </c>
      <c r="K85" s="32" t="n">
        <v>1407720</v>
      </c>
      <c r="L85" s="31" t="n">
        <v>57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70.90000000000001</v>
      </c>
      <c r="P85" s="32" t="n">
        <v>16.52</v>
      </c>
      <c r="Q85" s="32" t="n">
        <v>217.48</v>
      </c>
      <c r="R85" s="31" t="inlineStr">
        <is>
          <t>Near 52W High Breakout</t>
        </is>
      </c>
      <c r="S85" s="31" t="inlineStr">
        <is>
          <t>Nifty Auto</t>
        </is>
      </c>
      <c r="T85" s="32" t="n">
        <v>14.71</v>
      </c>
      <c r="U85" s="32" t="n">
        <v>16.62</v>
      </c>
      <c r="V85" s="32" t="n">
        <v>1.66</v>
      </c>
      <c r="W85" s="32" t="n">
        <v>11.58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IF(B86=0,"",RANK(B86,$B$2:$B$354,0))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JGCHEM</t>
        </is>
      </c>
      <c r="D86" s="31" t="inlineStr">
        <is>
          <t>J.G.Chemicals Ltd</t>
        </is>
      </c>
      <c r="E86" s="31" t="inlineStr">
        <is>
          <t>chemicals</t>
        </is>
      </c>
      <c r="F86" s="31" t="inlineStr">
        <is>
          <t>chemicals</t>
        </is>
      </c>
      <c r="G86" s="31" t="inlineStr">
        <is>
          <t>smallcap</t>
        </is>
      </c>
      <c r="H86" s="32" t="n">
        <v>1916.98</v>
      </c>
      <c r="I86" s="32" t="n">
        <v>493.35</v>
      </c>
      <c r="J86" s="32" t="n">
        <v>0.85</v>
      </c>
      <c r="K86" s="32" t="n">
        <v>1298132</v>
      </c>
      <c r="L86" s="31" t="n">
        <v>40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66.91</v>
      </c>
      <c r="P86" s="32" t="n">
        <v>24.11</v>
      </c>
      <c r="Q86" s="32" t="n">
        <v>376.69</v>
      </c>
      <c r="R86" s="31" t="inlineStr">
        <is>
          <t>Volume Spike &amp; Near 52W High Breakout</t>
        </is>
      </c>
      <c r="S86" s="31" t="inlineStr">
        <is>
          <t>Nifty IT</t>
        </is>
      </c>
      <c r="T86" s="32" t="n">
        <v>-18.64</v>
      </c>
      <c r="U86" s="32" t="n">
        <v>4.1</v>
      </c>
      <c r="V86" s="32" t="n">
        <v>27.94</v>
      </c>
      <c r="W86" s="32" t="n">
        <v>7.87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Between 12 to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IF(B87=0,"",RANK(B87,$B$2:$B$354,0))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PRIVISCL</t>
        </is>
      </c>
      <c r="D87" s="31" t="inlineStr">
        <is>
          <t>Privi Speciality Chemicals Ltd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midcap</t>
        </is>
      </c>
      <c r="H87" s="32" t="n">
        <v>14357.89</v>
      </c>
      <c r="I87" s="32" t="n">
        <v>3699.9</v>
      </c>
      <c r="J87" s="32" t="n">
        <v>0.66</v>
      </c>
      <c r="K87" s="32" t="n">
        <v>38614</v>
      </c>
      <c r="L87" s="31" t="n">
        <v>56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66.28</v>
      </c>
      <c r="P87" s="32" t="n">
        <v>27.78</v>
      </c>
      <c r="Q87" s="32" t="n">
        <v>3071.04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-2.61</v>
      </c>
      <c r="U87" s="32" t="n">
        <v>48.18</v>
      </c>
      <c r="V87" s="32" t="n">
        <v>52.16</v>
      </c>
      <c r="W87" s="32" t="n">
        <v>11.42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IF(B88=0,"",RANK(B88,$B$2:$B$354,0))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PSPPROJECT</t>
        </is>
      </c>
      <c r="D88" s="31" t="inlineStr">
        <is>
          <t>PSP Projects Ltd</t>
        </is>
      </c>
      <c r="E88" s="31" t="inlineStr">
        <is>
          <t>realty</t>
        </is>
      </c>
      <c r="F88" s="31" t="inlineStr">
        <is>
          <t>construction</t>
        </is>
      </c>
      <c r="G88" s="31" t="inlineStr">
        <is>
          <t>smallcap</t>
        </is>
      </c>
      <c r="H88" s="32" t="n">
        <v>4250.79</v>
      </c>
      <c r="I88" s="32" t="n">
        <v>1077.4</v>
      </c>
      <c r="J88" s="32" t="n">
        <v>0.48</v>
      </c>
      <c r="K88" s="32" t="n">
        <v>59773</v>
      </c>
      <c r="L88" s="31" t="n">
        <v>74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71.38</v>
      </c>
      <c r="P88" s="32" t="n">
        <v>31.18</v>
      </c>
      <c r="Q88" s="32" t="n">
        <v>833.5</v>
      </c>
      <c r="R88" s="31" t="inlineStr">
        <is>
          <t>Near 52W High Breakout</t>
        </is>
      </c>
      <c r="S88" s="31" t="inlineStr">
        <is>
          <t>Nifty Realty</t>
        </is>
      </c>
      <c r="T88" s="32" t="n">
        <v>-2.45</v>
      </c>
      <c r="U88" s="32" t="n">
        <v>33.03</v>
      </c>
      <c r="V88" s="32" t="n">
        <v>36.36</v>
      </c>
      <c r="W88" s="32" t="n">
        <v>17.23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IF(B89=0,"",RANK(B89,$B$2:$B$354,0))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SPORTKING</t>
        </is>
      </c>
      <c r="D89" s="31" t="inlineStr">
        <is>
          <t>Sportking India Ltd</t>
        </is>
      </c>
      <c r="E89" s="31" t="inlineStr">
        <is>
          <t>textiles</t>
        </is>
      </c>
      <c r="F89" s="31" t="inlineStr">
        <is>
          <t>textiles - spinning - synthetic / blended</t>
        </is>
      </c>
      <c r="G89" s="31" t="inlineStr">
        <is>
          <t>smallcap</t>
        </is>
      </c>
      <c r="H89" s="32" t="n">
        <v>2510.31</v>
      </c>
      <c r="I89" s="32" t="n">
        <v>198.46</v>
      </c>
      <c r="J89" s="32" t="n">
        <v>0.46</v>
      </c>
      <c r="K89" s="32" t="n">
        <v>351637</v>
      </c>
      <c r="L89" s="31" t="n">
        <v>84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81.70999999999999</v>
      </c>
      <c r="P89" s="32" t="n">
        <v>67.93000000000001</v>
      </c>
      <c r="Q89" s="32" t="n">
        <v>149.09</v>
      </c>
      <c r="R89" s="31" t="inlineStr">
        <is>
          <t>Near 52W High Breakout</t>
        </is>
      </c>
      <c r="S89" s="31" t="inlineStr">
        <is>
          <t>Nifty 50</t>
        </is>
      </c>
      <c r="T89" s="32" t="n">
        <v>-2.61</v>
      </c>
      <c r="U89" s="32" t="n">
        <v>55.04</v>
      </c>
      <c r="V89" s="32" t="n">
        <v>59.2</v>
      </c>
      <c r="W89" s="32" t="n">
        <v>23.49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IF(B90=0,"",RANK(B90,$B$2:$B$354,0))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OCCLLTD</t>
        </is>
      </c>
      <c r="D90" s="31" t="inlineStr">
        <is>
          <t>OCCL Ltd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smallcap</t>
        </is>
      </c>
      <c r="H90" s="32" t="n">
        <v>678.03</v>
      </c>
      <c r="I90" s="32" t="n">
        <v>136.3</v>
      </c>
      <c r="J90" s="32" t="n">
        <v>0.41</v>
      </c>
      <c r="K90" s="32" t="n">
        <v>26075</v>
      </c>
      <c r="L90" s="31" t="n">
        <v>48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70.13</v>
      </c>
      <c r="P90" s="32" t="n">
        <v>27.06</v>
      </c>
      <c r="Q90" s="32" t="n">
        <v>99.62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-2.61</v>
      </c>
      <c r="U90" s="32" t="n">
        <v>0.86</v>
      </c>
      <c r="V90" s="32" t="n">
        <v>3.57</v>
      </c>
      <c r="W90" s="32" t="n">
        <v>9.69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IF(B91=0,"",RANK(B91,$B$2:$B$354,0))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GNA</t>
        </is>
      </c>
      <c r="D91" s="31" t="inlineStr">
        <is>
          <t>Gna Axles Limited</t>
        </is>
      </c>
      <c r="E91" s="31" t="inlineStr">
        <is>
          <t>auto</t>
        </is>
      </c>
      <c r="F91" s="31" t="inlineStr">
        <is>
          <t>auto ancillaries</t>
        </is>
      </c>
      <c r="G91" s="31" t="inlineStr">
        <is>
          <t>smallcap</t>
        </is>
      </c>
      <c r="H91" s="32" t="n">
        <v>2180.88</v>
      </c>
      <c r="I91" s="32" t="n">
        <v>509.8</v>
      </c>
      <c r="J91" s="32" t="n">
        <v>0.35</v>
      </c>
      <c r="K91" s="32" t="n">
        <v>1071317</v>
      </c>
      <c r="L91" s="31" t="n">
        <v>67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64.45999999999999</v>
      </c>
      <c r="P91" s="32" t="n">
        <v>24.94</v>
      </c>
      <c r="Q91" s="32" t="n">
        <v>418.84</v>
      </c>
      <c r="R91" s="31" t="inlineStr">
        <is>
          <t>Earnings / Momentum Support</t>
        </is>
      </c>
      <c r="S91" s="31" t="inlineStr">
        <is>
          <t>Nifty Auto</t>
        </is>
      </c>
      <c r="T91" s="32" t="n">
        <v>14.71</v>
      </c>
      <c r="U91" s="32" t="n">
        <v>63.94</v>
      </c>
      <c r="V91" s="32" t="n">
        <v>42.91</v>
      </c>
      <c r="W91" s="32" t="n">
        <v>14.76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IF(B92=0,"",RANK(B92,$B$2:$B$354,0))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KMEW</t>
        </is>
      </c>
      <c r="D92" s="31" t="inlineStr">
        <is>
          <t>Knowledge Marine &amp; Engineering Works Ltd</t>
        </is>
      </c>
      <c r="E92" s="31" t="inlineStr">
        <is>
          <t>transportation</t>
        </is>
      </c>
      <c r="F92" s="31" t="inlineStr">
        <is>
          <t>miscellaneous</t>
        </is>
      </c>
      <c r="G92" s="31" t="inlineStr">
        <is>
          <t>midcap</t>
        </is>
      </c>
      <c r="H92" s="32" t="n">
        <v>5977.32</v>
      </c>
      <c r="I92" s="32" t="n">
        <v>2451.8</v>
      </c>
      <c r="J92" s="32" t="n">
        <v>0.27</v>
      </c>
      <c r="K92" s="32" t="n">
        <v>36988</v>
      </c>
      <c r="L92" s="31" t="n">
        <v>94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71.37</v>
      </c>
      <c r="P92" s="32" t="n">
        <v>45.6</v>
      </c>
      <c r="Q92" s="32" t="n">
        <v>1777.53</v>
      </c>
      <c r="R92" s="31" t="inlineStr">
        <is>
          <t>Near 52W High Breakout</t>
        </is>
      </c>
      <c r="S92" s="31" t="inlineStr">
        <is>
          <t>Nifty 50</t>
        </is>
      </c>
      <c r="T92" s="32" t="n">
        <v>-2.61</v>
      </c>
      <c r="U92" s="32" t="n">
        <v>186.04</v>
      </c>
      <c r="V92" s="32" t="n">
        <v>193.72</v>
      </c>
      <c r="W92" s="32" t="n">
        <v>34.06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IF(B93=0,"",RANK(B93,$B$2:$B$354,0))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SOLARINDS</t>
        </is>
      </c>
      <c r="D93" s="31" t="inlineStr">
        <is>
          <t>Solar Industries India Limited</t>
        </is>
      </c>
      <c r="E93" s="31" t="inlineStr">
        <is>
          <t>aerospace &amp; defence</t>
        </is>
      </c>
      <c r="F93" s="31" t="inlineStr">
        <is>
          <t>chemicals</t>
        </is>
      </c>
      <c r="G93" s="31" t="inlineStr">
        <is>
          <t>largecap</t>
        </is>
      </c>
      <c r="H93" s="32" t="n">
        <v>172184.48</v>
      </c>
      <c r="I93" s="32" t="n">
        <v>19045</v>
      </c>
      <c r="J93" s="32" t="n">
        <v>0.09</v>
      </c>
      <c r="K93" s="32" t="n">
        <v>101711</v>
      </c>
      <c r="L93" s="31" t="n">
        <v>58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67.5</v>
      </c>
      <c r="P93" s="32" t="n">
        <v>39.68</v>
      </c>
      <c r="Q93" s="32" t="n">
        <v>15530.5</v>
      </c>
      <c r="R93" s="31" t="inlineStr">
        <is>
          <t>Near 52W High Breakout</t>
        </is>
      </c>
      <c r="S93" s="31" t="inlineStr">
        <is>
          <t>Nifty 50</t>
        </is>
      </c>
      <c r="T93" s="32" t="n">
        <v>-2.61</v>
      </c>
      <c r="U93" s="32" t="n">
        <v>31.3</v>
      </c>
      <c r="V93" s="32" t="n">
        <v>34.82</v>
      </c>
      <c r="W93" s="32" t="n">
        <v>11.77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IF(B94=0,"",RANK(B94,$B$2:$B$354,0))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VISHNU</t>
        </is>
      </c>
      <c r="D94" s="31" t="inlineStr">
        <is>
          <t>Vishnu Chemicals Limited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smallcap</t>
        </is>
      </c>
      <c r="H94" s="32" t="n">
        <v>4308.85</v>
      </c>
      <c r="I94" s="32" t="n">
        <v>640.45</v>
      </c>
      <c r="J94" s="32" t="n">
        <v>0.05</v>
      </c>
      <c r="K94" s="32" t="n">
        <v>920516</v>
      </c>
      <c r="L94" s="31" t="n">
        <v>37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65.40000000000001</v>
      </c>
      <c r="P94" s="32" t="n">
        <v>48.87</v>
      </c>
      <c r="Q94" s="32" t="n">
        <v>503.79</v>
      </c>
      <c r="R94" s="31" t="inlineStr">
        <is>
          <t>Volume Spike &amp; Near 52W High Breakout</t>
        </is>
      </c>
      <c r="S94" s="31" t="inlineStr">
        <is>
          <t>Nifty 50</t>
        </is>
      </c>
      <c r="T94" s="32" t="n">
        <v>-2.61</v>
      </c>
      <c r="U94" s="32" t="n">
        <v>28.63</v>
      </c>
      <c r="V94" s="32" t="n">
        <v>32.09</v>
      </c>
      <c r="W94" s="32" t="n">
        <v>7.38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IF(B95=0,"",RANK(B95,$B$2:$B$354,0))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GMRAIRPORT</t>
        </is>
      </c>
      <c r="D95" s="31" t="inlineStr">
        <is>
          <t>GMR Airports Ltd</t>
        </is>
      </c>
      <c r="E95" s="31" t="inlineStr">
        <is>
          <t>miscellaneous</t>
        </is>
      </c>
      <c r="F95" s="31" t="inlineStr">
        <is>
          <t>miscellaneous</t>
        </is>
      </c>
      <c r="G95" s="31" t="inlineStr">
        <is>
          <t>largecap</t>
        </is>
      </c>
      <c r="H95" s="32" t="n">
        <v>117774.82</v>
      </c>
      <c r="I95" s="32" t="n">
        <v>111.48</v>
      </c>
      <c r="J95" s="32" t="n">
        <v>-0.05</v>
      </c>
      <c r="K95" s="32" t="n">
        <v>17518151</v>
      </c>
      <c r="L95" s="31" t="n">
        <v>41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64.06999999999999</v>
      </c>
      <c r="P95" s="32" t="n">
        <v>22.99</v>
      </c>
      <c r="Q95" s="32" t="n">
        <v>94.7</v>
      </c>
      <c r="R95" s="31" t="inlineStr">
        <is>
          <t>Near 52W High Breakout</t>
        </is>
      </c>
      <c r="S95" s="31" t="inlineStr">
        <is>
          <t>Nifty 50</t>
        </is>
      </c>
      <c r="T95" s="32" t="n">
        <v>-2.61</v>
      </c>
      <c r="U95" s="32" t="n">
        <v>23.96</v>
      </c>
      <c r="V95" s="32" t="n">
        <v>27.29</v>
      </c>
      <c r="W95" s="32" t="n">
        <v>8.210000000000001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IF(B96=0,"",RANK(B96,$B$2:$B$354,0))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ASTRAMICRO</t>
        </is>
      </c>
      <c r="D96" s="31" t="inlineStr">
        <is>
          <t>Astra Microwave Products Limited</t>
        </is>
      </c>
      <c r="E96" s="31" t="inlineStr">
        <is>
          <t>aerospace &amp; defence</t>
        </is>
      </c>
      <c r="F96" s="31" t="inlineStr">
        <is>
          <t>telecommunications - equipment</t>
        </is>
      </c>
      <c r="G96" s="31" t="inlineStr">
        <is>
          <t>midcap</t>
        </is>
      </c>
      <c r="H96" s="32" t="n">
        <v>16624.87</v>
      </c>
      <c r="I96" s="32" t="n">
        <v>1747.1</v>
      </c>
      <c r="J96" s="32" t="n">
        <v>-0.22</v>
      </c>
      <c r="K96" s="32" t="n">
        <v>207689</v>
      </c>
      <c r="L96" s="31" t="n">
        <v>87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74.93000000000001</v>
      </c>
      <c r="P96" s="32" t="n">
        <v>52.97</v>
      </c>
      <c r="Q96" s="32" t="n">
        <v>1495.16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-2.61</v>
      </c>
      <c r="U96" s="32" t="n">
        <v>79.55</v>
      </c>
      <c r="V96" s="32" t="n">
        <v>84.37</v>
      </c>
      <c r="W96" s="32" t="n">
        <v>25.95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Between 1.5 to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IF(B97=0,"",RANK(B97,$B$2:$B$354,0))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CARTRADE</t>
        </is>
      </c>
      <c r="D97" s="31" t="inlineStr">
        <is>
          <t>Cartrade Tech Ltd</t>
        </is>
      </c>
      <c r="E97" s="31" t="inlineStr">
        <is>
          <t>consumer discretionary</t>
        </is>
      </c>
      <c r="F97" s="31" t="inlineStr">
        <is>
          <t>miscellaneous</t>
        </is>
      </c>
      <c r="G97" s="31" t="inlineStr">
        <is>
          <t>midcap</t>
        </is>
      </c>
      <c r="H97" s="32" t="n">
        <v>13232.27</v>
      </c>
      <c r="I97" s="32" t="n">
        <v>2726</v>
      </c>
      <c r="J97" s="32" t="n">
        <v>-1.07</v>
      </c>
      <c r="K97" s="32" t="n">
        <v>336866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63.64</v>
      </c>
      <c r="P97" s="32" t="n">
        <v>28.02</v>
      </c>
      <c r="Q97" s="32" t="n">
        <v>2028.49</v>
      </c>
      <c r="R97" s="31" t="inlineStr">
        <is>
          <t>Earnings / Momentum Support</t>
        </is>
      </c>
      <c r="S97" s="31" t="inlineStr">
        <is>
          <t>Nifty 50</t>
        </is>
      </c>
      <c r="T97" s="32" t="n">
        <v>-2.61</v>
      </c>
      <c r="U97" s="32" t="n">
        <v>43.88</v>
      </c>
      <c r="V97" s="32" t="n">
        <v>47.74</v>
      </c>
      <c r="W97" s="32" t="n">
        <v>24.3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IF(B98=0,"",RANK(B98,$B$2:$B$354,0))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SANSERA</t>
        </is>
      </c>
      <c r="D98" s="31" t="inlineStr">
        <is>
          <t>Sansera Engineering Ltd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largecap</t>
        </is>
      </c>
      <c r="H98" s="32" t="n">
        <v>20812.84</v>
      </c>
      <c r="I98" s="32" t="n">
        <v>3292.5</v>
      </c>
      <c r="J98" s="32" t="n">
        <v>-1.28</v>
      </c>
      <c r="K98" s="32" t="n">
        <v>514111</v>
      </c>
      <c r="L98" s="31" t="n">
        <v>88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76.23999999999999</v>
      </c>
      <c r="P98" s="32" t="n">
        <v>51.31</v>
      </c>
      <c r="Q98" s="32" t="n">
        <v>2631.91</v>
      </c>
      <c r="R98" s="31" t="inlineStr">
        <is>
          <t>Near 52W High Breakout</t>
        </is>
      </c>
      <c r="S98" s="31" t="inlineStr">
        <is>
          <t>Nifty Auto</t>
        </is>
      </c>
      <c r="T98" s="32" t="n">
        <v>14.71</v>
      </c>
      <c r="U98" s="32" t="n">
        <v>143.49</v>
      </c>
      <c r="V98" s="32" t="n">
        <v>112.26</v>
      </c>
      <c r="W98" s="32" t="n">
        <v>26.88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IF(B99=0,"",RANK(B99,$B$2:$B$354,0))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GANESHBE</t>
        </is>
      </c>
      <c r="D99" s="31" t="inlineStr">
        <is>
          <t>Ganesh Benzoplast Ltd</t>
        </is>
      </c>
      <c r="E99" s="31" t="inlineStr">
        <is>
          <t>miscellaneous</t>
        </is>
      </c>
      <c r="F99" s="31" t="inlineStr">
        <is>
          <t>miscellaneous</t>
        </is>
      </c>
      <c r="G99" s="31" t="inlineStr">
        <is>
          <t>smallcap</t>
        </is>
      </c>
      <c r="H99" s="32" t="n">
        <v>770.4299999999999</v>
      </c>
      <c r="I99" s="32" t="n">
        <v>105.39</v>
      </c>
      <c r="J99" s="32" t="n">
        <v>-1.52</v>
      </c>
      <c r="K99" s="32" t="n">
        <v>157194</v>
      </c>
      <c r="L99" s="31" t="n">
        <v>24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58.81</v>
      </c>
      <c r="P99" s="32" t="n">
        <v>26.87</v>
      </c>
      <c r="Q99" s="32" t="n">
        <v>82.7</v>
      </c>
      <c r="R99" s="31" t="inlineStr">
        <is>
          <t>Earnings / Momentum Support</t>
        </is>
      </c>
      <c r="S99" s="31" t="inlineStr">
        <is>
          <t>Nifty 50</t>
        </is>
      </c>
      <c r="T99" s="32" t="n">
        <v>-2.61</v>
      </c>
      <c r="U99" s="32" t="n">
        <v>9.59</v>
      </c>
      <c r="V99" s="32" t="n">
        <v>12.53</v>
      </c>
      <c r="W99" s="32" t="n">
        <v>4.59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IF(B100=0,"",RANK(B100,$B$2:$B$354,0))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TATVA</t>
        </is>
      </c>
      <c r="D100" s="31" t="inlineStr">
        <is>
          <t>Tatva Chintan Pharma Chem Ltd</t>
        </is>
      </c>
      <c r="E100" s="31" t="inlineStr">
        <is>
          <t>chemicals</t>
        </is>
      </c>
      <c r="F100" s="31" t="inlineStr">
        <is>
          <t>chemicals</t>
        </is>
      </c>
      <c r="G100" s="31" t="inlineStr">
        <is>
          <t>smallcap</t>
        </is>
      </c>
      <c r="H100" s="32" t="n">
        <v>4008.7</v>
      </c>
      <c r="I100" s="32" t="n">
        <v>1685</v>
      </c>
      <c r="J100" s="32" t="n">
        <v>-1.67</v>
      </c>
      <c r="K100" s="32" t="n">
        <v>1658861</v>
      </c>
      <c r="L100" s="31" t="n">
        <v>70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72.97</v>
      </c>
      <c r="P100" s="32" t="n">
        <v>20.34</v>
      </c>
      <c r="Q100" s="32" t="n">
        <v>1264.5</v>
      </c>
      <c r="R100" s="31" t="inlineStr">
        <is>
          <t>Volume Spike &amp; Near 52W High Breakout</t>
        </is>
      </c>
      <c r="S100" s="31" t="inlineStr">
        <is>
          <t>Nifty 50</t>
        </is>
      </c>
      <c r="T100" s="32" t="n">
        <v>-2.61</v>
      </c>
      <c r="U100" s="32" t="n">
        <v>47.21</v>
      </c>
      <c r="V100" s="32" t="n">
        <v>51.16</v>
      </c>
      <c r="W100" s="32" t="n">
        <v>15.75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IF(B101=0,"",RANK(B101,$B$2:$B$354,0))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LAURUSLABS</t>
        </is>
      </c>
      <c r="D101" s="31" t="inlineStr">
        <is>
          <t>Laurus Labs Limited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largecap</t>
        </is>
      </c>
      <c r="H101" s="32" t="n">
        <v>84158.24000000001</v>
      </c>
      <c r="I101" s="32" t="n">
        <v>1593.2</v>
      </c>
      <c r="J101" s="32" t="n">
        <v>2.2</v>
      </c>
      <c r="K101" s="32" t="n">
        <v>1871739</v>
      </c>
      <c r="L101" s="31" t="n">
        <v>84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79.78</v>
      </c>
      <c r="P101" s="32" t="n">
        <v>57.55</v>
      </c>
      <c r="Q101" s="32" t="n">
        <v>1358.89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15.14</v>
      </c>
      <c r="U101" s="32" t="n">
        <v>90.42</v>
      </c>
      <c r="V101" s="32" t="n">
        <v>65.39</v>
      </c>
      <c r="W101" s="32" t="n">
        <v>23.26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Between 12 to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IF(B102=0,"",RANK(B102,$B$2:$B$354,0))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IZMO</t>
        </is>
      </c>
      <c r="D102" s="31" t="inlineStr">
        <is>
          <t>Izmo Limited</t>
        </is>
      </c>
      <c r="E102" s="31" t="inlineStr">
        <is>
          <t>i.t</t>
        </is>
      </c>
      <c r="F102" s="31" t="inlineStr">
        <is>
          <t>computers - software - medium / small</t>
        </is>
      </c>
      <c r="G102" s="31" t="inlineStr">
        <is>
          <t>smallcap</t>
        </is>
      </c>
      <c r="H102" s="32" t="n">
        <v>1616.56</v>
      </c>
      <c r="I102" s="32" t="n">
        <v>1103.8</v>
      </c>
      <c r="J102" s="32" t="n">
        <v>2.17</v>
      </c>
      <c r="K102" s="32" t="n">
        <v>115883</v>
      </c>
      <c r="L102" s="31" t="n">
        <v>97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66.41</v>
      </c>
      <c r="P102" s="32" t="n">
        <v>32.02</v>
      </c>
      <c r="Q102" s="32" t="n">
        <v>797.87</v>
      </c>
      <c r="R102" s="31" t="inlineStr">
        <is>
          <t>Earnings / Momentum Support</t>
        </is>
      </c>
      <c r="S102" s="31" t="inlineStr">
        <is>
          <t>Nifty IT</t>
        </is>
      </c>
      <c r="T102" s="32" t="n">
        <v>-18.64</v>
      </c>
      <c r="U102" s="32" t="n">
        <v>190.17</v>
      </c>
      <c r="V102" s="32" t="n">
        <v>256.64</v>
      </c>
      <c r="W102" s="32" t="n">
        <v>42.93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Less than 50%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IF(B103=0,"",RANK(B103,$B$2:$B$354,0))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LUPIN</t>
        </is>
      </c>
      <c r="D103" s="31" t="inlineStr">
        <is>
          <t>Lupin Limited</t>
        </is>
      </c>
      <c r="E103" s="31" t="inlineStr">
        <is>
          <t>healthcare</t>
        </is>
      </c>
      <c r="F103" s="31" t="inlineStr">
        <is>
          <t>pharmaceuticals - indian - bulk drugs &amp; formln</t>
        </is>
      </c>
      <c r="G103" s="31" t="inlineStr">
        <is>
          <t>largecap</t>
        </is>
      </c>
      <c r="H103" s="32" t="n">
        <v>113311.84</v>
      </c>
      <c r="I103" s="32" t="n">
        <v>2514.8</v>
      </c>
      <c r="J103" s="32" t="n">
        <v>1.46</v>
      </c>
      <c r="K103" s="32" t="n">
        <v>782166</v>
      </c>
      <c r="L103" s="31" t="n">
        <v>38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70.77</v>
      </c>
      <c r="P103" s="32" t="n">
        <v>18.01</v>
      </c>
      <c r="Q103" s="32" t="n">
        <v>2219.69</v>
      </c>
      <c r="R103" s="31" t="inlineStr">
        <is>
          <t>Near 52W High Breakout</t>
        </is>
      </c>
      <c r="S103" s="31" t="inlineStr">
        <is>
          <t>Nifty Pharma</t>
        </is>
      </c>
      <c r="T103" s="32" t="n">
        <v>15.14</v>
      </c>
      <c r="U103" s="32" t="n">
        <v>29.83</v>
      </c>
      <c r="V103" s="32" t="n">
        <v>12.76</v>
      </c>
      <c r="W103" s="32" t="n">
        <v>7.55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Yes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0 to 20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IF(B104=0,"",RANK(B104,$B$2:$B$354,0))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SENORES</t>
        </is>
      </c>
      <c r="D104" s="31" t="inlineStr">
        <is>
          <t>Senores Pharmaceuticals Ltd</t>
        </is>
      </c>
      <c r="E104" s="31" t="inlineStr">
        <is>
          <t>healthcare</t>
        </is>
      </c>
      <c r="F104" s="31" t="inlineStr">
        <is>
          <t>pharmaceuticals - indian - formulations</t>
        </is>
      </c>
      <c r="G104" s="31" t="inlineStr">
        <is>
          <t>midcap</t>
        </is>
      </c>
      <c r="H104" s="32" t="n">
        <v>6378.42</v>
      </c>
      <c r="I104" s="32" t="n">
        <v>1404.1</v>
      </c>
      <c r="J104" s="32" t="n">
        <v>1.38</v>
      </c>
      <c r="K104" s="32" t="n">
        <v>130976</v>
      </c>
      <c r="L104" s="31" t="n">
        <v>90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76.7</v>
      </c>
      <c r="P104" s="32" t="n">
        <v>62.92</v>
      </c>
      <c r="Q104" s="32" t="n">
        <v>1104.19</v>
      </c>
      <c r="R104" s="31" t="inlineStr">
        <is>
          <t>Near 52W High Breakout</t>
        </is>
      </c>
      <c r="S104" s="31" t="inlineStr">
        <is>
          <t>Nifty Pharma</t>
        </is>
      </c>
      <c r="T104" s="32" t="n">
        <v>15.14</v>
      </c>
      <c r="U104" s="32" t="n">
        <v>109.88</v>
      </c>
      <c r="V104" s="32" t="n">
        <v>82.29000000000001</v>
      </c>
      <c r="W104" s="32" t="n">
        <v>29.09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IF(B105=0,"",RANK(B105,$B$2:$B$354,0))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ZYDUSWELL</t>
        </is>
      </c>
      <c r="D105" s="31" t="inlineStr">
        <is>
          <t>Zydus Wellness Limited</t>
        </is>
      </c>
      <c r="E105" s="31" t="inlineStr">
        <is>
          <t>fmcg</t>
        </is>
      </c>
      <c r="F105" s="31" t="inlineStr">
        <is>
          <t>food - processing - indian</t>
        </is>
      </c>
      <c r="G105" s="31" t="inlineStr">
        <is>
          <t>midcap</t>
        </is>
      </c>
      <c r="H105" s="32" t="n">
        <v>19169.18</v>
      </c>
      <c r="I105" s="32" t="n">
        <v>592.25</v>
      </c>
      <c r="J105" s="32" t="n">
        <v>-1.7</v>
      </c>
      <c r="K105" s="32" t="n">
        <v>171824</v>
      </c>
      <c r="L105" s="31" t="n">
        <v>59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72.34999999999999</v>
      </c>
      <c r="P105" s="32" t="n">
        <v>51.65</v>
      </c>
      <c r="Q105" s="32" t="n">
        <v>474.46</v>
      </c>
      <c r="R105" s="31" t="inlineStr">
        <is>
          <t>Near 52W High Breakout</t>
        </is>
      </c>
      <c r="S105" s="31" t="inlineStr">
        <is>
          <t>Nifty FMCG</t>
        </is>
      </c>
      <c r="T105" s="32" t="n">
        <v>-10.38</v>
      </c>
      <c r="U105" s="32" t="n">
        <v>41.12</v>
      </c>
      <c r="V105" s="32" t="n">
        <v>57.46</v>
      </c>
      <c r="W105" s="32" t="n">
        <v>12.14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B2C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IF(B106=0,"",RANK(B106,$B$2:$B$354,0))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SHRIPISTON</t>
        </is>
      </c>
      <c r="D106" s="31" t="inlineStr">
        <is>
          <t>Shriram Pistons &amp; Rings Limited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midcap</t>
        </is>
      </c>
      <c r="H106" s="32" t="n">
        <v>18649.81</v>
      </c>
      <c r="I106" s="32" t="n">
        <v>4520</v>
      </c>
      <c r="J106" s="32" t="n">
        <v>6.76</v>
      </c>
      <c r="K106" s="32" t="n">
        <v>96155</v>
      </c>
      <c r="L106" s="31" t="n">
        <v>79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73.81</v>
      </c>
      <c r="P106" s="32" t="n">
        <v>37.79</v>
      </c>
      <c r="Q106" s="32" t="n">
        <v>3597.81</v>
      </c>
      <c r="R106" s="31" t="inlineStr">
        <is>
          <t>Near 52W High Breakout</t>
        </is>
      </c>
      <c r="S106" s="31" t="inlineStr">
        <is>
          <t>Nifty Auto</t>
        </is>
      </c>
      <c r="T106" s="32" t="n">
        <v>14.71</v>
      </c>
      <c r="U106" s="32" t="n">
        <v>85.65000000000001</v>
      </c>
      <c r="V106" s="32" t="n">
        <v>61.84</v>
      </c>
      <c r="W106" s="32" t="n">
        <v>19.65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IF(B107=0,"",RANK(B107,$B$2:$B$354,0))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GABRIEL</t>
        </is>
      </c>
      <c r="D107" s="31" t="inlineStr">
        <is>
          <t>Gabriel India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largecap</t>
        </is>
      </c>
      <c r="H107" s="32" t="n">
        <v>24776.76</v>
      </c>
      <c r="I107" s="32" t="n">
        <v>1488.5</v>
      </c>
      <c r="J107" s="32" t="n">
        <v>6.47</v>
      </c>
      <c r="K107" s="32" t="n">
        <v>2659286</v>
      </c>
      <c r="L107" s="31" t="n">
        <v>82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74.12</v>
      </c>
      <c r="P107" s="32" t="n">
        <v>28.34</v>
      </c>
      <c r="Q107" s="32" t="n">
        <v>1175.47</v>
      </c>
      <c r="R107" s="31" t="inlineStr">
        <is>
          <t>Volume Spike &amp; Near 52W High Breakout</t>
        </is>
      </c>
      <c r="S107" s="31" t="inlineStr">
        <is>
          <t>Nifty Auto</t>
        </is>
      </c>
      <c r="T107" s="32" t="n">
        <v>14.71</v>
      </c>
      <c r="U107" s="32" t="n">
        <v>50.56</v>
      </c>
      <c r="V107" s="32" t="n">
        <v>31.25</v>
      </c>
      <c r="W107" s="32" t="n">
        <v>22.37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IF(B108=0,"",RANK(B108,$B$2:$B$354,0))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EXICOM</t>
        </is>
      </c>
      <c r="D108" s="31" t="inlineStr">
        <is>
          <t>Exicom Tele-Systems Ltd</t>
        </is>
      </c>
      <c r="E108" s="31" t="inlineStr">
        <is>
          <t>industrials</t>
        </is>
      </c>
      <c r="F108" s="31" t="inlineStr">
        <is>
          <t>electric equipment</t>
        </is>
      </c>
      <c r="G108" s="31" t="inlineStr">
        <is>
          <t>smallcap</t>
        </is>
      </c>
      <c r="H108" s="32" t="n">
        <v>2339.6</v>
      </c>
      <c r="I108" s="32" t="n">
        <v>176.81</v>
      </c>
      <c r="J108" s="32" t="n">
        <v>5.11</v>
      </c>
      <c r="K108" s="32" t="n">
        <v>5693433</v>
      </c>
      <c r="L108" s="31" t="n">
        <v>68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62.99</v>
      </c>
      <c r="P108" s="32" t="n">
        <v>34.81</v>
      </c>
      <c r="Q108" s="32" t="n">
        <v>113.89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-2.61</v>
      </c>
      <c r="U108" s="32" t="n">
        <v>7.86</v>
      </c>
      <c r="V108" s="32" t="n">
        <v>10.76</v>
      </c>
      <c r="W108" s="32" t="n">
        <v>15.18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IF(B109=0,"",RANK(B109,$B$2:$B$354,0))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SARLAPOLY</t>
        </is>
      </c>
      <c r="D109" s="33" t="inlineStr">
        <is>
          <t>Sarla Performance Fibers Limited</t>
        </is>
      </c>
      <c r="E109" s="31" t="inlineStr">
        <is>
          <t>textiles</t>
        </is>
      </c>
      <c r="F109" s="31" t="inlineStr">
        <is>
          <t>textiles - spinning - synthetic / blended</t>
        </is>
      </c>
      <c r="G109" s="31" t="inlineStr">
        <is>
          <t>smallcap</t>
        </is>
      </c>
      <c r="H109" s="32" t="n">
        <v>794</v>
      </c>
      <c r="I109" s="32" t="n">
        <v>103.55</v>
      </c>
      <c r="J109" s="32" t="n">
        <v>3.68</v>
      </c>
      <c r="K109" s="32" t="n">
        <v>78216</v>
      </c>
      <c r="L109" s="31" t="n">
        <v>15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60.91</v>
      </c>
      <c r="P109" s="32" t="n">
        <v>38.25</v>
      </c>
      <c r="Q109" s="32" t="n">
        <v>79.97</v>
      </c>
      <c r="R109" s="31" t="inlineStr">
        <is>
          <t>Earnings / Momentum Support</t>
        </is>
      </c>
      <c r="S109" s="31" t="inlineStr">
        <is>
          <t>Nifty 50</t>
        </is>
      </c>
      <c r="T109" s="32" t="n">
        <v>-2.61</v>
      </c>
      <c r="U109" s="32" t="n">
        <v>-9.44</v>
      </c>
      <c r="V109" s="32" t="n">
        <v>-7.01</v>
      </c>
      <c r="W109" s="32" t="n">
        <v>2.45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IF(B110=0,"",RANK(B110,$B$2:$B$354,0))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PANSARI</t>
        </is>
      </c>
      <c r="D110" s="31" t="inlineStr">
        <is>
          <t>Pansari Developers Ltd</t>
        </is>
      </c>
      <c r="E110" s="31" t="inlineStr">
        <is>
          <t>realty</t>
        </is>
      </c>
      <c r="F110" s="31" t="inlineStr">
        <is>
          <t>construction</t>
        </is>
      </c>
      <c r="G110" s="31" t="inlineStr">
        <is>
          <t>smallcap</t>
        </is>
      </c>
      <c r="H110" s="32" t="n">
        <v>622.15</v>
      </c>
      <c r="I110" s="32" t="n">
        <v>367</v>
      </c>
      <c r="J110" s="32" t="n">
        <v>2.92</v>
      </c>
      <c r="K110" s="32" t="n">
        <v>4826</v>
      </c>
      <c r="L110" s="31" t="n">
        <v>59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63.77</v>
      </c>
      <c r="P110" s="32" t="n">
        <v>32.19</v>
      </c>
      <c r="Q110" s="32" t="n">
        <v>253.57</v>
      </c>
      <c r="R110" s="31" t="inlineStr">
        <is>
          <t>Near 52W High Breakout</t>
        </is>
      </c>
      <c r="S110" s="31" t="inlineStr">
        <is>
          <t>Nifty Realty</t>
        </is>
      </c>
      <c r="T110" s="32" t="n">
        <v>-2.45</v>
      </c>
      <c r="U110" s="32" t="n">
        <v>50.61</v>
      </c>
      <c r="V110" s="32" t="n">
        <v>54.39</v>
      </c>
      <c r="W110" s="32" t="n">
        <v>11.86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Negative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IF(B111=0,"",RANK(B111,$B$2:$B$354,0))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VARROC</t>
        </is>
      </c>
      <c r="D111" s="31" t="inlineStr">
        <is>
          <t>Varroc Engineering Ltd</t>
        </is>
      </c>
      <c r="E111" s="31" t="inlineStr">
        <is>
          <t>auto</t>
        </is>
      </c>
      <c r="F111" s="31" t="inlineStr">
        <is>
          <t>auto ancillaries</t>
        </is>
      </c>
      <c r="G111" s="31" t="inlineStr">
        <is>
          <t>midcap</t>
        </is>
      </c>
      <c r="H111" s="32" t="n">
        <v>9808.889999999999</v>
      </c>
      <c r="I111" s="32" t="n">
        <v>658.15</v>
      </c>
      <c r="J111" s="32" t="n">
        <v>2.52</v>
      </c>
      <c r="K111" s="32" t="n">
        <v>65589</v>
      </c>
      <c r="L111" s="31" t="n">
        <v>54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65.53</v>
      </c>
      <c r="P111" s="32" t="n">
        <v>28.14</v>
      </c>
      <c r="Q111" s="32" t="n">
        <v>543.54</v>
      </c>
      <c r="R111" s="31" t="inlineStr">
        <is>
          <t>Near 52W High Breakout</t>
        </is>
      </c>
      <c r="S111" s="31" t="inlineStr">
        <is>
          <t>Nifty Auto</t>
        </is>
      </c>
      <c r="T111" s="32" t="n">
        <v>14.71</v>
      </c>
      <c r="U111" s="32" t="n">
        <v>22.46</v>
      </c>
      <c r="V111" s="32" t="n">
        <v>6.76</v>
      </c>
      <c r="W111" s="32" t="n">
        <v>10.73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IF(B112=0,"",RANK(B112,$B$2:$B$354,0))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YASHO</t>
        </is>
      </c>
      <c r="D112" s="31" t="inlineStr">
        <is>
          <t>Yasho Industries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smallcap</t>
        </is>
      </c>
      <c r="H112" s="32" t="n">
        <v>3701.83</v>
      </c>
      <c r="I112" s="32" t="n">
        <v>3140</v>
      </c>
      <c r="J112" s="32" t="n">
        <v>2.23</v>
      </c>
      <c r="K112" s="32" t="n">
        <v>11531</v>
      </c>
      <c r="L112" s="31" t="n">
        <v>97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84.8</v>
      </c>
      <c r="P112" s="32" t="n">
        <v>49.59</v>
      </c>
      <c r="Q112" s="32" t="n">
        <v>2386.54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-2.61</v>
      </c>
      <c r="U112" s="32" t="n">
        <v>60.34</v>
      </c>
      <c r="V112" s="32" t="n">
        <v>64.65000000000001</v>
      </c>
      <c r="W112" s="32" t="n">
        <v>40.89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More than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IF(B113=0,"",RANK(B113,$B$2:$B$354,0))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KABRAEXTRU</t>
        </is>
      </c>
      <c r="D113" s="31" t="inlineStr">
        <is>
          <t>Kabra Extrusion Technik Limited</t>
        </is>
      </c>
      <c r="E113" s="31" t="inlineStr">
        <is>
          <t>industrials</t>
        </is>
      </c>
      <c r="F113" s="31" t="inlineStr">
        <is>
          <t>engineering</t>
        </is>
      </c>
      <c r="G113" s="31" t="inlineStr">
        <is>
          <t>smallcap</t>
        </is>
      </c>
      <c r="H113" s="32" t="n">
        <v>1229.82</v>
      </c>
      <c r="I113" s="32" t="n">
        <v>359.3</v>
      </c>
      <c r="J113" s="32" t="n">
        <v>2.18</v>
      </c>
      <c r="K113" s="32" t="n">
        <v>166122</v>
      </c>
      <c r="L113" s="31" t="n">
        <v>73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75.56</v>
      </c>
      <c r="P113" s="32" t="n">
        <v>20.57</v>
      </c>
      <c r="Q113" s="32" t="n">
        <v>271.86</v>
      </c>
      <c r="R113" s="31" t="inlineStr">
        <is>
          <t>Near 52W High Breakout</t>
        </is>
      </c>
      <c r="S113" s="31" t="inlineStr">
        <is>
          <t>Nifty Infra</t>
        </is>
      </c>
      <c r="T113" s="32" t="n">
        <v>4.24</v>
      </c>
      <c r="U113" s="32" t="n">
        <v>23.56</v>
      </c>
      <c r="V113" s="32" t="n">
        <v>18.53</v>
      </c>
      <c r="W113" s="32" t="n">
        <v>16.62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IF(B114=0,"",RANK(B114,$B$2:$B$354,0))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3" t="inlineStr">
        <is>
          <t>KROSS</t>
        </is>
      </c>
      <c r="D114" s="33" t="inlineStr">
        <is>
          <t>Kross Ltd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1343.86</v>
      </c>
      <c r="I114" s="32" t="n">
        <v>211.23</v>
      </c>
      <c r="J114" s="32" t="n">
        <v>1.4</v>
      </c>
      <c r="K114" s="32" t="n">
        <v>3875819</v>
      </c>
      <c r="L114" s="31" t="n">
        <v>29</v>
      </c>
      <c r="M114" s="31" t="inlineStr">
        <is>
          <t>Underperforming</t>
        </is>
      </c>
      <c r="N114" s="32">
        <f>IF(M114="Underperforming",-5,IF(L114&gt;=95,15,IF(L114&gt;=90,10,IF(L114&gt;=80,5,0))))</f>
        <v/>
      </c>
      <c r="O114" s="32" t="n">
        <v>58.46</v>
      </c>
      <c r="P114" s="32" t="n">
        <v>20.36</v>
      </c>
      <c r="Q114" s="32" t="n">
        <v>169.4</v>
      </c>
      <c r="R114" s="31" t="inlineStr">
        <is>
          <t>Volume Spike / Accumulation</t>
        </is>
      </c>
      <c r="S114" s="31" t="inlineStr">
        <is>
          <t>Nifty Auto</t>
        </is>
      </c>
      <c r="T114" s="32" t="n">
        <v>14.71</v>
      </c>
      <c r="U114" s="32" t="n">
        <v>13.24</v>
      </c>
      <c r="V114" s="32" t="n">
        <v>-1.28</v>
      </c>
      <c r="W114" s="32" t="n">
        <v>5.63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IF(B115=0,"",RANK(B115,$B$2:$B$354,0))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PHOENIXLTD</t>
        </is>
      </c>
      <c r="D115" s="31" t="inlineStr">
        <is>
          <t>The Phoenix Mills Limited</t>
        </is>
      </c>
      <c r="E115" s="31" t="inlineStr">
        <is>
          <t>realty</t>
        </is>
      </c>
      <c r="F115" s="31" t="inlineStr">
        <is>
          <t>construction</t>
        </is>
      </c>
      <c r="G115" s="31" t="inlineStr">
        <is>
          <t>largecap</t>
        </is>
      </c>
      <c r="H115" s="32" t="n">
        <v>74174.63</v>
      </c>
      <c r="I115" s="32" t="n">
        <v>2091.2</v>
      </c>
      <c r="J115" s="32" t="n">
        <v>0.83</v>
      </c>
      <c r="K115" s="32" t="n">
        <v>618619</v>
      </c>
      <c r="L115" s="31" t="n">
        <v>51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67.8</v>
      </c>
      <c r="P115" s="32" t="n">
        <v>16.17</v>
      </c>
      <c r="Q115" s="32" t="n">
        <v>1807.05</v>
      </c>
      <c r="R115" s="31" t="inlineStr">
        <is>
          <t>Near 52W High Breakout</t>
        </is>
      </c>
      <c r="S115" s="31" t="inlineStr">
        <is>
          <t>Nifty Realty</t>
        </is>
      </c>
      <c r="T115" s="32" t="n">
        <v>-2.45</v>
      </c>
      <c r="U115" s="32" t="n">
        <v>37.27</v>
      </c>
      <c r="V115" s="32" t="n">
        <v>40.71</v>
      </c>
      <c r="W115" s="32" t="n">
        <v>10.28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IF(B116=0,"",RANK(B116,$B$2:$B$354,0))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WELCORP</t>
        </is>
      </c>
      <c r="D116" s="31" t="inlineStr">
        <is>
          <t>Welspun Corp Limited</t>
        </is>
      </c>
      <c r="E116" s="31" t="inlineStr">
        <is>
          <t>industrials</t>
        </is>
      </c>
      <c r="F116" s="31" t="inlineStr">
        <is>
          <t>steel - large</t>
        </is>
      </c>
      <c r="G116" s="31" t="inlineStr">
        <is>
          <t>largecap</t>
        </is>
      </c>
      <c r="H116" s="32" t="n">
        <v>42623.29</v>
      </c>
      <c r="I116" s="32" t="n">
        <v>1628.9</v>
      </c>
      <c r="J116" s="32" t="n">
        <v>0.8100000000000001</v>
      </c>
      <c r="K116" s="32" t="n">
        <v>594224</v>
      </c>
      <c r="L116" s="31" t="n">
        <v>85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84.20999999999999</v>
      </c>
      <c r="P116" s="32" t="n">
        <v>68.84999999999999</v>
      </c>
      <c r="Q116" s="32" t="n">
        <v>1335.3</v>
      </c>
      <c r="R116" s="31" t="inlineStr">
        <is>
          <t>Near 52W High Breakout</t>
        </is>
      </c>
      <c r="S116" s="31" t="inlineStr">
        <is>
          <t>Nifty Metal</t>
        </is>
      </c>
      <c r="T116" s="32" t="n">
        <v>33.93</v>
      </c>
      <c r="U116" s="32" t="n">
        <v>84.93000000000001</v>
      </c>
      <c r="V116" s="32" t="n">
        <v>38.08</v>
      </c>
      <c r="W116" s="32" t="n">
        <v>23.57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IF(B117=0,"",RANK(B117,$B$2:$B$354,0))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INDOTECH</t>
        </is>
      </c>
      <c r="D117" s="31" t="inlineStr">
        <is>
          <t>Indo Tech Transformers Limited</t>
        </is>
      </c>
      <c r="E117" s="31" t="inlineStr">
        <is>
          <t>industrials</t>
        </is>
      </c>
      <c r="F117" s="31" t="inlineStr">
        <is>
          <t>electric equipment</t>
        </is>
      </c>
      <c r="G117" s="31" t="inlineStr">
        <is>
          <t>smallcap</t>
        </is>
      </c>
      <c r="H117" s="32" t="n">
        <v>3619.19</v>
      </c>
      <c r="I117" s="32" t="n">
        <v>3419.2</v>
      </c>
      <c r="J117" s="32" t="n">
        <v>0.33</v>
      </c>
      <c r="K117" s="32" t="n">
        <v>13590</v>
      </c>
      <c r="L117" s="31" t="n">
        <v>90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75.56</v>
      </c>
      <c r="P117" s="32" t="n">
        <v>48.96</v>
      </c>
      <c r="Q117" s="32" t="n">
        <v>2530.39</v>
      </c>
      <c r="R117" s="31" t="inlineStr">
        <is>
          <t>Near 52W High Breakout</t>
        </is>
      </c>
      <c r="S117" s="31" t="inlineStr">
        <is>
          <t>Nifty Infra</t>
        </is>
      </c>
      <c r="T117" s="32" t="n">
        <v>4.24</v>
      </c>
      <c r="U117" s="32" t="n">
        <v>84.54000000000001</v>
      </c>
      <c r="V117" s="32" t="n">
        <v>77.04000000000001</v>
      </c>
      <c r="W117" s="32" t="n">
        <v>28.84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Between 12 to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IF(B118=0,"",RANK(B118,$B$2:$B$354,0))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ADANIPORTS</t>
        </is>
      </c>
      <c r="D118" s="31" t="inlineStr">
        <is>
          <t>Adani Ports And Special Economic Zone Limited</t>
        </is>
      </c>
      <c r="E118" s="31" t="inlineStr">
        <is>
          <t>transportation</t>
        </is>
      </c>
      <c r="F118" s="31" t="inlineStr">
        <is>
          <t>miscellaneous</t>
        </is>
      </c>
      <c r="G118" s="31" t="inlineStr">
        <is>
          <t>largecap</t>
        </is>
      </c>
      <c r="H118" s="32" t="n">
        <v>424850.06</v>
      </c>
      <c r="I118" s="32" t="n">
        <v>1846.5</v>
      </c>
      <c r="J118" s="32" t="n">
        <v>0.14</v>
      </c>
      <c r="K118" s="32" t="n">
        <v>1372350</v>
      </c>
      <c r="L118" s="31" t="n">
        <v>49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67.61</v>
      </c>
      <c r="P118" s="32" t="n">
        <v>34.24</v>
      </c>
      <c r="Q118" s="32" t="n">
        <v>1620.78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-2.61</v>
      </c>
      <c r="U118" s="32" t="n">
        <v>32.8</v>
      </c>
      <c r="V118" s="32" t="n">
        <v>36.36</v>
      </c>
      <c r="W118" s="32" t="n">
        <v>9.800000000000001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IF(B119=0,"",RANK(B119,$B$2:$B$354,0))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OBEROIRLTY</t>
        </is>
      </c>
      <c r="D119" s="31" t="inlineStr">
        <is>
          <t>Oberoi Realty Limited</t>
        </is>
      </c>
      <c r="E119" s="31" t="inlineStr">
        <is>
          <t>realty</t>
        </is>
      </c>
      <c r="F119" s="31" t="inlineStr">
        <is>
          <t>construction</t>
        </is>
      </c>
      <c r="G119" s="31" t="inlineStr">
        <is>
          <t>largecap</t>
        </is>
      </c>
      <c r="H119" s="32" t="n">
        <v>68455.39</v>
      </c>
      <c r="I119" s="32" t="n">
        <v>1884.9</v>
      </c>
      <c r="J119" s="32" t="n">
        <v>0.12</v>
      </c>
      <c r="K119" s="32" t="n">
        <v>198135</v>
      </c>
      <c r="L119" s="31" t="n">
        <v>27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64.23</v>
      </c>
      <c r="P119" s="32" t="n">
        <v>17.36</v>
      </c>
      <c r="Q119" s="32" t="n">
        <v>1618.41</v>
      </c>
      <c r="R119" s="31" t="inlineStr">
        <is>
          <t>Near 52W High Breakout</t>
        </is>
      </c>
      <c r="S119" s="31" t="inlineStr">
        <is>
          <t>Nifty Realty</t>
        </is>
      </c>
      <c r="T119" s="32" t="n">
        <v>-2.45</v>
      </c>
      <c r="U119" s="32" t="n">
        <v>11.41</v>
      </c>
      <c r="V119" s="32" t="n">
        <v>14.2</v>
      </c>
      <c r="W119" s="32" t="n">
        <v>5.12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IF(B120=0,"",RANK(B120,$B$2:$B$354,0))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CRAFTSMAN</t>
        </is>
      </c>
      <c r="D120" s="31" t="inlineStr">
        <is>
          <t>Craftsman Automation Ltd</t>
        </is>
      </c>
      <c r="E120" s="31" t="inlineStr">
        <is>
          <t>auto</t>
        </is>
      </c>
      <c r="F120" s="31" t="inlineStr">
        <is>
          <t>auto ancillaries</t>
        </is>
      </c>
      <c r="G120" s="31" t="inlineStr">
        <is>
          <t>largecap</t>
        </is>
      </c>
      <c r="H120" s="32" t="n">
        <v>24568.17</v>
      </c>
      <c r="I120" s="32" t="n">
        <v>9403.5</v>
      </c>
      <c r="J120" s="32" t="n">
        <v>0.11</v>
      </c>
      <c r="K120" s="32" t="n">
        <v>60078</v>
      </c>
      <c r="L120" s="31" t="n">
        <v>62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62.53</v>
      </c>
      <c r="P120" s="32" t="n">
        <v>50.34</v>
      </c>
      <c r="Q120" s="32" t="n">
        <v>7967.4</v>
      </c>
      <c r="R120" s="31" t="inlineStr">
        <is>
          <t>Near 52W High Breakout</t>
        </is>
      </c>
      <c r="S120" s="31" t="inlineStr">
        <is>
          <t>Nifty Auto</t>
        </is>
      </c>
      <c r="T120" s="32" t="n">
        <v>14.71</v>
      </c>
      <c r="U120" s="32" t="n">
        <v>49.92</v>
      </c>
      <c r="V120" s="32" t="n">
        <v>30.69</v>
      </c>
      <c r="W120" s="32" t="n">
        <v>13.63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Less than 50% and Borrowings are increasing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IF(B121=0,"",RANK(B121,$B$2:$B$354,0))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BOROSCI</t>
        </is>
      </c>
      <c r="D121" s="33" t="inlineStr">
        <is>
          <t>Borosil Scientific Ltd</t>
        </is>
      </c>
      <c r="E121" s="31" t="inlineStr">
        <is>
          <t>building materials</t>
        </is>
      </c>
      <c r="F121" s="31" t="inlineStr">
        <is>
          <t>glass &amp; glass products</t>
        </is>
      </c>
      <c r="G121" s="31" t="inlineStr">
        <is>
          <t>smallcap</t>
        </is>
      </c>
      <c r="H121" s="32" t="n">
        <v>1444.23</v>
      </c>
      <c r="I121" s="32" t="n">
        <v>162</v>
      </c>
      <c r="J121" s="32" t="n">
        <v>-0.23</v>
      </c>
      <c r="K121" s="32" t="n">
        <v>47354</v>
      </c>
      <c r="L121" s="31" t="n">
        <v>47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68.18000000000001</v>
      </c>
      <c r="P121" s="32" t="n">
        <v>41.61</v>
      </c>
      <c r="Q121" s="32" t="n">
        <v>127.92</v>
      </c>
      <c r="R121" s="31" t="inlineStr">
        <is>
          <t>Near 52W High Breakout</t>
        </is>
      </c>
      <c r="S121" s="31" t="inlineStr">
        <is>
          <t>Nifty Infra</t>
        </is>
      </c>
      <c r="T121" s="32" t="n">
        <v>4.24</v>
      </c>
      <c r="U121" s="32" t="n">
        <v>-5.63</v>
      </c>
      <c r="V121" s="32" t="n">
        <v>-9.460000000000001</v>
      </c>
      <c r="W121" s="32" t="n">
        <v>9.4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IF(B122=0,"",RANK(B122,$B$2:$B$354,0))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POLYPLEX</t>
        </is>
      </c>
      <c r="D122" s="33" t="inlineStr">
        <is>
          <t>Polyplex Corporation Limited</t>
        </is>
      </c>
      <c r="E122" s="31" t="inlineStr">
        <is>
          <t>industrials</t>
        </is>
      </c>
      <c r="F122" s="31" t="inlineStr">
        <is>
          <t>packaging</t>
        </is>
      </c>
      <c r="G122" s="31" t="inlineStr">
        <is>
          <t>smallcap</t>
        </is>
      </c>
      <c r="H122" s="32" t="n">
        <v>3375.79</v>
      </c>
      <c r="I122" s="32" t="n">
        <v>1071.95</v>
      </c>
      <c r="J122" s="32" t="n">
        <v>-0.32</v>
      </c>
      <c r="K122" s="32" t="n">
        <v>40737</v>
      </c>
      <c r="L122" s="31" t="n">
        <v>20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66.45</v>
      </c>
      <c r="P122" s="32" t="n">
        <v>41.83</v>
      </c>
      <c r="Q122" s="32" t="n">
        <v>872.64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-2.61</v>
      </c>
      <c r="U122" s="32" t="n">
        <v>-4.64</v>
      </c>
      <c r="V122" s="32" t="n">
        <v>-2.08</v>
      </c>
      <c r="W122" s="32" t="n">
        <v>4.02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IF(B123=0,"",RANK(B123,$B$2:$B$354,0))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SKYGOLD</t>
        </is>
      </c>
      <c r="D123" s="31" t="inlineStr">
        <is>
          <t>Sky Gold Ltd</t>
        </is>
      </c>
      <c r="E123" s="31" t="inlineStr">
        <is>
          <t>consumer discretionary</t>
        </is>
      </c>
      <c r="F123" s="31" t="inlineStr">
        <is>
          <t>diamond cutting / jewellery</t>
        </is>
      </c>
      <c r="G123" s="31" t="inlineStr">
        <is>
          <t>midcap</t>
        </is>
      </c>
      <c r="H123" s="32" t="n">
        <v>10196.12</v>
      </c>
      <c r="I123" s="32" t="n">
        <v>655.8</v>
      </c>
      <c r="J123" s="32" t="n">
        <v>-0.39</v>
      </c>
      <c r="K123" s="32" t="n">
        <v>1525584</v>
      </c>
      <c r="L123" s="31" t="n">
        <v>92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74.66</v>
      </c>
      <c r="P123" s="32" t="n">
        <v>55.57</v>
      </c>
      <c r="Q123" s="32" t="n">
        <v>489.6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-2.61</v>
      </c>
      <c r="U123" s="32" t="n">
        <v>117.3</v>
      </c>
      <c r="V123" s="32" t="n">
        <v>123.13</v>
      </c>
      <c r="W123" s="32" t="n">
        <v>31.67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Negative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IF(B124=0,"",RANK(B124,$B$2:$B$354,0))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CENTURYPLY</t>
        </is>
      </c>
      <c r="D124" s="31" t="inlineStr">
        <is>
          <t>Century Plyboards (india) Limited</t>
        </is>
      </c>
      <c r="E124" s="31" t="inlineStr">
        <is>
          <t>building materials</t>
        </is>
      </c>
      <c r="F124" s="31" t="inlineStr">
        <is>
          <t>miscellaneous</t>
        </is>
      </c>
      <c r="G124" s="31" t="inlineStr">
        <is>
          <t>midcap</t>
        </is>
      </c>
      <c r="H124" s="32" t="n">
        <v>17693.86</v>
      </c>
      <c r="I124" s="32" t="n">
        <v>792.85</v>
      </c>
      <c r="J124" s="32" t="n">
        <v>-0.45</v>
      </c>
      <c r="K124" s="32" t="n">
        <v>20356</v>
      </c>
      <c r="L124" s="31" t="n">
        <v>10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56.11</v>
      </c>
      <c r="P124" s="32" t="n">
        <v>21.56</v>
      </c>
      <c r="Q124" s="32" t="n">
        <v>651.6900000000001</v>
      </c>
      <c r="R124" s="31" t="inlineStr">
        <is>
          <t>Earnings / Momentum Support</t>
        </is>
      </c>
      <c r="S124" s="31" t="inlineStr">
        <is>
          <t>Nifty Infra</t>
        </is>
      </c>
      <c r="T124" s="32" t="n">
        <v>4.24</v>
      </c>
      <c r="U124" s="32" t="n">
        <v>6.84</v>
      </c>
      <c r="V124" s="32" t="n">
        <v>2.5</v>
      </c>
      <c r="W124" s="32" t="n">
        <v>1.64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IF(B125=0,"",RANK(B125,$B$2:$B$354,0))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TTKPRESTIG</t>
        </is>
      </c>
      <c r="D125" s="31" t="inlineStr">
        <is>
          <t>Ttk Prestige Limited</t>
        </is>
      </c>
      <c r="E125" s="31" t="inlineStr">
        <is>
          <t>consumer discretionary</t>
        </is>
      </c>
      <c r="F125" s="31" t="inlineStr">
        <is>
          <t>domestic appliances</t>
        </is>
      </c>
      <c r="G125" s="31" t="inlineStr">
        <is>
          <t>midcap</t>
        </is>
      </c>
      <c r="H125" s="32" t="n">
        <v>9113.4</v>
      </c>
      <c r="I125" s="32" t="n">
        <v>659</v>
      </c>
      <c r="J125" s="32" t="n">
        <v>-0.97</v>
      </c>
      <c r="K125" s="32" t="n">
        <v>52028</v>
      </c>
      <c r="L125" s="31" t="n">
        <v>35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66.65000000000001</v>
      </c>
      <c r="P125" s="32" t="n">
        <v>34.98</v>
      </c>
      <c r="Q125" s="32" t="n">
        <v>536.1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-2.61</v>
      </c>
      <c r="U125" s="32" t="n">
        <v>5.08</v>
      </c>
      <c r="V125" s="32" t="n">
        <v>7.9</v>
      </c>
      <c r="W125" s="32" t="n">
        <v>7.02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IF(B126=0,"",RANK(B126,$B$2:$B$354,0))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RAYMONDREL</t>
        </is>
      </c>
      <c r="D126" s="33" t="inlineStr">
        <is>
          <t>Raymond Realty Ltd</t>
        </is>
      </c>
      <c r="E126" s="31" t="inlineStr">
        <is>
          <t>realty</t>
        </is>
      </c>
      <c r="F126" s="31" t="inlineStr">
        <is>
          <t>construction</t>
        </is>
      </c>
      <c r="G126" s="31" t="inlineStr">
        <is>
          <t>smallcap</t>
        </is>
      </c>
      <c r="H126" s="32" t="n">
        <v>4683.46</v>
      </c>
      <c r="I126" s="32" t="n">
        <v>691.8</v>
      </c>
      <c r="J126" s="32" t="n">
        <v>-1.66</v>
      </c>
      <c r="K126" s="32" t="n">
        <v>238704</v>
      </c>
      <c r="L126" s="31" t="n">
        <v>70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62.6</v>
      </c>
      <c r="P126" s="32" t="n">
        <v>44.11</v>
      </c>
      <c r="Q126" s="32" t="n">
        <v>501.49</v>
      </c>
      <c r="R126" s="31" t="inlineStr">
        <is>
          <t>Near 52W High Breakout</t>
        </is>
      </c>
      <c r="S126" s="31" t="inlineStr">
        <is>
          <t>Nifty Realty</t>
        </is>
      </c>
      <c r="T126" s="32" t="n">
        <v>-2.45</v>
      </c>
      <c r="U126" s="32" t="n">
        <v>-2.88</v>
      </c>
      <c r="V126" s="32" t="n">
        <v>-0.45</v>
      </c>
      <c r="W126" s="32" t="n">
        <v>15.43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Negative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IF(B127=0,"",RANK(B127,$B$2:$B$354,0))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ROLEXRINGS</t>
        </is>
      </c>
      <c r="D127" s="33" t="inlineStr">
        <is>
          <t>Rolex Rings Ltd</t>
        </is>
      </c>
      <c r="E127" s="31" t="inlineStr">
        <is>
          <t>auto</t>
        </is>
      </c>
      <c r="F127" s="31" t="inlineStr">
        <is>
          <t>auto ancillaries</t>
        </is>
      </c>
      <c r="G127" s="31" t="inlineStr">
        <is>
          <t>smallcap</t>
        </is>
      </c>
      <c r="H127" s="32" t="n">
        <v>4227.97</v>
      </c>
      <c r="I127" s="32" t="n">
        <v>150.86</v>
      </c>
      <c r="J127" s="32" t="n">
        <v>-2.83</v>
      </c>
      <c r="K127" s="32" t="n">
        <v>2118990</v>
      </c>
      <c r="L127" s="31" t="n">
        <v>8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57.18</v>
      </c>
      <c r="P127" s="32" t="n">
        <v>36.03</v>
      </c>
      <c r="Q127" s="32" t="n">
        <v>122.6</v>
      </c>
      <c r="R127" s="31" t="inlineStr">
        <is>
          <t>Near 52W High Breakout</t>
        </is>
      </c>
      <c r="S127" s="31" t="inlineStr">
        <is>
          <t>Nifty Auto</t>
        </is>
      </c>
      <c r="T127" s="32" t="n">
        <v>14.71</v>
      </c>
      <c r="U127" s="32" t="n">
        <v>2.38</v>
      </c>
      <c r="V127" s="32" t="n">
        <v>-10.76</v>
      </c>
      <c r="W127" s="32" t="n">
        <v>0.88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IF(B128=0,"",RANK(B128,$B$2:$B$354,0))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AKUMS</t>
        </is>
      </c>
      <c r="D128" s="31" t="inlineStr">
        <is>
          <t>Akums Drugs &amp; Pharmaceuticals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midcap</t>
        </is>
      </c>
      <c r="H128" s="32" t="n">
        <v>10648.49</v>
      </c>
      <c r="I128" s="32" t="n">
        <v>695.05</v>
      </c>
      <c r="J128" s="32" t="n">
        <v>2.73</v>
      </c>
      <c r="K128" s="32" t="n">
        <v>433209</v>
      </c>
      <c r="L128" s="31" t="n">
        <v>65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71.40000000000001</v>
      </c>
      <c r="P128" s="32" t="n">
        <v>48.5</v>
      </c>
      <c r="Q128" s="32" t="n">
        <v>564.0599999999999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15.14</v>
      </c>
      <c r="U128" s="32" t="n">
        <v>31.71</v>
      </c>
      <c r="V128" s="32" t="n">
        <v>14.4</v>
      </c>
      <c r="W128" s="32" t="n">
        <v>14.35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IF(B129=0,"",RANK(B129,$B$2:$B$354,0))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3" t="inlineStr">
        <is>
          <t>ALIVUS</t>
        </is>
      </c>
      <c r="D129" s="33" t="inlineStr">
        <is>
          <t>Alivus Life Sciences Ltd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midcap</t>
        </is>
      </c>
      <c r="H129" s="32" t="n">
        <v>13897.44</v>
      </c>
      <c r="I129" s="32" t="n">
        <v>1144</v>
      </c>
      <c r="J129" s="32" t="n">
        <v>1.03</v>
      </c>
      <c r="K129" s="32" t="n">
        <v>41916</v>
      </c>
      <c r="L129" s="31" t="n">
        <v>24</v>
      </c>
      <c r="M129" s="31" t="inlineStr">
        <is>
          <t>Underperforming</t>
        </is>
      </c>
      <c r="N129" s="32">
        <f>IF(M129="Underperforming",-5,IF(L129&gt;=95,15,IF(L129&gt;=90,10,IF(L129&gt;=80,5,0))))</f>
        <v/>
      </c>
      <c r="O129" s="32" t="n">
        <v>65.76000000000001</v>
      </c>
      <c r="P129" s="32" t="n">
        <v>35.33</v>
      </c>
      <c r="Q129" s="32" t="n">
        <v>947.8200000000001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15.14</v>
      </c>
      <c r="U129" s="32" t="n">
        <v>11.97</v>
      </c>
      <c r="V129" s="32" t="n">
        <v>-2.75</v>
      </c>
      <c r="W129" s="32" t="n">
        <v>4.59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Between 12 to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Between 1.5 to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IF(B130=0,"",RANK(B130,$B$2:$B$354,0))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MANKIND</t>
        </is>
      </c>
      <c r="D130" s="33" t="inlineStr">
        <is>
          <t>Mankind Pharma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105923.49</v>
      </c>
      <c r="I130" s="32" t="n">
        <v>2579.5</v>
      </c>
      <c r="J130" s="32" t="n">
        <v>0.53</v>
      </c>
      <c r="K130" s="32" t="n">
        <v>165940</v>
      </c>
      <c r="L130" s="31" t="n">
        <v>17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64.54000000000001</v>
      </c>
      <c r="P130" s="32" t="n">
        <v>28.41</v>
      </c>
      <c r="Q130" s="32" t="n">
        <v>2167.8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15.14</v>
      </c>
      <c r="U130" s="32" t="n">
        <v>-0.88</v>
      </c>
      <c r="V130" s="32" t="n">
        <v>-13.91</v>
      </c>
      <c r="W130" s="32" t="n">
        <v>3.05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IF(B131=0,"",RANK(B131,$B$2:$B$354,0))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TRIVENI</t>
        </is>
      </c>
      <c r="D131" s="31" t="inlineStr">
        <is>
          <t>Triveni Engineering &amp; Industries Limited</t>
        </is>
      </c>
      <c r="E131" s="31" t="inlineStr">
        <is>
          <t>fmcg</t>
        </is>
      </c>
      <c r="F131" s="31" t="inlineStr">
        <is>
          <t>sugar</t>
        </is>
      </c>
      <c r="G131" s="31" t="inlineStr">
        <is>
          <t>midcap</t>
        </is>
      </c>
      <c r="H131" s="32" t="n">
        <v>10295.87</v>
      </c>
      <c r="I131" s="32" t="n">
        <v>471.5</v>
      </c>
      <c r="J131" s="32" t="n">
        <v>0.24</v>
      </c>
      <c r="K131" s="32" t="n">
        <v>1038733</v>
      </c>
      <c r="L131" s="31" t="n">
        <v>43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70</v>
      </c>
      <c r="P131" s="32" t="n">
        <v>24.35</v>
      </c>
      <c r="Q131" s="32" t="n">
        <v>378.66</v>
      </c>
      <c r="R131" s="31" t="inlineStr">
        <is>
          <t>Near 52W High Breakout</t>
        </is>
      </c>
      <c r="S131" s="31" t="inlineStr">
        <is>
          <t>Nifty FMCG</t>
        </is>
      </c>
      <c r="T131" s="32" t="n">
        <v>-10.38</v>
      </c>
      <c r="U131" s="32" t="n">
        <v>30.06</v>
      </c>
      <c r="V131" s="32" t="n">
        <v>45.11</v>
      </c>
      <c r="W131" s="32" t="n">
        <v>8.66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IF(B132=0,"",RANK(B132,$B$2:$B$354,0))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HNDFDS</t>
        </is>
      </c>
      <c r="D132" s="31" t="inlineStr">
        <is>
          <t>Hindustan Foods Ltd</t>
        </is>
      </c>
      <c r="E132" s="31" t="inlineStr">
        <is>
          <t>fmcg</t>
        </is>
      </c>
      <c r="F132" s="31" t="inlineStr">
        <is>
          <t>diversified - large</t>
        </is>
      </c>
      <c r="G132" s="31" t="inlineStr">
        <is>
          <t>midcap</t>
        </is>
      </c>
      <c r="H132" s="32" t="n">
        <v>6845.71</v>
      </c>
      <c r="I132" s="32" t="n">
        <v>571</v>
      </c>
      <c r="J132" s="32" t="n">
        <v>-0.34</v>
      </c>
      <c r="K132" s="32" t="n">
        <v>40082</v>
      </c>
      <c r="L132" s="31" t="n">
        <v>24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61.66</v>
      </c>
      <c r="P132" s="32" t="n">
        <v>31.35</v>
      </c>
      <c r="Q132" s="32" t="n">
        <v>472.24</v>
      </c>
      <c r="R132" s="31" t="inlineStr">
        <is>
          <t>Near 52W High Breakout</t>
        </is>
      </c>
      <c r="S132" s="31" t="inlineStr">
        <is>
          <t>Nifty FMCG</t>
        </is>
      </c>
      <c r="T132" s="32" t="n">
        <v>-10.38</v>
      </c>
      <c r="U132" s="32" t="n">
        <v>3.88</v>
      </c>
      <c r="V132" s="32" t="n">
        <v>15.91</v>
      </c>
      <c r="W132" s="32" t="n">
        <v>4.75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IF(B133=0,"",RANK(B133,$B$2:$B$354,0))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SUBEXLTD</t>
        </is>
      </c>
      <c r="D133" s="31" t="inlineStr">
        <is>
          <t>Subex Ltd</t>
        </is>
      </c>
      <c r="E133" s="31" t="inlineStr">
        <is>
          <t>i.t</t>
        </is>
      </c>
      <c r="F133" s="31" t="inlineStr">
        <is>
          <t>computers - software - medium / small</t>
        </is>
      </c>
      <c r="G133" s="31" t="inlineStr">
        <is>
          <t>smallcap</t>
        </is>
      </c>
      <c r="H133" s="32" t="n">
        <v>726.67</v>
      </c>
      <c r="I133" s="32" t="n">
        <v>12.84</v>
      </c>
      <c r="J133" s="32" t="n">
        <v>-0.7</v>
      </c>
      <c r="K133" s="32" t="n">
        <v>761911</v>
      </c>
      <c r="L133" s="31" t="n">
        <v>53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60.48</v>
      </c>
      <c r="P133" s="32" t="n">
        <v>22.03</v>
      </c>
      <c r="Q133" s="32" t="n">
        <v>9.43</v>
      </c>
      <c r="R133" s="31" t="inlineStr">
        <is>
          <t>Earnings / Momentum Support</t>
        </is>
      </c>
      <c r="S133" s="31" t="inlineStr">
        <is>
          <t>Nifty IT</t>
        </is>
      </c>
      <c r="T133" s="32" t="n">
        <v>-18.64</v>
      </c>
      <c r="U133" s="32" t="n">
        <v>-5.66</v>
      </c>
      <c r="V133" s="32" t="n">
        <v>15.95</v>
      </c>
      <c r="W133" s="32" t="n">
        <v>10.65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IF(B134=0,"",RANK(B134,$B$2:$B$354,0))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NILKAMAL</t>
        </is>
      </c>
      <c r="D134" s="33" t="inlineStr">
        <is>
          <t>Nilkamal Limited</t>
        </is>
      </c>
      <c r="E134" s="31" t="inlineStr">
        <is>
          <t>plastic products</t>
        </is>
      </c>
      <c r="F134" s="31" t="inlineStr">
        <is>
          <t>plastics products</t>
        </is>
      </c>
      <c r="G134" s="31" t="inlineStr">
        <is>
          <t>smallcap</t>
        </is>
      </c>
      <c r="H134" s="32" t="n">
        <v>2203.16</v>
      </c>
      <c r="I134" s="32" t="n">
        <v>1557</v>
      </c>
      <c r="J134" s="32" t="n">
        <v>5.46</v>
      </c>
      <c r="K134" s="32" t="n">
        <v>567005</v>
      </c>
      <c r="L134" s="31" t="n">
        <v>15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69.90000000000001</v>
      </c>
      <c r="P134" s="32" t="n">
        <v>17.05</v>
      </c>
      <c r="Q134" s="32" t="n">
        <v>1268.96</v>
      </c>
      <c r="R134" s="31" t="inlineStr">
        <is>
          <t>Volume Spike &amp; Near 52W High Breakout</t>
        </is>
      </c>
      <c r="S134" s="31" t="inlineStr">
        <is>
          <t>Nifty 50</t>
        </is>
      </c>
      <c r="T134" s="32" t="n">
        <v>-2.61</v>
      </c>
      <c r="U134" s="32" t="n">
        <v>-12</v>
      </c>
      <c r="V134" s="32" t="n">
        <v>-9.640000000000001</v>
      </c>
      <c r="W134" s="32" t="n">
        <v>2.41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IF(B135=0,"",RANK(B135,$B$2:$B$354,0))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HFCL</t>
        </is>
      </c>
      <c r="D135" s="31" t="inlineStr">
        <is>
          <t>HFCL Ltd</t>
        </is>
      </c>
      <c r="E135" s="31" t="inlineStr">
        <is>
          <t>telecom</t>
        </is>
      </c>
      <c r="F135" s="31" t="inlineStr">
        <is>
          <t>cables - telephone</t>
        </is>
      </c>
      <c r="G135" s="31" t="inlineStr">
        <is>
          <t>largecap</t>
        </is>
      </c>
      <c r="H135" s="32" t="n">
        <v>31841.12</v>
      </c>
      <c r="I135" s="32" t="n">
        <v>217.97</v>
      </c>
      <c r="J135" s="32" t="n">
        <v>4.78</v>
      </c>
      <c r="K135" s="32" t="n">
        <v>20144785</v>
      </c>
      <c r="L135" s="31" t="n">
        <v>98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83.17</v>
      </c>
      <c r="P135" s="32" t="n">
        <v>70.84</v>
      </c>
      <c r="Q135" s="32" t="n">
        <v>163.76</v>
      </c>
      <c r="R135" s="31" t="inlineStr">
        <is>
          <t>Near 52W High Breakout</t>
        </is>
      </c>
      <c r="S135" s="31" t="inlineStr">
        <is>
          <t>Nifty Infra</t>
        </is>
      </c>
      <c r="T135" s="32" t="n">
        <v>4.24</v>
      </c>
      <c r="U135" s="32" t="n">
        <v>187.44</v>
      </c>
      <c r="V135" s="32" t="n">
        <v>175.76</v>
      </c>
      <c r="W135" s="32" t="n">
        <v>56.02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Negative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IF(B136=0,"",RANK(B136,$B$2:$B$354,0))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NELCO</t>
        </is>
      </c>
      <c r="D136" s="31" t="inlineStr">
        <is>
          <t>Nelco Limited</t>
        </is>
      </c>
      <c r="E136" s="31" t="inlineStr">
        <is>
          <t>telecom</t>
        </is>
      </c>
      <c r="F136" s="31" t="inlineStr">
        <is>
          <t>telecommunications - service provider</t>
        </is>
      </c>
      <c r="G136" s="31" t="inlineStr">
        <is>
          <t>smallcap</t>
        </is>
      </c>
      <c r="H136" s="32" t="n">
        <v>2029.92</v>
      </c>
      <c r="I136" s="32" t="n">
        <v>928.5</v>
      </c>
      <c r="J136" s="32" t="n">
        <v>4.37</v>
      </c>
      <c r="K136" s="32" t="n">
        <v>398320</v>
      </c>
      <c r="L136" s="31" t="n">
        <v>59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63.93</v>
      </c>
      <c r="P136" s="32" t="n">
        <v>22.41</v>
      </c>
      <c r="Q136" s="32" t="n">
        <v>697.0599999999999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-2.61</v>
      </c>
      <c r="U136" s="32" t="n">
        <v>8.81</v>
      </c>
      <c r="V136" s="32" t="n">
        <v>11.73</v>
      </c>
      <c r="W136" s="32" t="n">
        <v>12.14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Oligopoly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IF(B137=0,"",RANK(B137,$B$2:$B$354,0))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SONACOMS</t>
        </is>
      </c>
      <c r="D137" s="31" t="inlineStr">
        <is>
          <t>Sona BLW Precision Forgings Ltd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largecap</t>
        </is>
      </c>
      <c r="H137" s="32" t="n">
        <v>44434.07</v>
      </c>
      <c r="I137" s="32" t="n">
        <v>732.75</v>
      </c>
      <c r="J137" s="32" t="n">
        <v>2.55</v>
      </c>
      <c r="K137" s="32" t="n">
        <v>3284360</v>
      </c>
      <c r="L137" s="31" t="n">
        <v>73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77.2</v>
      </c>
      <c r="P137" s="32" t="n">
        <v>41.4</v>
      </c>
      <c r="Q137" s="32" t="n">
        <v>621.67</v>
      </c>
      <c r="R137" s="31" t="inlineStr">
        <is>
          <t>Near 52W High Breakout</t>
        </is>
      </c>
      <c r="S137" s="31" t="inlineStr">
        <is>
          <t>Nifty Auto</t>
        </is>
      </c>
      <c r="T137" s="32" t="n">
        <v>14.71</v>
      </c>
      <c r="U137" s="32" t="n">
        <v>57.05</v>
      </c>
      <c r="V137" s="32" t="n">
        <v>36.91</v>
      </c>
      <c r="W137" s="32" t="n">
        <v>16.34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Between 12 to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Between 50% to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IF(B138=0,"",RANK(B138,$B$2:$B$354,0))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RSWM</t>
        </is>
      </c>
      <c r="D138" s="31" t="inlineStr">
        <is>
          <t>Rswm Limited</t>
        </is>
      </c>
      <c r="E138" s="31" t="inlineStr">
        <is>
          <t>textiles</t>
        </is>
      </c>
      <c r="F138" s="31" t="inlineStr">
        <is>
          <t>textiles - cotton/blended</t>
        </is>
      </c>
      <c r="G138" s="31" t="inlineStr">
        <is>
          <t>smallcap</t>
        </is>
      </c>
      <c r="H138" s="32" t="n">
        <v>1000.2</v>
      </c>
      <c r="I138" s="32" t="n">
        <v>216.25</v>
      </c>
      <c r="J138" s="32" t="n">
        <v>1.84</v>
      </c>
      <c r="K138" s="32" t="n">
        <v>95477</v>
      </c>
      <c r="L138" s="31" t="n">
        <v>67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68.63</v>
      </c>
      <c r="P138" s="32" t="n">
        <v>35.04</v>
      </c>
      <c r="Q138" s="32" t="n">
        <v>159.48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-2.61</v>
      </c>
      <c r="U138" s="32" t="n">
        <v>32.55</v>
      </c>
      <c r="V138" s="32" t="n">
        <v>36.11</v>
      </c>
      <c r="W138" s="32" t="n">
        <v>14.99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More than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IF(B139=0,"",RANK(B139,$B$2:$B$354,0))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MGEL</t>
        </is>
      </c>
      <c r="D139" s="31" t="inlineStr">
        <is>
          <t>Mangalam Global Enterprise Ltd</t>
        </is>
      </c>
      <c r="E139" s="31" t="inlineStr">
        <is>
          <t>services</t>
        </is>
      </c>
      <c r="F139" s="31" t="inlineStr">
        <is>
          <t>trading</t>
        </is>
      </c>
      <c r="G139" s="31" t="inlineStr">
        <is>
          <t>smallcap</t>
        </is>
      </c>
      <c r="H139" s="32" t="n">
        <v>540.47</v>
      </c>
      <c r="I139" s="32" t="n">
        <v>16.7</v>
      </c>
      <c r="J139" s="32" t="n">
        <v>1.83</v>
      </c>
      <c r="K139" s="32" t="n">
        <v>62482</v>
      </c>
      <c r="L139" s="31" t="n">
        <v>28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64.12</v>
      </c>
      <c r="P139" s="32" t="n">
        <v>40.86</v>
      </c>
      <c r="Q139" s="32" t="n">
        <v>12.28</v>
      </c>
      <c r="R139" s="31" t="inlineStr">
        <is>
          <t>Earnings / Momentum Support</t>
        </is>
      </c>
      <c r="S139" s="31" t="inlineStr">
        <is>
          <t>Nifty 50</t>
        </is>
      </c>
      <c r="T139" s="32" t="n">
        <v>-2.61</v>
      </c>
      <c r="U139" s="32" t="n">
        <v>-1.82</v>
      </c>
      <c r="V139" s="32" t="n">
        <v>0.8100000000000001</v>
      </c>
      <c r="W139" s="32" t="n">
        <v>5.3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IF(B140=0,"",RANK(B140,$B$2:$B$354,0))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EXIDEIND</t>
        </is>
      </c>
      <c r="D140" s="31" t="inlineStr">
        <is>
          <t>Exide Industries Limited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largecap</t>
        </is>
      </c>
      <c r="H140" s="32" t="n">
        <v>37115.25</v>
      </c>
      <c r="I140" s="32" t="n">
        <v>443.45</v>
      </c>
      <c r="J140" s="32" t="n">
        <v>1.56</v>
      </c>
      <c r="K140" s="32" t="n">
        <v>7504550</v>
      </c>
      <c r="L140" s="31" t="n">
        <v>51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71.73999999999999</v>
      </c>
      <c r="P140" s="32" t="n">
        <v>34.47</v>
      </c>
      <c r="Q140" s="32" t="n">
        <v>370.21</v>
      </c>
      <c r="R140" s="31" t="inlineStr">
        <is>
          <t>Near 52W High Breakout</t>
        </is>
      </c>
      <c r="S140" s="31" t="inlineStr">
        <is>
          <t>Nifty Auto</t>
        </is>
      </c>
      <c r="T140" s="32" t="n">
        <v>14.71</v>
      </c>
      <c r="U140" s="32" t="n">
        <v>17.07</v>
      </c>
      <c r="V140" s="32" t="n">
        <v>2.06</v>
      </c>
      <c r="W140" s="32" t="n">
        <v>10.23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Between 12 to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IF(B141=0,"",RANK(B141,$B$2:$B$354,0))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NYKAA</t>
        </is>
      </c>
      <c r="D141" s="31" t="inlineStr">
        <is>
          <t>FSN E-Commerce Ventures Ltd</t>
        </is>
      </c>
      <c r="E141" s="31" t="inlineStr">
        <is>
          <t>i.t</t>
        </is>
      </c>
      <c r="F141" s="31" t="inlineStr">
        <is>
          <t>trading</t>
        </is>
      </c>
      <c r="G141" s="31" t="inlineStr">
        <is>
          <t>largecap</t>
        </is>
      </c>
      <c r="H141" s="32" t="n">
        <v>92625.41</v>
      </c>
      <c r="I141" s="32" t="n">
        <v>327.95</v>
      </c>
      <c r="J141" s="32" t="n">
        <v>1.38</v>
      </c>
      <c r="K141" s="32" t="n">
        <v>3135783</v>
      </c>
      <c r="L141" s="31" t="n">
        <v>66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71.16</v>
      </c>
      <c r="P141" s="32" t="n">
        <v>36.23</v>
      </c>
      <c r="Q141" s="32" t="n">
        <v>281.45</v>
      </c>
      <c r="R141" s="31" t="inlineStr">
        <is>
          <t>Near 52W High Breakout</t>
        </is>
      </c>
      <c r="S141" s="31" t="inlineStr">
        <is>
          <t>Nifty IT</t>
        </is>
      </c>
      <c r="T141" s="32" t="n">
        <v>-18.64</v>
      </c>
      <c r="U141" s="32" t="n">
        <v>54.53</v>
      </c>
      <c r="V141" s="32" t="n">
        <v>89.92</v>
      </c>
      <c r="W141" s="32" t="n">
        <v>14.66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IF(B142=0,"",RANK(B142,$B$2:$B$354,0))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AARTIIND</t>
        </is>
      </c>
      <c r="D142" s="31" t="inlineStr">
        <is>
          <t>Aarti Industries Limited</t>
        </is>
      </c>
      <c r="E142" s="31" t="inlineStr">
        <is>
          <t>chemicals</t>
        </is>
      </c>
      <c r="F142" s="31" t="inlineStr">
        <is>
          <t>chemicals</t>
        </is>
      </c>
      <c r="G142" s="31" t="inlineStr">
        <is>
          <t>midcap</t>
        </is>
      </c>
      <c r="H142" s="32" t="n">
        <v>17969.48</v>
      </c>
      <c r="I142" s="32" t="n">
        <v>499.5</v>
      </c>
      <c r="J142" s="32" t="n">
        <v>0.83</v>
      </c>
      <c r="K142" s="32" t="n">
        <v>542679</v>
      </c>
      <c r="L142" s="31" t="n">
        <v>28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61.44</v>
      </c>
      <c r="P142" s="32" t="n">
        <v>25.49</v>
      </c>
      <c r="Q142" s="32" t="n">
        <v>405.09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-2.61</v>
      </c>
      <c r="U142" s="32" t="n">
        <v>16.4</v>
      </c>
      <c r="V142" s="32" t="n">
        <v>19.53</v>
      </c>
      <c r="W142" s="32" t="n">
        <v>5.34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IF(B143=0,"",RANK(B143,$B$2:$B$354,0))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SETL</t>
        </is>
      </c>
      <c r="D143" s="31" t="inlineStr">
        <is>
          <t>Standard Enginnering Technology Ltd</t>
        </is>
      </c>
      <c r="E143" s="31" t="inlineStr">
        <is>
          <t>industrials</t>
        </is>
      </c>
      <c r="F143" s="31" t="inlineStr">
        <is>
          <t>engineering</t>
        </is>
      </c>
      <c r="G143" s="31" t="inlineStr">
        <is>
          <t>midcap</t>
        </is>
      </c>
      <c r="H143" s="32" t="n">
        <v>5746.36</v>
      </c>
      <c r="I143" s="32" t="n">
        <v>289.65</v>
      </c>
      <c r="J143" s="32" t="n">
        <v>0.5600000000000001</v>
      </c>
      <c r="K143" s="32" t="n">
        <v>515687</v>
      </c>
      <c r="L143" s="31" t="n">
        <v>96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82.86</v>
      </c>
      <c r="P143" s="32" t="n">
        <v>35</v>
      </c>
      <c r="Q143" s="32" t="n">
        <v>218.01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-2.61</v>
      </c>
      <c r="U143" s="32" t="n">
        <v>65.97</v>
      </c>
      <c r="V143" s="32" t="n">
        <v>70.42</v>
      </c>
      <c r="W143" s="32" t="n">
        <v>40.69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IF(B144=0,"",RANK(B144,$B$2:$B$354,0))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LLOYDSENGG</t>
        </is>
      </c>
      <c r="D144" s="31" t="inlineStr">
        <is>
          <t>Lloyds Engineering Works Ltd</t>
        </is>
      </c>
      <c r="E144" s="31" t="inlineStr">
        <is>
          <t>industrials</t>
        </is>
      </c>
      <c r="F144" s="31" t="inlineStr">
        <is>
          <t>engineering</t>
        </is>
      </c>
      <c r="G144" s="31" t="inlineStr">
        <is>
          <t>midcap</t>
        </is>
      </c>
      <c r="H144" s="32" t="n">
        <v>13427.77</v>
      </c>
      <c r="I144" s="32" t="n">
        <v>91.17</v>
      </c>
      <c r="J144" s="32" t="n">
        <v>0.51</v>
      </c>
      <c r="K144" s="32" t="n">
        <v>11590894</v>
      </c>
      <c r="L144" s="31" t="n">
        <v>81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73.53</v>
      </c>
      <c r="P144" s="32" t="n">
        <v>41.06</v>
      </c>
      <c r="Q144" s="32" t="n">
        <v>68.48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-2.61</v>
      </c>
      <c r="U144" s="32" t="n">
        <v>25.33</v>
      </c>
      <c r="V144" s="32" t="n">
        <v>28.7</v>
      </c>
      <c r="W144" s="32" t="n">
        <v>20.99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Negative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IF(B145=0,"",RANK(B145,$B$2:$B$354,0))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ABB</t>
        </is>
      </c>
      <c r="D145" s="31" t="inlineStr">
        <is>
          <t>Abb India Limited</t>
        </is>
      </c>
      <c r="E145" s="31" t="inlineStr">
        <is>
          <t>industrials</t>
        </is>
      </c>
      <c r="F145" s="31" t="inlineStr">
        <is>
          <t>electric equipment</t>
        </is>
      </c>
      <c r="G145" s="31" t="inlineStr">
        <is>
          <t>largecap</t>
        </is>
      </c>
      <c r="H145" s="32" t="n">
        <v>159291.53</v>
      </c>
      <c r="I145" s="32" t="n">
        <v>7532</v>
      </c>
      <c r="J145" s="32" t="n">
        <v>0.2</v>
      </c>
      <c r="K145" s="32" t="n">
        <v>254098</v>
      </c>
      <c r="L145" s="31" t="n">
        <v>46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63.54</v>
      </c>
      <c r="P145" s="32" t="n">
        <v>35.61</v>
      </c>
      <c r="Q145" s="32" t="n">
        <v>6075.51</v>
      </c>
      <c r="R145" s="31" t="inlineStr">
        <is>
          <t>Near 52W High Breakout</t>
        </is>
      </c>
      <c r="S145" s="31" t="inlineStr">
        <is>
          <t>Nifty 500</t>
        </is>
      </c>
      <c r="T145" s="32" t="n">
        <v>1.47</v>
      </c>
      <c r="U145" s="32" t="n">
        <v>34.28</v>
      </c>
      <c r="V145" s="32" t="n">
        <v>32.34</v>
      </c>
      <c r="W145" s="32" t="n">
        <v>9.02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IF(B146=0,"",RANK(B146,$B$2:$B$354,0))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NAHARSPING</t>
        </is>
      </c>
      <c r="D146" s="31" t="inlineStr">
        <is>
          <t>Nahar Spinning Mills Limited</t>
        </is>
      </c>
      <c r="E146" s="31" t="inlineStr">
        <is>
          <t>textiles</t>
        </is>
      </c>
      <c r="F146" s="31" t="inlineStr">
        <is>
          <t>textiles - cotton/blended</t>
        </is>
      </c>
      <c r="G146" s="31" t="inlineStr">
        <is>
          <t>smallcap</t>
        </is>
      </c>
      <c r="H146" s="32" t="n">
        <v>1011.63</v>
      </c>
      <c r="I146" s="32" t="n">
        <v>281</v>
      </c>
      <c r="J146" s="32" t="n">
        <v>0.18</v>
      </c>
      <c r="K146" s="32" t="n">
        <v>8848</v>
      </c>
      <c r="L146" s="31" t="n">
        <v>46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63.6</v>
      </c>
      <c r="P146" s="32" t="n">
        <v>21.85</v>
      </c>
      <c r="Q146" s="32" t="n">
        <v>219.5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-2.61</v>
      </c>
      <c r="U146" s="32" t="n">
        <v>9.220000000000001</v>
      </c>
      <c r="V146" s="32" t="n">
        <v>12.15</v>
      </c>
      <c r="W146" s="32" t="n">
        <v>9.220000000000001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Between 12 to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IF(B147=0,"",RANK(B147,$B$2:$B$354,0))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AETHER</t>
        </is>
      </c>
      <c r="D147" s="31" t="inlineStr">
        <is>
          <t>Aether Industries Ltd</t>
        </is>
      </c>
      <c r="E147" s="31" t="inlineStr">
        <is>
          <t>chemicals</t>
        </is>
      </c>
      <c r="F147" s="31" t="inlineStr">
        <is>
          <t>chemicals</t>
        </is>
      </c>
      <c r="G147" s="31" t="inlineStr">
        <is>
          <t>midcap</t>
        </is>
      </c>
      <c r="H147" s="32" t="n">
        <v>19251.29</v>
      </c>
      <c r="I147" s="32" t="n">
        <v>1450</v>
      </c>
      <c r="J147" s="32" t="n">
        <v>-0.04</v>
      </c>
      <c r="K147" s="32" t="n">
        <v>108653</v>
      </c>
      <c r="L147" s="31" t="n">
        <v>79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70.8</v>
      </c>
      <c r="P147" s="32" t="n">
        <v>45.23</v>
      </c>
      <c r="Q147" s="32" t="n">
        <v>1195.54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-2.61</v>
      </c>
      <c r="U147" s="32" t="n">
        <v>85.51000000000001</v>
      </c>
      <c r="V147" s="32" t="n">
        <v>90.48999999999999</v>
      </c>
      <c r="W147" s="32" t="n">
        <v>19.97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IF(B148=0,"",RANK(B148,$B$2:$B$354,0))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CENTUM</t>
        </is>
      </c>
      <c r="D148" s="31" t="inlineStr">
        <is>
          <t>Centum Electronics Limited</t>
        </is>
      </c>
      <c r="E148" s="31" t="inlineStr">
        <is>
          <t>consumer discretionary</t>
        </is>
      </c>
      <c r="F148" s="31" t="inlineStr">
        <is>
          <t>electronics - components</t>
        </is>
      </c>
      <c r="G148" s="31" t="inlineStr">
        <is>
          <t>midcap</t>
        </is>
      </c>
      <c r="H148" s="32" t="n">
        <v>5482.38</v>
      </c>
      <c r="I148" s="32" t="n">
        <v>3710</v>
      </c>
      <c r="J148" s="32" t="n">
        <v>-0.12</v>
      </c>
      <c r="K148" s="32" t="n">
        <v>18629</v>
      </c>
      <c r="L148" s="31" t="n">
        <v>76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70.13</v>
      </c>
      <c r="P148" s="32" t="n">
        <v>61.77</v>
      </c>
      <c r="Q148" s="32" t="n">
        <v>2806.68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-2.61</v>
      </c>
      <c r="U148" s="32" t="n">
        <v>62.92</v>
      </c>
      <c r="V148" s="32" t="n">
        <v>67.3</v>
      </c>
      <c r="W148" s="32" t="n">
        <v>18.03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Less than 50%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IF(B149=0,"",RANK(B149,$B$2:$B$354,0))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CIEINDIA</t>
        </is>
      </c>
      <c r="D149" s="31" t="inlineStr">
        <is>
          <t>CIE Automotive India Ltd</t>
        </is>
      </c>
      <c r="E149" s="31" t="inlineStr">
        <is>
          <t>industrials</t>
        </is>
      </c>
      <c r="F149" s="31" t="inlineStr">
        <is>
          <t>castings &amp; forgings</t>
        </is>
      </c>
      <c r="G149" s="31" t="inlineStr">
        <is>
          <t>midcap</t>
        </is>
      </c>
      <c r="H149" s="32" t="n">
        <v>17974.19</v>
      </c>
      <c r="I149" s="32" t="n">
        <v>472.7</v>
      </c>
      <c r="J149" s="32" t="n">
        <v>-0.23</v>
      </c>
      <c r="K149" s="32" t="n">
        <v>160204</v>
      </c>
      <c r="L149" s="31" t="n">
        <v>20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57.64</v>
      </c>
      <c r="P149" s="32" t="n">
        <v>15.59</v>
      </c>
      <c r="Q149" s="32" t="n">
        <v>392.4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-2.61</v>
      </c>
      <c r="U149" s="32" t="n">
        <v>15.93</v>
      </c>
      <c r="V149" s="32" t="n">
        <v>19.04</v>
      </c>
      <c r="W149" s="32" t="n">
        <v>3.82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IF(B150=0,"",RANK(B150,$B$2:$B$354,0))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JAYAGROGN</t>
        </is>
      </c>
      <c r="D150" s="31" t="inlineStr">
        <is>
          <t>Jayant Agro Organics Limited</t>
        </is>
      </c>
      <c r="E150" s="31" t="inlineStr">
        <is>
          <t>chemicals</t>
        </is>
      </c>
      <c r="F150" s="31" t="inlineStr">
        <is>
          <t>chemicals</t>
        </is>
      </c>
      <c r="G150" s="31" t="inlineStr">
        <is>
          <t>smallcap</t>
        </is>
      </c>
      <c r="H150" s="32" t="n">
        <v>677.73</v>
      </c>
      <c r="I150" s="32" t="n">
        <v>224.08</v>
      </c>
      <c r="J150" s="32" t="n">
        <v>-0.8100000000000001</v>
      </c>
      <c r="K150" s="32" t="n">
        <v>6805</v>
      </c>
      <c r="L150" s="31" t="n">
        <v>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56.8</v>
      </c>
      <c r="P150" s="32" t="n">
        <v>35.85</v>
      </c>
      <c r="Q150" s="32" t="n">
        <v>177.05</v>
      </c>
      <c r="R150" s="31" t="inlineStr">
        <is>
          <t>Earnings / Momentum Support</t>
        </is>
      </c>
      <c r="S150" s="31" t="inlineStr">
        <is>
          <t>Nifty IT</t>
        </is>
      </c>
      <c r="T150" s="32" t="n">
        <v>-18.64</v>
      </c>
      <c r="U150" s="32" t="n">
        <v>-14.99</v>
      </c>
      <c r="V150" s="32" t="n">
        <v>4.48</v>
      </c>
      <c r="W150" s="32" t="n">
        <v>0.42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Less than 50%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IF(B151=0,"",RANK(B151,$B$2:$B$354,0))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JSWINFRA</t>
        </is>
      </c>
      <c r="D151" s="31" t="inlineStr">
        <is>
          <t>JSW Infrastructure Ltd</t>
        </is>
      </c>
      <c r="E151" s="31" t="inlineStr">
        <is>
          <t>transportation</t>
        </is>
      </c>
      <c r="F151" s="31" t="inlineStr">
        <is>
          <t>miscellaneous</t>
        </is>
      </c>
      <c r="G151" s="31" t="inlineStr">
        <is>
          <t>largecap</t>
        </is>
      </c>
      <c r="H151" s="32" t="n">
        <v>81188.89999999999</v>
      </c>
      <c r="I151" s="32" t="n">
        <v>344.55</v>
      </c>
      <c r="J151" s="32" t="n">
        <v>-1.12</v>
      </c>
      <c r="K151" s="32" t="n">
        <v>3328854</v>
      </c>
      <c r="L151" s="31" t="n">
        <v>38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73.06999999999999</v>
      </c>
      <c r="P151" s="32" t="n">
        <v>35.79</v>
      </c>
      <c r="Q151" s="32" t="n">
        <v>282.82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-2.61</v>
      </c>
      <c r="U151" s="32" t="n">
        <v>9.9</v>
      </c>
      <c r="V151" s="32" t="n">
        <v>12.85</v>
      </c>
      <c r="W151" s="32" t="n">
        <v>7.45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IF(B152=0,"",RANK(B152,$B$2:$B$354,0))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RAMCOIND</t>
        </is>
      </c>
      <c r="D152" s="31" t="inlineStr">
        <is>
          <t>Ramco Industries Limited</t>
        </is>
      </c>
      <c r="E152" s="31" t="inlineStr">
        <is>
          <t>building materials</t>
        </is>
      </c>
      <c r="F152" s="31" t="inlineStr">
        <is>
          <t>cement products</t>
        </is>
      </c>
      <c r="G152" s="31" t="inlineStr">
        <is>
          <t>smallcap</t>
        </is>
      </c>
      <c r="H152" s="32" t="n">
        <v>3077.23</v>
      </c>
      <c r="I152" s="32" t="n">
        <v>349.3</v>
      </c>
      <c r="J152" s="32" t="n">
        <v>-1.43</v>
      </c>
      <c r="K152" s="32" t="n">
        <v>117774</v>
      </c>
      <c r="L152" s="31" t="n">
        <v>56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61.58</v>
      </c>
      <c r="P152" s="32" t="n">
        <v>28.03</v>
      </c>
      <c r="Q152" s="32" t="n">
        <v>282.98</v>
      </c>
      <c r="R152" s="31" t="inlineStr">
        <is>
          <t>Earnings / Momentum Support</t>
        </is>
      </c>
      <c r="S152" s="31" t="inlineStr">
        <is>
          <t>Nifty Infra</t>
        </is>
      </c>
      <c r="T152" s="32" t="n">
        <v>4.24</v>
      </c>
      <c r="U152" s="32" t="n">
        <v>22.53</v>
      </c>
      <c r="V152" s="32" t="n">
        <v>17.55</v>
      </c>
      <c r="W152" s="32" t="n">
        <v>11.54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IF(B153=0,"",RANK(B153,$B$2:$B$354,0))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PGIL</t>
        </is>
      </c>
      <c r="D153" s="31" t="inlineStr">
        <is>
          <t>Pearl Global Industries Limited</t>
        </is>
      </c>
      <c r="E153" s="31" t="inlineStr">
        <is>
          <t>consumer discretionary</t>
        </is>
      </c>
      <c r="F153" s="31" t="inlineStr">
        <is>
          <t>textiles - products</t>
        </is>
      </c>
      <c r="G153" s="31" t="inlineStr">
        <is>
          <t>midcap</t>
        </is>
      </c>
      <c r="H153" s="32" t="n">
        <v>9674.190000000001</v>
      </c>
      <c r="I153" s="32" t="n">
        <v>2047.8</v>
      </c>
      <c r="J153" s="32" t="n">
        <v>-2.24</v>
      </c>
      <c r="K153" s="32" t="n">
        <v>62216</v>
      </c>
      <c r="L153" s="31" t="n">
        <v>63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67.56</v>
      </c>
      <c r="P153" s="32" t="n">
        <v>45.63</v>
      </c>
      <c r="Q153" s="32" t="n">
        <v>1590.59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-2.61</v>
      </c>
      <c r="U153" s="32" t="n">
        <v>35.53</v>
      </c>
      <c r="V153" s="32" t="n">
        <v>39.17</v>
      </c>
      <c r="W153" s="32" t="n">
        <v>13.85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Between 1.5 to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IF(B154=0,"",RANK(B154,$B$2:$B$354,0))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TPLPLASTEH</t>
        </is>
      </c>
      <c r="D154" s="31" t="inlineStr">
        <is>
          <t>Tpl Plastech Limited</t>
        </is>
      </c>
      <c r="E154" s="31" t="inlineStr">
        <is>
          <t>industrials</t>
        </is>
      </c>
      <c r="F154" s="31" t="inlineStr">
        <is>
          <t>packaging</t>
        </is>
      </c>
      <c r="G154" s="31" t="inlineStr">
        <is>
          <t>smallcap</t>
        </is>
      </c>
      <c r="H154" s="32" t="n">
        <v>646.88</v>
      </c>
      <c r="I154" s="32" t="n">
        <v>80.40000000000001</v>
      </c>
      <c r="J154" s="32" t="n">
        <v>-3.05</v>
      </c>
      <c r="K154" s="32" t="n">
        <v>135372</v>
      </c>
      <c r="L154" s="31" t="n">
        <v>31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59.6</v>
      </c>
      <c r="P154" s="32" t="n">
        <v>21.41</v>
      </c>
      <c r="Q154" s="32" t="n">
        <v>64.84</v>
      </c>
      <c r="R154" s="31" t="inlineStr">
        <is>
          <t>Earnings / Momentum Support</t>
        </is>
      </c>
      <c r="S154" s="31" t="inlineStr">
        <is>
          <t>Nifty 50</t>
        </is>
      </c>
      <c r="T154" s="32" t="n">
        <v>-2.61</v>
      </c>
      <c r="U154" s="32" t="n">
        <v>6.06</v>
      </c>
      <c r="V154" s="32" t="n">
        <v>8.91</v>
      </c>
      <c r="W154" s="32" t="n">
        <v>6.09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Between 12 to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IF(B155=0,"",RANK(B155,$B$2:$B$354,0))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PAYTM</t>
        </is>
      </c>
      <c r="D155" s="31" t="inlineStr">
        <is>
          <t>One 97 Communications Ltd</t>
        </is>
      </c>
      <c r="E155" s="31" t="inlineStr">
        <is>
          <t>i.t</t>
        </is>
      </c>
      <c r="F155" s="31" t="inlineStr">
        <is>
          <t>miscellaneous</t>
        </is>
      </c>
      <c r="G155" s="31" t="inlineStr">
        <is>
          <t>largecap</t>
        </is>
      </c>
      <c r="H155" s="32" t="n">
        <v>86285.41</v>
      </c>
      <c r="I155" s="32" t="n">
        <v>1300.5</v>
      </c>
      <c r="J155" s="32" t="n">
        <v>-3.49</v>
      </c>
      <c r="K155" s="32" t="n">
        <v>10474615</v>
      </c>
      <c r="L155" s="31" t="n">
        <v>36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60.41</v>
      </c>
      <c r="P155" s="32" t="n">
        <v>16.9</v>
      </c>
      <c r="Q155" s="32" t="n">
        <v>1059.79</v>
      </c>
      <c r="R155" s="31" t="inlineStr">
        <is>
          <t>Near 52W High Breakout</t>
        </is>
      </c>
      <c r="S155" s="31" t="inlineStr">
        <is>
          <t>Nifty IT</t>
        </is>
      </c>
      <c r="T155" s="32" t="n">
        <v>-18.64</v>
      </c>
      <c r="U155" s="32" t="n">
        <v>21.8</v>
      </c>
      <c r="V155" s="32" t="n">
        <v>49.7</v>
      </c>
      <c r="W155" s="32" t="n">
        <v>7.29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Between 1.5 to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IF(B156=0,"",RANK(B156,$B$2:$B$354,0))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NOVARTIND</t>
        </is>
      </c>
      <c r="D156" s="31" t="inlineStr">
        <is>
          <t>Novartis India Ltd</t>
        </is>
      </c>
      <c r="E156" s="31" t="inlineStr">
        <is>
          <t>healthcare</t>
        </is>
      </c>
      <c r="F156" s="31" t="inlineStr">
        <is>
          <t>pharmaceuticals - multinational</t>
        </is>
      </c>
      <c r="G156" s="31" t="inlineStr">
        <is>
          <t>smallcap</t>
        </is>
      </c>
      <c r="H156" s="32" t="n">
        <v>4118.18</v>
      </c>
      <c r="I156" s="32" t="n">
        <v>1701.9</v>
      </c>
      <c r="J156" s="32" t="n">
        <v>2.04</v>
      </c>
      <c r="K156" s="32" t="n">
        <v>51291</v>
      </c>
      <c r="L156" s="31" t="n">
        <v>91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76.23999999999999</v>
      </c>
      <c r="P156" s="32" t="n">
        <v>69.83</v>
      </c>
      <c r="Q156" s="32" t="n">
        <v>1318.05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15.14</v>
      </c>
      <c r="U156" s="32" t="n">
        <v>66.8</v>
      </c>
      <c r="V156" s="32" t="n">
        <v>44.87</v>
      </c>
      <c r="W156" s="32" t="n">
        <v>30.33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IF(B157=0,"",RANK(B157,$B$2:$B$354,0))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YATHARTH</t>
        </is>
      </c>
      <c r="D157" s="31" t="inlineStr">
        <is>
          <t>Yatharth Hospital &amp; Trauma Care Services Ltd</t>
        </is>
      </c>
      <c r="E157" s="31" t="inlineStr">
        <is>
          <t>healthcare</t>
        </is>
      </c>
      <c r="F157" s="31" t="inlineStr">
        <is>
          <t>healthcare</t>
        </is>
      </c>
      <c r="G157" s="31" t="inlineStr">
        <is>
          <t>midcap</t>
        </is>
      </c>
      <c r="H157" s="32" t="n">
        <v>8179.52</v>
      </c>
      <c r="I157" s="32" t="n">
        <v>858</v>
      </c>
      <c r="J157" s="32" t="n">
        <v>1.07</v>
      </c>
      <c r="K157" s="32" t="n">
        <v>124633</v>
      </c>
      <c r="L157" s="31" t="n">
        <v>61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60.08</v>
      </c>
      <c r="P157" s="32" t="n">
        <v>32.71</v>
      </c>
      <c r="Q157" s="32" t="n">
        <v>687.25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15.14</v>
      </c>
      <c r="U157" s="32" t="n">
        <v>36.75</v>
      </c>
      <c r="V157" s="32" t="n">
        <v>18.77</v>
      </c>
      <c r="W157" s="32" t="n">
        <v>13.1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IF(B158=0,"",RANK(B158,$B$2:$B$354,0))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SBCL</t>
        </is>
      </c>
      <c r="D158" s="31" t="inlineStr">
        <is>
          <t>Shivalik Bimetal Controls Ltd</t>
        </is>
      </c>
      <c r="E158" s="31" t="inlineStr">
        <is>
          <t>metals &amp; mining</t>
        </is>
      </c>
      <c r="F158" s="31" t="inlineStr">
        <is>
          <t>mining / minerals / metals</t>
        </is>
      </c>
      <c r="G158" s="31" t="inlineStr">
        <is>
          <t>smallcap</t>
        </is>
      </c>
      <c r="H158" s="32" t="n">
        <v>4303.03</v>
      </c>
      <c r="I158" s="32" t="n">
        <v>753.75</v>
      </c>
      <c r="J158" s="32" t="n">
        <v>0.9</v>
      </c>
      <c r="K158" s="32" t="n">
        <v>390818</v>
      </c>
      <c r="L158" s="31" t="n">
        <v>65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66.26000000000001</v>
      </c>
      <c r="P158" s="32" t="n">
        <v>44.66</v>
      </c>
      <c r="Q158" s="32" t="n">
        <v>597.1799999999999</v>
      </c>
      <c r="R158" s="31" t="inlineStr">
        <is>
          <t>Earnings / Momentum Support</t>
        </is>
      </c>
      <c r="S158" s="31" t="inlineStr">
        <is>
          <t>Nifty Metal</t>
        </is>
      </c>
      <c r="T158" s="32" t="n">
        <v>33.93</v>
      </c>
      <c r="U158" s="32" t="n">
        <v>37.03</v>
      </c>
      <c r="V158" s="32" t="n">
        <v>2.32</v>
      </c>
      <c r="W158" s="32" t="n">
        <v>14.24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Monopoly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Shallow Cyclical (2 to 3 Years Growth)</t>
        </is>
      </c>
      <c r="AG158" s="31">
        <f>IF(AF158="Structural (10 Years Consistency)",10,IF(AF158="Shallow Cyclical (2 to 3 years growth)",5,0))</f>
        <v/>
      </c>
      <c r="AH158" s="31" t="inlineStr">
        <is>
          <t>Yes due to Product Mix change or Operating Leverage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Fully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Yes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Between 1.5 to 2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IF(B159=0,"",RANK(B159,$B$2:$B$354,0))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DIVISLAB</t>
        </is>
      </c>
      <c r="D159" s="33" t="inlineStr">
        <is>
          <t>Divi's Laboratories Limited</t>
        </is>
      </c>
      <c r="E159" s="31" t="inlineStr">
        <is>
          <t>healthcare</t>
        </is>
      </c>
      <c r="F159" s="31" t="inlineStr">
        <is>
          <t>pharmaceuticals - indian - bulk drugs</t>
        </is>
      </c>
      <c r="G159" s="31" t="inlineStr">
        <is>
          <t>largecap</t>
        </is>
      </c>
      <c r="H159" s="32" t="n">
        <v>194269.91</v>
      </c>
      <c r="I159" s="32" t="n">
        <v>7330</v>
      </c>
      <c r="J159" s="32" t="n">
        <v>0.16</v>
      </c>
      <c r="K159" s="32" t="n">
        <v>179558</v>
      </c>
      <c r="L159" s="31" t="n">
        <v>28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71.56</v>
      </c>
      <c r="P159" s="32" t="n">
        <v>20.65</v>
      </c>
      <c r="Q159" s="32" t="n">
        <v>6389.64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15.14</v>
      </c>
      <c r="U159" s="32" t="n">
        <v>10.78</v>
      </c>
      <c r="V159" s="32" t="n">
        <v>-3.78</v>
      </c>
      <c r="W159" s="32" t="n">
        <v>5.42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IF(B160=0,"",RANK(B160,$B$2:$B$354,0))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HMVL</t>
        </is>
      </c>
      <c r="D160" s="31" t="inlineStr">
        <is>
          <t>Hindustan Media Ventures Limited</t>
        </is>
      </c>
      <c r="E160" s="31" t="inlineStr">
        <is>
          <t>media</t>
        </is>
      </c>
      <c r="F160" s="31" t="inlineStr">
        <is>
          <t>entertainment / electronic media software</t>
        </is>
      </c>
      <c r="G160" s="31" t="inlineStr">
        <is>
          <t>smallcap</t>
        </is>
      </c>
      <c r="H160" s="32" t="n">
        <v>674.98</v>
      </c>
      <c r="I160" s="32" t="n">
        <v>91.5</v>
      </c>
      <c r="J160" s="32" t="n">
        <v>-0.13</v>
      </c>
      <c r="K160" s="32" t="n">
        <v>146749</v>
      </c>
      <c r="L160" s="31" t="n">
        <v>52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69.65000000000001</v>
      </c>
      <c r="P160" s="32" t="n">
        <v>30.05</v>
      </c>
      <c r="Q160" s="32" t="n">
        <v>71.56</v>
      </c>
      <c r="R160" s="31" t="inlineStr">
        <is>
          <t>Near 52W High Breakout</t>
        </is>
      </c>
      <c r="S160" s="31" t="inlineStr">
        <is>
          <t>Nifty IT</t>
        </is>
      </c>
      <c r="T160" s="32" t="n">
        <v>-18.64</v>
      </c>
      <c r="U160" s="32" t="n">
        <v>4.06</v>
      </c>
      <c r="V160" s="32" t="n">
        <v>27.89</v>
      </c>
      <c r="W160" s="32" t="n">
        <v>10.48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Between 50% to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IF(B161=0,"",RANK(B161,$B$2:$B$354,0))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WANBURY</t>
        </is>
      </c>
      <c r="D161" s="31" t="inlineStr">
        <is>
          <t>Wanbury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smallcap</t>
        </is>
      </c>
      <c r="H161" s="32" t="n">
        <v>1187.59</v>
      </c>
      <c r="I161" s="32" t="n">
        <v>338.4</v>
      </c>
      <c r="J161" s="32" t="n">
        <v>-0.44</v>
      </c>
      <c r="K161" s="32" t="n">
        <v>810048</v>
      </c>
      <c r="L161" s="31" t="n">
        <v>71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67.51000000000001</v>
      </c>
      <c r="P161" s="32" t="n">
        <v>19.09</v>
      </c>
      <c r="Q161" s="32" t="n">
        <v>239.36</v>
      </c>
      <c r="R161" s="31" t="inlineStr">
        <is>
          <t>Near 52W High Breakout</t>
        </is>
      </c>
      <c r="S161" s="31" t="inlineStr">
        <is>
          <t>Nifty Pharma</t>
        </is>
      </c>
      <c r="T161" s="32" t="n">
        <v>15.14</v>
      </c>
      <c r="U161" s="32" t="n">
        <v>38.43</v>
      </c>
      <c r="V161" s="32" t="n">
        <v>20.23</v>
      </c>
      <c r="W161" s="32" t="n">
        <v>15.83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IF(B162=0,"",RANK(B162,$B$2:$B$354,0))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RAINBOW</t>
        </is>
      </c>
      <c r="D162" s="33" t="inlineStr">
        <is>
          <t>Rainbow Childrens Medicare Ltd</t>
        </is>
      </c>
      <c r="E162" s="31" t="inlineStr">
        <is>
          <t>healthcare</t>
        </is>
      </c>
      <c r="F162" s="31" t="inlineStr">
        <is>
          <t>healthcare</t>
        </is>
      </c>
      <c r="G162" s="31" t="inlineStr">
        <is>
          <t>midcap</t>
        </is>
      </c>
      <c r="H162" s="32" t="n">
        <v>15155.67</v>
      </c>
      <c r="I162" s="32" t="n">
        <v>1481.9</v>
      </c>
      <c r="J162" s="32" t="n">
        <v>-0.7</v>
      </c>
      <c r="K162" s="32" t="n">
        <v>58877</v>
      </c>
      <c r="L162" s="31" t="n">
        <v>19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66.95999999999999</v>
      </c>
      <c r="P162" s="32" t="n">
        <v>34.01</v>
      </c>
      <c r="Q162" s="32" t="n">
        <v>1266.24</v>
      </c>
      <c r="R162" s="31" t="inlineStr">
        <is>
          <t>Earnings / Momentum Support</t>
        </is>
      </c>
      <c r="S162" s="31" t="inlineStr">
        <is>
          <t>Nifty Pharma</t>
        </is>
      </c>
      <c r="T162" s="32" t="n">
        <v>15.14</v>
      </c>
      <c r="U162" s="32" t="n">
        <v>-4.45</v>
      </c>
      <c r="V162" s="32" t="n">
        <v>-17.01</v>
      </c>
      <c r="W162" s="32" t="n">
        <v>3.75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IF(B163=0,"",RANK(B163,$B$2:$B$354,0))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IKS</t>
        </is>
      </c>
      <c r="D163" s="31" t="inlineStr">
        <is>
          <t>Inventurus Knowledge Solutions Ltd</t>
        </is>
      </c>
      <c r="E163" s="31" t="inlineStr">
        <is>
          <t>i.t</t>
        </is>
      </c>
      <c r="F163" s="31" t="inlineStr">
        <is>
          <t>computers - software - medium / small</t>
        </is>
      </c>
      <c r="G163" s="31" t="inlineStr">
        <is>
          <t>largecap</t>
        </is>
      </c>
      <c r="H163" s="32" t="n">
        <v>32631.5</v>
      </c>
      <c r="I163" s="32" t="n">
        <v>1886.5</v>
      </c>
      <c r="J163" s="32" t="n">
        <v>-0.8100000000000001</v>
      </c>
      <c r="K163" s="32" t="n">
        <v>46681</v>
      </c>
      <c r="L163" s="31" t="n">
        <v>52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64.95</v>
      </c>
      <c r="P163" s="32" t="n">
        <v>13.53</v>
      </c>
      <c r="Q163" s="32" t="n">
        <v>1564.27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-18.64</v>
      </c>
      <c r="U163" s="32" t="n">
        <v>17.82</v>
      </c>
      <c r="V163" s="32" t="n">
        <v>44.81</v>
      </c>
      <c r="W163" s="32" t="n">
        <v>10.53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Between 50% to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IF(B164=0,"",RANK(B164,$B$2:$B$354,0))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BLSE</t>
        </is>
      </c>
      <c r="D164" s="31" t="inlineStr">
        <is>
          <t>BLS E-Services Ltd</t>
        </is>
      </c>
      <c r="E164" s="31" t="inlineStr">
        <is>
          <t>i.t</t>
        </is>
      </c>
      <c r="F164" s="31" t="inlineStr">
        <is>
          <t>computers - software - medium / small</t>
        </is>
      </c>
      <c r="G164" s="31" t="inlineStr">
        <is>
          <t>smallcap</t>
        </is>
      </c>
      <c r="H164" s="32" t="n">
        <v>2479.11</v>
      </c>
      <c r="I164" s="32" t="n">
        <v>268.45</v>
      </c>
      <c r="J164" s="32" t="n">
        <v>-1.62</v>
      </c>
      <c r="K164" s="32" t="n">
        <v>541807</v>
      </c>
      <c r="L164" s="31" t="n">
        <v>79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73.64</v>
      </c>
      <c r="P164" s="32" t="n">
        <v>34.03</v>
      </c>
      <c r="Q164" s="32" t="n">
        <v>215.64</v>
      </c>
      <c r="R164" s="31" t="inlineStr">
        <is>
          <t>Near 52W High Breakout</t>
        </is>
      </c>
      <c r="S164" s="31" t="inlineStr">
        <is>
          <t>Nifty IT</t>
        </is>
      </c>
      <c r="T164" s="32" t="n">
        <v>-18.64</v>
      </c>
      <c r="U164" s="32" t="n">
        <v>46.42</v>
      </c>
      <c r="V164" s="32" t="n">
        <v>79.95999999999999</v>
      </c>
      <c r="W164" s="32" t="n">
        <v>20.06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IF(B165=0,"",RANK(B165,$B$2:$B$354,0))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CAPLIPOINT</t>
        </is>
      </c>
      <c r="D165" s="31" t="inlineStr">
        <is>
          <t>Caplin Point Laboratories Limited</t>
        </is>
      </c>
      <c r="E165" s="31" t="inlineStr">
        <is>
          <t>healthcare</t>
        </is>
      </c>
      <c r="F165" s="31" t="inlineStr">
        <is>
          <t>pharmaceuticals - indian - formulations</t>
        </is>
      </c>
      <c r="G165" s="31" t="inlineStr">
        <is>
          <t>largecap</t>
        </is>
      </c>
      <c r="H165" s="32" t="n">
        <v>20137.02</v>
      </c>
      <c r="I165" s="32" t="n">
        <v>2606</v>
      </c>
      <c r="J165" s="32" t="n">
        <v>-1.63</v>
      </c>
      <c r="K165" s="32" t="n">
        <v>53155</v>
      </c>
      <c r="L165" s="31" t="n">
        <v>75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80.56</v>
      </c>
      <c r="P165" s="32" t="n">
        <v>37.12</v>
      </c>
      <c r="Q165" s="32" t="n">
        <v>2170.38</v>
      </c>
      <c r="R165" s="31" t="inlineStr">
        <is>
          <t>Near 52W High Breakout</t>
        </is>
      </c>
      <c r="S165" s="31" t="inlineStr">
        <is>
          <t>Nifty Pharma</t>
        </is>
      </c>
      <c r="T165" s="32" t="n">
        <v>15.14</v>
      </c>
      <c r="U165" s="32" t="n">
        <v>28.46</v>
      </c>
      <c r="V165" s="32" t="n">
        <v>11.58</v>
      </c>
      <c r="W165" s="32" t="n">
        <v>17.63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Between 1.5 to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IF(B166=0,"",RANK(B166,$B$2:$B$354,0))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JINDWORLD</t>
        </is>
      </c>
      <c r="D166" s="33" t="inlineStr">
        <is>
          <t>Jindal Worldwide Limited</t>
        </is>
      </c>
      <c r="E166" s="31" t="inlineStr">
        <is>
          <t>textiles</t>
        </is>
      </c>
      <c r="F166" s="31" t="inlineStr">
        <is>
          <t>textiles - products</t>
        </is>
      </c>
      <c r="G166" s="31" t="inlineStr">
        <is>
          <t>smallcap</t>
        </is>
      </c>
      <c r="H166" s="32" t="n">
        <v>3163.21</v>
      </c>
      <c r="I166" s="32" t="n">
        <v>37.64</v>
      </c>
      <c r="J166" s="32" t="n">
        <v>19.3</v>
      </c>
      <c r="K166" s="32" t="n">
        <v>100884162</v>
      </c>
      <c r="L166" s="31" t="n">
        <v>61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66.64</v>
      </c>
      <c r="P166" s="32" t="n">
        <v>24.22</v>
      </c>
      <c r="Q166" s="32" t="n">
        <v>25.89</v>
      </c>
      <c r="R166" s="31" t="inlineStr">
        <is>
          <t>Volume Spike &amp; Near 52W High Breakout</t>
        </is>
      </c>
      <c r="S166" s="31" t="inlineStr">
        <is>
          <t>Nifty 50</t>
        </is>
      </c>
      <c r="T166" s="32" t="n">
        <v>-2.61</v>
      </c>
      <c r="U166" s="32" t="n">
        <v>-6.81</v>
      </c>
      <c r="V166" s="32" t="n">
        <v>-4.31</v>
      </c>
      <c r="W166" s="32" t="n">
        <v>13.01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IF(B167=0,"",RANK(B167,$B$2:$B$354,0))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INOXINDIA</t>
        </is>
      </c>
      <c r="D167" s="31" t="inlineStr">
        <is>
          <t>Inox India Ltd</t>
        </is>
      </c>
      <c r="E167" s="31" t="inlineStr">
        <is>
          <t>industrials</t>
        </is>
      </c>
      <c r="F167" s="31" t="inlineStr">
        <is>
          <t>packaging</t>
        </is>
      </c>
      <c r="G167" s="31" t="inlineStr">
        <is>
          <t>midcap</t>
        </is>
      </c>
      <c r="H167" s="32" t="n">
        <v>18183.56</v>
      </c>
      <c r="I167" s="32" t="n">
        <v>2093.8</v>
      </c>
      <c r="J167" s="32" t="n">
        <v>4.51</v>
      </c>
      <c r="K167" s="32" t="n">
        <v>535136</v>
      </c>
      <c r="L167" s="31" t="n">
        <v>81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84.47</v>
      </c>
      <c r="P167" s="32" t="n">
        <v>66.31</v>
      </c>
      <c r="Q167" s="32" t="n">
        <v>1624.75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-2.61</v>
      </c>
      <c r="U167" s="32" t="n">
        <v>74.37</v>
      </c>
      <c r="V167" s="32" t="n">
        <v>79.05</v>
      </c>
      <c r="W167" s="32" t="n">
        <v>21.35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Between 12 to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IF(B168=0,"",RANK(B168,$B$2:$B$354,0))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ACE</t>
        </is>
      </c>
      <c r="D168" s="33" t="inlineStr">
        <is>
          <t>Action Construction Equipment Limited</t>
        </is>
      </c>
      <c r="E168" s="31" t="inlineStr">
        <is>
          <t>industrials</t>
        </is>
      </c>
      <c r="F168" s="31" t="inlineStr">
        <is>
          <t>engineering</t>
        </is>
      </c>
      <c r="G168" s="31" t="inlineStr">
        <is>
          <t>midcap</t>
        </is>
      </c>
      <c r="H168" s="32" t="n">
        <v>11808.29</v>
      </c>
      <c r="I168" s="32" t="n">
        <v>1035.5</v>
      </c>
      <c r="J168" s="32" t="n">
        <v>4.43</v>
      </c>
      <c r="K168" s="32" t="n">
        <v>5917072</v>
      </c>
      <c r="L168" s="31" t="n">
        <v>17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63</v>
      </c>
      <c r="P168" s="32" t="n">
        <v>14.24</v>
      </c>
      <c r="Q168" s="32" t="n">
        <v>830.35</v>
      </c>
      <c r="R168" s="31" t="inlineStr">
        <is>
          <t>Volume Spike / Accumulation</t>
        </is>
      </c>
      <c r="S168" s="31" t="inlineStr">
        <is>
          <t>Nifty 50</t>
        </is>
      </c>
      <c r="T168" s="32" t="n">
        <v>-2.61</v>
      </c>
      <c r="U168" s="32" t="n">
        <v>-5.86</v>
      </c>
      <c r="V168" s="32" t="n">
        <v>-3.33</v>
      </c>
      <c r="W168" s="32" t="n">
        <v>3.03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IF(B169=0,"",RANK(B169,$B$2:$B$354,0))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AEGISVOPAK</t>
        </is>
      </c>
      <c r="D169" s="31" t="inlineStr">
        <is>
          <t>Aegis Vopak Terminals Ltd</t>
        </is>
      </c>
      <c r="E169" s="31" t="inlineStr">
        <is>
          <t>transportation</t>
        </is>
      </c>
      <c r="F169" s="31" t="inlineStr">
        <is>
          <t>miscellaneous</t>
        </is>
      </c>
      <c r="G169" s="31" t="inlineStr">
        <is>
          <t>largecap</t>
        </is>
      </c>
      <c r="H169" s="32" t="n">
        <v>31136.78</v>
      </c>
      <c r="I169" s="32" t="n">
        <v>288.45</v>
      </c>
      <c r="J169" s="32" t="n">
        <v>2.64</v>
      </c>
      <c r="K169" s="32" t="n">
        <v>3392972</v>
      </c>
      <c r="L169" s="31" t="n">
        <v>72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64.56999999999999</v>
      </c>
      <c r="P169" s="32" t="n">
        <v>25.52</v>
      </c>
      <c r="Q169" s="32" t="n">
        <v>208.36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-2.61</v>
      </c>
      <c r="U169" s="32" t="n">
        <v>12.38</v>
      </c>
      <c r="V169" s="32" t="n">
        <v>15.39</v>
      </c>
      <c r="W169" s="32" t="n">
        <v>16.25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Between 12 to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IF(B170=0,"",RANK(B170,$B$2:$B$354,0))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SOTL</t>
        </is>
      </c>
      <c r="D170" s="31" t="inlineStr">
        <is>
          <t>Savita Oil Technologies Limited</t>
        </is>
      </c>
      <c r="E170" s="31" t="inlineStr">
        <is>
          <t>energy</t>
        </is>
      </c>
      <c r="F170" s="31" t="inlineStr">
        <is>
          <t>petrochemicals</t>
        </is>
      </c>
      <c r="G170" s="31" t="inlineStr">
        <is>
          <t>smallcap</t>
        </is>
      </c>
      <c r="H170" s="32" t="n">
        <v>4042.66</v>
      </c>
      <c r="I170" s="32" t="n">
        <v>601.75</v>
      </c>
      <c r="J170" s="32" t="n">
        <v>2.05</v>
      </c>
      <c r="K170" s="32" t="n">
        <v>402941</v>
      </c>
      <c r="L170" s="31" t="n">
        <v>85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67.26000000000001</v>
      </c>
      <c r="P170" s="32" t="n">
        <v>39.31</v>
      </c>
      <c r="Q170" s="32" t="n">
        <v>446.99</v>
      </c>
      <c r="R170" s="31" t="inlineStr">
        <is>
          <t>Near 52W High Breakout</t>
        </is>
      </c>
      <c r="S170" s="31" t="inlineStr">
        <is>
          <t>Nifty Energy</t>
        </is>
      </c>
      <c r="T170" s="32" t="n">
        <v>12.3</v>
      </c>
      <c r="U170" s="32" t="n">
        <v>50.43</v>
      </c>
      <c r="V170" s="32" t="n">
        <v>33.95</v>
      </c>
      <c r="W170" s="32" t="n">
        <v>24.27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Oligopoly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IF(B171=0,"",RANK(B171,$B$2:$B$354,0))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PANACHE</t>
        </is>
      </c>
      <c r="D171" s="31" t="inlineStr">
        <is>
          <t>Panache Digilife Ltd</t>
        </is>
      </c>
      <c r="E171" s="31" t="inlineStr">
        <is>
          <t>i.t</t>
        </is>
      </c>
      <c r="F171" s="31" t="inlineStr">
        <is>
          <t>computers - hardware</t>
        </is>
      </c>
      <c r="G171" s="31" t="inlineStr">
        <is>
          <t>smallcap</t>
        </is>
      </c>
      <c r="H171" s="32" t="n">
        <v>690.6</v>
      </c>
      <c r="I171" s="32" t="n">
        <v>439.5</v>
      </c>
      <c r="J171" s="32" t="n">
        <v>1.91</v>
      </c>
      <c r="K171" s="32" t="n">
        <v>2021</v>
      </c>
      <c r="L171" s="31" t="n">
        <v>83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63.52</v>
      </c>
      <c r="P171" s="32" t="n">
        <v>21.81</v>
      </c>
      <c r="Q171" s="32" t="n">
        <v>313.2</v>
      </c>
      <c r="R171" s="31" t="inlineStr">
        <is>
          <t>Near 52W High Breakout</t>
        </is>
      </c>
      <c r="S171" s="31" t="inlineStr">
        <is>
          <t>Nifty IT</t>
        </is>
      </c>
      <c r="T171" s="32" t="n">
        <v>-18.64</v>
      </c>
      <c r="U171" s="32" t="n">
        <v>61.38</v>
      </c>
      <c r="V171" s="32" t="n">
        <v>98.34999999999999</v>
      </c>
      <c r="W171" s="32" t="n">
        <v>22.89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Negative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IF(B172=0,"",RANK(B172,$B$2:$B$354,0))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CHEVIOT</t>
        </is>
      </c>
      <c r="D172" s="31" t="inlineStr">
        <is>
          <t>Cheviot Company Ltd</t>
        </is>
      </c>
      <c r="E172" s="31" t="inlineStr">
        <is>
          <t>textiles</t>
        </is>
      </c>
      <c r="F172" s="31" t="inlineStr">
        <is>
          <t>textiles - jute - yarn / products</t>
        </is>
      </c>
      <c r="G172" s="31" t="inlineStr">
        <is>
          <t>smallcap</t>
        </is>
      </c>
      <c r="H172" s="32" t="n">
        <v>657.04</v>
      </c>
      <c r="I172" s="32" t="n">
        <v>1145</v>
      </c>
      <c r="J172" s="32" t="n">
        <v>1.8</v>
      </c>
      <c r="K172" s="32" t="n">
        <v>1376</v>
      </c>
      <c r="L172" s="31" t="n">
        <v>8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54.97</v>
      </c>
      <c r="P172" s="32" t="n">
        <v>22.26</v>
      </c>
      <c r="Q172" s="32" t="n">
        <v>1109.93</v>
      </c>
      <c r="R172" s="31" t="inlineStr">
        <is>
          <t>Earnings / Momentum Support</t>
        </is>
      </c>
      <c r="S172" s="31" t="inlineStr">
        <is>
          <t>Nifty IT</t>
        </is>
      </c>
      <c r="T172" s="32" t="n">
        <v>-18.64</v>
      </c>
      <c r="U172" s="32" t="n">
        <v>-2.79</v>
      </c>
      <c r="V172" s="32" t="n">
        <v>19.47</v>
      </c>
      <c r="W172" s="32" t="n">
        <v>0.87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IF(B173=0,"",RANK(B173,$B$2:$B$354,0))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IKIO</t>
        </is>
      </c>
      <c r="D173" s="31" t="inlineStr">
        <is>
          <t>IKIO Lighting Ltd</t>
        </is>
      </c>
      <c r="E173" s="31" t="inlineStr">
        <is>
          <t>consumer discretionary</t>
        </is>
      </c>
      <c r="F173" s="31" t="inlineStr">
        <is>
          <t>electric equipment</t>
        </is>
      </c>
      <c r="G173" s="31" t="inlineStr">
        <is>
          <t>smallcap</t>
        </is>
      </c>
      <c r="H173" s="32" t="n">
        <v>1656.67</v>
      </c>
      <c r="I173" s="32" t="n">
        <v>216.5</v>
      </c>
      <c r="J173" s="32" t="n">
        <v>0.99</v>
      </c>
      <c r="K173" s="32" t="n">
        <v>835637</v>
      </c>
      <c r="L173" s="31" t="n">
        <v>66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67.93000000000001</v>
      </c>
      <c r="P173" s="32" t="n">
        <v>24.97</v>
      </c>
      <c r="Q173" s="32" t="n">
        <v>158.2</v>
      </c>
      <c r="R173" s="31" t="inlineStr">
        <is>
          <t>Earnings / Momentum Support</t>
        </is>
      </c>
      <c r="S173" s="31" t="inlineStr">
        <is>
          <t>Nifty 50</t>
        </is>
      </c>
      <c r="T173" s="32" t="n">
        <v>-2.61</v>
      </c>
      <c r="U173" s="32" t="n">
        <v>4.87</v>
      </c>
      <c r="V173" s="32" t="n">
        <v>7.68</v>
      </c>
      <c r="W173" s="32" t="n">
        <v>14.58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IF(B174=0,"",RANK(B174,$B$2:$B$354,0))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HINDCOMPOS</t>
        </is>
      </c>
      <c r="D174" s="33" t="inlineStr">
        <is>
          <t>Hindustan Composites Limited</t>
        </is>
      </c>
      <c r="E174" s="31" t="inlineStr">
        <is>
          <t>auto</t>
        </is>
      </c>
      <c r="F174" s="31" t="inlineStr">
        <is>
          <t>auto ancillaries</t>
        </is>
      </c>
      <c r="G174" s="31" t="inlineStr">
        <is>
          <t>smallcap</t>
        </is>
      </c>
      <c r="H174" s="32" t="n">
        <v>651.6799999999999</v>
      </c>
      <c r="I174" s="32" t="n">
        <v>444</v>
      </c>
      <c r="J174" s="32" t="n">
        <v>0.62</v>
      </c>
      <c r="K174" s="32" t="n">
        <v>2609</v>
      </c>
      <c r="L174" s="31" t="n">
        <v>2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52.54</v>
      </c>
      <c r="P174" s="32" t="n">
        <v>25.93</v>
      </c>
      <c r="Q174" s="32" t="n">
        <v>364.77</v>
      </c>
      <c r="R174" s="31" t="inlineStr">
        <is>
          <t>Earnings / Momentum Support</t>
        </is>
      </c>
      <c r="S174" s="31" t="inlineStr">
        <is>
          <t>Nifty Auto</t>
        </is>
      </c>
      <c r="T174" s="32" t="n">
        <v>14.71</v>
      </c>
      <c r="U174" s="32" t="n">
        <v>-8.789999999999999</v>
      </c>
      <c r="V174" s="32" t="n">
        <v>-20.49</v>
      </c>
      <c r="W174" s="32" t="n">
        <v>-3.02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IF(B175=0,"",RANK(B175,$B$2:$B$354,0))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UNIMECH</t>
        </is>
      </c>
      <c r="D175" s="31" t="inlineStr">
        <is>
          <t>Unimech Aerospace and Manufacturing Ltd</t>
        </is>
      </c>
      <c r="E175" s="31" t="inlineStr">
        <is>
          <t>aerospace &amp; defence</t>
        </is>
      </c>
      <c r="F175" s="31" t="inlineStr">
        <is>
          <t>engineering</t>
        </is>
      </c>
      <c r="G175" s="31" t="inlineStr">
        <is>
          <t>midcap</t>
        </is>
      </c>
      <c r="H175" s="32" t="n">
        <v>6481.71</v>
      </c>
      <c r="I175" s="32" t="n">
        <v>1276.2</v>
      </c>
      <c r="J175" s="32" t="n">
        <v>0.13</v>
      </c>
      <c r="K175" s="32" t="n">
        <v>71931</v>
      </c>
      <c r="L175" s="31" t="n">
        <v>46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67.95</v>
      </c>
      <c r="P175" s="32" t="n">
        <v>27.94</v>
      </c>
      <c r="Q175" s="32" t="n">
        <v>956.45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-2.61</v>
      </c>
      <c r="U175" s="32" t="n">
        <v>11.09</v>
      </c>
      <c r="V175" s="32" t="n">
        <v>14.07</v>
      </c>
      <c r="W175" s="32" t="n">
        <v>9.17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IF(B176=0,"",RANK(B176,$B$2:$B$354,0))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VISAKAIND</t>
        </is>
      </c>
      <c r="D176" s="33" t="inlineStr">
        <is>
          <t>Visaka Industries Limited</t>
        </is>
      </c>
      <c r="E176" s="31" t="inlineStr">
        <is>
          <t>building materials</t>
        </is>
      </c>
      <c r="F176" s="31" t="inlineStr">
        <is>
          <t>cement products</t>
        </is>
      </c>
      <c r="G176" s="31" t="inlineStr">
        <is>
          <t>smallcap</t>
        </is>
      </c>
      <c r="H176" s="32" t="n">
        <v>700.74</v>
      </c>
      <c r="I176" s="32" t="n">
        <v>81.14</v>
      </c>
      <c r="J176" s="32" t="n">
        <v>0.05</v>
      </c>
      <c r="K176" s="32" t="n">
        <v>39885</v>
      </c>
      <c r="L176" s="31" t="n">
        <v>33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66.98999999999999</v>
      </c>
      <c r="P176" s="32" t="n">
        <v>29.74</v>
      </c>
      <c r="Q176" s="32" t="n">
        <v>64.33</v>
      </c>
      <c r="R176" s="31" t="inlineStr">
        <is>
          <t>Earnings / Momentum Support</t>
        </is>
      </c>
      <c r="S176" s="31" t="inlineStr">
        <is>
          <t>Nifty Infra</t>
        </is>
      </c>
      <c r="T176" s="32" t="n">
        <v>4.24</v>
      </c>
      <c r="U176" s="32" t="n">
        <v>-0.8100000000000001</v>
      </c>
      <c r="V176" s="32" t="n">
        <v>-4.84</v>
      </c>
      <c r="W176" s="32" t="n">
        <v>6.66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IF(B177=0,"",RANK(B177,$B$2:$B$354,0))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ADANIENT</t>
        </is>
      </c>
      <c r="D177" s="31" t="inlineStr">
        <is>
          <t>Adani Enterprises Limited</t>
        </is>
      </c>
      <c r="E177" s="31" t="inlineStr">
        <is>
          <t>services</t>
        </is>
      </c>
      <c r="F177" s="31" t="inlineStr">
        <is>
          <t>trading</t>
        </is>
      </c>
      <c r="G177" s="31" t="inlineStr">
        <is>
          <t>largecap</t>
        </is>
      </c>
      <c r="H177" s="32" t="n">
        <v>430930.52</v>
      </c>
      <c r="I177" s="32" t="n">
        <v>3182.7</v>
      </c>
      <c r="J177" s="32" t="n">
        <v>-0.02</v>
      </c>
      <c r="K177" s="32" t="n">
        <v>951463</v>
      </c>
      <c r="L177" s="31" t="n">
        <v>66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72.31</v>
      </c>
      <c r="P177" s="32" t="n">
        <v>40.46</v>
      </c>
      <c r="Q177" s="32" t="n">
        <v>2694.25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-2.61</v>
      </c>
      <c r="U177" s="32" t="n">
        <v>24.86</v>
      </c>
      <c r="V177" s="32" t="n">
        <v>28.21</v>
      </c>
      <c r="W177" s="32" t="n">
        <v>14.75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 and Borrowings are increasing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IF(B178=0,"",RANK(B178,$B$2:$B$354,0))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MANGLMCEM</t>
        </is>
      </c>
      <c r="D178" s="31" t="inlineStr">
        <is>
          <t>Mangalam Cement Limited</t>
        </is>
      </c>
      <c r="E178" s="31" t="inlineStr">
        <is>
          <t>building materials</t>
        </is>
      </c>
      <c r="F178" s="31" t="inlineStr">
        <is>
          <t>cement - north india</t>
        </is>
      </c>
      <c r="G178" s="31" t="inlineStr">
        <is>
          <t>smallcap</t>
        </is>
      </c>
      <c r="H178" s="32" t="n">
        <v>2695.15</v>
      </c>
      <c r="I178" s="32" t="n">
        <v>980</v>
      </c>
      <c r="J178" s="32" t="n">
        <v>-0.02</v>
      </c>
      <c r="K178" s="32" t="n">
        <v>27912</v>
      </c>
      <c r="L178" s="31" t="n">
        <v>41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65.84</v>
      </c>
      <c r="P178" s="32" t="n">
        <v>21.33</v>
      </c>
      <c r="Q178" s="32" t="n">
        <v>814.38</v>
      </c>
      <c r="R178" s="31" t="inlineStr">
        <is>
          <t>Near 52W High Breakout</t>
        </is>
      </c>
      <c r="S178" s="31" t="inlineStr">
        <is>
          <t>Nifty Infra</t>
        </is>
      </c>
      <c r="T178" s="32" t="n">
        <v>4.24</v>
      </c>
      <c r="U178" s="32" t="n">
        <v>35.68</v>
      </c>
      <c r="V178" s="32" t="n">
        <v>30.16</v>
      </c>
      <c r="W178" s="32" t="n">
        <v>8.130000000000001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IF(B179=0,"",RANK(B179,$B$2:$B$354,0))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LLOYDSENT</t>
        </is>
      </c>
      <c r="D179" s="31" t="inlineStr">
        <is>
          <t>Lloyds Enterprises Ltd</t>
        </is>
      </c>
      <c r="E179" s="31" t="inlineStr">
        <is>
          <t>services</t>
        </is>
      </c>
      <c r="F179" s="31" t="inlineStr">
        <is>
          <t>trading</t>
        </is>
      </c>
      <c r="G179" s="31" t="inlineStr">
        <is>
          <t>midcap</t>
        </is>
      </c>
      <c r="H179" s="32" t="n">
        <v>12552.84</v>
      </c>
      <c r="I179" s="32" t="n">
        <v>81.48999999999999</v>
      </c>
      <c r="J179" s="32" t="n">
        <v>-0.9</v>
      </c>
      <c r="K179" s="32" t="n">
        <v>3405761</v>
      </c>
      <c r="L179" s="31" t="n">
        <v>33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65.31</v>
      </c>
      <c r="P179" s="32" t="n">
        <v>33.7</v>
      </c>
      <c r="Q179" s="32" t="n">
        <v>60.91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-2.61</v>
      </c>
      <c r="U179" s="32" t="n">
        <v>2.82</v>
      </c>
      <c r="V179" s="32" t="n">
        <v>5.58</v>
      </c>
      <c r="W179" s="32" t="n">
        <v>6.55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IF(B180=0,"",RANK(B180,$B$2:$B$354,0))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PDSL</t>
        </is>
      </c>
      <c r="D180" s="31" t="inlineStr">
        <is>
          <t>PDS Ltd</t>
        </is>
      </c>
      <c r="E180" s="31" t="inlineStr">
        <is>
          <t>textiles</t>
        </is>
      </c>
      <c r="F180" s="31" t="inlineStr">
        <is>
          <t>trading</t>
        </is>
      </c>
      <c r="G180" s="31" t="inlineStr">
        <is>
          <t>midcap</t>
        </is>
      </c>
      <c r="H180" s="32" t="n">
        <v>5153.44</v>
      </c>
      <c r="I180" s="32" t="n">
        <v>361</v>
      </c>
      <c r="J180" s="32" t="n">
        <v>-0.92</v>
      </c>
      <c r="K180" s="32" t="n">
        <v>279542</v>
      </c>
      <c r="L180" s="31" t="n">
        <v>35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60.51</v>
      </c>
      <c r="P180" s="32" t="n">
        <v>23.44</v>
      </c>
      <c r="Q180" s="32" t="n">
        <v>266.04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-2.61</v>
      </c>
      <c r="U180" s="32" t="n">
        <v>-0.83</v>
      </c>
      <c r="V180" s="32" t="n">
        <v>1.83</v>
      </c>
      <c r="W180" s="32" t="n">
        <v>6.97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IF(B181=0,"",RANK(B181,$B$2:$B$354,0))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KAJARIACER</t>
        </is>
      </c>
      <c r="D181" s="31" t="inlineStr">
        <is>
          <t>Kajaria Ceramics Limited</t>
        </is>
      </c>
      <c r="E181" s="31" t="inlineStr">
        <is>
          <t>building materials</t>
        </is>
      </c>
      <c r="F181" s="31" t="inlineStr">
        <is>
          <t>ceramics - tiles / sanitaryware</t>
        </is>
      </c>
      <c r="G181" s="31" t="inlineStr">
        <is>
          <t>midcap</t>
        </is>
      </c>
      <c r="H181" s="32" t="n">
        <v>19784.8</v>
      </c>
      <c r="I181" s="32" t="n">
        <v>1229.3</v>
      </c>
      <c r="J181" s="32" t="n">
        <v>-1.04</v>
      </c>
      <c r="K181" s="32" t="n">
        <v>158882</v>
      </c>
      <c r="L181" s="31" t="n">
        <v>16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64.87</v>
      </c>
      <c r="P181" s="32" t="n">
        <v>24.42</v>
      </c>
      <c r="Q181" s="32" t="n">
        <v>1035.07</v>
      </c>
      <c r="R181" s="31" t="inlineStr">
        <is>
          <t>Earnings / Momentum Support</t>
        </is>
      </c>
      <c r="S181" s="31" t="inlineStr">
        <is>
          <t>Nifty Infra</t>
        </is>
      </c>
      <c r="T181" s="32" t="n">
        <v>4.24</v>
      </c>
      <c r="U181" s="32" t="n">
        <v>6.06</v>
      </c>
      <c r="V181" s="32" t="n">
        <v>1.75</v>
      </c>
      <c r="W181" s="32" t="n">
        <v>2.84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IF(B182=0,"",RANK(B182,$B$2:$B$354,0))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CCAVENUE</t>
        </is>
      </c>
      <c r="D182" s="31" t="inlineStr">
        <is>
          <t>AvenuesAI Ltd</t>
        </is>
      </c>
      <c r="E182" s="31" t="inlineStr">
        <is>
          <t>i.t</t>
        </is>
      </c>
      <c r="F182" s="31" t="inlineStr">
        <is>
          <t>miscellaneous</t>
        </is>
      </c>
      <c r="G182" s="31" t="inlineStr">
        <is>
          <t>midcap</t>
        </is>
      </c>
      <c r="H182" s="32" t="n">
        <v>6024.33</v>
      </c>
      <c r="I182" s="32" t="n">
        <v>17.04</v>
      </c>
      <c r="J182" s="32" t="n">
        <v>-1.1</v>
      </c>
      <c r="K182" s="32" t="n">
        <v>4278203</v>
      </c>
      <c r="L182" s="31" t="n">
        <v>34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56.95</v>
      </c>
      <c r="P182" s="32" t="n">
        <v>18.15</v>
      </c>
      <c r="Q182" s="32" t="n">
        <v>13.76</v>
      </c>
      <c r="R182" s="31" t="inlineStr">
        <is>
          <t>Earnings / Momentum Support</t>
        </is>
      </c>
      <c r="S182" s="31" t="inlineStr">
        <is>
          <t>Nifty IT</t>
        </is>
      </c>
      <c r="T182" s="32" t="n">
        <v>-18.64</v>
      </c>
      <c r="U182" s="32" t="n">
        <v>6.23</v>
      </c>
      <c r="V182" s="32" t="n">
        <v>30.57</v>
      </c>
      <c r="W182" s="32" t="n">
        <v>6.72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IF(B183=0,"",RANK(B183,$B$2:$B$354,0))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ITDC</t>
        </is>
      </c>
      <c r="D183" s="31" t="inlineStr">
        <is>
          <t>India Tourism Development Corporation Ltd</t>
        </is>
      </c>
      <c r="E183" s="31" t="inlineStr">
        <is>
          <t>services</t>
        </is>
      </c>
      <c r="F183" s="31" t="inlineStr">
        <is>
          <t>hotels</t>
        </is>
      </c>
      <c r="G183" s="31" t="inlineStr">
        <is>
          <t>midcap</t>
        </is>
      </c>
      <c r="H183" s="32" t="n">
        <v>6637.69</v>
      </c>
      <c r="I183" s="32" t="n">
        <v>757.4</v>
      </c>
      <c r="J183" s="32" t="n">
        <v>-2.13</v>
      </c>
      <c r="K183" s="32" t="n">
        <v>793242</v>
      </c>
      <c r="L183" s="31" t="n">
        <v>61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65.81999999999999</v>
      </c>
      <c r="P183" s="32" t="n">
        <v>36.18</v>
      </c>
      <c r="Q183" s="32" t="n">
        <v>521.35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-2.61</v>
      </c>
      <c r="U183" s="32" t="n">
        <v>31.08</v>
      </c>
      <c r="V183" s="32" t="n">
        <v>34.59</v>
      </c>
      <c r="W183" s="32" t="n">
        <v>12.71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IF(B184=0,"",RANK(B184,$B$2:$B$354,0))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DYCL</t>
        </is>
      </c>
      <c r="D184" s="33" t="inlineStr">
        <is>
          <t>Dynamic Cables Ltd</t>
        </is>
      </c>
      <c r="E184" s="31" t="inlineStr">
        <is>
          <t>industrials</t>
        </is>
      </c>
      <c r="F184" s="31" t="inlineStr">
        <is>
          <t>cables - power</t>
        </is>
      </c>
      <c r="G184" s="31" t="inlineStr">
        <is>
          <t>smallcap</t>
        </is>
      </c>
      <c r="H184" s="32" t="n">
        <v>2159.56</v>
      </c>
      <c r="I184" s="32" t="n">
        <v>434.6</v>
      </c>
      <c r="J184" s="32" t="n">
        <v>-2.48</v>
      </c>
      <c r="K184" s="32" t="n">
        <v>9805722</v>
      </c>
      <c r="L184" s="31" t="n">
        <v>41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64.77</v>
      </c>
      <c r="P184" s="32" t="n">
        <v>19.38</v>
      </c>
      <c r="Q184" s="32" t="n">
        <v>301.62</v>
      </c>
      <c r="R184" s="31" t="inlineStr">
        <is>
          <t>Volume Spike &amp; Near 52W High Breakout</t>
        </is>
      </c>
      <c r="S184" s="31" t="inlineStr">
        <is>
          <t>Nifty Energy</t>
        </is>
      </c>
      <c r="T184" s="32" t="n">
        <v>12.3</v>
      </c>
      <c r="U184" s="32" t="n">
        <v>6.45</v>
      </c>
      <c r="V184" s="32" t="n">
        <v>-5.22</v>
      </c>
      <c r="W184" s="32" t="n">
        <v>8.220000000000001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IF(B185=0,"",RANK(B185,$B$2:$B$354,0))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DALMIASUG</t>
        </is>
      </c>
      <c r="D185" s="31" t="inlineStr">
        <is>
          <t>Dalmia Bharat Sugar And Industries Limited</t>
        </is>
      </c>
      <c r="E185" s="31" t="inlineStr">
        <is>
          <t>fmcg</t>
        </is>
      </c>
      <c r="F185" s="31" t="inlineStr">
        <is>
          <t>sugar</t>
        </is>
      </c>
      <c r="G185" s="31" t="inlineStr">
        <is>
          <t>smallcap</t>
        </is>
      </c>
      <c r="H185" s="32" t="n">
        <v>2934.86</v>
      </c>
      <c r="I185" s="32" t="n">
        <v>370.45</v>
      </c>
      <c r="J185" s="32" t="n">
        <v>2.16</v>
      </c>
      <c r="K185" s="32" t="n">
        <v>199645</v>
      </c>
      <c r="L185" s="31" t="n">
        <v>10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58.95</v>
      </c>
      <c r="P185" s="32" t="n">
        <v>24.04</v>
      </c>
      <c r="Q185" s="32" t="n">
        <v>307.04</v>
      </c>
      <c r="R185" s="31" t="inlineStr">
        <is>
          <t>Earnings / Momentum Support</t>
        </is>
      </c>
      <c r="S185" s="31" t="inlineStr">
        <is>
          <t>Nifty FMCG</t>
        </is>
      </c>
      <c r="T185" s="32" t="n">
        <v>-10.38</v>
      </c>
      <c r="U185" s="32" t="n">
        <v>-0.21</v>
      </c>
      <c r="V185" s="32" t="n">
        <v>11.34</v>
      </c>
      <c r="W185" s="32" t="n">
        <v>1.58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B2C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IF(B186=0,"",RANK(B186,$B$2:$B$354,0))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INDSWFTLAB</t>
        </is>
      </c>
      <c r="D186" s="31" t="inlineStr">
        <is>
          <t>Ind-swift Laboratories Limited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smallcap</t>
        </is>
      </c>
      <c r="H186" s="32" t="n">
        <v>2031.89</v>
      </c>
      <c r="I186" s="32" t="n">
        <v>237.6</v>
      </c>
      <c r="J186" s="32" t="n">
        <v>1.54</v>
      </c>
      <c r="K186" s="32" t="n">
        <v>271487</v>
      </c>
      <c r="L186" s="31" t="n">
        <v>95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80.06</v>
      </c>
      <c r="P186" s="32" t="n">
        <v>50.93</v>
      </c>
      <c r="Q186" s="32" t="n">
        <v>191.57</v>
      </c>
      <c r="R186" s="31" t="inlineStr">
        <is>
          <t>Near 52W High Breakout</t>
        </is>
      </c>
      <c r="S186" s="31" t="inlineStr">
        <is>
          <t>Nifty Pharma</t>
        </is>
      </c>
      <c r="T186" s="32" t="n">
        <v>15.14</v>
      </c>
      <c r="U186" s="32" t="n">
        <v>131.8</v>
      </c>
      <c r="V186" s="32" t="n">
        <v>101.32</v>
      </c>
      <c r="W186" s="32" t="n">
        <v>35.94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Negative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IF(B187=0,"",RANK(B187,$B$2:$B$354,0))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JLHL</t>
        </is>
      </c>
      <c r="D187" s="33" t="inlineStr">
        <is>
          <t>Jupiter Life Line Hospitals Ltd</t>
        </is>
      </c>
      <c r="E187" s="31" t="inlineStr">
        <is>
          <t>healthcare</t>
        </is>
      </c>
      <c r="F187" s="31" t="inlineStr">
        <is>
          <t>healthcare</t>
        </is>
      </c>
      <c r="G187" s="31" t="inlineStr">
        <is>
          <t>midcap</t>
        </is>
      </c>
      <c r="H187" s="32" t="n">
        <v>10215.84</v>
      </c>
      <c r="I187" s="32" t="n">
        <v>1570.5</v>
      </c>
      <c r="J187" s="32" t="n">
        <v>0.8</v>
      </c>
      <c r="K187" s="32" t="n">
        <v>17744</v>
      </c>
      <c r="L187" s="31" t="n">
        <v>38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72.37</v>
      </c>
      <c r="P187" s="32" t="n">
        <v>24.4</v>
      </c>
      <c r="Q187" s="32" t="n">
        <v>1330.11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15.14</v>
      </c>
      <c r="U187" s="32" t="n">
        <v>7.87</v>
      </c>
      <c r="V187" s="32" t="n">
        <v>-6.31</v>
      </c>
      <c r="W187" s="32" t="n">
        <v>7.45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Between 12 to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IF(B188=0,"",RANK(B188,$B$2:$B$354,0))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LALPATHLAB</t>
        </is>
      </c>
      <c r="D188" s="33" t="inlineStr">
        <is>
          <t>Dr. Lal Path Labs Ltd.</t>
        </is>
      </c>
      <c r="E188" s="31" t="inlineStr">
        <is>
          <t>healthcare</t>
        </is>
      </c>
      <c r="F188" s="31" t="inlineStr">
        <is>
          <t>healthcare</t>
        </is>
      </c>
      <c r="G188" s="31" t="inlineStr">
        <is>
          <t>largecap</t>
        </is>
      </c>
      <c r="H188" s="32" t="n">
        <v>28372.09</v>
      </c>
      <c r="I188" s="32" t="n">
        <v>1700.1</v>
      </c>
      <c r="J188" s="32" t="n">
        <v>0.4</v>
      </c>
      <c r="K188" s="32" t="n">
        <v>138917</v>
      </c>
      <c r="L188" s="31" t="n">
        <v>34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63.8</v>
      </c>
      <c r="P188" s="32" t="n">
        <v>33.84</v>
      </c>
      <c r="Q188" s="32" t="n">
        <v>1394.62</v>
      </c>
      <c r="R188" s="31" t="inlineStr">
        <is>
          <t>Near 52W High Breakout</t>
        </is>
      </c>
      <c r="S188" s="31" t="inlineStr">
        <is>
          <t>Nifty Pharma</t>
        </is>
      </c>
      <c r="T188" s="32" t="n">
        <v>15.14</v>
      </c>
      <c r="U188" s="32" t="n">
        <v>11.5</v>
      </c>
      <c r="V188" s="32" t="n">
        <v>-3.15</v>
      </c>
      <c r="W188" s="32" t="n">
        <v>6.86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IF(B189=0,"",RANK(B189,$B$2:$B$354,0))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UNITDSPR</t>
        </is>
      </c>
      <c r="D189" s="31" t="inlineStr">
        <is>
          <t>United Spirits Ltd</t>
        </is>
      </c>
      <c r="E189" s="31" t="inlineStr">
        <is>
          <t>fmcg</t>
        </is>
      </c>
      <c r="F189" s="31" t="inlineStr">
        <is>
          <t>breweries &amp; distilleries</t>
        </is>
      </c>
      <c r="G189" s="31" t="inlineStr">
        <is>
          <t>largecap</t>
        </is>
      </c>
      <c r="H189" s="32" t="n">
        <v>101487.26</v>
      </c>
      <c r="I189" s="32" t="n">
        <v>1390.8</v>
      </c>
      <c r="J189" s="32" t="n">
        <v>-0.32</v>
      </c>
      <c r="K189" s="32" t="n">
        <v>621923</v>
      </c>
      <c r="L189" s="31" t="n">
        <v>11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57.55</v>
      </c>
      <c r="P189" s="32" t="n">
        <v>13.37</v>
      </c>
      <c r="Q189" s="32" t="n">
        <v>1188.56</v>
      </c>
      <c r="R189" s="31" t="inlineStr">
        <is>
          <t>Near 52W High Breakout</t>
        </is>
      </c>
      <c r="S189" s="31" t="inlineStr">
        <is>
          <t>Nifty FMCG</t>
        </is>
      </c>
      <c r="T189" s="32" t="n">
        <v>-10.38</v>
      </c>
      <c r="U189" s="32" t="n">
        <v>8.15</v>
      </c>
      <c r="V189" s="32" t="n">
        <v>20.67</v>
      </c>
      <c r="W189" s="32" t="n">
        <v>1.75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B2C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IF(B190=0,"",RANK(B190,$B$2:$B$354,0))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SAILIFE</t>
        </is>
      </c>
      <c r="D190" s="31" t="inlineStr">
        <is>
          <t>Sai Life Sciences Ltd</t>
        </is>
      </c>
      <c r="E190" s="31" t="inlineStr">
        <is>
          <t>healthcare</t>
        </is>
      </c>
      <c r="F190" s="31" t="inlineStr">
        <is>
          <t>pharmaceuticals - indian - bulk drugs &amp; formln</t>
        </is>
      </c>
      <c r="G190" s="31" t="inlineStr">
        <is>
          <t>largecap</t>
        </is>
      </c>
      <c r="H190" s="32" t="n">
        <v>27467.77</v>
      </c>
      <c r="I190" s="32" t="n">
        <v>1288.7</v>
      </c>
      <c r="J190" s="32" t="n">
        <v>-0.64</v>
      </c>
      <c r="K190" s="32" t="n">
        <v>310741</v>
      </c>
      <c r="L190" s="31" t="n">
        <v>69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76.34999999999999</v>
      </c>
      <c r="P190" s="32" t="n">
        <v>31.46</v>
      </c>
      <c r="Q190" s="32" t="n">
        <v>1069.5</v>
      </c>
      <c r="R190" s="31" t="inlineStr">
        <is>
          <t>Near 52W High Breakout</t>
        </is>
      </c>
      <c r="S190" s="31" t="inlineStr">
        <is>
          <t>Nifty Pharma</t>
        </is>
      </c>
      <c r="T190" s="32" t="n">
        <v>15.14</v>
      </c>
      <c r="U190" s="32" t="n">
        <v>53.69</v>
      </c>
      <c r="V190" s="32" t="n">
        <v>33.49</v>
      </c>
      <c r="W190" s="32" t="n">
        <v>15.19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IF(B191=0,"",RANK(B191,$B$2:$B$354,0))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IPCALAB</t>
        </is>
      </c>
      <c r="D191" s="31" t="inlineStr">
        <is>
          <t>Ipca Laboratories Limited</t>
        </is>
      </c>
      <c r="E191" s="31" t="inlineStr">
        <is>
          <t>healthcare</t>
        </is>
      </c>
      <c r="F191" s="31" t="inlineStr">
        <is>
          <t>pharmaceuticals - indian - bulk drugs &amp; formln</t>
        </is>
      </c>
      <c r="G191" s="31" t="inlineStr">
        <is>
          <t>largecap</t>
        </is>
      </c>
      <c r="H191" s="32" t="n">
        <v>46646.06</v>
      </c>
      <c r="I191" s="32" t="n">
        <v>1799</v>
      </c>
      <c r="J191" s="32" t="n">
        <v>-2.15</v>
      </c>
      <c r="K191" s="32" t="n">
        <v>437799</v>
      </c>
      <c r="L191" s="31" t="n">
        <v>37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62.72</v>
      </c>
      <c r="P191" s="32" t="n">
        <v>36.21</v>
      </c>
      <c r="Q191" s="32" t="n">
        <v>1553.38</v>
      </c>
      <c r="R191" s="31" t="inlineStr">
        <is>
          <t>Earnings / Momentum Support</t>
        </is>
      </c>
      <c r="S191" s="31" t="inlineStr">
        <is>
          <t>Nifty Pharma</t>
        </is>
      </c>
      <c r="T191" s="32" t="n">
        <v>15.14</v>
      </c>
      <c r="U191" s="32" t="n">
        <v>19.38</v>
      </c>
      <c r="V191" s="32" t="n">
        <v>3.69</v>
      </c>
      <c r="W191" s="32" t="n">
        <v>7.42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IF(B192=0,"",RANK(B192,$B$2:$B$354,0))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DIACABS</t>
        </is>
      </c>
      <c r="D192" s="31" t="inlineStr">
        <is>
          <t>Diamond Power Infrastructure Ltd</t>
        </is>
      </c>
      <c r="E192" s="31" t="inlineStr">
        <is>
          <t>industrials</t>
        </is>
      </c>
      <c r="F192" s="31" t="inlineStr">
        <is>
          <t>cables - power</t>
        </is>
      </c>
      <c r="G192" s="31" t="inlineStr">
        <is>
          <t>midcap</t>
        </is>
      </c>
      <c r="H192" s="32" t="n">
        <v>12890.24</v>
      </c>
      <c r="I192" s="32" t="n">
        <v>269.07</v>
      </c>
      <c r="J192" s="32" t="n">
        <v>10</v>
      </c>
      <c r="K192" s="32" t="n">
        <v>20807551</v>
      </c>
      <c r="L192" s="31" t="n">
        <v>89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80.83</v>
      </c>
      <c r="P192" s="32" t="n">
        <v>53.31</v>
      </c>
      <c r="Q192" s="32" t="n">
        <v>204.05</v>
      </c>
      <c r="R192" s="31" t="inlineStr">
        <is>
          <t>Near 52W High Breakout</t>
        </is>
      </c>
      <c r="S192" s="31" t="inlineStr">
        <is>
          <t>Nifty Energy</t>
        </is>
      </c>
      <c r="T192" s="32" t="n">
        <v>12.3</v>
      </c>
      <c r="U192" s="32" t="n">
        <v>65.20999999999999</v>
      </c>
      <c r="V192" s="32" t="n">
        <v>47.11</v>
      </c>
      <c r="W192" s="32" t="n">
        <v>27.58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Negative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IF(B193=0,"",RANK(B193,$B$2:$B$354,0))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GLOBAL</t>
        </is>
      </c>
      <c r="D193" s="31" t="inlineStr">
        <is>
          <t>Global Education Ltd</t>
        </is>
      </c>
      <c r="E193" s="31" t="inlineStr">
        <is>
          <t>services</t>
        </is>
      </c>
      <c r="F193" s="31" t="inlineStr">
        <is>
          <t>miscellaneous</t>
        </is>
      </c>
      <c r="G193" s="31" t="inlineStr">
        <is>
          <t>smallcap</t>
        </is>
      </c>
      <c r="H193" s="32" t="n">
        <v>509.83</v>
      </c>
      <c r="I193" s="32" t="n">
        <v>105</v>
      </c>
      <c r="J193" s="32" t="n">
        <v>4.83</v>
      </c>
      <c r="K193" s="32" t="n">
        <v>68699</v>
      </c>
      <c r="L193" s="31" t="n">
        <v>56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54.92</v>
      </c>
      <c r="P193" s="32" t="n">
        <v>53.33</v>
      </c>
      <c r="Q193" s="32" t="n">
        <v>91.38</v>
      </c>
      <c r="R193" s="31" t="inlineStr">
        <is>
          <t>Earnings / Momentum Support</t>
        </is>
      </c>
      <c r="S193" s="31" t="inlineStr">
        <is>
          <t>Nifty 50</t>
        </is>
      </c>
      <c r="T193" s="32" t="n">
        <v>-2.61</v>
      </c>
      <c r="U193" s="32" t="n">
        <v>57.52</v>
      </c>
      <c r="V193" s="32" t="n">
        <v>61.75</v>
      </c>
      <c r="W193" s="32" t="n">
        <v>11.31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IF(B194=0,"",RANK(B194,$B$2:$B$354,0))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CYIENTDLM</t>
        </is>
      </c>
      <c r="D194" s="31" t="inlineStr">
        <is>
          <t>Cyient DLM Ltd</t>
        </is>
      </c>
      <c r="E194" s="31" t="inlineStr">
        <is>
          <t>consumer discretionary</t>
        </is>
      </c>
      <c r="F194" s="31" t="inlineStr">
        <is>
          <t>electronics - components</t>
        </is>
      </c>
      <c r="G194" s="31" t="inlineStr">
        <is>
          <t>smallcap</t>
        </is>
      </c>
      <c r="H194" s="32" t="n">
        <v>4730.51</v>
      </c>
      <c r="I194" s="32" t="n">
        <v>623</v>
      </c>
      <c r="J194" s="32" t="n">
        <v>4.52</v>
      </c>
      <c r="K194" s="32" t="n">
        <v>895503</v>
      </c>
      <c r="L194" s="31" t="n">
        <v>83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80.44</v>
      </c>
      <c r="P194" s="32" t="n">
        <v>48.25</v>
      </c>
      <c r="Q194" s="32" t="n">
        <v>483.47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-2.61</v>
      </c>
      <c r="U194" s="32" t="n">
        <v>35.61</v>
      </c>
      <c r="V194" s="32" t="n">
        <v>39.25</v>
      </c>
      <c r="W194" s="32" t="n">
        <v>23.13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IF(B195=0,"",RANK(B195,$B$2:$B$354,0))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CHENNPETRO</t>
        </is>
      </c>
      <c r="D195" s="31" t="inlineStr">
        <is>
          <t>Chennai Petroleum Corporation Limited</t>
        </is>
      </c>
      <c r="E195" s="31" t="inlineStr">
        <is>
          <t>energy</t>
        </is>
      </c>
      <c r="F195" s="31" t="inlineStr">
        <is>
          <t>refineries</t>
        </is>
      </c>
      <c r="G195" s="31" t="inlineStr">
        <is>
          <t>midcap</t>
        </is>
      </c>
      <c r="H195" s="32" t="n">
        <v>18077.84</v>
      </c>
      <c r="I195" s="32" t="n">
        <v>1258.1</v>
      </c>
      <c r="J195" s="32" t="n">
        <v>3.63</v>
      </c>
      <c r="K195" s="32" t="n">
        <v>1793194</v>
      </c>
      <c r="L195" s="31" t="n">
        <v>76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66.45</v>
      </c>
      <c r="P195" s="32" t="n">
        <v>48.18</v>
      </c>
      <c r="Q195" s="32" t="n">
        <v>947.72</v>
      </c>
      <c r="R195" s="31" t="inlineStr">
        <is>
          <t>Near 52W High Breakout</t>
        </is>
      </c>
      <c r="S195" s="31" t="inlineStr">
        <is>
          <t>Nifty Energy</t>
        </is>
      </c>
      <c r="T195" s="32" t="n">
        <v>12.3</v>
      </c>
      <c r="U195" s="32" t="n">
        <v>85.78</v>
      </c>
      <c r="V195" s="32" t="n">
        <v>65.43000000000001</v>
      </c>
      <c r="W195" s="32" t="n">
        <v>17.84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IF(B196=0,"",RANK(B196,$B$2:$B$354,0))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SRF</t>
        </is>
      </c>
      <c r="D196" s="33" t="inlineStr">
        <is>
          <t>Srf Limited</t>
        </is>
      </c>
      <c r="E196" s="31" t="inlineStr">
        <is>
          <t>chemicals</t>
        </is>
      </c>
      <c r="F196" s="31" t="inlineStr">
        <is>
          <t>chemicals</t>
        </is>
      </c>
      <c r="G196" s="31" t="inlineStr">
        <is>
          <t>largecap</t>
        </is>
      </c>
      <c r="H196" s="32" t="n">
        <v>85124.32000000001</v>
      </c>
      <c r="I196" s="32" t="n">
        <v>2939</v>
      </c>
      <c r="J196" s="32" t="n">
        <v>2.34</v>
      </c>
      <c r="K196" s="32" t="n">
        <v>528797</v>
      </c>
      <c r="L196" s="31" t="n">
        <v>18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61.66</v>
      </c>
      <c r="P196" s="32" t="n">
        <v>12.41</v>
      </c>
      <c r="Q196" s="32" t="n">
        <v>2458.14</v>
      </c>
      <c r="R196" s="31" t="inlineStr">
        <is>
          <t>Earnings / Momentum Support</t>
        </is>
      </c>
      <c r="S196" s="31" t="inlineStr">
        <is>
          <t>Nifty 50</t>
        </is>
      </c>
      <c r="T196" s="32" t="n">
        <v>-2.61</v>
      </c>
      <c r="U196" s="32" t="n">
        <v>-3.04</v>
      </c>
      <c r="V196" s="32" t="n">
        <v>-0.44</v>
      </c>
      <c r="W196" s="32" t="n">
        <v>3.46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Oligopoly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Shallow Cyclical (2 to 3 Years Growth)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Sideways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IF(B197=0,"",RANK(B197,$B$2:$B$354,0))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EICHERMOT</t>
        </is>
      </c>
      <c r="D197" s="31" t="inlineStr">
        <is>
          <t>Eicher Motors Limited</t>
        </is>
      </c>
      <c r="E197" s="31" t="inlineStr">
        <is>
          <t>auto</t>
        </is>
      </c>
      <c r="F197" s="31" t="inlineStr">
        <is>
          <t>automobiles - motorcycles / mopeds</t>
        </is>
      </c>
      <c r="G197" s="31" t="inlineStr">
        <is>
          <t>largecap</t>
        </is>
      </c>
      <c r="H197" s="32" t="n">
        <v>207477.55</v>
      </c>
      <c r="I197" s="32" t="n">
        <v>7689.5</v>
      </c>
      <c r="J197" s="32" t="n">
        <v>1.67</v>
      </c>
      <c r="K197" s="32" t="n">
        <v>451076</v>
      </c>
      <c r="L197" s="31" t="n">
        <v>48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58.73</v>
      </c>
      <c r="P197" s="32" t="n">
        <v>7.22</v>
      </c>
      <c r="Q197" s="32" t="n">
        <v>6504.88</v>
      </c>
      <c r="R197" s="31" t="inlineStr">
        <is>
          <t>Near 52W High Breakout</t>
        </is>
      </c>
      <c r="S197" s="31" t="inlineStr">
        <is>
          <t>Nifty Auto</t>
        </is>
      </c>
      <c r="T197" s="32" t="n">
        <v>14.71</v>
      </c>
      <c r="U197" s="32" t="n">
        <v>43.41</v>
      </c>
      <c r="V197" s="32" t="n">
        <v>25.02</v>
      </c>
      <c r="W197" s="32" t="n">
        <v>9.550000000000001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IF(B198=0,"",RANK(B198,$B$2:$B$354,0))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TBZ</t>
        </is>
      </c>
      <c r="D198" s="31" t="inlineStr">
        <is>
          <t>Tribhovandas Bhimji Zaveri Limited</t>
        </is>
      </c>
      <c r="E198" s="31" t="inlineStr">
        <is>
          <t>consumer discretionary</t>
        </is>
      </c>
      <c r="F198" s="31" t="inlineStr">
        <is>
          <t>diamond cutting / jewellery</t>
        </is>
      </c>
      <c r="G198" s="31" t="inlineStr">
        <is>
          <t>smallcap</t>
        </is>
      </c>
      <c r="H198" s="32" t="n">
        <v>1705.77</v>
      </c>
      <c r="I198" s="32" t="n">
        <v>259.73</v>
      </c>
      <c r="J198" s="32" t="n">
        <v>1.61</v>
      </c>
      <c r="K198" s="32" t="n">
        <v>2485821</v>
      </c>
      <c r="L198" s="31" t="n">
        <v>88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78.34999999999999</v>
      </c>
      <c r="P198" s="32" t="n">
        <v>28.61</v>
      </c>
      <c r="Q198" s="32" t="n">
        <v>194.23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-2.61</v>
      </c>
      <c r="U198" s="32" t="n">
        <v>38.96</v>
      </c>
      <c r="V198" s="32" t="n">
        <v>42.69</v>
      </c>
      <c r="W198" s="32" t="n">
        <v>26.4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Less than 50% and Borrowings are increasing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IF(B199=0,"",RANK(B199,$B$2:$B$354,0))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KKCL</t>
        </is>
      </c>
      <c r="D199" s="33" t="inlineStr">
        <is>
          <t>Kewal Kiran Clothing Limited</t>
        </is>
      </c>
      <c r="E199" s="31" t="inlineStr">
        <is>
          <t>consumer discretionary</t>
        </is>
      </c>
      <c r="F199" s="31" t="inlineStr">
        <is>
          <t>textiles - products</t>
        </is>
      </c>
      <c r="G199" s="31" t="inlineStr">
        <is>
          <t>smallcap</t>
        </is>
      </c>
      <c r="H199" s="32" t="n">
        <v>3112.07</v>
      </c>
      <c r="I199" s="32" t="n">
        <v>513</v>
      </c>
      <c r="J199" s="32" t="n">
        <v>1.58</v>
      </c>
      <c r="K199" s="32" t="n">
        <v>54987</v>
      </c>
      <c r="L199" s="31" t="n">
        <v>7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57.68</v>
      </c>
      <c r="P199" s="32" t="n">
        <v>13.26</v>
      </c>
      <c r="Q199" s="32" t="n">
        <v>416.84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-2.61</v>
      </c>
      <c r="U199" s="32" t="n">
        <v>-5.72</v>
      </c>
      <c r="V199" s="32" t="n">
        <v>-3.19</v>
      </c>
      <c r="W199" s="32" t="n">
        <v>0.78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IF(B200=0,"",RANK(B200,$B$2:$B$354,0))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AZAD</t>
        </is>
      </c>
      <c r="D200" s="31" t="inlineStr">
        <is>
          <t>Azad Engineering Ltd</t>
        </is>
      </c>
      <c r="E200" s="31" t="inlineStr">
        <is>
          <t>aerospace &amp; defence</t>
        </is>
      </c>
      <c r="F200" s="31" t="inlineStr">
        <is>
          <t>engineering</t>
        </is>
      </c>
      <c r="G200" s="31" t="inlineStr">
        <is>
          <t>midcap</t>
        </is>
      </c>
      <c r="H200" s="32" t="n">
        <v>15148.94</v>
      </c>
      <c r="I200" s="32" t="n">
        <v>2378.6</v>
      </c>
      <c r="J200" s="32" t="n">
        <v>1.4</v>
      </c>
      <c r="K200" s="32" t="n">
        <v>260667</v>
      </c>
      <c r="L200" s="31" t="n">
        <v>63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63.77</v>
      </c>
      <c r="P200" s="32" t="n">
        <v>31.33</v>
      </c>
      <c r="Q200" s="32" t="n">
        <v>1901.89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-2.61</v>
      </c>
      <c r="U200" s="32" t="n">
        <v>52.99</v>
      </c>
      <c r="V200" s="32" t="n">
        <v>57.1</v>
      </c>
      <c r="W200" s="32" t="n">
        <v>13.69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Negative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IF(B201=0,"",RANK(B201,$B$2:$B$354,0))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KALYANKJIL</t>
        </is>
      </c>
      <c r="D201" s="31" t="inlineStr">
        <is>
          <t>Kalyan Jewellers India Ltd</t>
        </is>
      </c>
      <c r="E201" s="31" t="inlineStr">
        <is>
          <t>consumer discretionary</t>
        </is>
      </c>
      <c r="F201" s="31" t="inlineStr">
        <is>
          <t>diamond cutting / jewellery</t>
        </is>
      </c>
      <c r="G201" s="31" t="inlineStr">
        <is>
          <t>largecap</t>
        </is>
      </c>
      <c r="H201" s="32" t="n">
        <v>58866.19</v>
      </c>
      <c r="I201" s="32" t="n">
        <v>577</v>
      </c>
      <c r="J201" s="32" t="n">
        <v>1.23</v>
      </c>
      <c r="K201" s="32" t="n">
        <v>28810655</v>
      </c>
      <c r="L201" s="31" t="n">
        <v>53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70.27</v>
      </c>
      <c r="P201" s="32" t="n">
        <v>22.67</v>
      </c>
      <c r="Q201" s="32" t="n">
        <v>442.73</v>
      </c>
      <c r="R201" s="31" t="inlineStr">
        <is>
          <t>Near 52W High Breakout</t>
        </is>
      </c>
      <c r="S201" s="31" t="inlineStr">
        <is>
          <t>Nifty 50</t>
        </is>
      </c>
      <c r="T201" s="32" t="n">
        <v>-2.61</v>
      </c>
      <c r="U201" s="32" t="n">
        <v>-2.58</v>
      </c>
      <c r="V201" s="32" t="n">
        <v>0.04</v>
      </c>
      <c r="W201" s="32" t="n">
        <v>10.57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Between 50% to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IF(B202=0,"",RANK(B202,$B$2:$B$354,0))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SUNDRMFAST</t>
        </is>
      </c>
      <c r="D202" s="33" t="inlineStr">
        <is>
          <t>Sundram Fasteners Limited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largecap</t>
        </is>
      </c>
      <c r="H202" s="32" t="n">
        <v>20080.92</v>
      </c>
      <c r="I202" s="32" t="n">
        <v>967.3</v>
      </c>
      <c r="J202" s="32" t="n">
        <v>1.22</v>
      </c>
      <c r="K202" s="32" t="n">
        <v>32082</v>
      </c>
      <c r="L202" s="31" t="n">
        <v>22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65.59999999999999</v>
      </c>
      <c r="P202" s="32" t="n">
        <v>13.96</v>
      </c>
      <c r="Q202" s="32" t="n">
        <v>819.6900000000001</v>
      </c>
      <c r="R202" s="31" t="inlineStr">
        <is>
          <t>Earnings / Momentum Support</t>
        </is>
      </c>
      <c r="S202" s="31" t="inlineStr">
        <is>
          <t>Nifty Auto</t>
        </is>
      </c>
      <c r="T202" s="32" t="n">
        <v>14.71</v>
      </c>
      <c r="U202" s="32" t="n">
        <v>-3</v>
      </c>
      <c r="V202" s="32" t="n">
        <v>-15.44</v>
      </c>
      <c r="W202" s="32" t="n">
        <v>4.18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IF(B203=0,"",RANK(B203,$B$2:$B$354,0))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GREAVESCOT</t>
        </is>
      </c>
      <c r="D203" s="31" t="inlineStr">
        <is>
          <t>Greaves Cotton Limited</t>
        </is>
      </c>
      <c r="E203" s="31" t="inlineStr">
        <is>
          <t>industrials</t>
        </is>
      </c>
      <c r="F203" s="31" t="inlineStr">
        <is>
          <t>engines</t>
        </is>
      </c>
      <c r="G203" s="31" t="inlineStr">
        <is>
          <t>midcap</t>
        </is>
      </c>
      <c r="H203" s="32" t="n">
        <v>5724.08</v>
      </c>
      <c r="I203" s="32" t="n">
        <v>248.11</v>
      </c>
      <c r="J203" s="32" t="n">
        <v>0.97</v>
      </c>
      <c r="K203" s="32" t="n">
        <v>1889048</v>
      </c>
      <c r="L203" s="31" t="n">
        <v>78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69.36</v>
      </c>
      <c r="P203" s="32" t="n">
        <v>27.69</v>
      </c>
      <c r="Q203" s="32" t="n">
        <v>204.31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-2.61</v>
      </c>
      <c r="U203" s="32" t="n">
        <v>23.96</v>
      </c>
      <c r="V203" s="32" t="n">
        <v>27.29</v>
      </c>
      <c r="W203" s="32" t="n">
        <v>19.52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IF(B204=0,"",RANK(B204,$B$2:$B$354,0))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ANTELOPUS</t>
        </is>
      </c>
      <c r="D204" s="31" t="inlineStr">
        <is>
          <t>Antelopus Selan Energy Ltd</t>
        </is>
      </c>
      <c r="E204" s="31" t="inlineStr">
        <is>
          <t>energy</t>
        </is>
      </c>
      <c r="F204" s="31" t="inlineStr">
        <is>
          <t>oil drilling / allied services</t>
        </is>
      </c>
      <c r="G204" s="31" t="inlineStr">
        <is>
          <t>smallcap</t>
        </is>
      </c>
      <c r="H204" s="32" t="n">
        <v>3030.29</v>
      </c>
      <c r="I204" s="32" t="n">
        <v>865</v>
      </c>
      <c r="J204" s="32" t="n">
        <v>0.37</v>
      </c>
      <c r="K204" s="32" t="n">
        <v>122455</v>
      </c>
      <c r="L204" s="31" t="n">
        <v>73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65.38</v>
      </c>
      <c r="P204" s="32" t="n">
        <v>51.07</v>
      </c>
      <c r="Q204" s="32" t="n">
        <v>638.11</v>
      </c>
      <c r="R204" s="31" t="inlineStr">
        <is>
          <t>Near 52W High Breakout</t>
        </is>
      </c>
      <c r="S204" s="31" t="inlineStr">
        <is>
          <t>Nifty Energy</t>
        </is>
      </c>
      <c r="T204" s="32" t="n">
        <v>12.3</v>
      </c>
      <c r="U204" s="32" t="n">
        <v>39.3</v>
      </c>
      <c r="V204" s="32" t="n">
        <v>24.04</v>
      </c>
      <c r="W204" s="32" t="n">
        <v>16.74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Oligopoly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IF(B205=0,"",RANK(B205,$B$2:$B$354,0))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DEEPAKFERT</t>
        </is>
      </c>
      <c r="D205" s="31" t="inlineStr">
        <is>
          <t>Deepak Fertilizers And Petrochemicals Corporation Limited</t>
        </is>
      </c>
      <c r="E205" s="31" t="inlineStr">
        <is>
          <t>chemicals</t>
        </is>
      </c>
      <c r="F205" s="31" t="inlineStr">
        <is>
          <t>chemicals</t>
        </is>
      </c>
      <c r="G205" s="31" t="inlineStr">
        <is>
          <t>largecap</t>
        </is>
      </c>
      <c r="H205" s="32" t="n">
        <v>20262.43</v>
      </c>
      <c r="I205" s="32" t="n">
        <v>1607</v>
      </c>
      <c r="J205" s="32" t="n">
        <v>0.12</v>
      </c>
      <c r="K205" s="32" t="n">
        <v>148092</v>
      </c>
      <c r="L205" s="31" t="n">
        <v>43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65.84</v>
      </c>
      <c r="P205" s="32" t="n">
        <v>42.7</v>
      </c>
      <c r="Q205" s="32" t="n">
        <v>1289.94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-2.61</v>
      </c>
      <c r="U205" s="32" t="n">
        <v>5.49</v>
      </c>
      <c r="V205" s="32" t="n">
        <v>8.32</v>
      </c>
      <c r="W205" s="32" t="n">
        <v>8.609999999999999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Less than 50%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IF(B206=0,"",RANK(B206,$B$2:$B$354,0))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RELTD</t>
        </is>
      </c>
      <c r="D206" s="31" t="inlineStr">
        <is>
          <t>Ravindra Energy Ltd</t>
        </is>
      </c>
      <c r="E206" s="31" t="inlineStr">
        <is>
          <t>industrials</t>
        </is>
      </c>
      <c r="F206" s="31" t="inlineStr">
        <is>
          <t>electric equipment</t>
        </is>
      </c>
      <c r="G206" s="31" t="inlineStr">
        <is>
          <t>smallcap</t>
        </is>
      </c>
      <c r="H206" s="32" t="n">
        <v>3491.69</v>
      </c>
      <c r="I206" s="32" t="n">
        <v>175.9</v>
      </c>
      <c r="J206" s="32" t="n">
        <v>0.02</v>
      </c>
      <c r="K206" s="32" t="n">
        <v>205869</v>
      </c>
      <c r="L206" s="31" t="n">
        <v>48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64.14</v>
      </c>
      <c r="P206" s="32" t="n">
        <v>20.9</v>
      </c>
      <c r="Q206" s="32" t="n">
        <v>126.84</v>
      </c>
      <c r="R206" s="31" t="inlineStr">
        <is>
          <t>Near 52W High Breakout</t>
        </is>
      </c>
      <c r="S206" s="31" t="inlineStr">
        <is>
          <t>Nifty Infra</t>
        </is>
      </c>
      <c r="T206" s="32" t="n">
        <v>4.24</v>
      </c>
      <c r="U206" s="32" t="n">
        <v>27.35</v>
      </c>
      <c r="V206" s="32" t="n">
        <v>22.17</v>
      </c>
      <c r="W206" s="32" t="n">
        <v>9.76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More than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IF(B207=0,"",RANK(B207,$B$2:$B$354,0))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OMAXE</t>
        </is>
      </c>
      <c r="D207" s="31" t="inlineStr">
        <is>
          <t>Omaxe Limited</t>
        </is>
      </c>
      <c r="E207" s="31" t="inlineStr">
        <is>
          <t>realty</t>
        </is>
      </c>
      <c r="F207" s="31" t="inlineStr">
        <is>
          <t>construction</t>
        </is>
      </c>
      <c r="G207" s="31" t="inlineStr">
        <is>
          <t>smallcap</t>
        </is>
      </c>
      <c r="H207" s="32" t="n">
        <v>1693.11</v>
      </c>
      <c r="I207" s="32" t="n">
        <v>92.55</v>
      </c>
      <c r="J207" s="32" t="n">
        <v>-0.02</v>
      </c>
      <c r="K207" s="32" t="n">
        <v>330338</v>
      </c>
      <c r="L207" s="31" t="n">
        <v>15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64.04000000000001</v>
      </c>
      <c r="P207" s="32" t="n">
        <v>22.67</v>
      </c>
      <c r="Q207" s="32" t="n">
        <v>66.69</v>
      </c>
      <c r="R207" s="31" t="inlineStr">
        <is>
          <t>Near 52W High Breakout</t>
        </is>
      </c>
      <c r="S207" s="31" t="inlineStr">
        <is>
          <t>Nifty Realty</t>
        </is>
      </c>
      <c r="T207" s="32" t="n">
        <v>-2.45</v>
      </c>
      <c r="U207" s="32" t="n">
        <v>-1.52</v>
      </c>
      <c r="V207" s="32" t="n">
        <v>0.95</v>
      </c>
      <c r="W207" s="32" t="n">
        <v>2.51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Negative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IF(B208=0,"",RANK(B208,$B$2:$B$354,0))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BHARATFORG</t>
        </is>
      </c>
      <c r="D208" s="31" t="inlineStr">
        <is>
          <t>Bharat Forge Limited</t>
        </is>
      </c>
      <c r="E208" s="31" t="inlineStr">
        <is>
          <t>industrials</t>
        </is>
      </c>
      <c r="F208" s="31" t="inlineStr">
        <is>
          <t>castings &amp; forgings</t>
        </is>
      </c>
      <c r="G208" s="31" t="inlineStr">
        <is>
          <t>largecap</t>
        </is>
      </c>
      <c r="H208" s="32" t="n">
        <v>105609.78</v>
      </c>
      <c r="I208" s="32" t="n">
        <v>2201.8</v>
      </c>
      <c r="J208" s="32" t="n">
        <v>-0.33</v>
      </c>
      <c r="K208" s="32" t="n">
        <v>718772</v>
      </c>
      <c r="L208" s="31" t="n">
        <v>74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73.41</v>
      </c>
      <c r="P208" s="32" t="n">
        <v>44.4</v>
      </c>
      <c r="Q208" s="32" t="n">
        <v>1855.05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-2.61</v>
      </c>
      <c r="U208" s="32" t="n">
        <v>83.64</v>
      </c>
      <c r="V208" s="32" t="n">
        <v>88.56999999999999</v>
      </c>
      <c r="W208" s="32" t="n">
        <v>17.25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IF(B209=0,"",RANK(B209,$B$2:$B$354,0))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MAHLOG</t>
        </is>
      </c>
      <c r="D209" s="31" t="inlineStr">
        <is>
          <t>Mahindra Logistics Ltd</t>
        </is>
      </c>
      <c r="E209" s="31" t="inlineStr">
        <is>
          <t>transportation</t>
        </is>
      </c>
      <c r="F209" s="31" t="inlineStr">
        <is>
          <t>miscellaneous</t>
        </is>
      </c>
      <c r="G209" s="31" t="inlineStr">
        <is>
          <t>smallcap</t>
        </is>
      </c>
      <c r="H209" s="32" t="n">
        <v>3899.94</v>
      </c>
      <c r="I209" s="32" t="n">
        <v>391.15</v>
      </c>
      <c r="J209" s="32" t="n">
        <v>-0.48</v>
      </c>
      <c r="K209" s="32" t="n">
        <v>841739</v>
      </c>
      <c r="L209" s="31" t="n">
        <v>18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56.84</v>
      </c>
      <c r="P209" s="32" t="n">
        <v>19.21</v>
      </c>
      <c r="Q209" s="32" t="n">
        <v>309.99</v>
      </c>
      <c r="R209" s="31" t="inlineStr">
        <is>
          <t>Volume Spike / Accumulation</t>
        </is>
      </c>
      <c r="S209" s="31" t="inlineStr">
        <is>
          <t>Nifty 50</t>
        </is>
      </c>
      <c r="T209" s="32" t="n">
        <v>-2.61</v>
      </c>
      <c r="U209" s="32" t="n">
        <v>12.4</v>
      </c>
      <c r="V209" s="32" t="n">
        <v>15.42</v>
      </c>
      <c r="W209" s="32" t="n">
        <v>3.39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IF(B210=0,"",RANK(B210,$B$2:$B$354,0))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ARE&amp;M</t>
        </is>
      </c>
      <c r="D210" s="33" t="inlineStr">
        <is>
          <t>Amara Raja Energy &amp; Mobility Ltd</t>
        </is>
      </c>
      <c r="E210" s="31" t="inlineStr">
        <is>
          <t>auto</t>
        </is>
      </c>
      <c r="F210" s="31" t="inlineStr">
        <is>
          <t>auto ancillaries</t>
        </is>
      </c>
      <c r="G210" s="31" t="inlineStr">
        <is>
          <t>midcap</t>
        </is>
      </c>
      <c r="H210" s="32" t="n">
        <v>16679.1</v>
      </c>
      <c r="I210" s="32" t="n">
        <v>905</v>
      </c>
      <c r="J210" s="32" t="n">
        <v>-0.6899999999999999</v>
      </c>
      <c r="K210" s="32" t="n">
        <v>755423</v>
      </c>
      <c r="L210" s="31" t="n">
        <v>4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56.39</v>
      </c>
      <c r="P210" s="32" t="n">
        <v>12.54</v>
      </c>
      <c r="Q210" s="32" t="n">
        <v>744.3099999999999</v>
      </c>
      <c r="R210" s="31" t="inlineStr">
        <is>
          <t>Earnings / Momentum Support</t>
        </is>
      </c>
      <c r="S210" s="31" t="inlineStr">
        <is>
          <t>Nifty Auto</t>
        </is>
      </c>
      <c r="T210" s="32" t="n">
        <v>14.71</v>
      </c>
      <c r="U210" s="32" t="n">
        <v>-8.050000000000001</v>
      </c>
      <c r="V210" s="32" t="n">
        <v>-19.85</v>
      </c>
      <c r="W210" s="32" t="n">
        <v>-0.8100000000000001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IF(B211=0,"",RANK(B211,$B$2:$B$354,0))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SBC</t>
        </is>
      </c>
      <c r="D211" s="31" t="inlineStr">
        <is>
          <t>SBC Exports Ltd</t>
        </is>
      </c>
      <c r="E211" s="31" t="inlineStr">
        <is>
          <t>textiles</t>
        </is>
      </c>
      <c r="F211" s="31" t="inlineStr">
        <is>
          <t>textiles - products</t>
        </is>
      </c>
      <c r="G211" s="31" t="inlineStr">
        <is>
          <t>smallcap</t>
        </is>
      </c>
      <c r="H211" s="32" t="n">
        <v>2011.43</v>
      </c>
      <c r="I211" s="32" t="n">
        <v>41.88</v>
      </c>
      <c r="J211" s="32" t="n">
        <v>-0.85</v>
      </c>
      <c r="K211" s="32" t="n">
        <v>7462199</v>
      </c>
      <c r="L211" s="31" t="n">
        <v>86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71.33</v>
      </c>
      <c r="P211" s="32" t="n">
        <v>40.2</v>
      </c>
      <c r="Q211" s="32" t="n">
        <v>36.44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-2.61</v>
      </c>
      <c r="U211" s="32" t="n">
        <v>140.55</v>
      </c>
      <c r="V211" s="32" t="n">
        <v>147.01</v>
      </c>
      <c r="W211" s="32" t="n">
        <v>24.98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Between 1.5 to 2</t>
        </is>
      </c>
      <c r="BU211" s="31">
        <f>IF(BT211="Above 2",0,IF(BT211="Between 1.5 to 2",5,IF(BT211="Less than 1.5",10,0)))</f>
        <v/>
      </c>
      <c r="BV211" s="31" t="inlineStr">
        <is>
          <t>Negative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More than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IF(B212=0,"",RANK(B212,$B$2:$B$354,0))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MBAPL</t>
        </is>
      </c>
      <c r="D212" s="31" t="inlineStr">
        <is>
          <t>Madhya Bharat Agro Products Ltd</t>
        </is>
      </c>
      <c r="E212" s="31" t="inlineStr">
        <is>
          <t>chemicals</t>
        </is>
      </c>
      <c r="F212" s="31" t="inlineStr">
        <is>
          <t>fertilizers</t>
        </is>
      </c>
      <c r="G212" s="31" t="inlineStr">
        <is>
          <t>smallcap</t>
        </is>
      </c>
      <c r="H212" s="32" t="n">
        <v>1275.41</v>
      </c>
      <c r="I212" s="32" t="n">
        <v>143.75</v>
      </c>
      <c r="J212" s="32" t="n">
        <v>-1.24</v>
      </c>
      <c r="K212" s="32" t="n">
        <v>3922946</v>
      </c>
      <c r="L212" s="31" t="n">
        <v>80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82.98</v>
      </c>
      <c r="P212" s="32" t="n">
        <v>57.84</v>
      </c>
      <c r="Q212" s="32" t="n">
        <v>113.26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-2.61</v>
      </c>
      <c r="U212" s="32" t="n">
        <v>67.61</v>
      </c>
      <c r="V212" s="32" t="n">
        <v>72.11</v>
      </c>
      <c r="W212" s="32" t="n">
        <v>20.63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IF(B213=0,"",RANK(B213,$B$2:$B$354,0))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BEPL</t>
        </is>
      </c>
      <c r="D213" s="31" t="inlineStr">
        <is>
          <t>Bhansali Engineering Polymers Limited</t>
        </is>
      </c>
      <c r="E213" s="31" t="inlineStr">
        <is>
          <t>energy</t>
        </is>
      </c>
      <c r="F213" s="31" t="inlineStr">
        <is>
          <t>petrochemicals</t>
        </is>
      </c>
      <c r="G213" s="31" t="inlineStr">
        <is>
          <t>smallcap</t>
        </is>
      </c>
      <c r="H213" s="32" t="n">
        <v>3179.66</v>
      </c>
      <c r="I213" s="32" t="n">
        <v>123.44</v>
      </c>
      <c r="J213" s="32" t="n">
        <v>-3.39</v>
      </c>
      <c r="K213" s="32" t="n">
        <v>69963117</v>
      </c>
      <c r="L213" s="31" t="n">
        <v>49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75.06</v>
      </c>
      <c r="P213" s="32" t="n">
        <v>40.38</v>
      </c>
      <c r="Q213" s="32" t="n">
        <v>96.79000000000001</v>
      </c>
      <c r="R213" s="31" t="inlineStr">
        <is>
          <t>Volume Spike &amp; Near 52W High Breakout</t>
        </is>
      </c>
      <c r="S213" s="31" t="inlineStr">
        <is>
          <t>Nifty Energy</t>
        </is>
      </c>
      <c r="T213" s="32" t="n">
        <v>12.3</v>
      </c>
      <c r="U213" s="32" t="n">
        <v>18.62</v>
      </c>
      <c r="V213" s="32" t="n">
        <v>5.63</v>
      </c>
      <c r="W213" s="32" t="n">
        <v>9.81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IF(B214=0,"",RANK(B214,$B$2:$B$354,0))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BALRAMCHIN</t>
        </is>
      </c>
      <c r="D214" s="31" t="inlineStr">
        <is>
          <t>Balrampur Chini Mills Limited</t>
        </is>
      </c>
      <c r="E214" s="31" t="inlineStr">
        <is>
          <t>fmcg</t>
        </is>
      </c>
      <c r="F214" s="31" t="inlineStr">
        <is>
          <t>sugar</t>
        </is>
      </c>
      <c r="G214" s="31" t="inlineStr">
        <is>
          <t>midcap</t>
        </is>
      </c>
      <c r="H214" s="32" t="n">
        <v>12677.09</v>
      </c>
      <c r="I214" s="32" t="n">
        <v>617.85</v>
      </c>
      <c r="J214" s="32" t="n">
        <v>2.97</v>
      </c>
      <c r="K214" s="32" t="n">
        <v>2962729</v>
      </c>
      <c r="L214" s="31" t="n">
        <v>33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76.13</v>
      </c>
      <c r="P214" s="32" t="n">
        <v>35.55</v>
      </c>
      <c r="Q214" s="32" t="n">
        <v>507.78</v>
      </c>
      <c r="R214" s="31" t="inlineStr">
        <is>
          <t>Near 52W High Breakout</t>
        </is>
      </c>
      <c r="S214" s="31" t="inlineStr">
        <is>
          <t>Nifty FMCG</t>
        </is>
      </c>
      <c r="T214" s="32" t="n">
        <v>-10.38</v>
      </c>
      <c r="U214" s="32" t="n">
        <v>5.66</v>
      </c>
      <c r="V214" s="32" t="n">
        <v>17.89</v>
      </c>
      <c r="W214" s="32" t="n">
        <v>6.56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IF(B215=0,"",RANK(B215,$B$2:$B$354,0))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BIOCON</t>
        </is>
      </c>
      <c r="D215" s="33" t="inlineStr">
        <is>
          <t>Biocon Limited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largecap</t>
        </is>
      </c>
      <c r="H215" s="32" t="n">
        <v>71136.14999999999</v>
      </c>
      <c r="I215" s="32" t="n">
        <v>440.3</v>
      </c>
      <c r="J215" s="32" t="n">
        <v>0.87</v>
      </c>
      <c r="K215" s="32" t="n">
        <v>3319307</v>
      </c>
      <c r="L215" s="31" t="n">
        <v>40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65.58</v>
      </c>
      <c r="P215" s="32" t="n">
        <v>22.63</v>
      </c>
      <c r="Q215" s="32" t="n">
        <v>368.99</v>
      </c>
      <c r="R215" s="31" t="inlineStr">
        <is>
          <t>Near 52W High Breakout</t>
        </is>
      </c>
      <c r="S215" s="31" t="inlineStr">
        <is>
          <t>Nifty Pharma</t>
        </is>
      </c>
      <c r="T215" s="32" t="n">
        <v>15.14</v>
      </c>
      <c r="U215" s="32" t="n">
        <v>11.84</v>
      </c>
      <c r="V215" s="32" t="n">
        <v>-2.86</v>
      </c>
      <c r="W215" s="32" t="n">
        <v>8.119999999999999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IF(B216=0,"",RANK(B216,$B$2:$B$354,0))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VENKEYS</t>
        </is>
      </c>
      <c r="D216" s="31" t="inlineStr">
        <is>
          <t>Venky's (india) Limited</t>
        </is>
      </c>
      <c r="E216" s="31" t="inlineStr">
        <is>
          <t>fmcg</t>
        </is>
      </c>
      <c r="F216" s="31" t="inlineStr">
        <is>
          <t>miscellaneous</t>
        </is>
      </c>
      <c r="G216" s="31" t="inlineStr">
        <is>
          <t>smallcap</t>
        </is>
      </c>
      <c r="H216" s="32" t="n">
        <v>2144.52</v>
      </c>
      <c r="I216" s="32" t="n">
        <v>1530</v>
      </c>
      <c r="J216" s="32" t="n">
        <v>0.51</v>
      </c>
      <c r="K216" s="32" t="n">
        <v>59725</v>
      </c>
      <c r="L216" s="31" t="n">
        <v>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54.96</v>
      </c>
      <c r="P216" s="32" t="n">
        <v>37.32</v>
      </c>
      <c r="Q216" s="32" t="n">
        <v>1301.84</v>
      </c>
      <c r="R216" s="31" t="inlineStr">
        <is>
          <t>Earnings / Momentum Support</t>
        </is>
      </c>
      <c r="S216" s="31" t="inlineStr">
        <is>
          <t>Nifty FMCG</t>
        </is>
      </c>
      <c r="T216" s="32" t="n">
        <v>-10.38</v>
      </c>
      <c r="U216" s="32" t="n">
        <v>-0.47</v>
      </c>
      <c r="V216" s="32" t="n">
        <v>11.05</v>
      </c>
      <c r="W216" s="32" t="n">
        <v>0.05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B2C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1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IF(B217=0,"",RANK(B217,$B$2:$B$354,0))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GUFICBIO</t>
        </is>
      </c>
      <c r="D217" s="33" t="inlineStr">
        <is>
          <t>Gufic Biosciences Limited</t>
        </is>
      </c>
      <c r="E217" s="31" t="inlineStr">
        <is>
          <t>healthcare</t>
        </is>
      </c>
      <c r="F217" s="31" t="inlineStr">
        <is>
          <t>pharmaceuticals - indian - bulk drugs &amp; formln</t>
        </is>
      </c>
      <c r="G217" s="31" t="inlineStr">
        <is>
          <t>smallcap</t>
        </is>
      </c>
      <c r="H217" s="32" t="n">
        <v>3948.62</v>
      </c>
      <c r="I217" s="32" t="n">
        <v>395.65</v>
      </c>
      <c r="J217" s="32" t="n">
        <v>0.48</v>
      </c>
      <c r="K217" s="32" t="n">
        <v>88652</v>
      </c>
      <c r="L217" s="31" t="n">
        <v>42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66.40000000000001</v>
      </c>
      <c r="P217" s="32" t="n">
        <v>38.83</v>
      </c>
      <c r="Q217" s="32" t="n">
        <v>304.35</v>
      </c>
      <c r="R217" s="31" t="inlineStr">
        <is>
          <t>Near 52W High Breakout</t>
        </is>
      </c>
      <c r="S217" s="31" t="inlineStr">
        <is>
          <t>Nifty Pharma</t>
        </is>
      </c>
      <c r="T217" s="32" t="n">
        <v>15.14</v>
      </c>
      <c r="U217" s="32" t="n">
        <v>2.49</v>
      </c>
      <c r="V217" s="32" t="n">
        <v>-10.98</v>
      </c>
      <c r="W217" s="32" t="n">
        <v>8.24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IF(B218=0,"",RANK(B218,$B$2:$B$354,0))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APOLLOHOSP</t>
        </is>
      </c>
      <c r="D218" s="31" t="inlineStr">
        <is>
          <t>Apollo Hospitals Enterprise Limited</t>
        </is>
      </c>
      <c r="E218" s="31" t="inlineStr">
        <is>
          <t>healthcare</t>
        </is>
      </c>
      <c r="F218" s="31" t="inlineStr">
        <is>
          <t>healthcare</t>
        </is>
      </c>
      <c r="G218" s="31" t="inlineStr">
        <is>
          <t>largecap</t>
        </is>
      </c>
      <c r="H218" s="32" t="n">
        <v>128040.24</v>
      </c>
      <c r="I218" s="32" t="n">
        <v>8926.5</v>
      </c>
      <c r="J218" s="32" t="n">
        <v>0.24</v>
      </c>
      <c r="K218" s="32" t="n">
        <v>200397</v>
      </c>
      <c r="L218" s="31" t="n">
        <v>36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71.28</v>
      </c>
      <c r="P218" s="32" t="n">
        <v>25.63</v>
      </c>
      <c r="Q218" s="32" t="n">
        <v>7942.34</v>
      </c>
      <c r="R218" s="31" t="inlineStr">
        <is>
          <t>Near 52W High Breakout</t>
        </is>
      </c>
      <c r="S218" s="31" t="inlineStr">
        <is>
          <t>Nifty Pharma</t>
        </is>
      </c>
      <c r="T218" s="32" t="n">
        <v>15.14</v>
      </c>
      <c r="U218" s="32" t="n">
        <v>19.83</v>
      </c>
      <c r="V218" s="32" t="n">
        <v>4.08</v>
      </c>
      <c r="W218" s="32" t="n">
        <v>7.31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B2C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Fully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Yes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IF(B219=0,"",RANK(B219,$B$2:$B$354,0))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TECHM</t>
        </is>
      </c>
      <c r="D219" s="31" t="inlineStr">
        <is>
          <t>Tech Mahindra Limited</t>
        </is>
      </c>
      <c r="E219" s="31" t="inlineStr">
        <is>
          <t>i.t</t>
        </is>
      </c>
      <c r="F219" s="31" t="inlineStr">
        <is>
          <t>computers - software - large</t>
        </is>
      </c>
      <c r="G219" s="31" t="inlineStr">
        <is>
          <t>largecap</t>
        </is>
      </c>
      <c r="H219" s="32" t="n">
        <v>154462.18</v>
      </c>
      <c r="I219" s="32" t="n">
        <v>1576.3</v>
      </c>
      <c r="J219" s="32" t="n">
        <v>-0.01</v>
      </c>
      <c r="K219" s="32" t="n">
        <v>2624891</v>
      </c>
      <c r="L219" s="31" t="n">
        <v>35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61.13</v>
      </c>
      <c r="P219" s="32" t="n">
        <v>11.89</v>
      </c>
      <c r="Q219" s="32" t="n">
        <v>1287.3</v>
      </c>
      <c r="R219" s="31" t="inlineStr">
        <is>
          <t>Earnings / Momentum Support</t>
        </is>
      </c>
      <c r="S219" s="31" t="inlineStr">
        <is>
          <t>Nifty IT</t>
        </is>
      </c>
      <c r="T219" s="32" t="n">
        <v>-18.64</v>
      </c>
      <c r="U219" s="32" t="n">
        <v>11.79</v>
      </c>
      <c r="V219" s="32" t="n">
        <v>37.39</v>
      </c>
      <c r="W219" s="32" t="n">
        <v>7.09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IF(B220=0,"",RANK(B220,$B$2:$B$354,0))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DHAMPURSUG</t>
        </is>
      </c>
      <c r="D220" s="31" t="inlineStr">
        <is>
          <t>Dhampur Sugar Mills Limited</t>
        </is>
      </c>
      <c r="E220" s="31" t="inlineStr">
        <is>
          <t>fmcg</t>
        </is>
      </c>
      <c r="F220" s="31" t="inlineStr">
        <is>
          <t>sugar</t>
        </is>
      </c>
      <c r="G220" s="31" t="inlineStr">
        <is>
          <t>smallcap</t>
        </is>
      </c>
      <c r="H220" s="32" t="n">
        <v>935.15</v>
      </c>
      <c r="I220" s="32" t="n">
        <v>145.32</v>
      </c>
      <c r="J220" s="32" t="n">
        <v>-0.07000000000000001</v>
      </c>
      <c r="K220" s="32" t="n">
        <v>391854</v>
      </c>
      <c r="L220" s="31" t="n">
        <v>11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58.41</v>
      </c>
      <c r="P220" s="32" t="n">
        <v>23.08</v>
      </c>
      <c r="Q220" s="32" t="n">
        <v>121.76</v>
      </c>
      <c r="R220" s="31" t="inlineStr">
        <is>
          <t>Earnings / Momentum Support</t>
        </is>
      </c>
      <c r="S220" s="31" t="inlineStr">
        <is>
          <t>Nifty FMCG</t>
        </is>
      </c>
      <c r="T220" s="32" t="n">
        <v>-10.38</v>
      </c>
      <c r="U220" s="32" t="n">
        <v>1.31</v>
      </c>
      <c r="V220" s="32" t="n">
        <v>13.04</v>
      </c>
      <c r="W220" s="32" t="n">
        <v>1.99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B2C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IF(B221=0,"",RANK(B221,$B$2:$B$354,0))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ZYDUSLIFE</t>
        </is>
      </c>
      <c r="D221" s="31" t="inlineStr">
        <is>
          <t>Zydus Lifesciences Ltd</t>
        </is>
      </c>
      <c r="E221" s="31" t="inlineStr">
        <is>
          <t>healthcare</t>
        </is>
      </c>
      <c r="F221" s="31" t="inlineStr">
        <is>
          <t>pharmaceuticals - indian - bulk drugs &amp; formln</t>
        </is>
      </c>
      <c r="G221" s="31" t="inlineStr">
        <is>
          <t>largecap</t>
        </is>
      </c>
      <c r="H221" s="32" t="n">
        <v>114613.19</v>
      </c>
      <c r="I221" s="32" t="n">
        <v>1143.1</v>
      </c>
      <c r="J221" s="32" t="n">
        <v>-0.51</v>
      </c>
      <c r="K221" s="32" t="n">
        <v>622368</v>
      </c>
      <c r="L221" s="31" t="n">
        <v>42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70.64</v>
      </c>
      <c r="P221" s="32" t="n">
        <v>36.07</v>
      </c>
      <c r="Q221" s="32" t="n">
        <v>994.36</v>
      </c>
      <c r="R221" s="31" t="inlineStr">
        <is>
          <t>Near 52W High Breakout</t>
        </is>
      </c>
      <c r="S221" s="31" t="inlineStr">
        <is>
          <t>Nifty Pharma</t>
        </is>
      </c>
      <c r="T221" s="32" t="n">
        <v>15.14</v>
      </c>
      <c r="U221" s="32" t="n">
        <v>17.07</v>
      </c>
      <c r="V221" s="32" t="n">
        <v>1.68</v>
      </c>
      <c r="W221" s="32" t="n">
        <v>8.470000000000001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Less than 50%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IF(B222=0,"",RANK(B222,$B$2:$B$354,0))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MOSCHIP</t>
        </is>
      </c>
      <c r="D222" s="31" t="inlineStr">
        <is>
          <t>Moschip Technologies Ltd</t>
        </is>
      </c>
      <c r="E222" s="31" t="inlineStr">
        <is>
          <t>i.t</t>
        </is>
      </c>
      <c r="F222" s="31" t="inlineStr">
        <is>
          <t>computers - hardware</t>
        </is>
      </c>
      <c r="G222" s="31" t="inlineStr">
        <is>
          <t>smallcap</t>
        </is>
      </c>
      <c r="H222" s="32" t="n">
        <v>4546.51</v>
      </c>
      <c r="I222" s="32" t="n">
        <v>245.28</v>
      </c>
      <c r="J222" s="32" t="n">
        <v>4.91</v>
      </c>
      <c r="K222" s="32" t="n">
        <v>4661922</v>
      </c>
      <c r="L222" s="31" t="n">
        <v>75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63.13</v>
      </c>
      <c r="P222" s="32" t="n">
        <v>20.92</v>
      </c>
      <c r="Q222" s="32" t="n">
        <v>179.85</v>
      </c>
      <c r="R222" s="31" t="inlineStr">
        <is>
          <t>Earnings / Momentum Support</t>
        </is>
      </c>
      <c r="S222" s="31" t="inlineStr">
        <is>
          <t>Nifty IT</t>
        </is>
      </c>
      <c r="T222" s="32" t="n">
        <v>-18.64</v>
      </c>
      <c r="U222" s="32" t="n">
        <v>46.22</v>
      </c>
      <c r="V222" s="32" t="n">
        <v>79.70999999999999</v>
      </c>
      <c r="W222" s="32" t="n">
        <v>17.53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IF(B223=0,"",RANK(B223,$B$2:$B$354,0))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HIRECT</t>
        </is>
      </c>
      <c r="D223" s="31" t="inlineStr">
        <is>
          <t>Hind Rectifiers Limited</t>
        </is>
      </c>
      <c r="E223" s="31" t="inlineStr">
        <is>
          <t>consumer discretionary</t>
        </is>
      </c>
      <c r="F223" s="31" t="inlineStr">
        <is>
          <t>electronics - components</t>
        </is>
      </c>
      <c r="G223" s="31" t="inlineStr">
        <is>
          <t>smallcap</t>
        </is>
      </c>
      <c r="H223" s="32" t="n">
        <v>4303.75</v>
      </c>
      <c r="I223" s="32" t="n">
        <v>1308.6</v>
      </c>
      <c r="J223" s="32" t="n">
        <v>4.51</v>
      </c>
      <c r="K223" s="32" t="n">
        <v>187138</v>
      </c>
      <c r="L223" s="31" t="n">
        <v>88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76.63</v>
      </c>
      <c r="P223" s="32" t="n">
        <v>31.73</v>
      </c>
      <c r="Q223" s="32" t="n">
        <v>928.5700000000001</v>
      </c>
      <c r="R223" s="31" t="inlineStr">
        <is>
          <t>Near 52W High Breakout</t>
        </is>
      </c>
      <c r="S223" s="31" t="inlineStr">
        <is>
          <t>Nifty Infra</t>
        </is>
      </c>
      <c r="T223" s="32" t="n">
        <v>4.24</v>
      </c>
      <c r="U223" s="32" t="n">
        <v>93.90000000000001</v>
      </c>
      <c r="V223" s="32" t="n">
        <v>86.02</v>
      </c>
      <c r="W223" s="32" t="n">
        <v>26.48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Between 0.7 to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IF(B224=0,"",RANK(B224,$B$2:$B$354,0))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JUBLINGREA</t>
        </is>
      </c>
      <c r="D224" s="31" t="inlineStr">
        <is>
          <t>Jubilant Ingrevia Ltd</t>
        </is>
      </c>
      <c r="E224" s="31" t="inlineStr">
        <is>
          <t>chemicals</t>
        </is>
      </c>
      <c r="F224" s="31" t="inlineStr">
        <is>
          <t>chemicals</t>
        </is>
      </c>
      <c r="G224" s="31" t="inlineStr">
        <is>
          <t>midcap</t>
        </is>
      </c>
      <c r="H224" s="32" t="n">
        <v>11736.63</v>
      </c>
      <c r="I224" s="32" t="n">
        <v>763.8</v>
      </c>
      <c r="J224" s="32" t="n">
        <v>3.66</v>
      </c>
      <c r="K224" s="32" t="n">
        <v>793750</v>
      </c>
      <c r="L224" s="31" t="n">
        <v>8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62.27</v>
      </c>
      <c r="P224" s="32" t="n">
        <v>18.01</v>
      </c>
      <c r="Q224" s="32" t="n">
        <v>595.67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-2.61</v>
      </c>
      <c r="U224" s="32" t="n">
        <v>-1.66</v>
      </c>
      <c r="V224" s="32" t="n">
        <v>0.98</v>
      </c>
      <c r="W224" s="32" t="n">
        <v>0.82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Between 12 to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IF(B225=0,"",RANK(B225,$B$2:$B$354,0))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DPABHUSHAN</t>
        </is>
      </c>
      <c r="D225" s="33" t="inlineStr">
        <is>
          <t>D.P. Abhushan Ltd</t>
        </is>
      </c>
      <c r="E225" s="31" t="inlineStr">
        <is>
          <t>consumer discretionary</t>
        </is>
      </c>
      <c r="F225" s="31" t="inlineStr">
        <is>
          <t>diamond cutting / jewellery</t>
        </is>
      </c>
      <c r="G225" s="31" t="inlineStr">
        <is>
          <t>smallcap</t>
        </is>
      </c>
      <c r="H225" s="32" t="n">
        <v>3274.32</v>
      </c>
      <c r="I225" s="32" t="n">
        <v>1472</v>
      </c>
      <c r="J225" s="32" t="n">
        <v>2.62</v>
      </c>
      <c r="K225" s="32" t="n">
        <v>293655</v>
      </c>
      <c r="L225" s="31" t="n">
        <v>28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67.36</v>
      </c>
      <c r="P225" s="32" t="n">
        <v>26.87</v>
      </c>
      <c r="Q225" s="32" t="n">
        <v>1083.98</v>
      </c>
      <c r="R225" s="31" t="inlineStr">
        <is>
          <t>Volume Spike / Accumulation</t>
        </is>
      </c>
      <c r="S225" s="31" t="inlineStr">
        <is>
          <t>Nifty 50</t>
        </is>
      </c>
      <c r="T225" s="32" t="n">
        <v>-2.61</v>
      </c>
      <c r="U225" s="32" t="n">
        <v>-12.29</v>
      </c>
      <c r="V225" s="32" t="n">
        <v>-9.94</v>
      </c>
      <c r="W225" s="32" t="n">
        <v>5.38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Negative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IF(B226=0,"",RANK(B226,$B$2:$B$354,0))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HEG</t>
        </is>
      </c>
      <c r="D226" s="31" t="inlineStr">
        <is>
          <t>Heg Limited</t>
        </is>
      </c>
      <c r="E226" s="31" t="inlineStr">
        <is>
          <t>industrials</t>
        </is>
      </c>
      <c r="F226" s="31" t="inlineStr">
        <is>
          <t>electrodes - graphites</t>
        </is>
      </c>
      <c r="G226" s="31" t="inlineStr">
        <is>
          <t>midcap</t>
        </is>
      </c>
      <c r="H226" s="32" t="n">
        <v>11468.65</v>
      </c>
      <c r="I226" s="32" t="n">
        <v>604.95</v>
      </c>
      <c r="J226" s="32" t="n">
        <v>1.79</v>
      </c>
      <c r="K226" s="32" t="n">
        <v>1167275</v>
      </c>
      <c r="L226" s="31" t="n">
        <v>14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57.54</v>
      </c>
      <c r="P226" s="32" t="n">
        <v>25.45</v>
      </c>
      <c r="Q226" s="32" t="n">
        <v>505.48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-2.61</v>
      </c>
      <c r="U226" s="32" t="n">
        <v>18.18</v>
      </c>
      <c r="V226" s="32" t="n">
        <v>21.36</v>
      </c>
      <c r="W226" s="32" t="n">
        <v>2.4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Less than 50%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IF(B227=0,"",RANK(B227,$B$2:$B$354,0))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PIDILITIND</t>
        </is>
      </c>
      <c r="D227" s="31" t="inlineStr">
        <is>
          <t>Pidilite Industries Limited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largecap</t>
        </is>
      </c>
      <c r="H227" s="32" t="n">
        <v>159361.85</v>
      </c>
      <c r="I227" s="32" t="n">
        <v>1591.3</v>
      </c>
      <c r="J227" s="32" t="n">
        <v>1.63</v>
      </c>
      <c r="K227" s="32" t="n">
        <v>1640055</v>
      </c>
      <c r="L227" s="31" t="n">
        <v>26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64.02</v>
      </c>
      <c r="P227" s="32" t="n">
        <v>21.12</v>
      </c>
      <c r="Q227" s="32" t="n">
        <v>1402.09</v>
      </c>
      <c r="R227" s="31" t="inlineStr">
        <is>
          <t>Near 52W High Breakout</t>
        </is>
      </c>
      <c r="S227" s="31" t="inlineStr">
        <is>
          <t>Nifty 50</t>
        </is>
      </c>
      <c r="T227" s="32" t="n">
        <v>-2.61</v>
      </c>
      <c r="U227" s="32" t="n">
        <v>10.14</v>
      </c>
      <c r="V227" s="32" t="n">
        <v>13.1</v>
      </c>
      <c r="W227" s="32" t="n">
        <v>4.99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Between 1.5 to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IF(B228=0,"",RANK(B228,$B$2:$B$354,0))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ASKAUTOLTD</t>
        </is>
      </c>
      <c r="D228" s="33" t="inlineStr">
        <is>
          <t>ASK Automotive Ltd</t>
        </is>
      </c>
      <c r="E228" s="31" t="inlineStr">
        <is>
          <t>auto</t>
        </is>
      </c>
      <c r="F228" s="31" t="inlineStr">
        <is>
          <t>auto ancillaries</t>
        </is>
      </c>
      <c r="G228" s="31" t="inlineStr">
        <is>
          <t>midcap</t>
        </is>
      </c>
      <c r="H228" s="32" t="n">
        <v>9410.6</v>
      </c>
      <c r="I228" s="32" t="n">
        <v>485</v>
      </c>
      <c r="J228" s="32" t="n">
        <v>1.6</v>
      </c>
      <c r="K228" s="32" t="n">
        <v>121237</v>
      </c>
      <c r="L228" s="31" t="n">
        <v>12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59.09</v>
      </c>
      <c r="P228" s="32" t="n">
        <v>8.75</v>
      </c>
      <c r="Q228" s="32" t="n">
        <v>393.67</v>
      </c>
      <c r="R228" s="31" t="inlineStr">
        <is>
          <t>Earnings / Momentum Support</t>
        </is>
      </c>
      <c r="S228" s="31" t="inlineStr">
        <is>
          <t>Nifty Auto</t>
        </is>
      </c>
      <c r="T228" s="32" t="n">
        <v>14.71</v>
      </c>
      <c r="U228" s="32" t="n">
        <v>-4.58</v>
      </c>
      <c r="V228" s="32" t="n">
        <v>-16.82</v>
      </c>
      <c r="W228" s="32" t="n">
        <v>2.08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Between 50% to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IF(B229=0,"",RANK(B229,$B$2:$B$354,0))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ADANIENSOL</t>
        </is>
      </c>
      <c r="D229" s="31" t="inlineStr">
        <is>
          <t>Adani Energy Solutions Ltd</t>
        </is>
      </c>
      <c r="E229" s="31" t="inlineStr">
        <is>
          <t>power &amp; utilities</t>
        </is>
      </c>
      <c r="F229" s="31" t="inlineStr">
        <is>
          <t>power generation and supply</t>
        </is>
      </c>
      <c r="G229" s="31" t="inlineStr">
        <is>
          <t>largecap</t>
        </is>
      </c>
      <c r="H229" s="32" t="n">
        <v>207761.83</v>
      </c>
      <c r="I229" s="32" t="n">
        <v>1741.6</v>
      </c>
      <c r="J229" s="32" t="n">
        <v>0.7</v>
      </c>
      <c r="K229" s="32" t="n">
        <v>3706829</v>
      </c>
      <c r="L229" s="31" t="n">
        <v>86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76.53</v>
      </c>
      <c r="P229" s="32" t="n">
        <v>54.01</v>
      </c>
      <c r="Q229" s="32" t="n">
        <v>1401.19</v>
      </c>
      <c r="R229" s="31" t="inlineStr">
        <is>
          <t>Near 52W High Breakout</t>
        </is>
      </c>
      <c r="S229" s="31" t="inlineStr">
        <is>
          <t>Nifty IT</t>
        </is>
      </c>
      <c r="T229" s="32" t="n">
        <v>-18.64</v>
      </c>
      <c r="U229" s="32" t="n">
        <v>113.13</v>
      </c>
      <c r="V229" s="32" t="n">
        <v>161.95</v>
      </c>
      <c r="W229" s="32" t="n">
        <v>24.41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IF(B230=0,"",RANK(B230,$B$2:$B$354,0))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STOVEKRAFT</t>
        </is>
      </c>
      <c r="D230" s="31" t="inlineStr">
        <is>
          <t>Stove Kraft Ltd</t>
        </is>
      </c>
      <c r="E230" s="31" t="inlineStr">
        <is>
          <t>consumer discretionary</t>
        </is>
      </c>
      <c r="F230" s="31" t="inlineStr">
        <is>
          <t>domestic appliances</t>
        </is>
      </c>
      <c r="G230" s="31" t="inlineStr">
        <is>
          <t>smallcap</t>
        </is>
      </c>
      <c r="H230" s="32" t="n">
        <v>2574.92</v>
      </c>
      <c r="I230" s="32" t="n">
        <v>778.9</v>
      </c>
      <c r="J230" s="32" t="n">
        <v>0.15</v>
      </c>
      <c r="K230" s="32" t="n">
        <v>62178</v>
      </c>
      <c r="L230" s="31" t="n">
        <v>77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72</v>
      </c>
      <c r="P230" s="32" t="n">
        <v>43.27</v>
      </c>
      <c r="Q230" s="32" t="n">
        <v>635.49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-2.61</v>
      </c>
      <c r="U230" s="32" t="n">
        <v>35.96</v>
      </c>
      <c r="V230" s="32" t="n">
        <v>39.61</v>
      </c>
      <c r="W230" s="32" t="n">
        <v>18.27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IF(B231=0,"",RANK(B231,$B$2:$B$354,0))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3MINDIA</t>
        </is>
      </c>
      <c r="D231" s="31" t="inlineStr">
        <is>
          <t>3m India Limited</t>
        </is>
      </c>
      <c r="E231" s="31" t="inlineStr">
        <is>
          <t>miscellaneous</t>
        </is>
      </c>
      <c r="F231" s="31" t="inlineStr">
        <is>
          <t>diversified - large</t>
        </is>
      </c>
      <c r="G231" s="31" t="inlineStr">
        <is>
          <t>largecap</t>
        </is>
      </c>
      <c r="H231" s="32" t="n">
        <v>39698.11</v>
      </c>
      <c r="I231" s="32" t="n">
        <v>35280</v>
      </c>
      <c r="J231" s="32" t="n">
        <v>0.11</v>
      </c>
      <c r="K231" s="32" t="n">
        <v>2543</v>
      </c>
      <c r="L231" s="31" t="n">
        <v>25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59.85</v>
      </c>
      <c r="P231" s="32" t="n">
        <v>11.38</v>
      </c>
      <c r="Q231" s="32" t="n">
        <v>29386.27</v>
      </c>
      <c r="R231" s="31" t="inlineStr">
        <is>
          <t>Near 52W High Breakout</t>
        </is>
      </c>
      <c r="S231" s="31" t="inlineStr">
        <is>
          <t>Nifty 500</t>
        </is>
      </c>
      <c r="T231" s="32" t="n">
        <v>1.47</v>
      </c>
      <c r="U231" s="32" t="n">
        <v>14.25</v>
      </c>
      <c r="V231" s="32" t="n">
        <v>12.6</v>
      </c>
      <c r="W231" s="32" t="n">
        <v>4.77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Between 50% to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IF(B232=0,"",RANK(B232,$B$2:$B$354,0))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NAZARA</t>
        </is>
      </c>
      <c r="D232" s="31" t="inlineStr">
        <is>
          <t>Nazara Technologies Ltd</t>
        </is>
      </c>
      <c r="E232" s="31" t="inlineStr">
        <is>
          <t>i.t</t>
        </is>
      </c>
      <c r="F232" s="31" t="inlineStr">
        <is>
          <t>telecommunications - service provider</t>
        </is>
      </c>
      <c r="G232" s="31" t="inlineStr">
        <is>
          <t>midcap</t>
        </is>
      </c>
      <c r="H232" s="32" t="n">
        <v>11456.63</v>
      </c>
      <c r="I232" s="32" t="n">
        <v>309.3</v>
      </c>
      <c r="J232" s="32" t="n">
        <v>0.02</v>
      </c>
      <c r="K232" s="32" t="n">
        <v>2254047</v>
      </c>
      <c r="L232" s="31" t="n">
        <v>9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62.14</v>
      </c>
      <c r="P232" s="32" t="n">
        <v>14.47</v>
      </c>
      <c r="Q232" s="32" t="n">
        <v>246.99</v>
      </c>
      <c r="R232" s="31" t="inlineStr">
        <is>
          <t>Earnings / Momentum Support</t>
        </is>
      </c>
      <c r="S232" s="31" t="inlineStr">
        <is>
          <t>Nifty IT</t>
        </is>
      </c>
      <c r="T232" s="32" t="n">
        <v>-18.64</v>
      </c>
      <c r="U232" s="32" t="n">
        <v>-11.02</v>
      </c>
      <c r="V232" s="32" t="n">
        <v>9.359999999999999</v>
      </c>
      <c r="W232" s="32" t="n">
        <v>1.39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Oligopoly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IF(B233=0,"",RANK(B233,$B$2:$B$354,0))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IRISDOREME</t>
        </is>
      </c>
      <c r="D233" s="31" t="inlineStr">
        <is>
          <t>Iris Clothings Ltd</t>
        </is>
      </c>
      <c r="E233" s="31" t="inlineStr">
        <is>
          <t>consumer discretionary</t>
        </is>
      </c>
      <c r="F233" s="31" t="inlineStr">
        <is>
          <t>textiles - products</t>
        </is>
      </c>
      <c r="G233" s="31" t="inlineStr">
        <is>
          <t>smallcap</t>
        </is>
      </c>
      <c r="H233" s="32" t="n">
        <v>881.4299999999999</v>
      </c>
      <c r="I233" s="32" t="n">
        <v>46.1</v>
      </c>
      <c r="J233" s="32" t="n">
        <v>-0.45</v>
      </c>
      <c r="K233" s="32" t="n">
        <v>325644</v>
      </c>
      <c r="L233" s="31" t="n">
        <v>69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72.34999999999999</v>
      </c>
      <c r="P233" s="32" t="n">
        <v>28.46</v>
      </c>
      <c r="Q233" s="32" t="n">
        <v>34.28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-2.61</v>
      </c>
      <c r="U233" s="32" t="n">
        <v>51.02</v>
      </c>
      <c r="V233" s="32" t="n">
        <v>55.07</v>
      </c>
      <c r="W233" s="32" t="n">
        <v>15.3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IF(B234=0,"",RANK(B234,$B$2:$B$354,0))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BAJAJ-AUTO</t>
        </is>
      </c>
      <c r="D234" s="31" t="inlineStr">
        <is>
          <t>Bajaj Auto Limited</t>
        </is>
      </c>
      <c r="E234" s="31" t="inlineStr">
        <is>
          <t>auto</t>
        </is>
      </c>
      <c r="F234" s="31" t="inlineStr">
        <is>
          <t>automobiles - scooters and 3 - wheelers</t>
        </is>
      </c>
      <c r="G234" s="31" t="inlineStr">
        <is>
          <t>largecap</t>
        </is>
      </c>
      <c r="H234" s="32" t="n">
        <v>294101.6</v>
      </c>
      <c r="I234" s="32" t="n">
        <v>10403.5</v>
      </c>
      <c r="J234" s="32" t="n">
        <v>-1.13</v>
      </c>
      <c r="K234" s="32" t="n">
        <v>834319</v>
      </c>
      <c r="L234" s="31" t="n">
        <v>38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60.74</v>
      </c>
      <c r="P234" s="32" t="n">
        <v>17.26</v>
      </c>
      <c r="Q234" s="32" t="n">
        <v>9143.040000000001</v>
      </c>
      <c r="R234" s="31" t="inlineStr">
        <is>
          <t>Near 52W High Breakout</t>
        </is>
      </c>
      <c r="S234" s="31" t="inlineStr">
        <is>
          <t>Nifty Auto</t>
        </is>
      </c>
      <c r="T234" s="32" t="n">
        <v>14.71</v>
      </c>
      <c r="U234" s="32" t="n">
        <v>30.64</v>
      </c>
      <c r="V234" s="32" t="n">
        <v>13.88</v>
      </c>
      <c r="W234" s="32" t="n">
        <v>7.64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IF(B235=0,"",RANK(B235,$B$2:$B$354,0))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GALAPREC</t>
        </is>
      </c>
      <c r="D235" s="31" t="inlineStr">
        <is>
          <t>Gala Precision Engineering Ltd</t>
        </is>
      </c>
      <c r="E235" s="31" t="inlineStr">
        <is>
          <t>industrials</t>
        </is>
      </c>
      <c r="F235" s="31" t="inlineStr">
        <is>
          <t>fasteners</t>
        </is>
      </c>
      <c r="G235" s="31" t="inlineStr">
        <is>
          <t>smallcap</t>
        </is>
      </c>
      <c r="H235" s="32" t="n">
        <v>1557.17</v>
      </c>
      <c r="I235" s="32" t="n">
        <v>1201.2</v>
      </c>
      <c r="J235" s="32" t="n">
        <v>-1.14</v>
      </c>
      <c r="K235" s="32" t="n">
        <v>37341</v>
      </c>
      <c r="L235" s="31" t="n">
        <v>82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79.93000000000001</v>
      </c>
      <c r="P235" s="32" t="n">
        <v>46.19</v>
      </c>
      <c r="Q235" s="32" t="n">
        <v>918.55</v>
      </c>
      <c r="R235" s="31" t="inlineStr">
        <is>
          <t>Near 52W High Breakout</t>
        </is>
      </c>
      <c r="S235" s="31" t="inlineStr">
        <is>
          <t>Nifty Infra</t>
        </is>
      </c>
      <c r="T235" s="32" t="n">
        <v>4.24</v>
      </c>
      <c r="U235" s="32" t="n">
        <v>40.29</v>
      </c>
      <c r="V235" s="32" t="n">
        <v>34.59</v>
      </c>
      <c r="W235" s="32" t="n">
        <v>22.48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Less than 50%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IF(B236=0,"",RANK(B236,$B$2:$B$354,0))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SVLL</t>
        </is>
      </c>
      <c r="D236" s="31" t="inlineStr">
        <is>
          <t>Shree Vasu Logistics Ltd</t>
        </is>
      </c>
      <c r="E236" s="31" t="inlineStr">
        <is>
          <t>transportation</t>
        </is>
      </c>
      <c r="F236" s="31" t="inlineStr">
        <is>
          <t>miscellaneous</t>
        </is>
      </c>
      <c r="G236" s="31" t="inlineStr">
        <is>
          <t>smallcap</t>
        </is>
      </c>
      <c r="H236" s="32" t="n">
        <v>899.4400000000001</v>
      </c>
      <c r="I236" s="32" t="n">
        <v>768.7</v>
      </c>
      <c r="J236" s="32" t="n">
        <v>-1.77</v>
      </c>
      <c r="K236" s="32" t="n">
        <v>11720</v>
      </c>
      <c r="L236" s="31" t="n">
        <v>45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62.78</v>
      </c>
      <c r="P236" s="32" t="n">
        <v>29.93</v>
      </c>
      <c r="Q236" s="32" t="n">
        <v>514.9299999999999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-2.61</v>
      </c>
      <c r="U236" s="32" t="n">
        <v>-2.11</v>
      </c>
      <c r="V236" s="32" t="n">
        <v>0.52</v>
      </c>
      <c r="W236" s="32" t="n">
        <v>8.859999999999999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IF(B237=0,"",RANK(B237,$B$2:$B$354,0))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AVADHSUGAR</t>
        </is>
      </c>
      <c r="D237" s="31" t="inlineStr">
        <is>
          <t>Avadh Sugar &amp; Energy</t>
        </is>
      </c>
      <c r="E237" s="31" t="inlineStr">
        <is>
          <t>fmcg</t>
        </is>
      </c>
      <c r="F237" s="31" t="inlineStr">
        <is>
          <t>sugar</t>
        </is>
      </c>
      <c r="G237" s="31" t="inlineStr">
        <is>
          <t>smallcap</t>
        </is>
      </c>
      <c r="H237" s="32" t="n">
        <v>1063.78</v>
      </c>
      <c r="I237" s="32" t="n">
        <v>552.2</v>
      </c>
      <c r="J237" s="32" t="n">
        <v>3.91</v>
      </c>
      <c r="K237" s="32" t="n">
        <v>46316</v>
      </c>
      <c r="L237" s="31" t="n">
        <v>49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72.41</v>
      </c>
      <c r="P237" s="32" t="n">
        <v>35.19</v>
      </c>
      <c r="Q237" s="32" t="n">
        <v>430.24</v>
      </c>
      <c r="R237" s="31" t="inlineStr">
        <is>
          <t>Near 52W High Breakout</t>
        </is>
      </c>
      <c r="S237" s="31" t="inlineStr">
        <is>
          <t>Nifty FMCG</t>
        </is>
      </c>
      <c r="T237" s="32" t="n">
        <v>-10.38</v>
      </c>
      <c r="U237" s="32" t="n">
        <v>21.19</v>
      </c>
      <c r="V237" s="32" t="n">
        <v>35.22</v>
      </c>
      <c r="W237" s="32" t="n">
        <v>9.859999999999999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B2C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More than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IF(B238=0,"",RANK(B238,$B$2:$B$354,0))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TORNTPHARM</t>
        </is>
      </c>
      <c r="D238" s="31" t="inlineStr">
        <is>
          <t>Torrent Pharmaceuticals Limited</t>
        </is>
      </c>
      <c r="E238" s="31" t="inlineStr">
        <is>
          <t>healthcare</t>
        </is>
      </c>
      <c r="F238" s="31" t="inlineStr">
        <is>
          <t>pharmaceuticals - indian - formulations</t>
        </is>
      </c>
      <c r="G238" s="31" t="inlineStr">
        <is>
          <t>largecap</t>
        </is>
      </c>
      <c r="H238" s="32" t="n">
        <v>169405.48</v>
      </c>
      <c r="I238" s="32" t="n">
        <v>5040.7</v>
      </c>
      <c r="J238" s="32" t="n">
        <v>0.71</v>
      </c>
      <c r="K238" s="32" t="n">
        <v>287701</v>
      </c>
      <c r="L238" s="31" t="n">
        <v>59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71.92</v>
      </c>
      <c r="P238" s="32" t="n">
        <v>38.31</v>
      </c>
      <c r="Q238" s="32" t="n">
        <v>4319.78</v>
      </c>
      <c r="R238" s="31" t="inlineStr">
        <is>
          <t>Near 52W High Breakout</t>
        </is>
      </c>
      <c r="S238" s="31" t="inlineStr">
        <is>
          <t>Nifty Pharma</t>
        </is>
      </c>
      <c r="T238" s="32" t="n">
        <v>15.14</v>
      </c>
      <c r="U238" s="32" t="n">
        <v>41.11</v>
      </c>
      <c r="V238" s="32" t="n">
        <v>22.56</v>
      </c>
      <c r="W238" s="32" t="n">
        <v>11.99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IF(B239=0,"",RANK(B239,$B$2:$B$354,0))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HTMEDIA</t>
        </is>
      </c>
      <c r="D239" s="31" t="inlineStr">
        <is>
          <t>Ht Media Limited</t>
        </is>
      </c>
      <c r="E239" s="31" t="inlineStr">
        <is>
          <t>media</t>
        </is>
      </c>
      <c r="F239" s="31" t="inlineStr">
        <is>
          <t>entertainment / electronic media software</t>
        </is>
      </c>
      <c r="G239" s="31" t="inlineStr">
        <is>
          <t>smallcap</t>
        </is>
      </c>
      <c r="H239" s="32" t="n">
        <v>612.4299999999999</v>
      </c>
      <c r="I239" s="32" t="n">
        <v>26.11</v>
      </c>
      <c r="J239" s="32" t="n">
        <v>-0.76</v>
      </c>
      <c r="K239" s="32" t="n">
        <v>109402</v>
      </c>
      <c r="L239" s="31" t="n">
        <v>32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65.3</v>
      </c>
      <c r="P239" s="32" t="n">
        <v>17.14</v>
      </c>
      <c r="Q239" s="32" t="n">
        <v>19.61</v>
      </c>
      <c r="R239" s="31" t="inlineStr">
        <is>
          <t>Earnings / Momentum Support</t>
        </is>
      </c>
      <c r="S239" s="31" t="inlineStr">
        <is>
          <t>Nifty IT</t>
        </is>
      </c>
      <c r="T239" s="32" t="n">
        <v>-18.64</v>
      </c>
      <c r="U239" s="32" t="n">
        <v>8.66</v>
      </c>
      <c r="V239" s="32" t="n">
        <v>33.55</v>
      </c>
      <c r="W239" s="32" t="n">
        <v>6.36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IF(B240=0,"",RANK(B240,$B$2:$B$354,0))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HUHTAMAKI</t>
        </is>
      </c>
      <c r="D240" s="31" t="inlineStr">
        <is>
          <t>Huhtamaki India Ltd</t>
        </is>
      </c>
      <c r="E240" s="31" t="inlineStr">
        <is>
          <t>industrials</t>
        </is>
      </c>
      <c r="F240" s="31" t="inlineStr">
        <is>
          <t>packaging</t>
        </is>
      </c>
      <c r="G240" s="31" t="inlineStr">
        <is>
          <t>smallcap</t>
        </is>
      </c>
      <c r="H240" s="32" t="n">
        <v>1886.46</v>
      </c>
      <c r="I240" s="32" t="n">
        <v>264.19</v>
      </c>
      <c r="J240" s="32" t="n">
        <v>5.76</v>
      </c>
      <c r="K240" s="32" t="n">
        <v>4106721</v>
      </c>
      <c r="L240" s="31" t="n">
        <v>75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74.8</v>
      </c>
      <c r="P240" s="32" t="n">
        <v>18.62</v>
      </c>
      <c r="Q240" s="32" t="n">
        <v>209.8</v>
      </c>
      <c r="R240" s="31" t="inlineStr">
        <is>
          <t>Volume Spike &amp; Near 52W High Breakout</t>
        </is>
      </c>
      <c r="S240" s="31" t="inlineStr">
        <is>
          <t>Nifty Infra</t>
        </is>
      </c>
      <c r="T240" s="32" t="n">
        <v>4.24</v>
      </c>
      <c r="U240" s="32" t="n">
        <v>22.16</v>
      </c>
      <c r="V240" s="32" t="n">
        <v>17.2</v>
      </c>
      <c r="W240" s="32" t="n">
        <v>17.33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IF(B241=0,"",RANK(B241,$B$2:$B$354,0))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ARROWGREEN</t>
        </is>
      </c>
      <c r="D241" s="33" t="inlineStr">
        <is>
          <t>Arrow Greentech Limited</t>
        </is>
      </c>
      <c r="E241" s="31" t="inlineStr">
        <is>
          <t>plastic products</t>
        </is>
      </c>
      <c r="F241" s="31" t="inlineStr">
        <is>
          <t>plastics products</t>
        </is>
      </c>
      <c r="G241" s="31" t="inlineStr">
        <is>
          <t>smallcap</t>
        </is>
      </c>
      <c r="H241" s="32" t="n">
        <v>1006.82</v>
      </c>
      <c r="I241" s="32" t="n">
        <v>700.65</v>
      </c>
      <c r="J241" s="32" t="n">
        <v>5</v>
      </c>
      <c r="K241" s="32" t="n">
        <v>22356</v>
      </c>
      <c r="L241" s="31" t="n">
        <v>42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66.77</v>
      </c>
      <c r="P241" s="32" t="n">
        <v>26.17</v>
      </c>
      <c r="Q241" s="32" t="n">
        <v>499.86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-2.61</v>
      </c>
      <c r="U241" s="32" t="n">
        <v>-7.12</v>
      </c>
      <c r="V241" s="32" t="n">
        <v>-4.62</v>
      </c>
      <c r="W241" s="32" t="n">
        <v>8.31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IF(B242=0,"",RANK(B242,$B$2:$B$354,0))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SICALLOG</t>
        </is>
      </c>
      <c r="D242" s="33" t="inlineStr">
        <is>
          <t>Sical Logistics Ltd</t>
        </is>
      </c>
      <c r="E242" s="31" t="inlineStr">
        <is>
          <t>transportation</t>
        </is>
      </c>
      <c r="F242" s="31" t="inlineStr">
        <is>
          <t>miscellaneous</t>
        </is>
      </c>
      <c r="G242" s="31" t="inlineStr">
        <is>
          <t>smallcap</t>
        </is>
      </c>
      <c r="H242" s="32" t="n">
        <v>754.21</v>
      </c>
      <c r="I242" s="32" t="n">
        <v>99.25</v>
      </c>
      <c r="J242" s="32" t="n">
        <v>4.99</v>
      </c>
      <c r="K242" s="32" t="n">
        <v>47217</v>
      </c>
      <c r="L242" s="31" t="n">
        <v>43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65.36</v>
      </c>
      <c r="P242" s="32" t="n">
        <v>25.35</v>
      </c>
      <c r="Q242" s="32" t="n">
        <v>73.86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-2.61</v>
      </c>
      <c r="U242" s="32" t="n">
        <v>-11.66</v>
      </c>
      <c r="V242" s="32" t="n">
        <v>-9.289999999999999</v>
      </c>
      <c r="W242" s="32" t="n">
        <v>8.630000000000001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IF(B243=0,"",RANK(B243,$B$2:$B$354,0))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KAPSTON</t>
        </is>
      </c>
      <c r="D243" s="31" t="inlineStr">
        <is>
          <t>Kapston Services Ltd</t>
        </is>
      </c>
      <c r="E243" s="31" t="inlineStr">
        <is>
          <t>miscellaneous</t>
        </is>
      </c>
      <c r="F243" s="31" t="inlineStr">
        <is>
          <t>miscellaneous</t>
        </is>
      </c>
      <c r="G243" s="31" t="inlineStr">
        <is>
          <t>smallcap</t>
        </is>
      </c>
      <c r="H243" s="32" t="n">
        <v>1315.43</v>
      </c>
      <c r="I243" s="32" t="n">
        <v>451.95</v>
      </c>
      <c r="J243" s="32" t="n">
        <v>4.56</v>
      </c>
      <c r="K243" s="32" t="n">
        <v>76688</v>
      </c>
      <c r="L243" s="31" t="n">
        <v>82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73.47</v>
      </c>
      <c r="P243" s="32" t="n">
        <v>21.71</v>
      </c>
      <c r="Q243" s="32" t="n">
        <v>342.01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-2.61</v>
      </c>
      <c r="U243" s="32" t="n">
        <v>88.97</v>
      </c>
      <c r="V243" s="32" t="n">
        <v>94.04000000000001</v>
      </c>
      <c r="W243" s="32" t="n">
        <v>22.35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Less than 50% and Borrowings are increasing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IF(B244=0,"",RANK(B244,$B$2:$B$354,0))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MMFL</t>
        </is>
      </c>
      <c r="D244" s="31" t="inlineStr">
        <is>
          <t>Mm Forgings Limited</t>
        </is>
      </c>
      <c r="E244" s="31" t="inlineStr">
        <is>
          <t>industrials</t>
        </is>
      </c>
      <c r="F244" s="31" t="inlineStr">
        <is>
          <t>castings &amp; forgings</t>
        </is>
      </c>
      <c r="G244" s="31" t="inlineStr">
        <is>
          <t>smallcap</t>
        </is>
      </c>
      <c r="H244" s="32" t="n">
        <v>2576.79</v>
      </c>
      <c r="I244" s="32" t="n">
        <v>555.75</v>
      </c>
      <c r="J244" s="32" t="n">
        <v>4.13</v>
      </c>
      <c r="K244" s="32" t="n">
        <v>200729</v>
      </c>
      <c r="L244" s="31" t="n">
        <v>62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72.09999999999999</v>
      </c>
      <c r="P244" s="32" t="n">
        <v>18</v>
      </c>
      <c r="Q244" s="32" t="n">
        <v>431.95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-2.61</v>
      </c>
      <c r="U244" s="32" t="n">
        <v>57.37</v>
      </c>
      <c r="V244" s="32" t="n">
        <v>61.59</v>
      </c>
      <c r="W244" s="32" t="n">
        <v>13.12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IF(B245=0,"",RANK(B245,$B$2:$B$354,0))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MACPOWER</t>
        </is>
      </c>
      <c r="D245" s="31" t="inlineStr">
        <is>
          <t>Macpower CNC Machines Ltd</t>
        </is>
      </c>
      <c r="E245" s="31" t="inlineStr">
        <is>
          <t>industrials</t>
        </is>
      </c>
      <c r="F245" s="31" t="inlineStr">
        <is>
          <t>engineering</t>
        </is>
      </c>
      <c r="G245" s="31" t="inlineStr">
        <is>
          <t>smallcap</t>
        </is>
      </c>
      <c r="H245" s="32" t="n">
        <v>1302.84</v>
      </c>
      <c r="I245" s="32" t="n">
        <v>1348.2</v>
      </c>
      <c r="J245" s="32" t="n">
        <v>3.52</v>
      </c>
      <c r="K245" s="32" t="n">
        <v>37743</v>
      </c>
      <c r="L245" s="31" t="n">
        <v>58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63.33</v>
      </c>
      <c r="P245" s="32" t="n">
        <v>28.37</v>
      </c>
      <c r="Q245" s="32" t="n">
        <v>1003.8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-2.61</v>
      </c>
      <c r="U245" s="32" t="n">
        <v>29.63</v>
      </c>
      <c r="V245" s="32" t="n">
        <v>33.11</v>
      </c>
      <c r="W245" s="32" t="n">
        <v>11.72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Less than 50%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IF(B246=0,"",RANK(B246,$B$2:$B$354,0))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SENCO</t>
        </is>
      </c>
      <c r="D246" s="31" t="inlineStr">
        <is>
          <t>Senco Gold Ltd</t>
        </is>
      </c>
      <c r="E246" s="31" t="inlineStr">
        <is>
          <t>consumer discretionary</t>
        </is>
      </c>
      <c r="F246" s="31" t="inlineStr">
        <is>
          <t>diamond cutting / jewellery</t>
        </is>
      </c>
      <c r="G246" s="31" t="inlineStr">
        <is>
          <t>midcap</t>
        </is>
      </c>
      <c r="H246" s="32" t="n">
        <v>5995.32</v>
      </c>
      <c r="I246" s="32" t="n">
        <v>377.8</v>
      </c>
      <c r="J246" s="32" t="n">
        <v>3.22</v>
      </c>
      <c r="K246" s="32" t="n">
        <v>1123015</v>
      </c>
      <c r="L246" s="31" t="n">
        <v>31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61.4</v>
      </c>
      <c r="P246" s="32" t="n">
        <v>26.06</v>
      </c>
      <c r="Q246" s="32" t="n">
        <v>289.34</v>
      </c>
      <c r="R246" s="31" t="inlineStr">
        <is>
          <t>Near 52W High Breakout</t>
        </is>
      </c>
      <c r="S246" s="31" t="inlineStr">
        <is>
          <t>Nifty 50</t>
        </is>
      </c>
      <c r="T246" s="32" t="n">
        <v>-2.61</v>
      </c>
      <c r="U246" s="32" t="n">
        <v>11.63</v>
      </c>
      <c r="V246" s="32" t="n">
        <v>14.63</v>
      </c>
      <c r="W246" s="32" t="n">
        <v>6.34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IF(B247=0,"",RANK(B247,$B$2:$B$354,0))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PRESTIGE</t>
        </is>
      </c>
      <c r="D247" s="31" t="inlineStr">
        <is>
          <t>Prestige Estates Projects Limited</t>
        </is>
      </c>
      <c r="E247" s="31" t="inlineStr">
        <is>
          <t>realty</t>
        </is>
      </c>
      <c r="F247" s="31" t="inlineStr">
        <is>
          <t>construction</t>
        </is>
      </c>
      <c r="G247" s="31" t="inlineStr">
        <is>
          <t>largecap</t>
        </is>
      </c>
      <c r="H247" s="32" t="n">
        <v>71893.17999999999</v>
      </c>
      <c r="I247" s="32" t="n">
        <v>1706.9</v>
      </c>
      <c r="J247" s="32" t="n">
        <v>2.26</v>
      </c>
      <c r="K247" s="32" t="n">
        <v>343367</v>
      </c>
      <c r="L247" s="31" t="n">
        <v>32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63.72</v>
      </c>
      <c r="P247" s="32" t="n">
        <v>14.29</v>
      </c>
      <c r="Q247" s="32" t="n">
        <v>1403.46</v>
      </c>
      <c r="R247" s="31" t="inlineStr">
        <is>
          <t>Near 52W High Breakout</t>
        </is>
      </c>
      <c r="S247" s="31" t="inlineStr">
        <is>
          <t>Nifty Realty</t>
        </is>
      </c>
      <c r="T247" s="32" t="n">
        <v>-2.45</v>
      </c>
      <c r="U247" s="32" t="n">
        <v>2.38</v>
      </c>
      <c r="V247" s="32" t="n">
        <v>4.95</v>
      </c>
      <c r="W247" s="32" t="n">
        <v>6.37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IF(B248=0,"",RANK(B248,$B$2:$B$354,0))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GODREJPROP</t>
        </is>
      </c>
      <c r="D248" s="33" t="inlineStr">
        <is>
          <t>Godrej Properties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largecap</t>
        </is>
      </c>
      <c r="H248" s="32" t="n">
        <v>63820.74</v>
      </c>
      <c r="I248" s="32" t="n">
        <v>2164.3</v>
      </c>
      <c r="J248" s="32" t="n">
        <v>2.15</v>
      </c>
      <c r="K248" s="32" t="n">
        <v>706546</v>
      </c>
      <c r="L248" s="31" t="n">
        <v>30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64.94</v>
      </c>
      <c r="P248" s="32" t="n">
        <v>10.35</v>
      </c>
      <c r="Q248" s="32" t="n">
        <v>1763.03</v>
      </c>
      <c r="R248" s="31" t="inlineStr">
        <is>
          <t>Earnings / Momentum Support</t>
        </is>
      </c>
      <c r="S248" s="31" t="inlineStr">
        <is>
          <t>Nifty Realty</t>
        </is>
      </c>
      <c r="T248" s="32" t="n">
        <v>-2.45</v>
      </c>
      <c r="U248" s="32" t="n">
        <v>-3.11</v>
      </c>
      <c r="V248" s="32" t="n">
        <v>-0.68</v>
      </c>
      <c r="W248" s="32" t="n">
        <v>5.85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IF(B249=0,"",RANK(B249,$B$2:$B$354,0))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RML</t>
        </is>
      </c>
      <c r="D249" s="31" t="inlineStr">
        <is>
          <t>Rane (madras) Limited</t>
        </is>
      </c>
      <c r="E249" s="31" t="inlineStr">
        <is>
          <t>auto</t>
        </is>
      </c>
      <c r="F249" s="31" t="inlineStr">
        <is>
          <t>auto ancillaries</t>
        </is>
      </c>
      <c r="G249" s="31" t="inlineStr">
        <is>
          <t>smallcap</t>
        </is>
      </c>
      <c r="H249" s="32" t="n">
        <v>3255.65</v>
      </c>
      <c r="I249" s="32" t="n">
        <v>1199.2</v>
      </c>
      <c r="J249" s="32" t="n">
        <v>1.8</v>
      </c>
      <c r="K249" s="32" t="n">
        <v>25476</v>
      </c>
      <c r="L249" s="31" t="n">
        <v>81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65.87</v>
      </c>
      <c r="P249" s="32" t="n">
        <v>39.83</v>
      </c>
      <c r="Q249" s="32" t="n">
        <v>1014.61</v>
      </c>
      <c r="R249" s="31" t="inlineStr">
        <is>
          <t>Earnings / Momentum Support</t>
        </is>
      </c>
      <c r="S249" s="31" t="inlineStr">
        <is>
          <t>Nifty Auto</t>
        </is>
      </c>
      <c r="T249" s="32" t="n">
        <v>14.71</v>
      </c>
      <c r="U249" s="32" t="n">
        <v>41.97</v>
      </c>
      <c r="V249" s="32" t="n">
        <v>23.76</v>
      </c>
      <c r="W249" s="32" t="n">
        <v>21.84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IF(B250=0,"",RANK(B250,$B$2:$B$354,0))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MUNJALSHOW</t>
        </is>
      </c>
      <c r="D250" s="33" t="inlineStr">
        <is>
          <t>Munjal Showa Limited</t>
        </is>
      </c>
      <c r="E250" s="31" t="inlineStr">
        <is>
          <t>auto</t>
        </is>
      </c>
      <c r="F250" s="31" t="inlineStr">
        <is>
          <t>auto ancillaries</t>
        </is>
      </c>
      <c r="G250" s="31" t="inlineStr">
        <is>
          <t>smallcap</t>
        </is>
      </c>
      <c r="H250" s="32" t="n">
        <v>540.37</v>
      </c>
      <c r="I250" s="32" t="n">
        <v>137</v>
      </c>
      <c r="J250" s="32" t="n">
        <v>1.4</v>
      </c>
      <c r="K250" s="32" t="n">
        <v>26076</v>
      </c>
      <c r="L250" s="31" t="n">
        <v>7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57.99</v>
      </c>
      <c r="P250" s="32" t="n">
        <v>26.78</v>
      </c>
      <c r="Q250" s="32" t="n">
        <v>116.54</v>
      </c>
      <c r="R250" s="31" t="inlineStr">
        <is>
          <t>Earnings / Momentum Support</t>
        </is>
      </c>
      <c r="S250" s="31" t="inlineStr">
        <is>
          <t>Nifty Auto</t>
        </is>
      </c>
      <c r="T250" s="32" t="n">
        <v>14.71</v>
      </c>
      <c r="U250" s="32" t="n">
        <v>-5.94</v>
      </c>
      <c r="V250" s="32" t="n">
        <v>-18</v>
      </c>
      <c r="W250" s="32" t="n">
        <v>0.57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Negative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IF(B251=0,"",RANK(B251,$B$2:$B$354,0))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PANAMAPET</t>
        </is>
      </c>
      <c r="D251" s="31" t="inlineStr">
        <is>
          <t>Panama Petrochem Limited</t>
        </is>
      </c>
      <c r="E251" s="31" t="inlineStr">
        <is>
          <t>energy</t>
        </is>
      </c>
      <c r="F251" s="31" t="inlineStr">
        <is>
          <t>petrochemicals</t>
        </is>
      </c>
      <c r="G251" s="31" t="inlineStr">
        <is>
          <t>smallcap</t>
        </is>
      </c>
      <c r="H251" s="32" t="n">
        <v>2742.17</v>
      </c>
      <c r="I251" s="32" t="n">
        <v>459.35</v>
      </c>
      <c r="J251" s="32" t="n">
        <v>1.33</v>
      </c>
      <c r="K251" s="32" t="n">
        <v>257580</v>
      </c>
      <c r="L251" s="31" t="n">
        <v>84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67.95</v>
      </c>
      <c r="P251" s="32" t="n">
        <v>39.2</v>
      </c>
      <c r="Q251" s="32" t="n">
        <v>352.58</v>
      </c>
      <c r="R251" s="31" t="inlineStr">
        <is>
          <t>Near 52W High Breakout</t>
        </is>
      </c>
      <c r="S251" s="31" t="inlineStr">
        <is>
          <t>Nifty Energy</t>
        </is>
      </c>
      <c r="T251" s="32" t="n">
        <v>12.3</v>
      </c>
      <c r="U251" s="32" t="n">
        <v>34.61</v>
      </c>
      <c r="V251" s="32" t="n">
        <v>19.86</v>
      </c>
      <c r="W251" s="32" t="n">
        <v>23.55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Negative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IF(B252=0,"",RANK(B252,$B$2:$B$354,0))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GARFIBRES</t>
        </is>
      </c>
      <c r="D252" s="33" t="inlineStr">
        <is>
          <t>Garware Technical Fibres Ltd</t>
        </is>
      </c>
      <c r="E252" s="31" t="inlineStr">
        <is>
          <t>textiles</t>
        </is>
      </c>
      <c r="F252" s="31" t="inlineStr">
        <is>
          <t>textiles - products</t>
        </is>
      </c>
      <c r="G252" s="31" t="inlineStr">
        <is>
          <t>midcap</t>
        </is>
      </c>
      <c r="H252" s="32" t="n">
        <v>7684.17</v>
      </c>
      <c r="I252" s="32" t="n">
        <v>783</v>
      </c>
      <c r="J252" s="32" t="n">
        <v>1.15</v>
      </c>
      <c r="K252" s="32" t="n">
        <v>40607</v>
      </c>
      <c r="L252" s="31" t="n">
        <v>18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62.65</v>
      </c>
      <c r="P252" s="32" t="n">
        <v>29.01</v>
      </c>
      <c r="Q252" s="32" t="n">
        <v>630.2</v>
      </c>
      <c r="R252" s="31" t="inlineStr">
        <is>
          <t>Earnings / Momentum Support</t>
        </is>
      </c>
      <c r="S252" s="31" t="inlineStr">
        <is>
          <t>Nifty 50</t>
        </is>
      </c>
      <c r="T252" s="32" t="n">
        <v>-2.61</v>
      </c>
      <c r="U252" s="32" t="n">
        <v>-12.3</v>
      </c>
      <c r="V252" s="32" t="n">
        <v>-9.94</v>
      </c>
      <c r="W252" s="32" t="n">
        <v>3.4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IF(B253=0,"",RANK(B253,$B$2:$B$354,0))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JKPAPER</t>
        </is>
      </c>
      <c r="D253" s="33" t="inlineStr">
        <is>
          <t>Jk Paper Limited</t>
        </is>
      </c>
      <c r="E253" s="31" t="inlineStr">
        <is>
          <t>building materials</t>
        </is>
      </c>
      <c r="F253" s="31" t="inlineStr">
        <is>
          <t>paper</t>
        </is>
      </c>
      <c r="G253" s="31" t="inlineStr">
        <is>
          <t>midcap</t>
        </is>
      </c>
      <c r="H253" s="32" t="n">
        <v>6744.15</v>
      </c>
      <c r="I253" s="32" t="n">
        <v>375.95</v>
      </c>
      <c r="J253" s="32" t="n">
        <v>1.08</v>
      </c>
      <c r="K253" s="32" t="n">
        <v>218655</v>
      </c>
      <c r="L253" s="31" t="n">
        <v>9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56.78</v>
      </c>
      <c r="P253" s="32" t="n">
        <v>14.28</v>
      </c>
      <c r="Q253" s="32" t="n">
        <v>311.21</v>
      </c>
      <c r="R253" s="31" t="inlineStr">
        <is>
          <t>Volume Spike / Accumulation</t>
        </is>
      </c>
      <c r="S253" s="31" t="inlineStr">
        <is>
          <t>Nifty Infra</t>
        </is>
      </c>
      <c r="T253" s="32" t="n">
        <v>4.24</v>
      </c>
      <c r="U253" s="32" t="n">
        <v>2.07</v>
      </c>
      <c r="V253" s="32" t="n">
        <v>-2.07</v>
      </c>
      <c r="W253" s="32" t="n">
        <v>1.43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1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IF(B254=0,"",RANK(B254,$B$2:$B$354,0))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SHYAMMETL</t>
        </is>
      </c>
      <c r="D254" s="33" t="inlineStr">
        <is>
          <t>Shyam Metalics &amp; Energy Ltd</t>
        </is>
      </c>
      <c r="E254" s="31" t="inlineStr">
        <is>
          <t>metals &amp; mining</t>
        </is>
      </c>
      <c r="F254" s="31" t="inlineStr">
        <is>
          <t>steel - large</t>
        </is>
      </c>
      <c r="G254" s="31" t="inlineStr">
        <is>
          <t>largecap</t>
        </is>
      </c>
      <c r="H254" s="32" t="n">
        <v>29448.41</v>
      </c>
      <c r="I254" s="32" t="n">
        <v>1062.65</v>
      </c>
      <c r="J254" s="32" t="n">
        <v>0.73</v>
      </c>
      <c r="K254" s="32" t="n">
        <v>1032779</v>
      </c>
      <c r="L254" s="31" t="n">
        <v>44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68.64</v>
      </c>
      <c r="P254" s="32" t="n">
        <v>17.94</v>
      </c>
      <c r="Q254" s="32" t="n">
        <v>873.55</v>
      </c>
      <c r="R254" s="31" t="inlineStr">
        <is>
          <t>Near 52W High Breakout</t>
        </is>
      </c>
      <c r="S254" s="31" t="inlineStr">
        <is>
          <t>Nifty Metal</t>
        </is>
      </c>
      <c r="T254" s="32" t="n">
        <v>33.93</v>
      </c>
      <c r="U254" s="32" t="n">
        <v>10.12</v>
      </c>
      <c r="V254" s="32" t="n">
        <v>-17.78</v>
      </c>
      <c r="W254" s="32" t="n">
        <v>8.83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IF(B255=0,"",RANK(B255,$B$2:$B$354,0))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NAVINFLUOR</t>
        </is>
      </c>
      <c r="D255" s="31" t="inlineStr">
        <is>
          <t>Navin Fluorine International Limited</t>
        </is>
      </c>
      <c r="E255" s="31" t="inlineStr">
        <is>
          <t>chemicals</t>
        </is>
      </c>
      <c r="F255" s="31" t="inlineStr">
        <is>
          <t>chemicals</t>
        </is>
      </c>
      <c r="G255" s="31" t="inlineStr">
        <is>
          <t>largecap</t>
        </is>
      </c>
      <c r="H255" s="32" t="n">
        <v>40289.07</v>
      </c>
      <c r="I255" s="32" t="n">
        <v>7882</v>
      </c>
      <c r="J255" s="32" t="n">
        <v>0.26</v>
      </c>
      <c r="K255" s="32" t="n">
        <v>113475</v>
      </c>
      <c r="L255" s="31" t="n">
        <v>65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73.12</v>
      </c>
      <c r="P255" s="32" t="n">
        <v>51.96</v>
      </c>
      <c r="Q255" s="32" t="n">
        <v>6591.16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-2.61</v>
      </c>
      <c r="U255" s="32" t="n">
        <v>57.97</v>
      </c>
      <c r="V255" s="32" t="n">
        <v>62.21</v>
      </c>
      <c r="W255" s="32" t="n">
        <v>14.38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Oligopoly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Shallow Cyclical (2 to 3 Years Growth)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Between 50% to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IF(B256=0,"",RANK(B256,$B$2:$B$354,0))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GOODLUCK</t>
        </is>
      </c>
      <c r="D256" s="31" t="inlineStr">
        <is>
          <t>Goodluck India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midcap</t>
        </is>
      </c>
      <c r="H256" s="32" t="n">
        <v>5186.54</v>
      </c>
      <c r="I256" s="32" t="n">
        <v>1554.1</v>
      </c>
      <c r="J256" s="32" t="n">
        <v>-0.4</v>
      </c>
      <c r="K256" s="32" t="n">
        <v>117809</v>
      </c>
      <c r="L256" s="31" t="n">
        <v>71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65.14</v>
      </c>
      <c r="P256" s="32" t="n">
        <v>38.45</v>
      </c>
      <c r="Q256" s="32" t="n">
        <v>1194.96</v>
      </c>
      <c r="R256" s="31" t="inlineStr">
        <is>
          <t>Near 52W High Breakout</t>
        </is>
      </c>
      <c r="S256" s="31" t="inlineStr">
        <is>
          <t>Nifty Metal</t>
        </is>
      </c>
      <c r="T256" s="32" t="n">
        <v>33.93</v>
      </c>
      <c r="U256" s="32" t="n">
        <v>49.76</v>
      </c>
      <c r="V256" s="32" t="n">
        <v>11.81</v>
      </c>
      <c r="W256" s="32" t="n">
        <v>15.99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IF(B257=0,"",RANK(B257,$B$2:$B$354,0))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GANDHAR</t>
        </is>
      </c>
      <c r="D257" s="31" t="inlineStr">
        <is>
          <t>Gandhar Oil Refinery (India) Ltd</t>
        </is>
      </c>
      <c r="E257" s="31" t="inlineStr">
        <is>
          <t>energy</t>
        </is>
      </c>
      <c r="F257" s="31" t="inlineStr">
        <is>
          <t>refineries</t>
        </is>
      </c>
      <c r="G257" s="31" t="inlineStr">
        <is>
          <t>smallcap</t>
        </is>
      </c>
      <c r="H257" s="32" t="n">
        <v>2234.79</v>
      </c>
      <c r="I257" s="32" t="n">
        <v>227.17</v>
      </c>
      <c r="J257" s="32" t="n">
        <v>-0.5</v>
      </c>
      <c r="K257" s="32" t="n">
        <v>2847526</v>
      </c>
      <c r="L257" s="31" t="n">
        <v>84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77.03</v>
      </c>
      <c r="P257" s="32" t="n">
        <v>47.52</v>
      </c>
      <c r="Q257" s="32" t="n">
        <v>175.84</v>
      </c>
      <c r="R257" s="31" t="inlineStr">
        <is>
          <t>Near 52W High Breakout</t>
        </is>
      </c>
      <c r="S257" s="31" t="inlineStr">
        <is>
          <t>Nifty Energy</t>
        </is>
      </c>
      <c r="T257" s="32" t="n">
        <v>12.3</v>
      </c>
      <c r="U257" s="32" t="n">
        <v>36.77</v>
      </c>
      <c r="V257" s="32" t="n">
        <v>21.79</v>
      </c>
      <c r="W257" s="32" t="n">
        <v>23.37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Oligopoly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Between 50% to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IF(B258=0,"",RANK(B258,$B$2:$B$354,0))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RICOAUTO</t>
        </is>
      </c>
      <c r="D258" s="31" t="inlineStr">
        <is>
          <t>Rico Auto Industries Limited</t>
        </is>
      </c>
      <c r="E258" s="31" t="inlineStr">
        <is>
          <t>auto</t>
        </is>
      </c>
      <c r="F258" s="31" t="inlineStr">
        <is>
          <t>auto ancillaries</t>
        </is>
      </c>
      <c r="G258" s="31" t="inlineStr">
        <is>
          <t>smallcap</t>
        </is>
      </c>
      <c r="H258" s="32" t="n">
        <v>1871.8</v>
      </c>
      <c r="I258" s="32" t="n">
        <v>137.58</v>
      </c>
      <c r="J258" s="32" t="n">
        <v>-0.5600000000000001</v>
      </c>
      <c r="K258" s="32" t="n">
        <v>2521139</v>
      </c>
      <c r="L258" s="31" t="n">
        <v>78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57.67</v>
      </c>
      <c r="P258" s="32" t="n">
        <v>30.94</v>
      </c>
      <c r="Q258" s="32" t="n">
        <v>102.82</v>
      </c>
      <c r="R258" s="31" t="inlineStr">
        <is>
          <t>Earnings / Momentum Support</t>
        </is>
      </c>
      <c r="S258" s="31" t="inlineStr">
        <is>
          <t>Nifty Auto</t>
        </is>
      </c>
      <c r="T258" s="32" t="n">
        <v>14.71</v>
      </c>
      <c r="U258" s="32" t="n">
        <v>94.54000000000001</v>
      </c>
      <c r="V258" s="32" t="n">
        <v>69.59</v>
      </c>
      <c r="W258" s="32" t="n">
        <v>19.28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IF(B259=0,"",RANK(B259,$B$2:$B$354,0))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NHPC</t>
        </is>
      </c>
      <c r="D259" s="31" t="inlineStr">
        <is>
          <t>Nhpc Limited</t>
        </is>
      </c>
      <c r="E259" s="31" t="inlineStr">
        <is>
          <t>power &amp; utilities</t>
        </is>
      </c>
      <c r="F259" s="31" t="inlineStr">
        <is>
          <t>power generation and supply</t>
        </is>
      </c>
      <c r="G259" s="31" t="inlineStr">
        <is>
          <t>largecap</t>
        </is>
      </c>
      <c r="H259" s="32" t="n">
        <v>81364.78</v>
      </c>
      <c r="I259" s="32" t="n">
        <v>80.31</v>
      </c>
      <c r="J259" s="32" t="n">
        <v>-0.85</v>
      </c>
      <c r="K259" s="32" t="n">
        <v>58291294</v>
      </c>
      <c r="L259" s="31" t="n">
        <v>5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53.7</v>
      </c>
      <c r="P259" s="32" t="n">
        <v>12.59</v>
      </c>
      <c r="Q259" s="32" t="n">
        <v>70.51000000000001</v>
      </c>
      <c r="R259" s="31" t="inlineStr">
        <is>
          <t>Earnings / Momentum Support</t>
        </is>
      </c>
      <c r="S259" s="31" t="inlineStr">
        <is>
          <t>Nifty IT</t>
        </is>
      </c>
      <c r="T259" s="32" t="n">
        <v>-18.64</v>
      </c>
      <c r="U259" s="32" t="n">
        <v>-1.4</v>
      </c>
      <c r="V259" s="32" t="n">
        <v>21.19</v>
      </c>
      <c r="W259" s="32" t="n">
        <v>-0.14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Between 50% to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IF(B260=0,"",RANK(B260,$B$2:$B$354,0))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EPL</t>
        </is>
      </c>
      <c r="D260" s="31" t="inlineStr">
        <is>
          <t>EPL Ltd</t>
        </is>
      </c>
      <c r="E260" s="31" t="inlineStr">
        <is>
          <t>industrials</t>
        </is>
      </c>
      <c r="F260" s="31" t="inlineStr">
        <is>
          <t>packaging</t>
        </is>
      </c>
      <c r="G260" s="31" t="inlineStr">
        <is>
          <t>midcap</t>
        </is>
      </c>
      <c r="H260" s="32" t="n">
        <v>7677.94</v>
      </c>
      <c r="I260" s="32" t="n">
        <v>237.45</v>
      </c>
      <c r="J260" s="32" t="n">
        <v>-0.96</v>
      </c>
      <c r="K260" s="32" t="n">
        <v>720232</v>
      </c>
      <c r="L260" s="31" t="n">
        <v>16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59.39</v>
      </c>
      <c r="P260" s="32" t="n">
        <v>9.94</v>
      </c>
      <c r="Q260" s="32" t="n">
        <v>193.85</v>
      </c>
      <c r="R260" s="31" t="inlineStr">
        <is>
          <t>Near 52W High Breakout</t>
        </is>
      </c>
      <c r="S260" s="31" t="inlineStr">
        <is>
          <t>Nifty 50</t>
        </is>
      </c>
      <c r="T260" s="32" t="n">
        <v>-2.61</v>
      </c>
      <c r="U260" s="32" t="n">
        <v>7.47</v>
      </c>
      <c r="V260" s="32" t="n">
        <v>10.36</v>
      </c>
      <c r="W260" s="32" t="n">
        <v>2.68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IF(B261=0,"",RANK(B261,$B$2:$B$354,0))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OAL</t>
        </is>
      </c>
      <c r="D261" s="33" t="inlineStr">
        <is>
          <t>Oriental Aromatics Ltd</t>
        </is>
      </c>
      <c r="E261" s="31" t="inlineStr">
        <is>
          <t>chemicals</t>
        </is>
      </c>
      <c r="F261" s="31" t="inlineStr">
        <is>
          <t>chemicals</t>
        </is>
      </c>
      <c r="G261" s="31" t="inlineStr">
        <is>
          <t>smallcap</t>
        </is>
      </c>
      <c r="H261" s="32" t="n">
        <v>1180.74</v>
      </c>
      <c r="I261" s="32" t="n">
        <v>346.6</v>
      </c>
      <c r="J261" s="32" t="n">
        <v>-1.21</v>
      </c>
      <c r="K261" s="32" t="n">
        <v>15181</v>
      </c>
      <c r="L261" s="31" t="n">
        <v>13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59.08</v>
      </c>
      <c r="P261" s="32" t="n">
        <v>24.05</v>
      </c>
      <c r="Q261" s="32" t="n">
        <v>264.4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-2.61</v>
      </c>
      <c r="U261" s="32" t="n">
        <v>-8.630000000000001</v>
      </c>
      <c r="V261" s="32" t="n">
        <v>-6.17</v>
      </c>
      <c r="W261" s="32" t="n">
        <v>2.11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Less than 50%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IF(B262=0,"",RANK(B262,$B$2:$B$354,0))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RPTECH</t>
        </is>
      </c>
      <c r="D262" s="31" t="inlineStr">
        <is>
          <t>Rashi Peripherals Ltd</t>
        </is>
      </c>
      <c r="E262" s="31" t="inlineStr">
        <is>
          <t>services</t>
        </is>
      </c>
      <c r="F262" s="31" t="inlineStr">
        <is>
          <t>trading</t>
        </is>
      </c>
      <c r="G262" s="31" t="inlineStr">
        <is>
          <t>smallcap</t>
        </is>
      </c>
      <c r="H262" s="32" t="n">
        <v>4986.63</v>
      </c>
      <c r="I262" s="32" t="n">
        <v>744.4</v>
      </c>
      <c r="J262" s="32" t="n">
        <v>-1.63</v>
      </c>
      <c r="K262" s="32" t="n">
        <v>201091</v>
      </c>
      <c r="L262" s="31" t="n">
        <v>94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76.01000000000001</v>
      </c>
      <c r="P262" s="32" t="n">
        <v>73.65000000000001</v>
      </c>
      <c r="Q262" s="32" t="n">
        <v>604.09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-2.61</v>
      </c>
      <c r="U262" s="32" t="n">
        <v>153.59</v>
      </c>
      <c r="V262" s="32" t="n">
        <v>160.39</v>
      </c>
      <c r="W262" s="32" t="n">
        <v>34.84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Above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Less than 50%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IF(B263=0,"",RANK(B263,$B$2:$B$354,0))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PPLPHARMA</t>
        </is>
      </c>
      <c r="D263" s="33" t="inlineStr">
        <is>
          <t>Piramal Pharma Ltd</t>
        </is>
      </c>
      <c r="E263" s="31" t="inlineStr">
        <is>
          <t>healthcare</t>
        </is>
      </c>
      <c r="F263" s="31" t="inlineStr">
        <is>
          <t>pharmaceuticals - indian - bulk drugs &amp; formln</t>
        </is>
      </c>
      <c r="G263" s="31" t="inlineStr">
        <is>
          <t>largecap</t>
        </is>
      </c>
      <c r="H263" s="32" t="n">
        <v>23813.82</v>
      </c>
      <c r="I263" s="32" t="n">
        <v>184.81</v>
      </c>
      <c r="J263" s="32" t="n">
        <v>3.32</v>
      </c>
      <c r="K263" s="32" t="n">
        <v>9895524</v>
      </c>
      <c r="L263" s="31" t="n">
        <v>10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60.64</v>
      </c>
      <c r="P263" s="32" t="n">
        <v>17.61</v>
      </c>
      <c r="Q263" s="32" t="n">
        <v>144.12</v>
      </c>
      <c r="R263" s="31" t="inlineStr">
        <is>
          <t>Earnings / Momentum Support</t>
        </is>
      </c>
      <c r="S263" s="31" t="inlineStr">
        <is>
          <t>Nifty Pharma</t>
        </is>
      </c>
      <c r="T263" s="32" t="n">
        <v>15.14</v>
      </c>
      <c r="U263" s="32" t="n">
        <v>-8.609999999999999</v>
      </c>
      <c r="V263" s="32" t="n">
        <v>-20.63</v>
      </c>
      <c r="W263" s="32" t="n">
        <v>1.51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IF(B264=0,"",RANK(B264,$B$2:$B$354,0))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APCOTEXIND</t>
        </is>
      </c>
      <c r="D264" s="31" t="inlineStr">
        <is>
          <t>Apcotex Industries Limited</t>
        </is>
      </c>
      <c r="E264" s="31" t="inlineStr">
        <is>
          <t>chemicals</t>
        </is>
      </c>
      <c r="F264" s="31" t="inlineStr">
        <is>
          <t>miscellaneous</t>
        </is>
      </c>
      <c r="G264" s="31" t="inlineStr">
        <is>
          <t>smallcap</t>
        </is>
      </c>
      <c r="H264" s="32" t="n">
        <v>2862.36</v>
      </c>
      <c r="I264" s="32" t="n">
        <v>558.3</v>
      </c>
      <c r="J264" s="32" t="n">
        <v>1.12</v>
      </c>
      <c r="K264" s="32" t="n">
        <v>156325</v>
      </c>
      <c r="L264" s="31" t="n">
        <v>75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68.41</v>
      </c>
      <c r="P264" s="32" t="n">
        <v>53.92</v>
      </c>
      <c r="Q264" s="32" t="n">
        <v>425.29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-2.61</v>
      </c>
      <c r="U264" s="32" t="n">
        <v>43.54</v>
      </c>
      <c r="V264" s="32" t="n">
        <v>47.39</v>
      </c>
      <c r="W264" s="32" t="n">
        <v>17.57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Fully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Above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Sideways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Overhead supply in last 2 years in last 2 years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IF(B265=0,"",RANK(B265,$B$2:$B$354,0))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MEDANTA</t>
        </is>
      </c>
      <c r="D265" s="33" t="inlineStr">
        <is>
          <t>Global Health Ltd</t>
        </is>
      </c>
      <c r="E265" s="31" t="inlineStr">
        <is>
          <t>healthcare</t>
        </is>
      </c>
      <c r="F265" s="31" t="inlineStr">
        <is>
          <t>healthcare</t>
        </is>
      </c>
      <c r="G265" s="31" t="inlineStr">
        <is>
          <t>largecap</t>
        </is>
      </c>
      <c r="H265" s="32" t="n">
        <v>35786.75</v>
      </c>
      <c r="I265" s="32" t="n">
        <v>1342</v>
      </c>
      <c r="J265" s="32" t="n">
        <v>0.8</v>
      </c>
      <c r="K265" s="32" t="n">
        <v>163789</v>
      </c>
      <c r="L265" s="31" t="n">
        <v>29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64.28</v>
      </c>
      <c r="P265" s="32" t="n">
        <v>13.73</v>
      </c>
      <c r="Q265" s="32" t="n">
        <v>1135.32</v>
      </c>
      <c r="R265" s="31" t="inlineStr">
        <is>
          <t>Earnings / Momentum Support</t>
        </is>
      </c>
      <c r="S265" s="31" t="inlineStr">
        <is>
          <t>Nifty Pharma</t>
        </is>
      </c>
      <c r="T265" s="32" t="n">
        <v>15.14</v>
      </c>
      <c r="U265" s="32" t="n">
        <v>1.51</v>
      </c>
      <c r="V265" s="32" t="n">
        <v>-11.83</v>
      </c>
      <c r="W265" s="32" t="n">
        <v>5.7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IF(B266=0,"",RANK(B266,$B$2:$B$354,0))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RPGLIFE</t>
        </is>
      </c>
      <c r="D266" s="31" t="inlineStr">
        <is>
          <t>Rpg Life Sciences Limited</t>
        </is>
      </c>
      <c r="E266" s="31" t="inlineStr">
        <is>
          <t>healthcare</t>
        </is>
      </c>
      <c r="F266" s="31" t="inlineStr">
        <is>
          <t>pharmaceuticals - indian - bulk drugs &amp; formln</t>
        </is>
      </c>
      <c r="G266" s="31" t="inlineStr">
        <is>
          <t>smallcap</t>
        </is>
      </c>
      <c r="H266" s="32" t="n">
        <v>4989.99</v>
      </c>
      <c r="I266" s="32" t="n">
        <v>2997.9</v>
      </c>
      <c r="J266" s="32" t="n">
        <v>-0.64</v>
      </c>
      <c r="K266" s="32" t="n">
        <v>35293</v>
      </c>
      <c r="L266" s="31" t="n">
        <v>70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77.67</v>
      </c>
      <c r="P266" s="32" t="n">
        <v>26.72</v>
      </c>
      <c r="Q266" s="32" t="n">
        <v>2393.27</v>
      </c>
      <c r="R266" s="31" t="inlineStr">
        <is>
          <t>Near 52W High Breakout</t>
        </is>
      </c>
      <c r="S266" s="31" t="inlineStr">
        <is>
          <t>Nifty Pharma</t>
        </is>
      </c>
      <c r="T266" s="32" t="n">
        <v>15.14</v>
      </c>
      <c r="U266" s="32" t="n">
        <v>21.5</v>
      </c>
      <c r="V266" s="32" t="n">
        <v>5.53</v>
      </c>
      <c r="W266" s="32" t="n">
        <v>15.64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Less than 50%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IF(B267=0,"",RANK(B267,$B$2:$B$354,0))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SOUTHWEST</t>
        </is>
      </c>
      <c r="D267" s="31" t="inlineStr">
        <is>
          <t>South West Pinnacle Exploration Ltd</t>
        </is>
      </c>
      <c r="E267" s="31" t="inlineStr">
        <is>
          <t>metals &amp; mining</t>
        </is>
      </c>
      <c r="F267" s="31" t="inlineStr">
        <is>
          <t>mining / minerals / metals</t>
        </is>
      </c>
      <c r="G267" s="31" t="inlineStr">
        <is>
          <t>smallcap</t>
        </is>
      </c>
      <c r="H267" s="32" t="n">
        <v>703.6900000000001</v>
      </c>
      <c r="I267" s="32" t="n">
        <v>249.09</v>
      </c>
      <c r="J267" s="32" t="n">
        <v>5.59</v>
      </c>
      <c r="K267" s="32" t="n">
        <v>2213727</v>
      </c>
      <c r="L267" s="31" t="n">
        <v>67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59.15</v>
      </c>
      <c r="P267" s="32" t="n">
        <v>32.06</v>
      </c>
      <c r="Q267" s="32" t="n">
        <v>179.27</v>
      </c>
      <c r="R267" s="31" t="inlineStr">
        <is>
          <t>Earnings / Momentum Support</t>
        </is>
      </c>
      <c r="S267" s="31" t="inlineStr">
        <is>
          <t>Nifty Metal</t>
        </is>
      </c>
      <c r="T267" s="32" t="n">
        <v>33.93</v>
      </c>
      <c r="U267" s="32" t="n">
        <v>75.27</v>
      </c>
      <c r="V267" s="32" t="n">
        <v>30.86</v>
      </c>
      <c r="W267" s="32" t="n">
        <v>14.97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IF(B268=0,"",RANK(B268,$B$2:$B$354,0))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ASAL</t>
        </is>
      </c>
      <c r="D268" s="33" t="inlineStr">
        <is>
          <t>Automotive Stampings And Assemblies Limited</t>
        </is>
      </c>
      <c r="E268" s="31" t="inlineStr">
        <is>
          <t>auto</t>
        </is>
      </c>
      <c r="F268" s="31" t="inlineStr">
        <is>
          <t>auto ancillaries</t>
        </is>
      </c>
      <c r="G268" s="31" t="inlineStr">
        <is>
          <t>smallcap</t>
        </is>
      </c>
      <c r="H268" s="32" t="n">
        <v>846.6799999999999</v>
      </c>
      <c r="I268" s="32" t="n">
        <v>551.55</v>
      </c>
      <c r="J268" s="32" t="n">
        <v>3.34</v>
      </c>
      <c r="K268" s="32" t="n">
        <v>76195</v>
      </c>
      <c r="L268" s="31" t="n">
        <v>22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62.03</v>
      </c>
      <c r="P268" s="32" t="n">
        <v>20.03</v>
      </c>
      <c r="Q268" s="32" t="n">
        <v>423.93</v>
      </c>
      <c r="R268" s="31" t="inlineStr">
        <is>
          <t>Earnings / Momentum Support</t>
        </is>
      </c>
      <c r="S268" s="31" t="inlineStr">
        <is>
          <t>Nifty Auto</t>
        </is>
      </c>
      <c r="T268" s="32" t="n">
        <v>14.71</v>
      </c>
      <c r="U268" s="32" t="n">
        <v>0.07000000000000001</v>
      </c>
      <c r="V268" s="32" t="n">
        <v>-12.76</v>
      </c>
      <c r="W268" s="32" t="n">
        <v>4.22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IF(B269=0,"",RANK(B269,$B$2:$B$354,0))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HAL</t>
        </is>
      </c>
      <c r="D269" s="31" t="inlineStr">
        <is>
          <t>Hindustan Aeronautics Ltd</t>
        </is>
      </c>
      <c r="E269" s="31" t="inlineStr">
        <is>
          <t>aerospace &amp; defence</t>
        </is>
      </c>
      <c r="F269" s="31" t="inlineStr">
        <is>
          <t>engineering</t>
        </is>
      </c>
      <c r="G269" s="31" t="inlineStr">
        <is>
          <t>largecap</t>
        </is>
      </c>
      <c r="H269" s="32" t="n">
        <v>300346.85</v>
      </c>
      <c r="I269" s="32" t="n">
        <v>4581.7</v>
      </c>
      <c r="J269" s="32" t="n">
        <v>2.02</v>
      </c>
      <c r="K269" s="32" t="n">
        <v>697566</v>
      </c>
      <c r="L269" s="31" t="n">
        <v>12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57.63</v>
      </c>
      <c r="P269" s="32" t="n">
        <v>18.35</v>
      </c>
      <c r="Q269" s="32" t="n">
        <v>4065.13</v>
      </c>
      <c r="R269" s="31" t="inlineStr">
        <is>
          <t>Earnings / Momentum Support</t>
        </is>
      </c>
      <c r="S269" s="31" t="inlineStr">
        <is>
          <t>Nifty 500</t>
        </is>
      </c>
      <c r="T269" s="32" t="n">
        <v>1.47</v>
      </c>
      <c r="U269" s="32" t="n">
        <v>1.81</v>
      </c>
      <c r="V269" s="32" t="n">
        <v>0.34</v>
      </c>
      <c r="W269" s="32" t="n">
        <v>2.05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IF(B270=0,"",RANK(B270,$B$2:$B$354,0))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GODREJIND</t>
        </is>
      </c>
      <c r="D270" s="31" t="inlineStr">
        <is>
          <t>Godrej Industries Limited</t>
        </is>
      </c>
      <c r="E270" s="31" t="inlineStr">
        <is>
          <t>chemicals</t>
        </is>
      </c>
      <c r="F270" s="31" t="inlineStr">
        <is>
          <t>chemicals</t>
        </is>
      </c>
      <c r="G270" s="31" t="inlineStr">
        <is>
          <t>largecap</t>
        </is>
      </c>
      <c r="H270" s="32" t="n">
        <v>45967.12</v>
      </c>
      <c r="I270" s="32" t="n">
        <v>1380.5</v>
      </c>
      <c r="J270" s="32" t="n">
        <v>1.15</v>
      </c>
      <c r="K270" s="32" t="n">
        <v>131626</v>
      </c>
      <c r="L270" s="31" t="n">
        <v>62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66.52</v>
      </c>
      <c r="P270" s="32" t="n">
        <v>35.7</v>
      </c>
      <c r="Q270" s="32" t="n">
        <v>1100.75</v>
      </c>
      <c r="R270" s="31" t="inlineStr">
        <is>
          <t>Near 52W High Breakout</t>
        </is>
      </c>
      <c r="S270" s="31" t="inlineStr">
        <is>
          <t>Nifty 500</t>
        </is>
      </c>
      <c r="T270" s="32" t="n">
        <v>1.47</v>
      </c>
      <c r="U270" s="32" t="n">
        <v>21.54</v>
      </c>
      <c r="V270" s="32" t="n">
        <v>19.79</v>
      </c>
      <c r="W270" s="32" t="n">
        <v>13.15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IF(B271=0,"",RANK(B271,$B$2:$B$354,0))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TITAN</t>
        </is>
      </c>
      <c r="D271" s="31" t="inlineStr">
        <is>
          <t>Titan Company Limited</t>
        </is>
      </c>
      <c r="E271" s="31" t="inlineStr">
        <is>
          <t>consumer discretionary</t>
        </is>
      </c>
      <c r="F271" s="31" t="inlineStr">
        <is>
          <t>diamond cutting / jewellery</t>
        </is>
      </c>
      <c r="G271" s="31" t="inlineStr">
        <is>
          <t>largecap</t>
        </is>
      </c>
      <c r="H271" s="32" t="n">
        <v>412234.63</v>
      </c>
      <c r="I271" s="32" t="n">
        <v>4688.7</v>
      </c>
      <c r="J271" s="32" t="n">
        <v>0.98</v>
      </c>
      <c r="K271" s="32" t="n">
        <v>530109</v>
      </c>
      <c r="L271" s="31" t="n">
        <v>38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64.22</v>
      </c>
      <c r="P271" s="32" t="n">
        <v>17.22</v>
      </c>
      <c r="Q271" s="32" t="n">
        <v>4053.46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-2.61</v>
      </c>
      <c r="U271" s="32" t="n">
        <v>35.85</v>
      </c>
      <c r="V271" s="32" t="n">
        <v>39.49</v>
      </c>
      <c r="W271" s="32" t="n">
        <v>7.71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IF(B272=0,"",RANK(B272,$B$2:$B$354,0))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INDHOTEL</t>
        </is>
      </c>
      <c r="D272" s="31" t="inlineStr">
        <is>
          <t>The Indian Hotels Company Limited</t>
        </is>
      </c>
      <c r="E272" s="31" t="inlineStr">
        <is>
          <t>services</t>
        </is>
      </c>
      <c r="F272" s="31" t="inlineStr">
        <is>
          <t>hotels</t>
        </is>
      </c>
      <c r="G272" s="31" t="inlineStr">
        <is>
          <t>largecap</t>
        </is>
      </c>
      <c r="H272" s="32" t="n">
        <v>103205.95</v>
      </c>
      <c r="I272" s="32" t="n">
        <v>731.6</v>
      </c>
      <c r="J272" s="32" t="n">
        <v>0.9</v>
      </c>
      <c r="K272" s="32" t="n">
        <v>2703107</v>
      </c>
      <c r="L272" s="31" t="n">
        <v>18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59.55</v>
      </c>
      <c r="P272" s="32" t="n">
        <v>12.03</v>
      </c>
      <c r="Q272" s="32" t="n">
        <v>643.41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-2.61</v>
      </c>
      <c r="U272" s="32" t="n">
        <v>-1.51</v>
      </c>
      <c r="V272" s="32" t="n">
        <v>1.13</v>
      </c>
      <c r="W272" s="32" t="n">
        <v>3.22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Between 12 to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IF(B273=0,"",RANK(B273,$B$2:$B$354,0))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JSWSTEEL</t>
        </is>
      </c>
      <c r="D273" s="33" t="inlineStr">
        <is>
          <t>Jsw Steel Limited</t>
        </is>
      </c>
      <c r="E273" s="31" t="inlineStr">
        <is>
          <t>metals &amp; mining</t>
        </is>
      </c>
      <c r="F273" s="31" t="inlineStr">
        <is>
          <t>steel - large</t>
        </is>
      </c>
      <c r="G273" s="31" t="inlineStr">
        <is>
          <t>largecap</t>
        </is>
      </c>
      <c r="H273" s="32" t="n">
        <v>307393.56</v>
      </c>
      <c r="I273" s="32" t="n">
        <v>1267.4</v>
      </c>
      <c r="J273" s="32" t="n">
        <v>0.83</v>
      </c>
      <c r="K273" s="32" t="n">
        <v>1941639</v>
      </c>
      <c r="L273" s="31" t="n">
        <v>25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57.76</v>
      </c>
      <c r="P273" s="32" t="n">
        <v>28.94</v>
      </c>
      <c r="Q273" s="32" t="n">
        <v>1126.85</v>
      </c>
      <c r="R273" s="31" t="inlineStr">
        <is>
          <t>Near 52W High Breakout</t>
        </is>
      </c>
      <c r="S273" s="31" t="inlineStr">
        <is>
          <t>Nifty Metal</t>
        </is>
      </c>
      <c r="T273" s="32" t="n">
        <v>33.93</v>
      </c>
      <c r="U273" s="32" t="n">
        <v>24.13</v>
      </c>
      <c r="V273" s="32" t="n">
        <v>-7.32</v>
      </c>
      <c r="W273" s="32" t="n">
        <v>4.8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IF(B274=0,"",RANK(B274,$B$2:$B$354,0))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TEXINFRA</t>
        </is>
      </c>
      <c r="D274" s="31" t="inlineStr">
        <is>
          <t>Texmaco Infrastructure &amp; Holdings Limited</t>
        </is>
      </c>
      <c r="E274" s="31" t="inlineStr">
        <is>
          <t>realty</t>
        </is>
      </c>
      <c r="F274" s="31" t="inlineStr">
        <is>
          <t>construction</t>
        </is>
      </c>
      <c r="G274" s="31" t="inlineStr">
        <is>
          <t>smallcap</t>
        </is>
      </c>
      <c r="H274" s="32" t="n">
        <v>1452.79</v>
      </c>
      <c r="I274" s="32" t="n">
        <v>114.19</v>
      </c>
      <c r="J274" s="32" t="n">
        <v>0.16</v>
      </c>
      <c r="K274" s="32" t="n">
        <v>81338</v>
      </c>
      <c r="L274" s="31" t="n">
        <v>35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66.98</v>
      </c>
      <c r="P274" s="32" t="n">
        <v>31.38</v>
      </c>
      <c r="Q274" s="32" t="n">
        <v>94.5</v>
      </c>
      <c r="R274" s="31" t="inlineStr">
        <is>
          <t>Near 52W High Breakout</t>
        </is>
      </c>
      <c r="S274" s="31" t="inlineStr">
        <is>
          <t>Nifty Realty</t>
        </is>
      </c>
      <c r="T274" s="32" t="n">
        <v>-2.45</v>
      </c>
      <c r="U274" s="32" t="n">
        <v>15.96</v>
      </c>
      <c r="V274" s="32" t="n">
        <v>18.86</v>
      </c>
      <c r="W274" s="32" t="n">
        <v>7.02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IF(B275=0,"",RANK(B275,$B$2:$B$354,0))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SUMICHEM</t>
        </is>
      </c>
      <c r="D275" s="33" t="inlineStr">
        <is>
          <t>Sumitomo Chemical India Ltd</t>
        </is>
      </c>
      <c r="E275" s="31" t="inlineStr">
        <is>
          <t>chemicals</t>
        </is>
      </c>
      <c r="F275" s="31" t="inlineStr">
        <is>
          <t>pesticides / agrochemicals - indian</t>
        </is>
      </c>
      <c r="G275" s="31" t="inlineStr">
        <is>
          <t>largecap</t>
        </is>
      </c>
      <c r="H275" s="32" t="n">
        <v>26986.31</v>
      </c>
      <c r="I275" s="32" t="n">
        <v>540.5</v>
      </c>
      <c r="J275" s="32" t="n">
        <v>-0.03</v>
      </c>
      <c r="K275" s="32" t="n">
        <v>732171</v>
      </c>
      <c r="L275" s="31" t="n">
        <v>23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64.15000000000001</v>
      </c>
      <c r="P275" s="32" t="n">
        <v>28.77</v>
      </c>
      <c r="Q275" s="32" t="n">
        <v>425.44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-2.61</v>
      </c>
      <c r="U275" s="32" t="n">
        <v>-7.39</v>
      </c>
      <c r="V275" s="32" t="n">
        <v>-4.9</v>
      </c>
      <c r="W275" s="32" t="n">
        <v>4.49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Between 50% to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IF(B276=0,"",RANK(B276,$B$2:$B$354,0))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RGL</t>
        </is>
      </c>
      <c r="D276" s="31" t="inlineStr">
        <is>
          <t>Renaissance Global Ltd</t>
        </is>
      </c>
      <c r="E276" s="31" t="inlineStr">
        <is>
          <t>consumer discretionary</t>
        </is>
      </c>
      <c r="F276" s="31" t="inlineStr">
        <is>
          <t>diamond cutting / jewellery</t>
        </is>
      </c>
      <c r="G276" s="31" t="inlineStr">
        <is>
          <t>smallcap</t>
        </is>
      </c>
      <c r="H276" s="32" t="n">
        <v>1285.97</v>
      </c>
      <c r="I276" s="32" t="n">
        <v>119.75</v>
      </c>
      <c r="J276" s="32" t="n">
        <v>-0.06</v>
      </c>
      <c r="K276" s="32" t="n">
        <v>129447</v>
      </c>
      <c r="L276" s="31" t="n">
        <v>29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56.1</v>
      </c>
      <c r="P276" s="32" t="n">
        <v>11.58</v>
      </c>
      <c r="Q276" s="32" t="n">
        <v>91.04000000000001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-2.61</v>
      </c>
      <c r="U276" s="32" t="n">
        <v>5.3</v>
      </c>
      <c r="V276" s="32" t="n">
        <v>8.130000000000001</v>
      </c>
      <c r="W276" s="32" t="n">
        <v>5.7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Between 1.5 to 2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IF(B277=0,"",RANK(B277,$B$2:$B$354,0))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NEOGEN</t>
        </is>
      </c>
      <c r="D277" s="31" t="inlineStr">
        <is>
          <t>Neogen Chemicals Ltd</t>
        </is>
      </c>
      <c r="E277" s="31" t="inlineStr">
        <is>
          <t>chemicals</t>
        </is>
      </c>
      <c r="F277" s="31" t="inlineStr">
        <is>
          <t>chemicals</t>
        </is>
      </c>
      <c r="G277" s="31" t="inlineStr">
        <is>
          <t>midcap</t>
        </is>
      </c>
      <c r="H277" s="32" t="n">
        <v>5976.32</v>
      </c>
      <c r="I277" s="32" t="n">
        <v>2173.9</v>
      </c>
      <c r="J277" s="32" t="n">
        <v>-0.4</v>
      </c>
      <c r="K277" s="32" t="n">
        <v>81260</v>
      </c>
      <c r="L277" s="31" t="n">
        <v>70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69.73999999999999</v>
      </c>
      <c r="P277" s="32" t="n">
        <v>49.53</v>
      </c>
      <c r="Q277" s="32" t="n">
        <v>1634.49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-2.61</v>
      </c>
      <c r="U277" s="32" t="n">
        <v>37.23</v>
      </c>
      <c r="V277" s="32" t="n">
        <v>40.91</v>
      </c>
      <c r="W277" s="32" t="n">
        <v>15.76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Above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Negative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IF(B278=0,"",RANK(B278,$B$2:$B$354,0))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MAHLIFE</t>
        </is>
      </c>
      <c r="D278" s="31" t="inlineStr">
        <is>
          <t>Mahindra Lifespace Developers Limited</t>
        </is>
      </c>
      <c r="E278" s="31" t="inlineStr">
        <is>
          <t>realty</t>
        </is>
      </c>
      <c r="F278" s="31" t="inlineStr">
        <is>
          <t>construction</t>
        </is>
      </c>
      <c r="G278" s="31" t="inlineStr">
        <is>
          <t>midcap</t>
        </is>
      </c>
      <c r="H278" s="32" t="n">
        <v>7961.95</v>
      </c>
      <c r="I278" s="32" t="n">
        <v>370</v>
      </c>
      <c r="J278" s="32" t="n">
        <v>-0.86</v>
      </c>
      <c r="K278" s="32" t="n">
        <v>378707</v>
      </c>
      <c r="L278" s="31" t="n">
        <v>21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56.12</v>
      </c>
      <c r="P278" s="32" t="n">
        <v>10.54</v>
      </c>
      <c r="Q278" s="32" t="n">
        <v>311.78</v>
      </c>
      <c r="R278" s="31" t="inlineStr">
        <is>
          <t>Earnings / Momentum Support</t>
        </is>
      </c>
      <c r="S278" s="31" t="inlineStr">
        <is>
          <t>Nifty Realty</t>
        </is>
      </c>
      <c r="T278" s="32" t="n">
        <v>-2.45</v>
      </c>
      <c r="U278" s="32" t="n">
        <v>0.73</v>
      </c>
      <c r="V278" s="32" t="n">
        <v>3.26</v>
      </c>
      <c r="W278" s="32" t="n">
        <v>4.05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IF(B279=0,"",RANK(B279,$B$2:$B$354,0))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VSSL</t>
        </is>
      </c>
      <c r="D279" s="33" t="inlineStr">
        <is>
          <t>Vardhman Special Steels Limited</t>
        </is>
      </c>
      <c r="E279" s="31" t="inlineStr">
        <is>
          <t>metals &amp; mining</t>
        </is>
      </c>
      <c r="F279" s="31" t="inlineStr">
        <is>
          <t>steel - medium / small</t>
        </is>
      </c>
      <c r="G279" s="31" t="inlineStr">
        <is>
          <t>smallcap</t>
        </is>
      </c>
      <c r="H279" s="32" t="n">
        <v>2985.65</v>
      </c>
      <c r="I279" s="32" t="n">
        <v>303.35</v>
      </c>
      <c r="J279" s="32" t="n">
        <v>-1.76</v>
      </c>
      <c r="K279" s="32" t="n">
        <v>276688</v>
      </c>
      <c r="L279" s="31" t="n">
        <v>37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65.19</v>
      </c>
      <c r="P279" s="32" t="n">
        <v>18.74</v>
      </c>
      <c r="Q279" s="32" t="n">
        <v>242.37</v>
      </c>
      <c r="R279" s="31" t="inlineStr">
        <is>
          <t>Near 52W High Breakout</t>
        </is>
      </c>
      <c r="S279" s="31" t="inlineStr">
        <is>
          <t>Nifty Metal</t>
        </is>
      </c>
      <c r="T279" s="32" t="n">
        <v>33.93</v>
      </c>
      <c r="U279" s="32" t="n">
        <v>18.88</v>
      </c>
      <c r="V279" s="32" t="n">
        <v>-11.24</v>
      </c>
      <c r="W279" s="32" t="n">
        <v>7.42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IF(B280=0,"",RANK(B280,$B$2:$B$354,0))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MIRZAINT</t>
        </is>
      </c>
      <c r="D280" s="31" t="inlineStr">
        <is>
          <t>Mirza International Limited</t>
        </is>
      </c>
      <c r="E280" s="31" t="inlineStr">
        <is>
          <t>consumer discretionary</t>
        </is>
      </c>
      <c r="F280" s="31" t="inlineStr">
        <is>
          <t>leather / leather products</t>
        </is>
      </c>
      <c r="G280" s="31" t="inlineStr">
        <is>
          <t>smallcap</t>
        </is>
      </c>
      <c r="H280" s="32" t="n">
        <v>526.83</v>
      </c>
      <c r="I280" s="32" t="n">
        <v>37.25</v>
      </c>
      <c r="J280" s="32" t="n">
        <v>-2.28</v>
      </c>
      <c r="K280" s="32" t="n">
        <v>234179</v>
      </c>
      <c r="L280" s="31" t="n">
        <v>23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56.14</v>
      </c>
      <c r="P280" s="32" t="n">
        <v>15.75</v>
      </c>
      <c r="Q280" s="32" t="n">
        <v>29.21</v>
      </c>
      <c r="R280" s="31" t="inlineStr">
        <is>
          <t>Earnings / Momentum Support</t>
        </is>
      </c>
      <c r="S280" s="31" t="inlineStr">
        <is>
          <t>Nifty 50</t>
        </is>
      </c>
      <c r="T280" s="32" t="n">
        <v>-2.61</v>
      </c>
      <c r="U280" s="32" t="n">
        <v>4.52</v>
      </c>
      <c r="V280" s="32" t="n">
        <v>7.32</v>
      </c>
      <c r="W280" s="32" t="n">
        <v>4.49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IF(B281=0,"",RANK(B281,$B$2:$B$354,0))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SPECIALITY</t>
        </is>
      </c>
      <c r="D281" s="31" t="inlineStr">
        <is>
          <t>Speciality Restaurants Limited</t>
        </is>
      </c>
      <c r="E281" s="31" t="inlineStr">
        <is>
          <t>services</t>
        </is>
      </c>
      <c r="F281" s="31" t="inlineStr">
        <is>
          <t>hotels</t>
        </is>
      </c>
      <c r="G281" s="31" t="inlineStr">
        <is>
          <t>smallcap</t>
        </is>
      </c>
      <c r="H281" s="32" t="n">
        <v>653.54</v>
      </c>
      <c r="I281" s="32" t="n">
        <v>131.58</v>
      </c>
      <c r="J281" s="32" t="n">
        <v>-2.89</v>
      </c>
      <c r="K281" s="32" t="n">
        <v>33350</v>
      </c>
      <c r="L281" s="31" t="n">
        <v>39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63.26</v>
      </c>
      <c r="P281" s="32" t="n">
        <v>19.69</v>
      </c>
      <c r="Q281" s="32" t="n">
        <v>95.13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-2.61</v>
      </c>
      <c r="U281" s="32" t="n">
        <v>-0.29</v>
      </c>
      <c r="V281" s="32" t="n">
        <v>2.38</v>
      </c>
      <c r="W281" s="32" t="n">
        <v>7.74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IF(B282=0,"",RANK(B282,$B$2:$B$354,0))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HCG</t>
        </is>
      </c>
      <c r="D282" s="31" t="inlineStr">
        <is>
          <t>Healthcare Global Enterprises Limited</t>
        </is>
      </c>
      <c r="E282" s="31" t="inlineStr">
        <is>
          <t>healthcare</t>
        </is>
      </c>
      <c r="F282" s="31" t="inlineStr">
        <is>
          <t>healthcare</t>
        </is>
      </c>
      <c r="G282" s="31" t="inlineStr">
        <is>
          <t>midcap</t>
        </is>
      </c>
      <c r="H282" s="32" t="n">
        <v>9759.889999999999</v>
      </c>
      <c r="I282" s="32" t="n">
        <v>661.25</v>
      </c>
      <c r="J282" s="32" t="n">
        <v>1.16</v>
      </c>
      <c r="K282" s="32" t="n">
        <v>497861</v>
      </c>
      <c r="L282" s="31" t="n">
        <v>39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59.5</v>
      </c>
      <c r="P282" s="32" t="n">
        <v>25.6</v>
      </c>
      <c r="Q282" s="32" t="n">
        <v>540.8</v>
      </c>
      <c r="R282" s="31" t="inlineStr">
        <is>
          <t>Volume Spike / Accumulation</t>
        </is>
      </c>
      <c r="S282" s="31" t="inlineStr">
        <is>
          <t>Nifty Pharma</t>
        </is>
      </c>
      <c r="T282" s="32" t="n">
        <v>15.14</v>
      </c>
      <c r="U282" s="32" t="n">
        <v>16.09</v>
      </c>
      <c r="V282" s="32" t="n">
        <v>0.83</v>
      </c>
      <c r="W282" s="32" t="n">
        <v>7.83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IF(B283=0,"",RANK(B283,$B$2:$B$354,0))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ALKEM</t>
        </is>
      </c>
      <c r="D283" s="33" t="inlineStr">
        <is>
          <t>Alkem Laboratories Limited</t>
        </is>
      </c>
      <c r="E283" s="31" t="inlineStr">
        <is>
          <t>healthcare</t>
        </is>
      </c>
      <c r="F283" s="31" t="inlineStr">
        <is>
          <t>pharmaceuticals - indian - bulk drugs &amp; formln</t>
        </is>
      </c>
      <c r="G283" s="31" t="inlineStr">
        <is>
          <t>largecap</t>
        </is>
      </c>
      <c r="H283" s="32" t="n">
        <v>67596.07000000001</v>
      </c>
      <c r="I283" s="32" t="n">
        <v>5689</v>
      </c>
      <c r="J283" s="32" t="n">
        <v>0.63</v>
      </c>
      <c r="K283" s="32" t="n">
        <v>27882</v>
      </c>
      <c r="L283" s="31" t="n">
        <v>24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56.71</v>
      </c>
      <c r="P283" s="32" t="n">
        <v>18.75</v>
      </c>
      <c r="Q283" s="32" t="n">
        <v>4897.68</v>
      </c>
      <c r="R283" s="31" t="inlineStr">
        <is>
          <t>Near 52W High Breakout</t>
        </is>
      </c>
      <c r="S283" s="31" t="inlineStr">
        <is>
          <t>Nifty Pharma</t>
        </is>
      </c>
      <c r="T283" s="32" t="n">
        <v>15.14</v>
      </c>
      <c r="U283" s="32" t="n">
        <v>14.46</v>
      </c>
      <c r="V283" s="32" t="n">
        <v>-0.59</v>
      </c>
      <c r="W283" s="32" t="n">
        <v>4.67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Between 50% to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IF(B284=0,"",RANK(B284,$B$2:$B$354,0))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AGARWALEYE</t>
        </is>
      </c>
      <c r="D284" s="33" t="inlineStr">
        <is>
          <t>Dr Agarwals Health Care Ltd</t>
        </is>
      </c>
      <c r="E284" s="31" t="inlineStr">
        <is>
          <t>healthcare</t>
        </is>
      </c>
      <c r="F284" s="31" t="inlineStr">
        <is>
          <t>healthcare</t>
        </is>
      </c>
      <c r="G284" s="31" t="inlineStr">
        <is>
          <t>midcap</t>
        </is>
      </c>
      <c r="H284" s="32" t="n">
        <v>15364.17</v>
      </c>
      <c r="I284" s="32" t="n">
        <v>486</v>
      </c>
      <c r="J284" s="32" t="n">
        <v>0.27</v>
      </c>
      <c r="K284" s="32" t="n">
        <v>62343</v>
      </c>
      <c r="L284" s="31" t="n">
        <v>20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57.46</v>
      </c>
      <c r="P284" s="32" t="n">
        <v>15.64</v>
      </c>
      <c r="Q284" s="32" t="n">
        <v>396.67</v>
      </c>
      <c r="R284" s="31" t="inlineStr">
        <is>
          <t>Earnings / Momentum Support</t>
        </is>
      </c>
      <c r="S284" s="31" t="inlineStr">
        <is>
          <t>Nifty Pharma</t>
        </is>
      </c>
      <c r="T284" s="32" t="n">
        <v>15.14</v>
      </c>
      <c r="U284" s="32" t="n">
        <v>5.95</v>
      </c>
      <c r="V284" s="32" t="n">
        <v>-7.97</v>
      </c>
      <c r="W284" s="32" t="n">
        <v>3.79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IF(B285=0,"",RANK(B285,$B$2:$B$354,0))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UNICHEMLAB</t>
        </is>
      </c>
      <c r="D285" s="33" t="inlineStr">
        <is>
          <t>Unichem Laboratories Limited</t>
        </is>
      </c>
      <c r="E285" s="31" t="inlineStr">
        <is>
          <t>healthcare</t>
        </is>
      </c>
      <c r="F285" s="31" t="inlineStr">
        <is>
          <t>pharmaceuticals - indian - bulk drugs &amp; formln</t>
        </is>
      </c>
      <c r="G285" s="31" t="inlineStr">
        <is>
          <t>smallcap</t>
        </is>
      </c>
      <c r="H285" s="32" t="n">
        <v>4193.37</v>
      </c>
      <c r="I285" s="32" t="n">
        <v>587</v>
      </c>
      <c r="J285" s="32" t="n">
        <v>-1.44</v>
      </c>
      <c r="K285" s="32" t="n">
        <v>59015</v>
      </c>
      <c r="L285" s="31" t="n">
        <v>63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68.87</v>
      </c>
      <c r="P285" s="32" t="n">
        <v>29.49</v>
      </c>
      <c r="Q285" s="32" t="n">
        <v>465.84</v>
      </c>
      <c r="R285" s="31" t="inlineStr">
        <is>
          <t>Earnings / Momentum Support</t>
        </is>
      </c>
      <c r="S285" s="31" t="inlineStr">
        <is>
          <t>Nifty Pharma</t>
        </is>
      </c>
      <c r="T285" s="32" t="n">
        <v>15.14</v>
      </c>
      <c r="U285" s="32" t="n">
        <v>-7.43</v>
      </c>
      <c r="V285" s="32" t="n">
        <v>-19.6</v>
      </c>
      <c r="W285" s="32" t="n">
        <v>13.75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IF(B286=0,"",RANK(B286,$B$2:$B$354,0))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KECL</t>
        </is>
      </c>
      <c r="D286" s="33" t="inlineStr">
        <is>
          <t>Kirloskar Electric Company Limited</t>
        </is>
      </c>
      <c r="E286" s="31" t="inlineStr">
        <is>
          <t>industrials</t>
        </is>
      </c>
      <c r="F286" s="31" t="inlineStr">
        <is>
          <t>electric equipment</t>
        </is>
      </c>
      <c r="G286" s="31" t="inlineStr">
        <is>
          <t>smallcap</t>
        </is>
      </c>
      <c r="H286" s="32" t="n">
        <v>807.79</v>
      </c>
      <c r="I286" s="32" t="n">
        <v>127.71</v>
      </c>
      <c r="J286" s="32" t="n">
        <v>5</v>
      </c>
      <c r="K286" s="32" t="n">
        <v>233749</v>
      </c>
      <c r="L286" s="31" t="n">
        <v>21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59.52</v>
      </c>
      <c r="P286" s="32" t="n">
        <v>28.67</v>
      </c>
      <c r="Q286" s="32" t="n">
        <v>91.13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-2.61</v>
      </c>
      <c r="U286" s="32" t="n">
        <v>-3.19</v>
      </c>
      <c r="V286" s="32" t="n">
        <v>-0.59</v>
      </c>
      <c r="W286" s="32" t="n">
        <v>4.04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Between 50% to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IF(B287=0,"",RANK(B287,$B$2:$B$354,0))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EMAMIPAP</t>
        </is>
      </c>
      <c r="D287" s="33" t="inlineStr">
        <is>
          <t>Emami Paper Mills Ltd</t>
        </is>
      </c>
      <c r="E287" s="31" t="inlineStr">
        <is>
          <t>building materials</t>
        </is>
      </c>
      <c r="F287" s="31" t="inlineStr">
        <is>
          <t>paper</t>
        </is>
      </c>
      <c r="G287" s="31" t="inlineStr">
        <is>
          <t>smallcap</t>
        </is>
      </c>
      <c r="H287" s="32" t="n">
        <v>572.2</v>
      </c>
      <c r="I287" s="32" t="n">
        <v>98.86</v>
      </c>
      <c r="J287" s="32" t="n">
        <v>4.53</v>
      </c>
      <c r="K287" s="32" t="n">
        <v>241667</v>
      </c>
      <c r="L287" s="31" t="n">
        <v>44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66.88</v>
      </c>
      <c r="P287" s="32" t="n">
        <v>8.25</v>
      </c>
      <c r="Q287" s="32" t="n">
        <v>76.91</v>
      </c>
      <c r="R287" s="31" t="inlineStr">
        <is>
          <t>Volume Spike &amp; Near 52W High Breakout</t>
        </is>
      </c>
      <c r="S287" s="31" t="inlineStr">
        <is>
          <t>Nifty Infra</t>
        </is>
      </c>
      <c r="T287" s="32" t="n">
        <v>4.24</v>
      </c>
      <c r="U287" s="32" t="n">
        <v>2.27</v>
      </c>
      <c r="V287" s="32" t="n">
        <v>-1.88</v>
      </c>
      <c r="W287" s="32" t="n">
        <v>8.82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IF(B288=0,"",RANK(B288,$B$2:$B$354,0))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SUNFLAG</t>
        </is>
      </c>
      <c r="D288" s="33" t="inlineStr">
        <is>
          <t>Sunflag Iron And Steel Company Limited</t>
        </is>
      </c>
      <c r="E288" s="31" t="inlineStr">
        <is>
          <t>metals &amp; mining</t>
        </is>
      </c>
      <c r="F288" s="31" t="inlineStr">
        <is>
          <t>steel - medium / small</t>
        </is>
      </c>
      <c r="G288" s="31" t="inlineStr">
        <is>
          <t>midcap</t>
        </is>
      </c>
      <c r="H288" s="32" t="n">
        <v>6327.5</v>
      </c>
      <c r="I288" s="32" t="n">
        <v>360.05</v>
      </c>
      <c r="J288" s="32" t="n">
        <v>2.55</v>
      </c>
      <c r="K288" s="32" t="n">
        <v>454174</v>
      </c>
      <c r="L288" s="31" t="n">
        <v>54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61.66</v>
      </c>
      <c r="P288" s="32" t="n">
        <v>44.2</v>
      </c>
      <c r="Q288" s="32" t="n">
        <v>315.99</v>
      </c>
      <c r="R288" s="31" t="inlineStr">
        <is>
          <t>Earnings / Momentum Support</t>
        </is>
      </c>
      <c r="S288" s="31" t="inlineStr">
        <is>
          <t>Nifty Metal</t>
        </is>
      </c>
      <c r="T288" s="32" t="n">
        <v>33.93</v>
      </c>
      <c r="U288" s="32" t="n">
        <v>26.98</v>
      </c>
      <c r="V288" s="32" t="n">
        <v>-5.19</v>
      </c>
      <c r="W288" s="32" t="n">
        <v>10.91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IF(B289=0,"",RANK(B289,$B$2:$B$354,0))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MUKANDLTD</t>
        </is>
      </c>
      <c r="D289" s="33" t="inlineStr">
        <is>
          <t>Mukand Limited</t>
        </is>
      </c>
      <c r="E289" s="31" t="inlineStr">
        <is>
          <t>metals &amp; mining</t>
        </is>
      </c>
      <c r="F289" s="31" t="inlineStr">
        <is>
          <t>steel - medium / small</t>
        </is>
      </c>
      <c r="G289" s="31" t="inlineStr">
        <is>
          <t>smallcap</t>
        </is>
      </c>
      <c r="H289" s="32" t="n">
        <v>2078.71</v>
      </c>
      <c r="I289" s="32" t="n">
        <v>146</v>
      </c>
      <c r="J289" s="32" t="n">
        <v>1.49</v>
      </c>
      <c r="K289" s="32" t="n">
        <v>138913</v>
      </c>
      <c r="L289" s="31" t="n">
        <v>13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61.67</v>
      </c>
      <c r="P289" s="32" t="n">
        <v>41.86</v>
      </c>
      <c r="Q289" s="32" t="n">
        <v>115.49</v>
      </c>
      <c r="R289" s="31" t="inlineStr">
        <is>
          <t>Near 52W High Breakout</t>
        </is>
      </c>
      <c r="S289" s="31" t="inlineStr">
        <is>
          <t>Nifty Metal</t>
        </is>
      </c>
      <c r="T289" s="32" t="n">
        <v>33.93</v>
      </c>
      <c r="U289" s="32" t="n">
        <v>4.67</v>
      </c>
      <c r="V289" s="32" t="n">
        <v>-21.85</v>
      </c>
      <c r="W289" s="32" t="n">
        <v>2.21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IF(B290=0,"",RANK(B290,$B$2:$B$354,0))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NAUKRI</t>
        </is>
      </c>
      <c r="D290" s="31" t="inlineStr">
        <is>
          <t>Info Edge (india) Limited</t>
        </is>
      </c>
      <c r="E290" s="31" t="inlineStr">
        <is>
          <t>i.t</t>
        </is>
      </c>
      <c r="F290" s="31" t="inlineStr">
        <is>
          <t>miscellaneous</t>
        </is>
      </c>
      <c r="G290" s="31" t="inlineStr">
        <is>
          <t>largecap</t>
        </is>
      </c>
      <c r="H290" s="32" t="n">
        <v>77259.31</v>
      </c>
      <c r="I290" s="32" t="n">
        <v>1207.7</v>
      </c>
      <c r="J290" s="32" t="n">
        <v>1.36</v>
      </c>
      <c r="K290" s="32" t="n">
        <v>4113945</v>
      </c>
      <c r="L290" s="31" t="n">
        <v>14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62.12</v>
      </c>
      <c r="P290" s="32" t="n">
        <v>19.08</v>
      </c>
      <c r="Q290" s="32" t="n">
        <v>974.17</v>
      </c>
      <c r="R290" s="31" t="inlineStr">
        <is>
          <t>Earnings / Momentum Support</t>
        </is>
      </c>
      <c r="S290" s="31" t="inlineStr">
        <is>
          <t>Nifty IT</t>
        </is>
      </c>
      <c r="T290" s="32" t="n">
        <v>-18.64</v>
      </c>
      <c r="U290" s="32" t="n">
        <v>-15.78</v>
      </c>
      <c r="V290" s="32" t="n">
        <v>3.51</v>
      </c>
      <c r="W290" s="32" t="n">
        <v>2.3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IF(B291=0,"",RANK(B291,$B$2:$B$354,0))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ANANTRAJ</t>
        </is>
      </c>
      <c r="D291" s="31" t="inlineStr">
        <is>
          <t>Anant Raj Limited</t>
        </is>
      </c>
      <c r="E291" s="31" t="inlineStr">
        <is>
          <t>realty</t>
        </is>
      </c>
      <c r="F291" s="31" t="inlineStr">
        <is>
          <t>construction</t>
        </is>
      </c>
      <c r="G291" s="31" t="inlineStr">
        <is>
          <t>largecap</t>
        </is>
      </c>
      <c r="H291" s="32" t="n">
        <v>21621.41</v>
      </c>
      <c r="I291" s="32" t="n">
        <v>608.85</v>
      </c>
      <c r="J291" s="32" t="n">
        <v>1.34</v>
      </c>
      <c r="K291" s="32" t="n">
        <v>3674765</v>
      </c>
      <c r="L291" s="31" t="n">
        <v>45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59.86</v>
      </c>
      <c r="P291" s="32" t="n">
        <v>16.62</v>
      </c>
      <c r="Q291" s="32" t="n">
        <v>459.9</v>
      </c>
      <c r="R291" s="31" t="inlineStr">
        <is>
          <t>Earnings / Momentum Support</t>
        </is>
      </c>
      <c r="S291" s="31" t="inlineStr">
        <is>
          <t>Nifty Realty</t>
        </is>
      </c>
      <c r="T291" s="32" t="n">
        <v>-2.45</v>
      </c>
      <c r="U291" s="32" t="n">
        <v>6.17</v>
      </c>
      <c r="V291" s="32" t="n">
        <v>8.84</v>
      </c>
      <c r="W291" s="32" t="n">
        <v>8.890000000000001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Between 1.5 to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IF(B292=0,"",RANK(B292,$B$2:$B$354,0))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HONAUT</t>
        </is>
      </c>
      <c r="D292" s="31" t="inlineStr">
        <is>
          <t>Honeywell Automation India Limited</t>
        </is>
      </c>
      <c r="E292" s="31" t="inlineStr">
        <is>
          <t>consumer discretionary</t>
        </is>
      </c>
      <c r="F292" s="31" t="inlineStr">
        <is>
          <t>electronics - components</t>
        </is>
      </c>
      <c r="G292" s="31" t="inlineStr">
        <is>
          <t>largecap</t>
        </is>
      </c>
      <c r="H292" s="32" t="n">
        <v>33787.88</v>
      </c>
      <c r="I292" s="32" t="n">
        <v>38595</v>
      </c>
      <c r="J292" s="32" t="n">
        <v>0.99</v>
      </c>
      <c r="K292" s="32" t="n">
        <v>5193</v>
      </c>
      <c r="L292" s="31" t="n">
        <v>26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62.34</v>
      </c>
      <c r="P292" s="32" t="n">
        <v>21.08</v>
      </c>
      <c r="Q292" s="32" t="n">
        <v>32842.16</v>
      </c>
      <c r="R292" s="31" t="inlineStr">
        <is>
          <t>Near 52W High Breakout</t>
        </is>
      </c>
      <c r="S292" s="31" t="inlineStr">
        <is>
          <t>Nifty 50</t>
        </is>
      </c>
      <c r="T292" s="32" t="n">
        <v>-2.61</v>
      </c>
      <c r="U292" s="32" t="n">
        <v>-2.56</v>
      </c>
      <c r="V292" s="32" t="n">
        <v>0.06</v>
      </c>
      <c r="W292" s="32" t="n">
        <v>4.91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Between 12 to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IF(B293=0,"",RANK(B293,$B$2:$B$354,0))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LODHA</t>
        </is>
      </c>
      <c r="D293" s="33" t="inlineStr">
        <is>
          <t>Lodha Developers Ltd</t>
        </is>
      </c>
      <c r="E293" s="31" t="inlineStr">
        <is>
          <t>realty</t>
        </is>
      </c>
      <c r="F293" s="31" t="inlineStr">
        <is>
          <t>construction</t>
        </is>
      </c>
      <c r="G293" s="31" t="inlineStr">
        <is>
          <t>largecap</t>
        </is>
      </c>
      <c r="H293" s="32" t="n">
        <v>118711.07</v>
      </c>
      <c r="I293" s="32" t="n">
        <v>1198.95</v>
      </c>
      <c r="J293" s="32" t="n">
        <v>0.89</v>
      </c>
      <c r="K293" s="32" t="n">
        <v>1188038</v>
      </c>
      <c r="L293" s="31" t="n">
        <v>48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63.8</v>
      </c>
      <c r="P293" s="32" t="n">
        <v>14.58</v>
      </c>
      <c r="Q293" s="32" t="n">
        <v>968.15</v>
      </c>
      <c r="R293" s="31" t="inlineStr">
        <is>
          <t>Near 52W High Breakout</t>
        </is>
      </c>
      <c r="S293" s="31" t="inlineStr">
        <is>
          <t>Nifty Realty</t>
        </is>
      </c>
      <c r="T293" s="32" t="n">
        <v>-2.45</v>
      </c>
      <c r="U293" s="32" t="n">
        <v>-5.98</v>
      </c>
      <c r="V293" s="32" t="n">
        <v>-3.62</v>
      </c>
      <c r="W293" s="32" t="n">
        <v>9.470000000000001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Less than 50%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IF(B294=0,"",RANK(B294,$B$2:$B$354,0))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RRKABEL</t>
        </is>
      </c>
      <c r="D294" s="31" t="inlineStr">
        <is>
          <t>R R Kabel Ltd</t>
        </is>
      </c>
      <c r="E294" s="31" t="inlineStr">
        <is>
          <t>industrials</t>
        </is>
      </c>
      <c r="F294" s="31" t="inlineStr">
        <is>
          <t>cables - power</t>
        </is>
      </c>
      <c r="G294" s="31" t="inlineStr">
        <is>
          <t>largecap</t>
        </is>
      </c>
      <c r="H294" s="32" t="n">
        <v>26386.38</v>
      </c>
      <c r="I294" s="32" t="n">
        <v>2345.4</v>
      </c>
      <c r="J294" s="32" t="n">
        <v>0.54</v>
      </c>
      <c r="K294" s="32" t="n">
        <v>399505</v>
      </c>
      <c r="L294" s="31" t="n">
        <v>87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68.98999999999999</v>
      </c>
      <c r="P294" s="32" t="n">
        <v>60.68</v>
      </c>
      <c r="Q294" s="32" t="n">
        <v>1982.39</v>
      </c>
      <c r="R294" s="31" t="inlineStr">
        <is>
          <t>Earnings / Momentum Support</t>
        </is>
      </c>
      <c r="S294" s="31" t="inlineStr">
        <is>
          <t>Nifty Energy</t>
        </is>
      </c>
      <c r="T294" s="32" t="n">
        <v>12.3</v>
      </c>
      <c r="U294" s="32" t="n">
        <v>68.89</v>
      </c>
      <c r="V294" s="32" t="n">
        <v>50.39</v>
      </c>
      <c r="W294" s="32" t="n">
        <v>26.16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Above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Between 1.5 to 2</t>
        </is>
      </c>
      <c r="BU294" s="31">
        <f>IF(BT294="Above 2",0,IF(BT294="Between 1.5 to 2",5,IF(BT294="Less than 1.5",10,0)))</f>
        <v/>
      </c>
      <c r="BV294" s="31" t="inlineStr">
        <is>
          <t>Less than 50%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IF(B295=0,"",RANK(B295,$B$2:$B$354,0))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ENDURANCE</t>
        </is>
      </c>
      <c r="D295" s="33" t="inlineStr">
        <is>
          <t>Endurance Technologies Limited</t>
        </is>
      </c>
      <c r="E295" s="31" t="inlineStr">
        <is>
          <t>auto</t>
        </is>
      </c>
      <c r="F295" s="31" t="inlineStr">
        <is>
          <t>auto ancillaries</t>
        </is>
      </c>
      <c r="G295" s="31" t="inlineStr">
        <is>
          <t>largecap</t>
        </is>
      </c>
      <c r="H295" s="32" t="n">
        <v>38562.72</v>
      </c>
      <c r="I295" s="32" t="n">
        <v>2752</v>
      </c>
      <c r="J295" s="32" t="n">
        <v>0.38</v>
      </c>
      <c r="K295" s="32" t="n">
        <v>55674</v>
      </c>
      <c r="L295" s="31" t="n">
        <v>30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59.03</v>
      </c>
      <c r="P295" s="32" t="n">
        <v>14.81</v>
      </c>
      <c r="Q295" s="32" t="n">
        <v>2244.06</v>
      </c>
      <c r="R295" s="31" t="inlineStr">
        <is>
          <t>Earnings / Momentum Support</t>
        </is>
      </c>
      <c r="S295" s="31" t="inlineStr">
        <is>
          <t>Nifty Auto</t>
        </is>
      </c>
      <c r="T295" s="32" t="n">
        <v>14.71</v>
      </c>
      <c r="U295" s="32" t="n">
        <v>7.11</v>
      </c>
      <c r="V295" s="32" t="n">
        <v>-6.63</v>
      </c>
      <c r="W295" s="32" t="n">
        <v>6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Between 12 to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IF(B296=0,"",RANK(B296,$B$2:$B$354,0))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INDIGOPNTS</t>
        </is>
      </c>
      <c r="D296" s="33" t="inlineStr">
        <is>
          <t>Indigo Paints Ltd</t>
        </is>
      </c>
      <c r="E296" s="31" t="inlineStr">
        <is>
          <t>building materials</t>
        </is>
      </c>
      <c r="F296" s="31" t="inlineStr">
        <is>
          <t>paints / varnishes</t>
        </is>
      </c>
      <c r="G296" s="31" t="inlineStr">
        <is>
          <t>midcap</t>
        </is>
      </c>
      <c r="H296" s="32" t="n">
        <v>5139.44</v>
      </c>
      <c r="I296" s="32" t="n">
        <v>1077.5</v>
      </c>
      <c r="J296" s="32" t="n">
        <v>-0.05</v>
      </c>
      <c r="K296" s="32" t="n">
        <v>39586</v>
      </c>
      <c r="L296" s="31" t="n">
        <v>26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59.42</v>
      </c>
      <c r="P296" s="32" t="n">
        <v>10.62</v>
      </c>
      <c r="Q296" s="32" t="n">
        <v>846.55</v>
      </c>
      <c r="R296" s="31" t="inlineStr">
        <is>
          <t>Earnings / Momentum Support</t>
        </is>
      </c>
      <c r="S296" s="31" t="inlineStr">
        <is>
          <t>Nifty Infra</t>
        </is>
      </c>
      <c r="T296" s="32" t="n">
        <v>4.24</v>
      </c>
      <c r="U296" s="32" t="n">
        <v>-5.22</v>
      </c>
      <c r="V296" s="32" t="n">
        <v>-9.08</v>
      </c>
      <c r="W296" s="32" t="n">
        <v>4.99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IF(B297=0,"",RANK(B297,$B$2:$B$354,0))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RAYMOND</t>
        </is>
      </c>
      <c r="D297" s="33" t="inlineStr">
        <is>
          <t>Raymond Limited</t>
        </is>
      </c>
      <c r="E297" s="31" t="inlineStr">
        <is>
          <t>transportation</t>
        </is>
      </c>
      <c r="F297" s="31" t="inlineStr">
        <is>
          <t>transport - airlines</t>
        </is>
      </c>
      <c r="G297" s="31" t="inlineStr">
        <is>
          <t>smallcap</t>
        </is>
      </c>
      <c r="H297" s="32" t="n">
        <v>4079.97</v>
      </c>
      <c r="I297" s="32" t="n">
        <v>607.7</v>
      </c>
      <c r="J297" s="32" t="n">
        <v>-0.84</v>
      </c>
      <c r="K297" s="32" t="n">
        <v>403083</v>
      </c>
      <c r="L297" s="31" t="n">
        <v>44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61.65</v>
      </c>
      <c r="P297" s="32" t="n">
        <v>34.1</v>
      </c>
      <c r="Q297" s="32" t="n">
        <v>481.4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-2.61</v>
      </c>
      <c r="U297" s="32" t="n">
        <v>-13.57</v>
      </c>
      <c r="V297" s="32" t="n">
        <v>-11.25</v>
      </c>
      <c r="W297" s="32" t="n">
        <v>8.699999999999999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Less than 50%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IF(B298=0,"",RANK(B298,$B$2:$B$354,0))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VMART</t>
        </is>
      </c>
      <c r="D298" s="33" t="inlineStr">
        <is>
          <t>V-mart Retail Limited</t>
        </is>
      </c>
      <c r="E298" s="31" t="inlineStr">
        <is>
          <t>consumer discretionary</t>
        </is>
      </c>
      <c r="F298" s="31" t="inlineStr">
        <is>
          <t>trading</t>
        </is>
      </c>
      <c r="G298" s="31" t="inlineStr">
        <is>
          <t>midcap</t>
        </is>
      </c>
      <c r="H298" s="32" t="n">
        <v>6238.27</v>
      </c>
      <c r="I298" s="32" t="n">
        <v>774.2</v>
      </c>
      <c r="J298" s="32" t="n">
        <v>-1.39</v>
      </c>
      <c r="K298" s="32" t="n">
        <v>110176</v>
      </c>
      <c r="L298" s="31" t="n">
        <v>32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60.48</v>
      </c>
      <c r="P298" s="32" t="n">
        <v>25.3</v>
      </c>
      <c r="Q298" s="32" t="n">
        <v>626.03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-2.61</v>
      </c>
      <c r="U298" s="32" t="n">
        <v>-3.58</v>
      </c>
      <c r="V298" s="32" t="n">
        <v>-1</v>
      </c>
      <c r="W298" s="32" t="n">
        <v>6.5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IF(B299=0,"",RANK(B299,$B$2:$B$354,0))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INDIANHUME</t>
        </is>
      </c>
      <c r="D299" s="33" t="inlineStr">
        <is>
          <t>Indian Hume Pipe Company Limited</t>
        </is>
      </c>
      <c r="E299" s="31" t="inlineStr">
        <is>
          <t>realty</t>
        </is>
      </c>
      <c r="F299" s="31" t="inlineStr">
        <is>
          <t>construction</t>
        </is>
      </c>
      <c r="G299" s="31" t="inlineStr">
        <is>
          <t>smallcap</t>
        </is>
      </c>
      <c r="H299" s="32" t="n">
        <v>2125.45</v>
      </c>
      <c r="I299" s="32" t="n">
        <v>390.05</v>
      </c>
      <c r="J299" s="32" t="n">
        <v>-3.32</v>
      </c>
      <c r="K299" s="32" t="n">
        <v>42266</v>
      </c>
      <c r="L299" s="31" t="n">
        <v>24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64.70999999999999</v>
      </c>
      <c r="P299" s="32" t="n">
        <v>13.91</v>
      </c>
      <c r="Q299" s="32" t="n">
        <v>301.61</v>
      </c>
      <c r="R299" s="31" t="inlineStr">
        <is>
          <t>Earnings / Momentum Support</t>
        </is>
      </c>
      <c r="S299" s="31" t="inlineStr">
        <is>
          <t>Nifty Realty</t>
        </is>
      </c>
      <c r="T299" s="32" t="n">
        <v>-2.45</v>
      </c>
      <c r="U299" s="32" t="n">
        <v>-5.94</v>
      </c>
      <c r="V299" s="32" t="n">
        <v>-3.59</v>
      </c>
      <c r="W299" s="32" t="n">
        <v>4.65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IF(B300=0,"",RANK(B300,$B$2:$B$354,0))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WINDLAS</t>
        </is>
      </c>
      <c r="D300" s="33" t="inlineStr">
        <is>
          <t>Windlas Biotech Ltd</t>
        </is>
      </c>
      <c r="E300" s="31" t="inlineStr">
        <is>
          <t>healthcare</t>
        </is>
      </c>
      <c r="F300" s="31" t="inlineStr">
        <is>
          <t>pharmaceuticals - indian - formulations</t>
        </is>
      </c>
      <c r="G300" s="31" t="inlineStr">
        <is>
          <t>smallcap</t>
        </is>
      </c>
      <c r="H300" s="32" t="n">
        <v>1798.55</v>
      </c>
      <c r="I300" s="32" t="n">
        <v>880.25</v>
      </c>
      <c r="J300" s="32" t="n">
        <v>1</v>
      </c>
      <c r="K300" s="32" t="n">
        <v>31993</v>
      </c>
      <c r="L300" s="31" t="n">
        <v>4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58.17</v>
      </c>
      <c r="P300" s="32" t="n">
        <v>13.99</v>
      </c>
      <c r="Q300" s="32" t="n">
        <v>694.73</v>
      </c>
      <c r="R300" s="31" t="inlineStr">
        <is>
          <t>Earnings / Momentum Support</t>
        </is>
      </c>
      <c r="S300" s="31" t="inlineStr">
        <is>
          <t>Nifty Pharma</t>
        </is>
      </c>
      <c r="T300" s="32" t="n">
        <v>15.14</v>
      </c>
      <c r="U300" s="32" t="n">
        <v>-9.98</v>
      </c>
      <c r="V300" s="32" t="n">
        <v>-21.82</v>
      </c>
      <c r="W300" s="32" t="n">
        <v>-1.09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IF(B301=0,"",RANK(B301,$B$2:$B$354,0))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TCPLPACK</t>
        </is>
      </c>
      <c r="D301" s="33" t="inlineStr">
        <is>
          <t>TCPL Packaging Ltd</t>
        </is>
      </c>
      <c r="E301" s="31" t="inlineStr">
        <is>
          <t>industrials</t>
        </is>
      </c>
      <c r="F301" s="31" t="inlineStr">
        <is>
          <t>packaging</t>
        </is>
      </c>
      <c r="G301" s="31" t="inlineStr">
        <is>
          <t>smallcap</t>
        </is>
      </c>
      <c r="H301" s="32" t="n">
        <v>2860.77</v>
      </c>
      <c r="I301" s="32" t="n">
        <v>3428.5</v>
      </c>
      <c r="J301" s="32" t="n">
        <v>9.06</v>
      </c>
      <c r="K301" s="32" t="n">
        <v>19063</v>
      </c>
      <c r="L301" s="31" t="n">
        <v>33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67.3</v>
      </c>
      <c r="P301" s="32" t="n">
        <v>16.42</v>
      </c>
      <c r="Q301" s="32" t="n">
        <v>2635.28</v>
      </c>
      <c r="R301" s="31" t="inlineStr">
        <is>
          <t>Near 52W High Breakout</t>
        </is>
      </c>
      <c r="S301" s="31" t="inlineStr">
        <is>
          <t>Nifty 50</t>
        </is>
      </c>
      <c r="T301" s="32" t="n">
        <v>-2.61</v>
      </c>
      <c r="U301" s="32" t="n">
        <v>-5.86</v>
      </c>
      <c r="V301" s="32" t="n">
        <v>-3.33</v>
      </c>
      <c r="W301" s="32" t="n">
        <v>6.52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Between 0.7 to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IF(B302=0,"",RANK(B302,$B$2:$B$354,0))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MANALIPETC</t>
        </is>
      </c>
      <c r="D302" s="33" t="inlineStr">
        <is>
          <t>Manali Petrochemicals Limited</t>
        </is>
      </c>
      <c r="E302" s="31" t="inlineStr">
        <is>
          <t>energy</t>
        </is>
      </c>
      <c r="F302" s="31" t="inlineStr">
        <is>
          <t>petrochemicals</t>
        </is>
      </c>
      <c r="G302" s="31" t="inlineStr">
        <is>
          <t>smallcap</t>
        </is>
      </c>
      <c r="H302" s="32" t="n">
        <v>1098.56</v>
      </c>
      <c r="I302" s="32" t="n">
        <v>65.78</v>
      </c>
      <c r="J302" s="32" t="n">
        <v>2.99</v>
      </c>
      <c r="K302" s="32" t="n">
        <v>1223116</v>
      </c>
      <c r="L302" s="31" t="n">
        <v>21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59.22</v>
      </c>
      <c r="P302" s="32" t="n">
        <v>23.4</v>
      </c>
      <c r="Q302" s="32" t="n">
        <v>48.41</v>
      </c>
      <c r="R302" s="31" t="inlineStr">
        <is>
          <t>Earnings / Momentum Support</t>
        </is>
      </c>
      <c r="S302" s="31" t="inlineStr">
        <is>
          <t>Nifty Energy</t>
        </is>
      </c>
      <c r="T302" s="32" t="n">
        <v>12.3</v>
      </c>
      <c r="U302" s="32" t="n">
        <v>-9.140000000000001</v>
      </c>
      <c r="V302" s="32" t="n">
        <v>-19.09</v>
      </c>
      <c r="W302" s="32" t="n">
        <v>4.15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IF(B303=0,"",RANK(B303,$B$2:$B$354,0))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FCL</t>
        </is>
      </c>
      <c r="D303" s="31" t="inlineStr">
        <is>
          <t>Fineotex Chemical Limited</t>
        </is>
      </c>
      <c r="E303" s="31" t="inlineStr">
        <is>
          <t>chemicals</t>
        </is>
      </c>
      <c r="F303" s="31" t="inlineStr">
        <is>
          <t>chemicals</t>
        </is>
      </c>
      <c r="G303" s="31" t="inlineStr">
        <is>
          <t>smallcap</t>
        </is>
      </c>
      <c r="H303" s="32" t="n">
        <v>4586.97</v>
      </c>
      <c r="I303" s="32" t="n">
        <v>40.05</v>
      </c>
      <c r="J303" s="32" t="n">
        <v>1.68</v>
      </c>
      <c r="K303" s="32" t="n">
        <v>19846007</v>
      </c>
      <c r="L303" s="31" t="n">
        <v>89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65.03</v>
      </c>
      <c r="P303" s="32" t="n">
        <v>45.96</v>
      </c>
      <c r="Q303" s="32" t="n">
        <v>31.69</v>
      </c>
      <c r="R303" s="31" t="inlineStr">
        <is>
          <t>Earnings / Momentum Support</t>
        </is>
      </c>
      <c r="S303" s="31" t="inlineStr">
        <is>
          <t>Nifty 50</t>
        </is>
      </c>
      <c r="T303" s="32" t="n">
        <v>-2.61</v>
      </c>
      <c r="U303" s="32" t="n">
        <v>49.22</v>
      </c>
      <c r="V303" s="32" t="n">
        <v>53.23</v>
      </c>
      <c r="W303" s="32" t="n">
        <v>27.07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Negative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IF(B304=0,"",RANK(B304,$B$2:$B$354,0))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WELSPUNLIV</t>
        </is>
      </c>
      <c r="D304" s="31" t="inlineStr">
        <is>
          <t>Welspun Living Ltd</t>
        </is>
      </c>
      <c r="E304" s="31" t="inlineStr">
        <is>
          <t>textiles</t>
        </is>
      </c>
      <c r="F304" s="31" t="inlineStr">
        <is>
          <t>textiles - products</t>
        </is>
      </c>
      <c r="G304" s="31" t="inlineStr">
        <is>
          <t>midcap</t>
        </is>
      </c>
      <c r="H304" s="32" t="n">
        <v>15670.63</v>
      </c>
      <c r="I304" s="32" t="n">
        <v>166.04</v>
      </c>
      <c r="J304" s="32" t="n">
        <v>1.63</v>
      </c>
      <c r="K304" s="32" t="n">
        <v>1222271</v>
      </c>
      <c r="L304" s="31" t="n">
        <v>51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67.3</v>
      </c>
      <c r="P304" s="32" t="n">
        <v>30.33</v>
      </c>
      <c r="Q304" s="32" t="n">
        <v>135.39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-2.61</v>
      </c>
      <c r="U304" s="32" t="n">
        <v>21.36</v>
      </c>
      <c r="V304" s="32" t="n">
        <v>24.62</v>
      </c>
      <c r="W304" s="32" t="n">
        <v>10.18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IF(B305=0,"",RANK(B305,$B$2:$B$354,0))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SHREECEM</t>
        </is>
      </c>
      <c r="D305" s="33" t="inlineStr">
        <is>
          <t>Shree Cements Limited</t>
        </is>
      </c>
      <c r="E305" s="31" t="inlineStr">
        <is>
          <t>building materials</t>
        </is>
      </c>
      <c r="F305" s="31" t="inlineStr">
        <is>
          <t>cement - north india</t>
        </is>
      </c>
      <c r="G305" s="31" t="inlineStr">
        <is>
          <t>largecap</t>
        </is>
      </c>
      <c r="H305" s="32" t="n">
        <v>96876.81</v>
      </c>
      <c r="I305" s="32" t="n">
        <v>27245</v>
      </c>
      <c r="J305" s="32" t="n">
        <v>1.47</v>
      </c>
      <c r="K305" s="32" t="n">
        <v>19707</v>
      </c>
      <c r="L305" s="31" t="n">
        <v>5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59.34</v>
      </c>
      <c r="P305" s="32" t="n">
        <v>14.1</v>
      </c>
      <c r="Q305" s="32" t="n">
        <v>23435.47</v>
      </c>
      <c r="R305" s="31" t="inlineStr">
        <is>
          <t>Earnings / Momentum Support</t>
        </is>
      </c>
      <c r="S305" s="31" t="inlineStr">
        <is>
          <t>Nifty Infra</t>
        </is>
      </c>
      <c r="T305" s="32" t="n">
        <v>4.24</v>
      </c>
      <c r="U305" s="32" t="n">
        <v>-11.49</v>
      </c>
      <c r="V305" s="32" t="n">
        <v>-15.09</v>
      </c>
      <c r="W305" s="32" t="n">
        <v>-0.31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IF(B306=0,"",RANK(B306,$B$2:$B$354,0))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KAMDHENU</t>
        </is>
      </c>
      <c r="D306" s="33" t="inlineStr">
        <is>
          <t>Kamdhenu Limited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smallcap</t>
        </is>
      </c>
      <c r="H306" s="32" t="n">
        <v>948.8200000000001</v>
      </c>
      <c r="I306" s="32" t="n">
        <v>34</v>
      </c>
      <c r="J306" s="32" t="n">
        <v>1.01</v>
      </c>
      <c r="K306" s="32" t="n">
        <v>575393</v>
      </c>
      <c r="L306" s="31" t="n">
        <v>72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69.87</v>
      </c>
      <c r="P306" s="32" t="n">
        <v>30.76</v>
      </c>
      <c r="Q306" s="32" t="n">
        <v>24.79</v>
      </c>
      <c r="R306" s="31" t="inlineStr">
        <is>
          <t>Near 52W High Breakout</t>
        </is>
      </c>
      <c r="S306" s="31" t="inlineStr">
        <is>
          <t>Nifty Metal</t>
        </is>
      </c>
      <c r="T306" s="32" t="n">
        <v>33.93</v>
      </c>
      <c r="U306" s="32" t="n">
        <v>13.29</v>
      </c>
      <c r="V306" s="32" t="n">
        <v>-15.41</v>
      </c>
      <c r="W306" s="32" t="n">
        <v>16.1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IF(B307=0,"",RANK(B307,$B$2:$B$354,0))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AVL</t>
        </is>
      </c>
      <c r="D307" s="31" t="inlineStr">
        <is>
          <t>Aditya Vision Ltd</t>
        </is>
      </c>
      <c r="E307" s="31" t="inlineStr">
        <is>
          <t>consumer discretionary</t>
        </is>
      </c>
      <c r="F307" s="31" t="inlineStr">
        <is>
          <t>trading</t>
        </is>
      </c>
      <c r="G307" s="31" t="inlineStr">
        <is>
          <t>midcap</t>
        </is>
      </c>
      <c r="H307" s="32" t="n">
        <v>8229.969999999999</v>
      </c>
      <c r="I307" s="32" t="n">
        <v>641.65</v>
      </c>
      <c r="J307" s="32" t="n">
        <v>0.68</v>
      </c>
      <c r="K307" s="32" t="n">
        <v>533348</v>
      </c>
      <c r="L307" s="31" t="n">
        <v>77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66.78</v>
      </c>
      <c r="P307" s="32" t="n">
        <v>39.97</v>
      </c>
      <c r="Q307" s="32" t="n">
        <v>526.02</v>
      </c>
      <c r="R307" s="31" t="inlineStr">
        <is>
          <t>Near 52W High Breakout</t>
        </is>
      </c>
      <c r="S307" s="31" t="inlineStr">
        <is>
          <t>Nifty 50</t>
        </is>
      </c>
      <c r="T307" s="32" t="n">
        <v>-2.61</v>
      </c>
      <c r="U307" s="32" t="n">
        <v>65.69</v>
      </c>
      <c r="V307" s="32" t="n">
        <v>70.14</v>
      </c>
      <c r="W307" s="32" t="n">
        <v>18.28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Blue sky scenario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Between 1.5 to 2</t>
        </is>
      </c>
      <c r="BU307" s="31">
        <f>IF(BT307="Above 2",0,IF(BT307="Between 1.5 to 2",5,IF(BT307="Less than 1.5",10,0)))</f>
        <v/>
      </c>
      <c r="BV307" s="31" t="inlineStr">
        <is>
          <t>Less than 50%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IF(B308=0,"",RANK(B308,$B$2:$B$354,0))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WABAG</t>
        </is>
      </c>
      <c r="D308" s="31" t="inlineStr">
        <is>
          <t>Va Tech Wabag Limited</t>
        </is>
      </c>
      <c r="E308" s="31" t="inlineStr">
        <is>
          <t>realty</t>
        </is>
      </c>
      <c r="F308" s="31" t="inlineStr">
        <is>
          <t>engineering - turnkey services</t>
        </is>
      </c>
      <c r="G308" s="31" t="inlineStr">
        <is>
          <t>midcap</t>
        </is>
      </c>
      <c r="H308" s="32" t="n">
        <v>13190.94</v>
      </c>
      <c r="I308" s="32" t="n">
        <v>2100.2</v>
      </c>
      <c r="J308" s="32" t="n">
        <v>-0.79</v>
      </c>
      <c r="K308" s="32" t="n">
        <v>377949</v>
      </c>
      <c r="L308" s="31" t="n">
        <v>73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69.20999999999999</v>
      </c>
      <c r="P308" s="32" t="n">
        <v>30.3</v>
      </c>
      <c r="Q308" s="32" t="n">
        <v>1732.74</v>
      </c>
      <c r="R308" s="31" t="inlineStr">
        <is>
          <t>Earnings / Momentum Support</t>
        </is>
      </c>
      <c r="S308" s="31" t="inlineStr">
        <is>
          <t>Nifty Realty</t>
        </is>
      </c>
      <c r="T308" s="32" t="n">
        <v>-2.45</v>
      </c>
      <c r="U308" s="32" t="n">
        <v>29.96</v>
      </c>
      <c r="V308" s="32" t="n">
        <v>33.22</v>
      </c>
      <c r="W308" s="32" t="n">
        <v>17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Between 1.5 to 2</t>
        </is>
      </c>
      <c r="BU308" s="31">
        <f>IF(BT308="Above 2",0,IF(BT308="Between 1.5 to 2",5,IF(BT308="Less than 1.5",10,0)))</f>
        <v/>
      </c>
      <c r="BV308" s="31" t="inlineStr">
        <is>
          <t>Less than 50%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IF(B309=0,"",RANK(B309,$B$2:$B$354,0))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AJAXENGG</t>
        </is>
      </c>
      <c r="D309" s="33" t="inlineStr">
        <is>
          <t>Ajax Engineering Ltd</t>
        </is>
      </c>
      <c r="E309" s="31" t="inlineStr">
        <is>
          <t>industrials</t>
        </is>
      </c>
      <c r="F309" s="31" t="inlineStr">
        <is>
          <t>engineering</t>
        </is>
      </c>
      <c r="G309" s="31" t="inlineStr">
        <is>
          <t>midcap</t>
        </is>
      </c>
      <c r="H309" s="32" t="n">
        <v>6794.05</v>
      </c>
      <c r="I309" s="32" t="n">
        <v>588</v>
      </c>
      <c r="J309" s="32" t="n">
        <v>-0.99</v>
      </c>
      <c r="K309" s="32" t="n">
        <v>61360</v>
      </c>
      <c r="L309" s="31" t="n">
        <v>7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57.07</v>
      </c>
      <c r="P309" s="32" t="n">
        <v>10.03</v>
      </c>
      <c r="Q309" s="32" t="n">
        <v>463.41</v>
      </c>
      <c r="R309" s="31" t="inlineStr">
        <is>
          <t>Earnings / Momentum Support</t>
        </is>
      </c>
      <c r="S309" s="31" t="inlineStr">
        <is>
          <t>Nifty 50</t>
        </is>
      </c>
      <c r="T309" s="32" t="n">
        <v>-2.61</v>
      </c>
      <c r="U309" s="32" t="n">
        <v>-12.54</v>
      </c>
      <c r="V309" s="32" t="n">
        <v>-10.19</v>
      </c>
      <c r="W309" s="32" t="n">
        <v>0.42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IF(B310=0,"",RANK(B310,$B$2:$B$354,0))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TIMETECHNO</t>
        </is>
      </c>
      <c r="D310" s="33" t="inlineStr">
        <is>
          <t>Time Technoplast Limited</t>
        </is>
      </c>
      <c r="E310" s="31" t="inlineStr">
        <is>
          <t>plastic products</t>
        </is>
      </c>
      <c r="F310" s="31" t="inlineStr">
        <is>
          <t>plastics products</t>
        </is>
      </c>
      <c r="G310" s="31" t="inlineStr">
        <is>
          <t>midcap</t>
        </is>
      </c>
      <c r="H310" s="32" t="n">
        <v>10519.86</v>
      </c>
      <c r="I310" s="32" t="n">
        <v>207.86</v>
      </c>
      <c r="J310" s="32" t="n">
        <v>-2.46</v>
      </c>
      <c r="K310" s="32" t="n">
        <v>3466856</v>
      </c>
      <c r="L310" s="31" t="n">
        <v>11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62.21</v>
      </c>
      <c r="P310" s="32" t="n">
        <v>8.609999999999999</v>
      </c>
      <c r="Q310" s="32" t="n">
        <v>164.75</v>
      </c>
      <c r="R310" s="31" t="inlineStr">
        <is>
          <t>Earnings / Momentum Support</t>
        </is>
      </c>
      <c r="S310" s="31" t="inlineStr">
        <is>
          <t>Nifty 50</t>
        </is>
      </c>
      <c r="T310" s="32" t="n">
        <v>-2.61</v>
      </c>
      <c r="U310" s="32" t="n">
        <v>-6.84</v>
      </c>
      <c r="V310" s="32" t="n">
        <v>-4.34</v>
      </c>
      <c r="W310" s="32" t="n">
        <v>1.76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Between 1.5 to 2</t>
        </is>
      </c>
      <c r="BU310" s="31">
        <f>IF(BT310="Above 2",0,IF(BT310="Between 1.5 to 2",5,IF(BT310="Less than 1.5",10,0)))</f>
        <v/>
      </c>
      <c r="BV310" s="31" t="inlineStr">
        <is>
          <t>Less than 50%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IF(B311=0,"",RANK(B311,$B$2:$B$354,0))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JUBLPHARMA</t>
        </is>
      </c>
      <c r="D311" s="33" t="inlineStr">
        <is>
          <t>Jubilant Pharmova Ltd</t>
        </is>
      </c>
      <c r="E311" s="31" t="inlineStr">
        <is>
          <t>healthcare</t>
        </is>
      </c>
      <c r="F311" s="31" t="inlineStr">
        <is>
          <t>pharmaceuticals - indian - bulk drugs</t>
        </is>
      </c>
      <c r="G311" s="31" t="inlineStr">
        <is>
          <t>midcap</t>
        </is>
      </c>
      <c r="H311" s="32" t="n">
        <v>16308</v>
      </c>
      <c r="I311" s="32" t="n">
        <v>1007.8</v>
      </c>
      <c r="J311" s="32" t="n">
        <v>-1.57</v>
      </c>
      <c r="K311" s="32" t="n">
        <v>71486</v>
      </c>
      <c r="L311" s="31" t="n">
        <v>3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56.09</v>
      </c>
      <c r="P311" s="32" t="n">
        <v>8.17</v>
      </c>
      <c r="Q311" s="32" t="n">
        <v>851.24</v>
      </c>
      <c r="R311" s="31" t="inlineStr">
        <is>
          <t>Earnings / Momentum Support</t>
        </is>
      </c>
      <c r="S311" s="31" t="inlineStr">
        <is>
          <t>Nifty Pharma</t>
        </is>
      </c>
      <c r="T311" s="32" t="n">
        <v>15.14</v>
      </c>
      <c r="U311" s="32" t="n">
        <v>-14.49</v>
      </c>
      <c r="V311" s="32" t="n">
        <v>-25.73</v>
      </c>
      <c r="W311" s="32" t="n">
        <v>-1.51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IF(B312=0,"",RANK(B312,$B$2:$B$354,0))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INDIACEM</t>
        </is>
      </c>
      <c r="D312" s="31" t="inlineStr">
        <is>
          <t>The India Cements Limited</t>
        </is>
      </c>
      <c r="E312" s="31" t="inlineStr">
        <is>
          <t>building materials</t>
        </is>
      </c>
      <c r="F312" s="31" t="inlineStr">
        <is>
          <t>cement - south india</t>
        </is>
      </c>
      <c r="G312" s="31" t="inlineStr">
        <is>
          <t>midcap</t>
        </is>
      </c>
      <c r="H312" s="32" t="n">
        <v>12163.47</v>
      </c>
      <c r="I312" s="32" t="n">
        <v>405.2</v>
      </c>
      <c r="J312" s="32" t="n">
        <v>3.24</v>
      </c>
      <c r="K312" s="32" t="n">
        <v>1132722</v>
      </c>
      <c r="L312" s="31" t="n">
        <v>15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53.38</v>
      </c>
      <c r="P312" s="32" t="n">
        <v>19.92</v>
      </c>
      <c r="Q312" s="32" t="n">
        <v>322.98</v>
      </c>
      <c r="R312" s="31" t="inlineStr">
        <is>
          <t>Volume Spike / Accumulation</t>
        </is>
      </c>
      <c r="S312" s="31" t="inlineStr">
        <is>
          <t>Nifty Infra</t>
        </is>
      </c>
      <c r="T312" s="32" t="n">
        <v>4.24</v>
      </c>
      <c r="U312" s="32" t="n">
        <v>12.84</v>
      </c>
      <c r="V312" s="32" t="n">
        <v>8.25</v>
      </c>
      <c r="W312" s="32" t="n">
        <v>2.5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1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IF(B313=0,"",RANK(B313,$B$2:$B$354,0))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ELGIEQUIP</t>
        </is>
      </c>
      <c r="D313" s="31" t="inlineStr">
        <is>
          <t>Elgi Equipments Limited</t>
        </is>
      </c>
      <c r="E313" s="31" t="inlineStr">
        <is>
          <t>industrials</t>
        </is>
      </c>
      <c r="F313" s="31" t="inlineStr">
        <is>
          <t>compressors / drilling equipment</t>
        </is>
      </c>
      <c r="G313" s="31" t="inlineStr">
        <is>
          <t>midcap</t>
        </is>
      </c>
      <c r="H313" s="32" t="n">
        <v>18634.25</v>
      </c>
      <c r="I313" s="32" t="n">
        <v>601</v>
      </c>
      <c r="J313" s="32" t="n">
        <v>2.21</v>
      </c>
      <c r="K313" s="32" t="n">
        <v>584931</v>
      </c>
      <c r="L313" s="31" t="n">
        <v>22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61.98</v>
      </c>
      <c r="P313" s="32" t="n">
        <v>17.07</v>
      </c>
      <c r="Q313" s="32" t="n">
        <v>496.39</v>
      </c>
      <c r="R313" s="31" t="inlineStr">
        <is>
          <t>Near 52W High Breakout</t>
        </is>
      </c>
      <c r="S313" s="31" t="inlineStr">
        <is>
          <t>Nifty 50</t>
        </is>
      </c>
      <c r="T313" s="32" t="n">
        <v>-2.61</v>
      </c>
      <c r="U313" s="32" t="n">
        <v>5.36</v>
      </c>
      <c r="V313" s="32" t="n">
        <v>8.19</v>
      </c>
      <c r="W313" s="32" t="n">
        <v>4.33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Between 1.5 to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IF(B314=0,"",RANK(B314,$B$2:$B$354,0))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NAHARINDUS</t>
        </is>
      </c>
      <c r="D314" s="33" t="inlineStr">
        <is>
          <t>Nahar Industrial Enterprises Limited</t>
        </is>
      </c>
      <c r="E314" s="31" t="inlineStr">
        <is>
          <t>textiles</t>
        </is>
      </c>
      <c r="F314" s="31" t="inlineStr">
        <is>
          <t>textiles - cotton/blended</t>
        </is>
      </c>
      <c r="G314" s="31" t="inlineStr">
        <is>
          <t>smallcap</t>
        </is>
      </c>
      <c r="H314" s="32" t="n">
        <v>502.78</v>
      </c>
      <c r="I314" s="32" t="n">
        <v>118.5</v>
      </c>
      <c r="J314" s="32" t="n">
        <v>1.83</v>
      </c>
      <c r="K314" s="32" t="n">
        <v>10001</v>
      </c>
      <c r="L314" s="31" t="n">
        <v>10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57.39</v>
      </c>
      <c r="P314" s="32" t="n">
        <v>16.55</v>
      </c>
      <c r="Q314" s="32" t="n">
        <v>95.83</v>
      </c>
      <c r="R314" s="31" t="inlineStr">
        <is>
          <t>Near 52W High Breakout</t>
        </is>
      </c>
      <c r="S314" s="31" t="inlineStr">
        <is>
          <t>Nifty 50</t>
        </is>
      </c>
      <c r="T314" s="32" t="n">
        <v>-2.61</v>
      </c>
      <c r="U314" s="32" t="n">
        <v>-5.52</v>
      </c>
      <c r="V314" s="32" t="n">
        <v>-2.98</v>
      </c>
      <c r="W314" s="32" t="n">
        <v>1.7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Less than 50%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IF(B315=0,"",RANK(B315,$B$2:$B$354,0))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LLOYDSME</t>
        </is>
      </c>
      <c r="D315" s="33" t="inlineStr">
        <is>
          <t>Lloyds Metals &amp; Energy Ltd</t>
        </is>
      </c>
      <c r="E315" s="31" t="inlineStr">
        <is>
          <t>metals &amp; mining</t>
        </is>
      </c>
      <c r="F315" s="31" t="inlineStr">
        <is>
          <t>mining / minerals / metals</t>
        </is>
      </c>
      <c r="G315" s="31" t="inlineStr">
        <is>
          <t>largecap</t>
        </is>
      </c>
      <c r="H315" s="32" t="n">
        <v>107397.02</v>
      </c>
      <c r="I315" s="32" t="n">
        <v>1936.4</v>
      </c>
      <c r="J315" s="32" t="n">
        <v>1.49</v>
      </c>
      <c r="K315" s="32" t="n">
        <v>681812</v>
      </c>
      <c r="L315" s="31" t="n">
        <v>53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74.45999999999999</v>
      </c>
      <c r="P315" s="32" t="n">
        <v>44.68</v>
      </c>
      <c r="Q315" s="32" t="n">
        <v>1599.12</v>
      </c>
      <c r="R315" s="31" t="inlineStr">
        <is>
          <t>Near 52W High Breakout</t>
        </is>
      </c>
      <c r="S315" s="31" t="inlineStr">
        <is>
          <t>Nifty Metal</t>
        </is>
      </c>
      <c r="T315" s="32" t="n">
        <v>33.93</v>
      </c>
      <c r="U315" s="32" t="n">
        <v>28.8</v>
      </c>
      <c r="V315" s="32" t="n">
        <v>-3.83</v>
      </c>
      <c r="W315" s="32" t="n">
        <v>10.57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Above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Less than 50% and Borrowings are increasing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IF(B316=0,"",RANK(B316,$B$2:$B$354,0))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LANDMARK</t>
        </is>
      </c>
      <c r="D316" s="31" t="inlineStr">
        <is>
          <t>Landmark Cars Ltd</t>
        </is>
      </c>
      <c r="E316" s="31" t="inlineStr">
        <is>
          <t>consumer discretionary</t>
        </is>
      </c>
      <c r="F316" s="31" t="inlineStr">
        <is>
          <t>trading</t>
        </is>
      </c>
      <c r="G316" s="31" t="inlineStr">
        <is>
          <t>smallcap</t>
        </is>
      </c>
      <c r="H316" s="32" t="n">
        <v>2219.82</v>
      </c>
      <c r="I316" s="32" t="n">
        <v>532.2</v>
      </c>
      <c r="J316" s="32" t="n">
        <v>-0.59</v>
      </c>
      <c r="K316" s="32" t="n">
        <v>610275</v>
      </c>
      <c r="L316" s="31" t="n">
        <v>57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66.11</v>
      </c>
      <c r="P316" s="32" t="n">
        <v>16.75</v>
      </c>
      <c r="Q316" s="32" t="n">
        <v>390.98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-2.61</v>
      </c>
      <c r="U316" s="32" t="n">
        <v>7.03</v>
      </c>
      <c r="V316" s="32" t="n">
        <v>9.9</v>
      </c>
      <c r="W316" s="32" t="n">
        <v>11.57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IF(B317=0,"",RANK(B317,$B$2:$B$354,0))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EIFFL</t>
        </is>
      </c>
      <c r="D317" s="31" t="inlineStr">
        <is>
          <t>Euro India Fresh Foods Ltd</t>
        </is>
      </c>
      <c r="E317" s="31" t="inlineStr">
        <is>
          <t>fmcg</t>
        </is>
      </c>
      <c r="F317" s="31" t="inlineStr">
        <is>
          <t>food - processing - indian</t>
        </is>
      </c>
      <c r="G317" s="31" t="inlineStr">
        <is>
          <t>smallcap</t>
        </is>
      </c>
      <c r="H317" s="32" t="n">
        <v>794.84</v>
      </c>
      <c r="I317" s="32" t="n">
        <v>327</v>
      </c>
      <c r="J317" s="32" t="n">
        <v>2.03</v>
      </c>
      <c r="K317" s="32" t="n">
        <v>23588</v>
      </c>
      <c r="L317" s="31" t="n">
        <v>60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68.09</v>
      </c>
      <c r="P317" s="32" t="n">
        <v>26.61</v>
      </c>
      <c r="Q317" s="32" t="n">
        <v>255.28</v>
      </c>
      <c r="R317" s="31" t="inlineStr">
        <is>
          <t>Earnings / Momentum Support</t>
        </is>
      </c>
      <c r="S317" s="31" t="inlineStr">
        <is>
          <t>Nifty FMCG</t>
        </is>
      </c>
      <c r="T317" s="32" t="n">
        <v>-10.38</v>
      </c>
      <c r="U317" s="32" t="n">
        <v>32.47</v>
      </c>
      <c r="V317" s="32" t="n">
        <v>47.81</v>
      </c>
      <c r="W317" s="32" t="n">
        <v>12.15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B2C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Annuity, Lower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Between 50% to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IF(B318=0,"",RANK(B318,$B$2:$B$354,0))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TVSMOTOR</t>
        </is>
      </c>
      <c r="D318" s="31" t="inlineStr">
        <is>
          <t>Tvs Motor Company Limited</t>
        </is>
      </c>
      <c r="E318" s="31" t="inlineStr">
        <is>
          <t>auto</t>
        </is>
      </c>
      <c r="F318" s="31" t="inlineStr">
        <is>
          <t>automobiles - motorcycles / mopeds</t>
        </is>
      </c>
      <c r="G318" s="31" t="inlineStr">
        <is>
          <t>largecap</t>
        </is>
      </c>
      <c r="H318" s="32" t="n">
        <v>170565.78</v>
      </c>
      <c r="I318" s="32" t="n">
        <v>3792</v>
      </c>
      <c r="J318" s="32" t="n">
        <v>5.62</v>
      </c>
      <c r="K318" s="32" t="n">
        <v>2391108</v>
      </c>
      <c r="L318" s="31" t="n">
        <v>45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59.26</v>
      </c>
      <c r="P318" s="32" t="n">
        <v>9.949999999999999</v>
      </c>
      <c r="Q318" s="32" t="n">
        <v>3145.77</v>
      </c>
      <c r="R318" s="31" t="inlineStr">
        <is>
          <t>Near 52W High Breakout</t>
        </is>
      </c>
      <c r="S318" s="31" t="inlineStr">
        <is>
          <t>Nifty Auto</t>
        </is>
      </c>
      <c r="T318" s="32" t="n">
        <v>14.71</v>
      </c>
      <c r="U318" s="32" t="n">
        <v>37.16</v>
      </c>
      <c r="V318" s="32" t="n">
        <v>19.56</v>
      </c>
      <c r="W318" s="32" t="n">
        <v>8.880000000000001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Blue sky scenario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Between 12 to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 and Borrowings are increasing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IF(B319=0,"",RANK(B319,$B$2:$B$354,0))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SANATHAN</t>
        </is>
      </c>
      <c r="D319" s="33" t="inlineStr">
        <is>
          <t>Sanathan Textiles Ltd</t>
        </is>
      </c>
      <c r="E319" s="31" t="inlineStr">
        <is>
          <t>textiles</t>
        </is>
      </c>
      <c r="F319" s="31" t="inlineStr">
        <is>
          <t>textiles - cotton/blended</t>
        </is>
      </c>
      <c r="G319" s="31" t="inlineStr">
        <is>
          <t>smallcap</t>
        </is>
      </c>
      <c r="H319" s="32" t="n">
        <v>3745.85</v>
      </c>
      <c r="I319" s="32" t="n">
        <v>467.35</v>
      </c>
      <c r="J319" s="32" t="n">
        <v>5.31</v>
      </c>
      <c r="K319" s="32" t="n">
        <v>135486</v>
      </c>
      <c r="L319" s="31" t="n">
        <v>4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61.23</v>
      </c>
      <c r="P319" s="32" t="n">
        <v>12.16</v>
      </c>
      <c r="Q319" s="32" t="n">
        <v>362.01</v>
      </c>
      <c r="R319" s="31" t="inlineStr">
        <is>
          <t>Earnings / Momentum Support</t>
        </is>
      </c>
      <c r="S319" s="31" t="inlineStr">
        <is>
          <t>Nifty 50</t>
        </is>
      </c>
      <c r="T319" s="32" t="n">
        <v>-2.61</v>
      </c>
      <c r="U319" s="32" t="n">
        <v>-10.73</v>
      </c>
      <c r="V319" s="32" t="n">
        <v>-8.33</v>
      </c>
      <c r="W319" s="32" t="n">
        <v>-0.45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IF(B320=0,"",RANK(B320,$B$2:$B$354,0))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RITCO</t>
        </is>
      </c>
      <c r="D320" s="33" t="inlineStr">
        <is>
          <t>Ritco Logistics Ltd</t>
        </is>
      </c>
      <c r="E320" s="31" t="inlineStr">
        <is>
          <t>transportation</t>
        </is>
      </c>
      <c r="F320" s="31" t="inlineStr">
        <is>
          <t>miscellaneous</t>
        </is>
      </c>
      <c r="G320" s="31" t="inlineStr">
        <is>
          <t>smallcap</t>
        </is>
      </c>
      <c r="H320" s="32" t="n">
        <v>794.42</v>
      </c>
      <c r="I320" s="32" t="n">
        <v>280</v>
      </c>
      <c r="J320" s="32" t="n">
        <v>0.88</v>
      </c>
      <c r="K320" s="32" t="n">
        <v>221015</v>
      </c>
      <c r="L320" s="31" t="n">
        <v>34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60.31</v>
      </c>
      <c r="P320" s="32" t="n">
        <v>28.36</v>
      </c>
      <c r="Q320" s="32" t="n">
        <v>206.09</v>
      </c>
      <c r="R320" s="31" t="inlineStr">
        <is>
          <t>Near 52W High Breakout</t>
        </is>
      </c>
      <c r="S320" s="31" t="inlineStr">
        <is>
          <t>Nifty 50</t>
        </is>
      </c>
      <c r="T320" s="32" t="n">
        <v>-2.61</v>
      </c>
      <c r="U320" s="32" t="n">
        <v>-3.52</v>
      </c>
      <c r="V320" s="32" t="n">
        <v>-0.93</v>
      </c>
      <c r="W320" s="32" t="n">
        <v>6.87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Negative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IF(B321=0,"",RANK(B321,$B$2:$B$354,0))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AUTOAXLES</t>
        </is>
      </c>
      <c r="D321" s="33" t="inlineStr">
        <is>
          <t>Automotive Axles Limited</t>
        </is>
      </c>
      <c r="E321" s="31" t="inlineStr">
        <is>
          <t>auto</t>
        </is>
      </c>
      <c r="F321" s="31" t="inlineStr">
        <is>
          <t>auto ancillaries</t>
        </is>
      </c>
      <c r="G321" s="31" t="inlineStr">
        <is>
          <t>smallcap</t>
        </is>
      </c>
      <c r="H321" s="32" t="n">
        <v>2778.34</v>
      </c>
      <c r="I321" s="32" t="n">
        <v>1835</v>
      </c>
      <c r="J321" s="32" t="n">
        <v>-0.19</v>
      </c>
      <c r="K321" s="32" t="n">
        <v>5719</v>
      </c>
      <c r="L321" s="31" t="n">
        <v>6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53.05</v>
      </c>
      <c r="P321" s="32" t="n">
        <v>7.27</v>
      </c>
      <c r="Q321" s="32" t="n">
        <v>1490.97</v>
      </c>
      <c r="R321" s="31" t="inlineStr">
        <is>
          <t>Earnings / Momentum Support</t>
        </is>
      </c>
      <c r="S321" s="31" t="inlineStr">
        <is>
          <t>Nifty Auto</t>
        </is>
      </c>
      <c r="T321" s="32" t="n">
        <v>14.71</v>
      </c>
      <c r="U321" s="32" t="n">
        <v>-1.68</v>
      </c>
      <c r="V321" s="32" t="n">
        <v>-14.29</v>
      </c>
      <c r="W321" s="32" t="n">
        <v>0.36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Between 12 to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IF(B322=0,"",RANK(B322,$B$2:$B$354,0))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UNOMINDA</t>
        </is>
      </c>
      <c r="D322" s="33" t="inlineStr">
        <is>
          <t>Uno Minda Ltd</t>
        </is>
      </c>
      <c r="E322" s="31" t="inlineStr">
        <is>
          <t>auto</t>
        </is>
      </c>
      <c r="F322" s="31" t="inlineStr">
        <is>
          <t>auto ancillaries</t>
        </is>
      </c>
      <c r="G322" s="31" t="inlineStr">
        <is>
          <t>largecap</t>
        </is>
      </c>
      <c r="H322" s="32" t="n">
        <v>66662.81</v>
      </c>
      <c r="I322" s="32" t="n">
        <v>1151</v>
      </c>
      <c r="J322" s="32" t="n">
        <v>-0.29</v>
      </c>
      <c r="K322" s="32" t="n">
        <v>541121</v>
      </c>
      <c r="L322" s="31" t="n">
        <v>12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51.88</v>
      </c>
      <c r="P322" s="32" t="n">
        <v>15.8</v>
      </c>
      <c r="Q322" s="32" t="n">
        <v>950.67</v>
      </c>
      <c r="R322" s="31" t="inlineStr">
        <is>
          <t>Earnings / Momentum Support</t>
        </is>
      </c>
      <c r="S322" s="31" t="inlineStr">
        <is>
          <t>Nifty Auto</t>
        </is>
      </c>
      <c r="T322" s="32" t="n">
        <v>14.71</v>
      </c>
      <c r="U322" s="32" t="n">
        <v>5.98</v>
      </c>
      <c r="V322" s="32" t="n">
        <v>-7.61</v>
      </c>
      <c r="W322" s="32" t="n">
        <v>2.04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1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IF(B323=0,"",RANK(B323,$B$2:$B$354,0))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ETHOSLTD</t>
        </is>
      </c>
      <c r="D323" s="33" t="inlineStr">
        <is>
          <t>Ethos Ltd</t>
        </is>
      </c>
      <c r="E323" s="31" t="inlineStr">
        <is>
          <t>consumer discretionary</t>
        </is>
      </c>
      <c r="F323" s="31" t="inlineStr">
        <is>
          <t>trading</t>
        </is>
      </c>
      <c r="G323" s="31" t="inlineStr">
        <is>
          <t>midcap</t>
        </is>
      </c>
      <c r="H323" s="32" t="n">
        <v>7100.96</v>
      </c>
      <c r="I323" s="32" t="n">
        <v>2614</v>
      </c>
      <c r="J323" s="32" t="n">
        <v>-1.5</v>
      </c>
      <c r="K323" s="32" t="n">
        <v>16694</v>
      </c>
      <c r="L323" s="31" t="n">
        <v>4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56.35</v>
      </c>
      <c r="P323" s="32" t="n">
        <v>8.970000000000001</v>
      </c>
      <c r="Q323" s="32" t="n">
        <v>2063.82</v>
      </c>
      <c r="R323" s="31" t="inlineStr">
        <is>
          <t>Earnings / Momentum Support</t>
        </is>
      </c>
      <c r="S323" s="31" t="inlineStr">
        <is>
          <t>Nifty 50</t>
        </is>
      </c>
      <c r="T323" s="32" t="n">
        <v>-2.61</v>
      </c>
      <c r="U323" s="32" t="n">
        <v>-7.98</v>
      </c>
      <c r="V323" s="32" t="n">
        <v>-5.51</v>
      </c>
      <c r="W323" s="32" t="n">
        <v>-1.44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IF(B324=0,"",RANK(B324,$B$2:$B$354,0))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SILVERTUC</t>
        </is>
      </c>
      <c r="D324" s="33" t="inlineStr">
        <is>
          <t>Silver Touch Technologies Ltd</t>
        </is>
      </c>
      <c r="E324" s="31" t="inlineStr">
        <is>
          <t>i.t</t>
        </is>
      </c>
      <c r="F324" s="31" t="inlineStr">
        <is>
          <t>computers - software - medium / small</t>
        </is>
      </c>
      <c r="G324" s="31" t="inlineStr">
        <is>
          <t>smallcap</t>
        </is>
      </c>
      <c r="H324" s="32" t="n">
        <v>2463.16</v>
      </c>
      <c r="I324" s="32" t="n">
        <v>194.55</v>
      </c>
      <c r="J324" s="32" t="n">
        <v>0.16</v>
      </c>
      <c r="K324" s="32" t="n">
        <v>227273</v>
      </c>
      <c r="L324" s="31" t="n">
        <v>2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42.62</v>
      </c>
      <c r="P324" s="32" t="n">
        <v>25.35</v>
      </c>
      <c r="Q324" s="32" t="n">
        <v>98.98999999999999</v>
      </c>
      <c r="R324" s="31" t="inlineStr">
        <is>
          <t>Earnings / Momentum Support</t>
        </is>
      </c>
      <c r="S324" s="31" t="inlineStr">
        <is>
          <t>Nifty IT</t>
        </is>
      </c>
      <c r="T324" s="32" t="n">
        <v>-18.64</v>
      </c>
      <c r="U324" s="32" t="n">
        <v>-75.27</v>
      </c>
      <c r="V324" s="32" t="n">
        <v>-69.59999999999999</v>
      </c>
      <c r="W324" s="32" t="n">
        <v>-2.76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Below 45</t>
        </is>
      </c>
      <c r="BA324" s="31">
        <f>IF(AZ324="Between 50 to 75",10,IF(AZ324="Above 75",0,0))</f>
        <v/>
      </c>
      <c r="BB324" s="31" t="inlineStr">
        <is>
          <t>Stage 4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Between 1.5 to 2</t>
        </is>
      </c>
      <c r="BU324" s="31">
        <f>IF(BT324="Above 2",0,IF(BT324="Between 1.5 to 2",5,IF(BT324="Less than 1.5",10,0)))</f>
        <v/>
      </c>
      <c r="BV324" s="31" t="inlineStr">
        <is>
          <t>Less than 50%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IF(B325=0,"",RANK(B325,$B$2:$B$354,0))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RAJRATAN</t>
        </is>
      </c>
      <c r="D325" s="33" t="inlineStr">
        <is>
          <t>Rajratan Global Wire Ltd</t>
        </is>
      </c>
      <c r="E325" s="31" t="inlineStr">
        <is>
          <t>metals &amp; mining</t>
        </is>
      </c>
      <c r="F325" s="31" t="inlineStr">
        <is>
          <t>steel - medium / small</t>
        </is>
      </c>
      <c r="G325" s="31" t="inlineStr">
        <is>
          <t>smallcap</t>
        </is>
      </c>
      <c r="H325" s="32" t="n">
        <v>2455.29</v>
      </c>
      <c r="I325" s="32" t="n">
        <v>509.9</v>
      </c>
      <c r="J325" s="32" t="n">
        <v>5.44</v>
      </c>
      <c r="K325" s="32" t="n">
        <v>2517210</v>
      </c>
      <c r="L325" s="31" t="n">
        <v>50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64.75</v>
      </c>
      <c r="P325" s="32" t="n">
        <v>11.97</v>
      </c>
      <c r="Q325" s="32" t="n">
        <v>377.61</v>
      </c>
      <c r="R325" s="31" t="inlineStr">
        <is>
          <t>Volume Spike &amp; Near 52W High Breakout</t>
        </is>
      </c>
      <c r="S325" s="31" t="inlineStr">
        <is>
          <t>Nifty Metal</t>
        </is>
      </c>
      <c r="T325" s="32" t="n">
        <v>33.93</v>
      </c>
      <c r="U325" s="32" t="n">
        <v>27.58</v>
      </c>
      <c r="V325" s="32" t="n">
        <v>-4.75</v>
      </c>
      <c r="W325" s="32" t="n">
        <v>10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Between 50% to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IF(B326=0,"",RANK(B326,$B$2:$B$354,0))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TBOTEK</t>
        </is>
      </c>
      <c r="D326" s="31" t="inlineStr">
        <is>
          <t>TBO Tek Ltd</t>
        </is>
      </c>
      <c r="E326" s="31" t="inlineStr">
        <is>
          <t>i.t</t>
        </is>
      </c>
      <c r="F326" s="31" t="inlineStr">
        <is>
          <t>travel agencies</t>
        </is>
      </c>
      <c r="G326" s="31" t="inlineStr">
        <is>
          <t>midcap</t>
        </is>
      </c>
      <c r="H326" s="32" t="n">
        <v>15686.59</v>
      </c>
      <c r="I326" s="32" t="n">
        <v>1469</v>
      </c>
      <c r="J326" s="32" t="n">
        <v>1.69</v>
      </c>
      <c r="K326" s="32" t="n">
        <v>169229</v>
      </c>
      <c r="L326" s="31" t="n">
        <v>29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56.86</v>
      </c>
      <c r="P326" s="32" t="n">
        <v>15.15</v>
      </c>
      <c r="Q326" s="32" t="n">
        <v>1181.74</v>
      </c>
      <c r="R326" s="31" t="inlineStr">
        <is>
          <t>Earnings / Momentum Support</t>
        </is>
      </c>
      <c r="S326" s="31" t="inlineStr">
        <is>
          <t>Nifty IT</t>
        </is>
      </c>
      <c r="T326" s="32" t="n">
        <v>-18.64</v>
      </c>
      <c r="U326" s="32" t="n">
        <v>6.58</v>
      </c>
      <c r="V326" s="32" t="n">
        <v>30.99</v>
      </c>
      <c r="W326" s="32" t="n">
        <v>5.64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Negative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IF(B327=0,"",RANK(B327,$B$2:$B$354,0))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GAIL</t>
        </is>
      </c>
      <c r="D327" s="33" t="inlineStr">
        <is>
          <t>Gail (india) Limited</t>
        </is>
      </c>
      <c r="E327" s="31" t="inlineStr">
        <is>
          <t>energy</t>
        </is>
      </c>
      <c r="F327" s="31" t="inlineStr">
        <is>
          <t>miscellaneous</t>
        </is>
      </c>
      <c r="G327" s="31" t="inlineStr">
        <is>
          <t>largecap</t>
        </is>
      </c>
      <c r="H327" s="32" t="n">
        <v>113755.8</v>
      </c>
      <c r="I327" s="32" t="n">
        <v>173.99</v>
      </c>
      <c r="J327" s="32" t="n">
        <v>0.57</v>
      </c>
      <c r="K327" s="32" t="n">
        <v>4650768</v>
      </c>
      <c r="L327" s="31" t="n">
        <v>8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58.56</v>
      </c>
      <c r="P327" s="32" t="n">
        <v>5.38</v>
      </c>
      <c r="Q327" s="32" t="n">
        <v>149.55</v>
      </c>
      <c r="R327" s="31" t="inlineStr">
        <is>
          <t>Near 52W High Breakout</t>
        </is>
      </c>
      <c r="S327" s="31" t="inlineStr">
        <is>
          <t>Nifty Energy</t>
        </is>
      </c>
      <c r="T327" s="32" t="n">
        <v>12.3</v>
      </c>
      <c r="U327" s="32" t="n">
        <v>-1.67</v>
      </c>
      <c r="V327" s="32" t="n">
        <v>-12.44</v>
      </c>
      <c r="W327" s="32" t="n">
        <v>0.87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IF(B328=0,"",RANK(B328,$B$2:$B$354,0))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MRPL</t>
        </is>
      </c>
      <c r="D328" s="31" t="inlineStr">
        <is>
          <t>Mangalore Refinery And Petrochemicals Limited</t>
        </is>
      </c>
      <c r="E328" s="31" t="inlineStr">
        <is>
          <t>energy</t>
        </is>
      </c>
      <c r="F328" s="31" t="inlineStr">
        <is>
          <t>refineries</t>
        </is>
      </c>
      <c r="G328" s="31" t="inlineStr">
        <is>
          <t>largecap</t>
        </is>
      </c>
      <c r="H328" s="32" t="n">
        <v>29955.42</v>
      </c>
      <c r="I328" s="32" t="n">
        <v>176.31</v>
      </c>
      <c r="J328" s="32" t="n">
        <v>3.15</v>
      </c>
      <c r="K328" s="32" t="n">
        <v>16272992</v>
      </c>
      <c r="L328" s="31" t="n">
        <v>22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56.78</v>
      </c>
      <c r="P328" s="32" t="n">
        <v>14.79</v>
      </c>
      <c r="Q328" s="32" t="n">
        <v>138.94</v>
      </c>
      <c r="R328" s="31" t="inlineStr">
        <is>
          <t>Earnings / Momentum Support</t>
        </is>
      </c>
      <c r="S328" s="31" t="inlineStr">
        <is>
          <t>Nifty Energy</t>
        </is>
      </c>
      <c r="T328" s="32" t="n">
        <v>12.3</v>
      </c>
      <c r="U328" s="32" t="n">
        <v>27.84</v>
      </c>
      <c r="V328" s="32" t="n">
        <v>13.84</v>
      </c>
      <c r="W328" s="32" t="n">
        <v>4.36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Oligopoly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Between 0.7 to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IF(B329=0,"",RANK(B329,$B$2:$B$354,0))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PNGJL</t>
        </is>
      </c>
      <c r="D329" s="31" t="inlineStr">
        <is>
          <t>P N Gadgil Jewellers Ltd</t>
        </is>
      </c>
      <c r="E329" s="31" t="inlineStr">
        <is>
          <t>consumer discretionary</t>
        </is>
      </c>
      <c r="F329" s="31" t="inlineStr">
        <is>
          <t>diamond cutting / jewellery</t>
        </is>
      </c>
      <c r="G329" s="31" t="inlineStr">
        <is>
          <t>midcap</t>
        </is>
      </c>
      <c r="H329" s="32" t="n">
        <v>8008.15</v>
      </c>
      <c r="I329" s="32" t="n">
        <v>602.9</v>
      </c>
      <c r="J329" s="32" t="n">
        <v>2.17</v>
      </c>
      <c r="K329" s="32" t="n">
        <v>205211</v>
      </c>
      <c r="L329" s="31" t="n">
        <v>5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52.32</v>
      </c>
      <c r="P329" s="32" t="n">
        <v>11</v>
      </c>
      <c r="Q329" s="32" t="n">
        <v>588.99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-2.61</v>
      </c>
      <c r="U329" s="32" t="n">
        <v>3.27</v>
      </c>
      <c r="V329" s="32" t="n">
        <v>6.05</v>
      </c>
      <c r="W329" s="32" t="n">
        <v>-0.34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Negative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Between 0.7 to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IF(B330=0,"",RANK(B330,$B$2:$B$354,0))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BHARTIHEXA</t>
        </is>
      </c>
      <c r="D330" s="33" t="inlineStr">
        <is>
          <t>Bharti Hexacom Ltd</t>
        </is>
      </c>
      <c r="E330" s="31" t="inlineStr">
        <is>
          <t>telecom-service</t>
        </is>
      </c>
      <c r="F330" s="31" t="inlineStr">
        <is>
          <t>telecommunications - service provider</t>
        </is>
      </c>
      <c r="G330" s="31" t="inlineStr">
        <is>
          <t>largecap</t>
        </is>
      </c>
      <c r="H330" s="32" t="n">
        <v>80860</v>
      </c>
      <c r="I330" s="32" t="n">
        <v>1645.5</v>
      </c>
      <c r="J330" s="32" t="n">
        <v>1.75</v>
      </c>
      <c r="K330" s="32" t="n">
        <v>240122</v>
      </c>
      <c r="L330" s="31" t="n">
        <v>6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57.63</v>
      </c>
      <c r="P330" s="32" t="n">
        <v>23.76</v>
      </c>
      <c r="Q330" s="32" t="n">
        <v>1366.66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-2.61</v>
      </c>
      <c r="U330" s="32" t="n">
        <v>-7.19</v>
      </c>
      <c r="V330" s="32" t="n">
        <v>-4.7</v>
      </c>
      <c r="W330" s="32" t="n">
        <v>0.23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Oligopoly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IF(B331=0,"",RANK(B331,$B$2:$B$354,0))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ICEMAKE</t>
        </is>
      </c>
      <c r="D331" s="31" t="inlineStr">
        <is>
          <t>ICE Make Refrigeration Ltd</t>
        </is>
      </c>
      <c r="E331" s="31" t="inlineStr">
        <is>
          <t>industrials</t>
        </is>
      </c>
      <c r="F331" s="31" t="inlineStr">
        <is>
          <t>engineering</t>
        </is>
      </c>
      <c r="G331" s="31" t="inlineStr">
        <is>
          <t>smallcap</t>
        </is>
      </c>
      <c r="H331" s="32" t="n">
        <v>1321.32</v>
      </c>
      <c r="I331" s="32" t="n">
        <v>844</v>
      </c>
      <c r="J331" s="32" t="n">
        <v>0.79</v>
      </c>
      <c r="K331" s="32" t="n">
        <v>37056</v>
      </c>
      <c r="L331" s="31" t="n">
        <v>17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57.44</v>
      </c>
      <c r="P331" s="32" t="n">
        <v>17.3</v>
      </c>
      <c r="Q331" s="32" t="n">
        <v>646.21</v>
      </c>
      <c r="R331" s="31" t="inlineStr">
        <is>
          <t>Near 52W High Breakout</t>
        </is>
      </c>
      <c r="S331" s="31" t="inlineStr">
        <is>
          <t>Nifty 50</t>
        </is>
      </c>
      <c r="T331" s="32" t="n">
        <v>-2.61</v>
      </c>
      <c r="U331" s="32" t="n">
        <v>7.12</v>
      </c>
      <c r="V331" s="32" t="n">
        <v>10</v>
      </c>
      <c r="W331" s="32" t="n">
        <v>2.86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Negative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IF(B332=0,"",RANK(B332,$B$2:$B$354,0))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ESABINDIA</t>
        </is>
      </c>
      <c r="D332" s="31" t="inlineStr">
        <is>
          <t>Esab India Limited</t>
        </is>
      </c>
      <c r="E332" s="31" t="inlineStr">
        <is>
          <t>industrials</t>
        </is>
      </c>
      <c r="F332" s="31" t="inlineStr">
        <is>
          <t>electrodes - welding equipment</t>
        </is>
      </c>
      <c r="G332" s="31" t="inlineStr">
        <is>
          <t>midcap</t>
        </is>
      </c>
      <c r="H332" s="32" t="n">
        <v>9074.190000000001</v>
      </c>
      <c r="I332" s="32" t="n">
        <v>5884.5</v>
      </c>
      <c r="J332" s="32" t="n">
        <v>-0.18</v>
      </c>
      <c r="K332" s="32" t="n">
        <v>2720</v>
      </c>
      <c r="L332" s="31" t="n">
        <v>13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51.07</v>
      </c>
      <c r="P332" s="32" t="n">
        <v>28.38</v>
      </c>
      <c r="Q332" s="32" t="n">
        <v>5888.42</v>
      </c>
      <c r="R332" s="31" t="inlineStr">
        <is>
          <t>Earnings / Momentum Support</t>
        </is>
      </c>
      <c r="S332" s="31" t="inlineStr">
        <is>
          <t>Nifty Infra</t>
        </is>
      </c>
      <c r="T332" s="32" t="n">
        <v>4.24</v>
      </c>
      <c r="U332" s="32" t="n">
        <v>10.56</v>
      </c>
      <c r="V332" s="32" t="n">
        <v>6.06</v>
      </c>
      <c r="W332" s="32" t="n">
        <v>2.12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No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Between 50% to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IF(B333=0,"",RANK(B333,$B$2:$B$354,0))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OPTIEMUS</t>
        </is>
      </c>
      <c r="D333" s="31" t="inlineStr">
        <is>
          <t>Optiemus Infracom Ltd</t>
        </is>
      </c>
      <c r="E333" s="31" t="inlineStr">
        <is>
          <t>telecom</t>
        </is>
      </c>
      <c r="F333" s="31" t="inlineStr">
        <is>
          <t>trading</t>
        </is>
      </c>
      <c r="G333" s="31" t="inlineStr">
        <is>
          <t>midcap</t>
        </is>
      </c>
      <c r="H333" s="32" t="n">
        <v>5383.41</v>
      </c>
      <c r="I333" s="32" t="n">
        <v>605.35</v>
      </c>
      <c r="J333" s="32" t="n">
        <v>-0.27</v>
      </c>
      <c r="K333" s="32" t="n">
        <v>217721</v>
      </c>
      <c r="L333" s="31" t="n">
        <v>66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69</v>
      </c>
      <c r="P333" s="32" t="n">
        <v>19.85</v>
      </c>
      <c r="Q333" s="32" t="n">
        <v>456.61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-2.61</v>
      </c>
      <c r="U333" s="32" t="n">
        <v>5.32</v>
      </c>
      <c r="V333" s="32" t="n">
        <v>8.15</v>
      </c>
      <c r="W333" s="32" t="n">
        <v>14.73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Oligopoly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Negative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IF(B334=0,"",RANK(B334,$B$2:$B$354,0))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GRAVITA</t>
        </is>
      </c>
      <c r="D334" s="33" t="inlineStr">
        <is>
          <t>Gravita India Limited</t>
        </is>
      </c>
      <c r="E334" s="31" t="inlineStr">
        <is>
          <t>metals &amp; mining</t>
        </is>
      </c>
      <c r="F334" s="31" t="inlineStr">
        <is>
          <t>mining / minerals / metals</t>
        </is>
      </c>
      <c r="G334" s="31" t="inlineStr">
        <is>
          <t>midcap</t>
        </is>
      </c>
      <c r="H334" s="32" t="n">
        <v>13356.38</v>
      </c>
      <c r="I334" s="32" t="n">
        <v>1802</v>
      </c>
      <c r="J334" s="32" t="n">
        <v>-0.42</v>
      </c>
      <c r="K334" s="32" t="n">
        <v>98246</v>
      </c>
      <c r="L334" s="31" t="n">
        <v>16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57.7</v>
      </c>
      <c r="P334" s="32" t="n">
        <v>16.72</v>
      </c>
      <c r="Q334" s="32" t="n">
        <v>1470.41</v>
      </c>
      <c r="R334" s="31" t="inlineStr">
        <is>
          <t>Near 52W High Breakout</t>
        </is>
      </c>
      <c r="S334" s="31" t="inlineStr">
        <is>
          <t>Nifty Metal</t>
        </is>
      </c>
      <c r="T334" s="32" t="n">
        <v>33.93</v>
      </c>
      <c r="U334" s="32" t="n">
        <v>-4.14</v>
      </c>
      <c r="V334" s="32" t="n">
        <v>-28.43</v>
      </c>
      <c r="W334" s="32" t="n">
        <v>2.57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Less than 50%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IF(B335=0,"",RANK(B335,$B$2:$B$354,0))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ABBOTINDIA</t>
        </is>
      </c>
      <c r="D335" s="33" t="inlineStr">
        <is>
          <t>Abbott India Limited</t>
        </is>
      </c>
      <c r="E335" s="31" t="inlineStr">
        <is>
          <t>healthcare</t>
        </is>
      </c>
      <c r="F335" s="31" t="inlineStr">
        <is>
          <t>pharmaceuticals - multinational</t>
        </is>
      </c>
      <c r="G335" s="31" t="inlineStr">
        <is>
          <t>largecap</t>
        </is>
      </c>
      <c r="H335" s="32" t="n">
        <v>60082.4</v>
      </c>
      <c r="I335" s="32" t="n">
        <v>28800</v>
      </c>
      <c r="J335" s="32" t="n">
        <v>1.86</v>
      </c>
      <c r="K335" s="32" t="n">
        <v>16852</v>
      </c>
      <c r="L335" s="31" t="n">
        <v>6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60.79</v>
      </c>
      <c r="P335" s="32" t="n">
        <v>13.38</v>
      </c>
      <c r="Q335" s="32" t="n">
        <v>25320.79</v>
      </c>
      <c r="R335" s="31" t="inlineStr">
        <is>
          <t>Earnings / Momentum Support</t>
        </is>
      </c>
      <c r="S335" s="31" t="inlineStr">
        <is>
          <t>Nifty Pharma</t>
        </is>
      </c>
      <c r="T335" s="32" t="n">
        <v>15.14</v>
      </c>
      <c r="U335" s="32" t="n">
        <v>-14.74</v>
      </c>
      <c r="V335" s="32" t="n">
        <v>-25.95</v>
      </c>
      <c r="W335" s="32" t="n">
        <v>0.16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Annuity, Lower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Between 50% to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IF(B336=0,"",RANK(B336,$B$2:$B$354,0))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ACI</t>
        </is>
      </c>
      <c r="D336" s="33" t="inlineStr">
        <is>
          <t>Archean Chemical Industries Ltd</t>
        </is>
      </c>
      <c r="E336" s="31" t="inlineStr">
        <is>
          <t>chemicals</t>
        </is>
      </c>
      <c r="F336" s="31" t="inlineStr">
        <is>
          <t>chemicals</t>
        </is>
      </c>
      <c r="G336" s="31" t="inlineStr">
        <is>
          <t>midcap</t>
        </is>
      </c>
      <c r="H336" s="32" t="n">
        <v>6998.86</v>
      </c>
      <c r="I336" s="32" t="n">
        <v>588.45</v>
      </c>
      <c r="J336" s="32" t="n">
        <v>3.8</v>
      </c>
      <c r="K336" s="32" t="n">
        <v>1416274</v>
      </c>
      <c r="L336" s="31" t="n">
        <v>2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55.31</v>
      </c>
      <c r="P336" s="32" t="n">
        <v>11.89</v>
      </c>
      <c r="Q336" s="32" t="n">
        <v>475.47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-2.61</v>
      </c>
      <c r="U336" s="32" t="n">
        <v>-12.31</v>
      </c>
      <c r="V336" s="32" t="n">
        <v>-9.960000000000001</v>
      </c>
      <c r="W336" s="32" t="n">
        <v>-2.71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Between 50% to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IF(B337=0,"",RANK(B337,$B$2:$B$354,0))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ULTRACEMCO</t>
        </is>
      </c>
      <c r="D337" s="33" t="inlineStr">
        <is>
          <t>Ultratech Cement Limited</t>
        </is>
      </c>
      <c r="E337" s="31" t="inlineStr">
        <is>
          <t>building materials</t>
        </is>
      </c>
      <c r="F337" s="31" t="inlineStr">
        <is>
          <t>cement - north india</t>
        </is>
      </c>
      <c r="G337" s="31" t="inlineStr">
        <is>
          <t>largecap</t>
        </is>
      </c>
      <c r="H337" s="32" t="n">
        <v>350756.62</v>
      </c>
      <c r="I337" s="32" t="n">
        <v>12094</v>
      </c>
      <c r="J337" s="32" t="n">
        <v>1.6</v>
      </c>
      <c r="K337" s="32" t="n">
        <v>830840</v>
      </c>
      <c r="L337" s="31" t="n">
        <v>5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56.11</v>
      </c>
      <c r="P337" s="32" t="n">
        <v>12.87</v>
      </c>
      <c r="Q337" s="32" t="n">
        <v>10412.11</v>
      </c>
      <c r="R337" s="31" t="inlineStr">
        <is>
          <t>Earnings / Momentum Support</t>
        </is>
      </c>
      <c r="S337" s="31" t="inlineStr">
        <is>
          <t>Nifty Infra</t>
        </is>
      </c>
      <c r="T337" s="32" t="n">
        <v>4.24</v>
      </c>
      <c r="U337" s="32" t="n">
        <v>-1.27</v>
      </c>
      <c r="V337" s="32" t="n">
        <v>-5.29</v>
      </c>
      <c r="W337" s="32" t="n">
        <v>-0.07000000000000001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1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Between 12 to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IF(B338=0,"",RANK(B338,$B$2:$B$354,0))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DEEPAKNTR</t>
        </is>
      </c>
      <c r="D338" s="33" t="inlineStr">
        <is>
          <t>Deepak Nitrite Limited</t>
        </is>
      </c>
      <c r="E338" s="31" t="inlineStr">
        <is>
          <t>chemicals</t>
        </is>
      </c>
      <c r="F338" s="31" t="inlineStr">
        <is>
          <t>chemicals</t>
        </is>
      </c>
      <c r="G338" s="31" t="inlineStr">
        <is>
          <t>largecap</t>
        </is>
      </c>
      <c r="H338" s="32" t="n">
        <v>23046.33</v>
      </c>
      <c r="I338" s="32" t="n">
        <v>1708.3</v>
      </c>
      <c r="J338" s="32" t="n">
        <v>1.1</v>
      </c>
      <c r="K338" s="32" t="n">
        <v>184894</v>
      </c>
      <c r="L338" s="31" t="n">
        <v>3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54.11</v>
      </c>
      <c r="P338" s="32" t="n">
        <v>13.17</v>
      </c>
      <c r="Q338" s="32" t="n">
        <v>1553.41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-2.61</v>
      </c>
      <c r="U338" s="32" t="n">
        <v>-9.84</v>
      </c>
      <c r="V338" s="32" t="n">
        <v>-7.42</v>
      </c>
      <c r="W338" s="32" t="n">
        <v>-1.61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Between 50% to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IF(B339=0,"",RANK(B339,$B$2:$B$354,0))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GANDHITUBE</t>
        </is>
      </c>
      <c r="D339" s="33" t="inlineStr">
        <is>
          <t>Gandhi Special Tubes Limited</t>
        </is>
      </c>
      <c r="E339" s="31" t="inlineStr">
        <is>
          <t>metals &amp; mining</t>
        </is>
      </c>
      <c r="F339" s="31" t="inlineStr">
        <is>
          <t>steel - medium / small</t>
        </is>
      </c>
      <c r="G339" s="31" t="inlineStr">
        <is>
          <t>smallcap</t>
        </is>
      </c>
      <c r="H339" s="32" t="n">
        <v>1051.39</v>
      </c>
      <c r="I339" s="32" t="n">
        <v>871.8</v>
      </c>
      <c r="J339" s="32" t="n">
        <v>0.76</v>
      </c>
      <c r="K339" s="32" t="n">
        <v>4460</v>
      </c>
      <c r="L339" s="31" t="n">
        <v>26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54.8</v>
      </c>
      <c r="P339" s="32" t="n">
        <v>11.73</v>
      </c>
      <c r="Q339" s="32" t="n">
        <v>771.36</v>
      </c>
      <c r="R339" s="31" t="inlineStr">
        <is>
          <t>Earnings / Momentum Support</t>
        </is>
      </c>
      <c r="S339" s="31" t="inlineStr">
        <is>
          <t>Nifty Metal</t>
        </is>
      </c>
      <c r="T339" s="32" t="n">
        <v>33.93</v>
      </c>
      <c r="U339" s="32" t="n">
        <v>18.13</v>
      </c>
      <c r="V339" s="32" t="n">
        <v>-11.8</v>
      </c>
      <c r="W339" s="32" t="n">
        <v>5.03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Between 50% to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IF(B340=0,"",RANK(B340,$B$2:$B$354,0))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SUMEETINDS</t>
        </is>
      </c>
      <c r="D340" s="31" t="inlineStr">
        <is>
          <t>Sumeet Industries Limited</t>
        </is>
      </c>
      <c r="E340" s="31" t="inlineStr">
        <is>
          <t>textiles</t>
        </is>
      </c>
      <c r="F340" s="31" t="inlineStr">
        <is>
          <t>textiles - manmade</t>
        </is>
      </c>
      <c r="G340" s="31" t="inlineStr">
        <is>
          <t>smallcap</t>
        </is>
      </c>
      <c r="H340" s="32" t="n">
        <v>1857.93</v>
      </c>
      <c r="I340" s="32" t="n">
        <v>33.54</v>
      </c>
      <c r="J340" s="32" t="n">
        <v>-4.99</v>
      </c>
      <c r="K340" s="32" t="n">
        <v>73062</v>
      </c>
      <c r="L340" s="31" t="n">
        <v>51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60.87</v>
      </c>
      <c r="P340" s="32" t="n">
        <v>14.77</v>
      </c>
      <c r="Q340" s="32" t="n">
        <v>25</v>
      </c>
      <c r="R340" s="31" t="inlineStr">
        <is>
          <t>Earnings / Momentum Support</t>
        </is>
      </c>
      <c r="S340" s="31" t="inlineStr">
        <is>
          <t>Nifty 50</t>
        </is>
      </c>
      <c r="T340" s="32" t="n">
        <v>-2.61</v>
      </c>
      <c r="U340" s="32" t="n">
        <v>32.11</v>
      </c>
      <c r="V340" s="32" t="n">
        <v>35.66</v>
      </c>
      <c r="W340" s="32" t="n">
        <v>10.29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Negative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IF(B341=0,"",RANK(B341,$B$2:$B$354,0))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INDIGO</t>
        </is>
      </c>
      <c r="D341" s="33" t="inlineStr">
        <is>
          <t>Interglobe Aviation Limited</t>
        </is>
      </c>
      <c r="E341" s="31" t="inlineStr">
        <is>
          <t>transportation</t>
        </is>
      </c>
      <c r="F341" s="31" t="inlineStr">
        <is>
          <t>transport - airlines</t>
        </is>
      </c>
      <c r="G341" s="31" t="inlineStr">
        <is>
          <t>largecap</t>
        </is>
      </c>
      <c r="H341" s="32" t="n">
        <v>202159.94</v>
      </c>
      <c r="I341" s="32" t="n">
        <v>5305</v>
      </c>
      <c r="J341" s="32" t="n">
        <v>1.45</v>
      </c>
      <c r="K341" s="32" t="n">
        <v>920994</v>
      </c>
      <c r="L341" s="31" t="n">
        <v>14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60.21</v>
      </c>
      <c r="P341" s="32" t="n">
        <v>22.94</v>
      </c>
      <c r="Q341" s="32" t="n">
        <v>4489.18</v>
      </c>
      <c r="R341" s="31" t="inlineStr">
        <is>
          <t>Earnings / Momentum Support</t>
        </is>
      </c>
      <c r="S341" s="31" t="inlineStr">
        <is>
          <t>Nifty 50</t>
        </is>
      </c>
      <c r="T341" s="32" t="n">
        <v>-2.61</v>
      </c>
      <c r="U341" s="32" t="n">
        <v>-8.43</v>
      </c>
      <c r="V341" s="32" t="n">
        <v>-5.97</v>
      </c>
      <c r="W341" s="32" t="n">
        <v>2.38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More than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IF(B342=0,"",RANK(B342,$B$2:$B$354,0))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JSL</t>
        </is>
      </c>
      <c r="D342" s="33" t="inlineStr">
        <is>
          <t>Jindal Stainless Limited</t>
        </is>
      </c>
      <c r="E342" s="31" t="inlineStr">
        <is>
          <t>metals &amp; mining</t>
        </is>
      </c>
      <c r="F342" s="31" t="inlineStr">
        <is>
          <t>steel - large</t>
        </is>
      </c>
      <c r="G342" s="31" t="inlineStr">
        <is>
          <t>largecap</t>
        </is>
      </c>
      <c r="H342" s="32" t="n">
        <v>60244.46</v>
      </c>
      <c r="I342" s="32" t="n">
        <v>739.05</v>
      </c>
      <c r="J342" s="32" t="n">
        <v>1.14</v>
      </c>
      <c r="K342" s="32" t="n">
        <v>719791</v>
      </c>
      <c r="L342" s="31" t="n">
        <v>14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51.5</v>
      </c>
      <c r="P342" s="32" t="n">
        <v>12.47</v>
      </c>
      <c r="Q342" s="32" t="n">
        <v>635.99</v>
      </c>
      <c r="R342" s="31" t="inlineStr">
        <is>
          <t>Earnings / Momentum Support</t>
        </is>
      </c>
      <c r="S342" s="31" t="inlineStr">
        <is>
          <t>Nifty Metal</t>
        </is>
      </c>
      <c r="T342" s="32" t="n">
        <v>33.93</v>
      </c>
      <c r="U342" s="32" t="n">
        <v>13.1</v>
      </c>
      <c r="V342" s="32" t="n">
        <v>-15.56</v>
      </c>
      <c r="W342" s="32" t="n">
        <v>2.25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1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IF(B343=0,"",RANK(B343,$B$2:$B$354,0))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BALAMINES</t>
        </is>
      </c>
      <c r="D343" s="31" t="inlineStr">
        <is>
          <t>Balaji Amines Limited</t>
        </is>
      </c>
      <c r="E343" s="31" t="inlineStr">
        <is>
          <t>chemicals</t>
        </is>
      </c>
      <c r="F343" s="31" t="inlineStr">
        <is>
          <t>chemicals</t>
        </is>
      </c>
      <c r="G343" s="31" t="inlineStr">
        <is>
          <t>midcap</t>
        </is>
      </c>
      <c r="H343" s="32" t="n">
        <v>7373.82</v>
      </c>
      <c r="I343" s="32" t="n">
        <v>2366.5</v>
      </c>
      <c r="J343" s="32" t="n">
        <v>3.99</v>
      </c>
      <c r="K343" s="32" t="n">
        <v>151415</v>
      </c>
      <c r="L343" s="31" t="n">
        <v>92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74.76000000000001</v>
      </c>
      <c r="P343" s="32" t="n">
        <v>61.77</v>
      </c>
      <c r="Q343" s="32" t="n">
        <v>1802.17</v>
      </c>
      <c r="R343" s="31" t="inlineStr">
        <is>
          <t>Near 52W High Breakout</t>
        </is>
      </c>
      <c r="S343" s="31" t="inlineStr">
        <is>
          <t>Nifty 50</t>
        </is>
      </c>
      <c r="T343" s="32" t="n">
        <v>-2.61</v>
      </c>
      <c r="U343" s="32" t="n">
        <v>42.32</v>
      </c>
      <c r="V343" s="32" t="n">
        <v>46.14</v>
      </c>
      <c r="W343" s="32" t="n">
        <v>31.1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Duopoly That Cooperate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Shallow Cyclical (2 to 3 Years Growth)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4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Downtrend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Overhead supply in last 2 years in last 2 years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No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Between 50% to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IF(B344=0,"",RANK(B344,$B$2:$B$354,0))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BHARTIARTL</t>
        </is>
      </c>
      <c r="D344" s="31" t="inlineStr">
        <is>
          <t>Bharti Airtel Limited</t>
        </is>
      </c>
      <c r="E344" s="31" t="inlineStr">
        <is>
          <t>telecom-service</t>
        </is>
      </c>
      <c r="F344" s="31" t="inlineStr">
        <is>
          <t>telecommunications - service provider</t>
        </is>
      </c>
      <c r="G344" s="31" t="inlineStr">
        <is>
          <t>largecap</t>
        </is>
      </c>
      <c r="H344" s="32" t="n">
        <v>1210846.35</v>
      </c>
      <c r="I344" s="32" t="n">
        <v>1948.4</v>
      </c>
      <c r="J344" s="32" t="n">
        <v>0.43</v>
      </c>
      <c r="K344" s="32" t="n">
        <v>5061312</v>
      </c>
      <c r="L344" s="31" t="n">
        <v>11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54.63</v>
      </c>
      <c r="P344" s="32" t="n">
        <v>18.1</v>
      </c>
      <c r="Q344" s="32" t="n">
        <v>1696.92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-2.61</v>
      </c>
      <c r="U344" s="32" t="n">
        <v>0.54</v>
      </c>
      <c r="V344" s="32" t="n">
        <v>3.24</v>
      </c>
      <c r="W344" s="32" t="n">
        <v>1.74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Between 0.7 to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IF(B345=0,"",RANK(B345,$B$2:$B$354,0))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FLUOROCHEM</t>
        </is>
      </c>
      <c r="D345" s="31" t="inlineStr">
        <is>
          <t>Gujarat Fluorochemicals Ltd</t>
        </is>
      </c>
      <c r="E345" s="31" t="inlineStr">
        <is>
          <t>chemicals</t>
        </is>
      </c>
      <c r="F345" s="31" t="inlineStr">
        <is>
          <t>chemicals</t>
        </is>
      </c>
      <c r="G345" s="31" t="inlineStr">
        <is>
          <t>largecap</t>
        </is>
      </c>
      <c r="H345" s="32" t="n">
        <v>47413.46</v>
      </c>
      <c r="I345" s="32" t="n">
        <v>4607.1</v>
      </c>
      <c r="J345" s="32" t="n">
        <v>6.74</v>
      </c>
      <c r="K345" s="32" t="n">
        <v>757585</v>
      </c>
      <c r="L345" s="31" t="n">
        <v>64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74.70999999999999</v>
      </c>
      <c r="P345" s="32" t="n">
        <v>20.9</v>
      </c>
      <c r="Q345" s="32" t="n">
        <v>3821.29</v>
      </c>
      <c r="R345" s="31" t="inlineStr">
        <is>
          <t>Volume Spike &amp; Near 52W High Breakout</t>
        </is>
      </c>
      <c r="S345" s="31" t="inlineStr">
        <is>
          <t>Nifty 500</t>
        </is>
      </c>
      <c r="T345" s="32" t="n">
        <v>1.47</v>
      </c>
      <c r="U345" s="32" t="n">
        <v>31.4</v>
      </c>
      <c r="V345" s="32" t="n">
        <v>29.5</v>
      </c>
      <c r="W345" s="32" t="n">
        <v>14.12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Shallow Cyclical (2 to 3 Years Growth)</t>
        </is>
      </c>
      <c r="AG345" s="31">
        <f>IF(AF345="Structural (10 Years Consistency)",10,IF(AF345="Shallow Cyclical (2 to 3 years growth)",5,0))</f>
        <v/>
      </c>
      <c r="AH345" s="31" t="inlineStr">
        <is>
          <t>Yes due to Product Mix change or Operating Leverage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Allocated capital in Non-core Areas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Sideways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Overhead supply in last 2 years in last 2 years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More than 15%</t>
        </is>
      </c>
      <c r="CC345" s="31">
        <f>IF(CB345="More than 15%",-10,IF(CB345="Less than 15%",10,0))</f>
        <v/>
      </c>
      <c r="CD345" s="31" t="inlineStr">
        <is>
          <t>Yes Upto 10%</t>
        </is>
      </c>
      <c r="CE345" s="31">
        <f>IF(CD345="Yes, more than 10%",-10,IF(CD345="No",10,0))</f>
        <v/>
      </c>
    </row>
    <row r="346">
      <c r="A346" s="31">
        <f>IF(B346=0,"",RANK(B346,$B$2:$B$354,0))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ARIHANT</t>
        </is>
      </c>
      <c r="D346" s="33" t="inlineStr">
        <is>
          <t>Arihant Foundations &amp; Housing Limited</t>
        </is>
      </c>
      <c r="E346" s="31" t="inlineStr">
        <is>
          <t>realty</t>
        </is>
      </c>
      <c r="F346" s="31" t="inlineStr">
        <is>
          <t>construction</t>
        </is>
      </c>
      <c r="G346" s="31" t="inlineStr">
        <is>
          <t>smallcap</t>
        </is>
      </c>
      <c r="H346" s="32" t="n">
        <v>857.74</v>
      </c>
      <c r="I346" s="32" t="n">
        <v>910</v>
      </c>
      <c r="J346" s="32" t="n">
        <v>5.73</v>
      </c>
      <c r="K346" s="32" t="n">
        <v>17074</v>
      </c>
      <c r="L346" s="31" t="n">
        <v>1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48.68</v>
      </c>
      <c r="P346" s="32" t="n">
        <v>22.27</v>
      </c>
      <c r="Q346" s="32" t="n">
        <v>530.8200000000001</v>
      </c>
      <c r="R346" s="31" t="inlineStr">
        <is>
          <t>Earnings / Momentum Support</t>
        </is>
      </c>
      <c r="S346" s="31" t="inlineStr">
        <is>
          <t>Nifty Realty</t>
        </is>
      </c>
      <c r="T346" s="32" t="n">
        <v>-2.45</v>
      </c>
      <c r="U346" s="32" t="n">
        <v>-19.88</v>
      </c>
      <c r="V346" s="32" t="n">
        <v>-17.87</v>
      </c>
      <c r="W346" s="32" t="n">
        <v>-4.28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Below 45</t>
        </is>
      </c>
      <c r="BA346" s="31">
        <f>IF(AZ346="Between 50 to 75",10,IF(AZ346="Above 75",0,0))</f>
        <v/>
      </c>
      <c r="BB346" s="31" t="inlineStr">
        <is>
          <t>Stage 4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IF(B347=0,"",RANK(B347,$B$2:$B$354,0))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HINDPETRO</t>
        </is>
      </c>
      <c r="D347" s="33" t="inlineStr">
        <is>
          <t>Hindustan Petroleum Corporation Limited</t>
        </is>
      </c>
      <c r="E347" s="31" t="inlineStr">
        <is>
          <t>energy</t>
        </is>
      </c>
      <c r="F347" s="31" t="inlineStr">
        <is>
          <t>refineries</t>
        </is>
      </c>
      <c r="G347" s="31" t="inlineStr">
        <is>
          <t>largecap</t>
        </is>
      </c>
      <c r="H347" s="32" t="n">
        <v>86261.92</v>
      </c>
      <c r="I347" s="32" t="n">
        <v>406.95</v>
      </c>
      <c r="J347" s="32" t="n">
        <v>0.38</v>
      </c>
      <c r="K347" s="32" t="n">
        <v>4149372</v>
      </c>
      <c r="L347" s="31" t="n">
        <v>12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52.93</v>
      </c>
      <c r="P347" s="32" t="n">
        <v>7.2</v>
      </c>
      <c r="Q347" s="32" t="n">
        <v>327.39</v>
      </c>
      <c r="R347" s="31" t="inlineStr">
        <is>
          <t>Earnings / Momentum Support</t>
        </is>
      </c>
      <c r="S347" s="31" t="inlineStr">
        <is>
          <t>Nifty Energy</t>
        </is>
      </c>
      <c r="T347" s="32" t="n">
        <v>12.3</v>
      </c>
      <c r="U347" s="32" t="n">
        <v>0.04</v>
      </c>
      <c r="V347" s="32" t="n">
        <v>-10.92</v>
      </c>
      <c r="W347" s="32" t="n">
        <v>2.04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Oligopoly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Yes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Cyclical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Between 0.7 to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IF(B348=0,"",RANK(B348,$B$2:$B$354,0))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TIRUPATIFL</t>
        </is>
      </c>
      <c r="D348" s="31" t="inlineStr">
        <is>
          <t>Tirupati Forge Ltd</t>
        </is>
      </c>
      <c r="E348" s="31" t="inlineStr">
        <is>
          <t>industrials</t>
        </is>
      </c>
      <c r="F348" s="31" t="inlineStr">
        <is>
          <t>castings &amp; forgings</t>
        </is>
      </c>
      <c r="G348" s="31" t="inlineStr">
        <is>
          <t>smallcap</t>
        </is>
      </c>
      <c r="H348" s="32" t="n">
        <v>903.8099999999999</v>
      </c>
      <c r="I348" s="32" t="n">
        <v>76.95</v>
      </c>
      <c r="J348" s="32" t="n">
        <v>9.99</v>
      </c>
      <c r="K348" s="32" t="n">
        <v>2813223</v>
      </c>
      <c r="L348" s="31" t="inlineStr"/>
      <c r="M348" s="31" t="inlineStr"/>
      <c r="N348" s="32">
        <f>IF(M348="Underperforming",-5,IF(L348&gt;=95,15,IF(L348&gt;=90,10,IF(L348&gt;=80,5,0))))</f>
        <v/>
      </c>
      <c r="O348" s="32" t="inlineStr"/>
      <c r="P348" s="32" t="inlineStr"/>
      <c r="Q348" s="32" t="inlineStr"/>
      <c r="R348" s="31" t="inlineStr"/>
      <c r="S348" s="31" t="inlineStr"/>
      <c r="T348" s="32" t="inlineStr"/>
      <c r="U348" s="32" t="inlineStr"/>
      <c r="V348" s="32" t="inlineStr"/>
      <c r="W348" s="32" t="inlineStr"/>
      <c r="X348" s="31" t="n"/>
      <c r="Y348" s="31">
        <f>IF(X348="Growing Industry",10,IF(X348="Cyclical in an Upturn",5,0))</f>
        <v/>
      </c>
      <c r="Z348" s="31" t="n"/>
      <c r="AA348" s="31">
        <f>IF(Z348="Monopoly",10,IF(Z348="Oligopoly",5,IF(Z348="Duopoly that cooperate",10,IF(Z348="Duopoly that compete",5,IF(Z348="Too many players with High ROCE",5,0)))))</f>
        <v/>
      </c>
      <c r="AB348" s="31" t="n"/>
      <c r="AC348" s="31">
        <f>IF(AB348="No",5,0)</f>
        <v/>
      </c>
      <c r="AD348" s="31" t="n"/>
      <c r="AE348" s="31">
        <f>IF(AD348="Tailwind",10,0)</f>
        <v/>
      </c>
      <c r="AF348" s="31" t="n"/>
      <c r="AG348" s="31">
        <f>IF(AF348="Structural (10 Years Consistency)",10,IF(AF348="Shallow Cyclical (2 to 3 years growth)",5,0))</f>
        <v/>
      </c>
      <c r="AH348" s="31" t="n"/>
      <c r="AI348" s="31">
        <f>IF(AH348="Yes due to Product Mix change or Operating Leverage",10,IF(AH348="Yes, these are peak margins",-5,IF(AH348="No",5,0)))</f>
        <v/>
      </c>
      <c r="AJ348" s="31" t="n"/>
      <c r="AK348" s="31">
        <f>IF(AJ348="Stable",10,0)</f>
        <v/>
      </c>
      <c r="AL348" s="31" t="n"/>
      <c r="AM348" s="31">
        <f>IF(AL348="Yes",10,0)</f>
        <v/>
      </c>
      <c r="AN348" s="31" t="n"/>
      <c r="AO348" s="31">
        <f>IF(AN348="B2C",10,IF(AN348="B2B",5,0))</f>
        <v/>
      </c>
      <c r="AP348" s="31" t="n"/>
      <c r="AQ348" s="31">
        <f>IF(AP348="Yes",10,0)</f>
        <v/>
      </c>
      <c r="AR348" s="31" t="n"/>
      <c r="AS348" s="31">
        <f>IF(AR348="Fully Annuity",10,IF(AR348="Higher Annuity, Lower One Time",5,IF(AR348="Higher One Time, Lower Annuity",3,0)))</f>
        <v/>
      </c>
      <c r="AT348" s="31" t="n"/>
      <c r="AU348" s="31">
        <f>IF(AT348="Good",10,0)</f>
        <v/>
      </c>
      <c r="AV348" s="31" t="n"/>
      <c r="AW348" s="31">
        <f>IF(AV348="Yes for more than 2 years",10,IF(AV348="Yes only for next 1 to 2 years",5,0))</f>
        <v/>
      </c>
      <c r="AX348" s="31" t="n"/>
      <c r="AY348" s="31">
        <f>IF(AX348="Above 40",20,IF(AX348="20 to 40",10,IF(AX348="0 to 20",-5,0)))</f>
        <v/>
      </c>
      <c r="AZ348" s="31" t="n"/>
      <c r="BA348" s="31">
        <f>IF(AZ348="Between 50 to 75",10,IF(AZ348="Above 75",0,0))</f>
        <v/>
      </c>
      <c r="BB348" s="31" t="n"/>
      <c r="BC348" s="31">
        <f>IF(BB348="Stage 2",20,IF(BB348="Stage 1",0,IF(BB348="Stage 3",5,IF(BB348="Stage 4",-5,0))))</f>
        <v/>
      </c>
      <c r="BD348" s="31" t="n"/>
      <c r="BE348" s="31">
        <f>IF(BD348="Positive Trend",20,IF(BD348="Negative Trend",-10,0))</f>
        <v/>
      </c>
      <c r="BF348" s="31" t="n"/>
      <c r="BG348" s="31">
        <f>IF(BF348="Uptrend",10,IF(BF348="Sideways",5,0))</f>
        <v/>
      </c>
      <c r="BH348" s="31" t="n"/>
      <c r="BI348" s="31">
        <f>IF(BH348="Uptrend",10,IF(BH348="Sideways",5,0))</f>
        <v/>
      </c>
      <c r="BJ348" s="31" t="n"/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n"/>
      <c r="BM348" s="31">
        <f>IF(BL348="Yes",10,0)</f>
        <v/>
      </c>
      <c r="BN348" s="31" t="n"/>
      <c r="BO348" s="31">
        <f>IF(BN348="More than 20%",10,IF(BN348="Between 12 to 20%",5,IF(BN348="Less than 12%",0,0)))</f>
        <v/>
      </c>
      <c r="BP348" s="31" t="n"/>
      <c r="BQ348" s="31">
        <f>IF(BP348="No",10,0)</f>
        <v/>
      </c>
      <c r="BR348" s="31" t="n"/>
      <c r="BS348" s="31">
        <f>IF(BR348="NO",5,0)</f>
        <v/>
      </c>
      <c r="BT348" s="31" t="n"/>
      <c r="BU348" s="31">
        <f>IF(BT348="Above 2",0,IF(BT348="Between 1.5 to 2",5,IF(BT348="Less than 1.5",10,0)))</f>
        <v/>
      </c>
      <c r="BV348" s="31" t="n"/>
      <c r="BW348" s="31">
        <f>IF(BV348="Above 70%",10,IF(BV348="Between 50% to 70%",5,IF(BV348="Less than 50%",0,IF(BV348="Negative",-10,IF(BV348="Less than 50% and Borrowings are increasing",-5,0)))))</f>
        <v/>
      </c>
      <c r="BX348" s="31" t="n"/>
      <c r="BY348" s="31">
        <f>IF(BX348="More than 1.2",-10,IF(BX348="Between 0.7 to 1.2",0,IF(BX348="Less than 0.7",10,0)))</f>
        <v/>
      </c>
      <c r="BZ348" s="31" t="n"/>
      <c r="CA348" s="31">
        <f>IF(BZ348="Yes",-10,0)</f>
        <v/>
      </c>
      <c r="CB348" s="31" t="n"/>
      <c r="CC348" s="31">
        <f>IF(CB348="More than 15%",-10,IF(CB348="Less than 15%",10,0))</f>
        <v/>
      </c>
      <c r="CD348" s="31" t="n"/>
      <c r="CE348" s="31">
        <f>IF(CD348="Yes, more than 10%",-10,IF(CD348="No",10,0))</f>
        <v/>
      </c>
    </row>
    <row r="349">
      <c r="A349" s="31">
        <f>IF(B349=0,"",RANK(B349,$B$2:$B$354,0))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AJANTPHARM</t>
        </is>
      </c>
      <c r="D349" s="31" t="inlineStr">
        <is>
          <t>Ajanta Pharma Limited</t>
        </is>
      </c>
      <c r="E349" s="31" t="inlineStr">
        <is>
          <t>healthcare</t>
        </is>
      </c>
      <c r="F349" s="31" t="inlineStr">
        <is>
          <t>pharmaceuticals - indian - formulations</t>
        </is>
      </c>
      <c r="G349" s="31" t="inlineStr">
        <is>
          <t>largecap</t>
        </is>
      </c>
      <c r="H349" s="32" t="n">
        <v>43340.17</v>
      </c>
      <c r="I349" s="32" t="n">
        <v>3575.3</v>
      </c>
      <c r="J349" s="32" t="n">
        <v>3.06</v>
      </c>
      <c r="K349" s="32" t="n">
        <v>204702</v>
      </c>
      <c r="L349" s="31" t="inlineStr"/>
      <c r="M349" s="31" t="inlineStr"/>
      <c r="N349" s="32">
        <f>IF(M349="Underperforming",-5,IF(L349&gt;=95,15,IF(L349&gt;=90,10,IF(L349&gt;=80,5,0))))</f>
        <v/>
      </c>
      <c r="O349" s="32" t="inlineStr"/>
      <c r="P349" s="32" t="inlineStr"/>
      <c r="Q349" s="32" t="inlineStr"/>
      <c r="R349" s="31" t="inlineStr"/>
      <c r="S349" s="31" t="inlineStr"/>
      <c r="T349" s="32" t="inlineStr"/>
      <c r="U349" s="32" t="inlineStr"/>
      <c r="V349" s="32" t="inlineStr"/>
      <c r="W349" s="32" t="inlineStr"/>
      <c r="X349" s="31" t="n"/>
      <c r="Y349" s="31">
        <f>IF(X349="Growing Industry",10,IF(X349="Cyclical in an Upturn",5,0))</f>
        <v/>
      </c>
      <c r="Z349" s="31" t="n"/>
      <c r="AA349" s="31">
        <f>IF(Z349="Monopoly",10,IF(Z349="Oligopoly",5,IF(Z349="Duopoly that cooperate",10,IF(Z349="Duopoly that compete",5,IF(Z349="Too many players with High ROCE",5,0)))))</f>
        <v/>
      </c>
      <c r="AB349" s="31" t="n"/>
      <c r="AC349" s="31">
        <f>IF(AB349="No",5,0)</f>
        <v/>
      </c>
      <c r="AD349" s="31" t="n"/>
      <c r="AE349" s="31">
        <f>IF(AD349="Tailwind",10,0)</f>
        <v/>
      </c>
      <c r="AF349" s="31" t="n"/>
      <c r="AG349" s="31">
        <f>IF(AF349="Structural (10 Years Consistency)",10,IF(AF349="Shallow Cyclical (2 to 3 years growth)",5,0))</f>
        <v/>
      </c>
      <c r="AH349" s="31" t="n"/>
      <c r="AI349" s="31">
        <f>IF(AH349="Yes due to Product Mix change or Operating Leverage",10,IF(AH349="Yes, these are peak margins",-5,IF(AH349="No",5,0)))</f>
        <v/>
      </c>
      <c r="AJ349" s="31" t="n"/>
      <c r="AK349" s="31">
        <f>IF(AJ349="Stable",10,0)</f>
        <v/>
      </c>
      <c r="AL349" s="31" t="n"/>
      <c r="AM349" s="31">
        <f>IF(AL349="Yes",10,0)</f>
        <v/>
      </c>
      <c r="AN349" s="31" t="n"/>
      <c r="AO349" s="31">
        <f>IF(AN349="B2C",10,IF(AN349="B2B",5,0))</f>
        <v/>
      </c>
      <c r="AP349" s="31" t="n"/>
      <c r="AQ349" s="31">
        <f>IF(AP349="Yes",10,0)</f>
        <v/>
      </c>
      <c r="AR349" s="31" t="n"/>
      <c r="AS349" s="31">
        <f>IF(AR349="Fully Annuity",10,IF(AR349="Higher Annuity, Lower One Time",5,IF(AR349="Higher One Time, Lower Annuity",3,0)))</f>
        <v/>
      </c>
      <c r="AT349" s="31" t="n"/>
      <c r="AU349" s="31">
        <f>IF(AT349="Good",10,0)</f>
        <v/>
      </c>
      <c r="AV349" s="31" t="n"/>
      <c r="AW349" s="31">
        <f>IF(AV349="Yes for more than 2 years",10,IF(AV349="Yes only for next 1 to 2 years",5,0))</f>
        <v/>
      </c>
      <c r="AX349" s="31" t="n"/>
      <c r="AY349" s="31">
        <f>IF(AX349="Above 40",20,IF(AX349="20 to 40",10,IF(AX349="0 to 20",-5,0)))</f>
        <v/>
      </c>
      <c r="AZ349" s="31" t="n"/>
      <c r="BA349" s="31">
        <f>IF(AZ349="Between 50 to 75",10,IF(AZ349="Above 75",0,0))</f>
        <v/>
      </c>
      <c r="BB349" s="31" t="n"/>
      <c r="BC349" s="31">
        <f>IF(BB349="Stage 2",20,IF(BB349="Stage 1",0,IF(BB349="Stage 3",5,IF(BB349="Stage 4",-5,0))))</f>
        <v/>
      </c>
      <c r="BD349" s="31" t="n"/>
      <c r="BE349" s="31">
        <f>IF(BD349="Positive Trend",20,IF(BD349="Negative Trend",-10,0))</f>
        <v/>
      </c>
      <c r="BF349" s="31" t="n"/>
      <c r="BG349" s="31">
        <f>IF(BF349="Uptrend",10,IF(BF349="Sideways",5,0))</f>
        <v/>
      </c>
      <c r="BH349" s="31" t="n"/>
      <c r="BI349" s="31">
        <f>IF(BH349="Uptrend",10,IF(BH349="Sideways",5,0))</f>
        <v/>
      </c>
      <c r="BJ349" s="31" t="n"/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n"/>
      <c r="BM349" s="31">
        <f>IF(BL349="Yes",10,0)</f>
        <v/>
      </c>
      <c r="BN349" s="31" t="n"/>
      <c r="BO349" s="31">
        <f>IF(BN349="More than 20%",10,IF(BN349="Between 12 to 20%",5,IF(BN349="Less than 12%",0,0)))</f>
        <v/>
      </c>
      <c r="BP349" s="31" t="n"/>
      <c r="BQ349" s="31">
        <f>IF(BP349="No",10,0)</f>
        <v/>
      </c>
      <c r="BR349" s="31" t="n"/>
      <c r="BS349" s="31">
        <f>IF(BR349="NO",5,0)</f>
        <v/>
      </c>
      <c r="BT349" s="31" t="n"/>
      <c r="BU349" s="31">
        <f>IF(BT349="Above 2",0,IF(BT349="Between 1.5 to 2",5,IF(BT349="Less than 1.5",10,0)))</f>
        <v/>
      </c>
      <c r="BV349" s="31" t="n"/>
      <c r="BW349" s="31">
        <f>IF(BV349="Above 70%",10,IF(BV349="Between 50% to 70%",5,IF(BV349="Less than 50%",0,IF(BV349="Negative",-10,IF(BV349="Less than 50% and Borrowings are increasing",-5,0)))))</f>
        <v/>
      </c>
      <c r="BX349" s="31" t="n"/>
      <c r="BY349" s="31">
        <f>IF(BX349="More than 1.2",-10,IF(BX349="Between 0.7 to 1.2",0,IF(BX349="Less than 0.7",10,0)))</f>
        <v/>
      </c>
      <c r="BZ349" s="31" t="n"/>
      <c r="CA349" s="31">
        <f>IF(BZ349="Yes",-10,0)</f>
        <v/>
      </c>
      <c r="CB349" s="31" t="n"/>
      <c r="CC349" s="31">
        <f>IF(CB349="More than 15%",-10,IF(CB349="Less than 15%",10,0))</f>
        <v/>
      </c>
      <c r="CD349" s="31" t="n"/>
      <c r="CE349" s="31">
        <f>IF(CD349="Yes, more than 10%",-10,IF(CD349="No",10,0))</f>
        <v/>
      </c>
    </row>
    <row r="350">
      <c r="A350" s="31">
        <f>IF(B350=0,"",RANK(B350,$B$2:$B$354,0))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ARTEMISMED</t>
        </is>
      </c>
      <c r="D350" s="31" t="inlineStr">
        <is>
          <t>Artemis Medicare Services Ltd</t>
        </is>
      </c>
      <c r="E350" s="31" t="inlineStr">
        <is>
          <t>healthcare</t>
        </is>
      </c>
      <c r="F350" s="31" t="inlineStr">
        <is>
          <t>healthcare</t>
        </is>
      </c>
      <c r="G350" s="31" t="inlineStr">
        <is>
          <t>smallcap</t>
        </is>
      </c>
      <c r="H350" s="32" t="n">
        <v>4286.14</v>
      </c>
      <c r="I350" s="32" t="n">
        <v>277</v>
      </c>
      <c r="J350" s="32" t="n">
        <v>2.31</v>
      </c>
      <c r="K350" s="32" t="n">
        <v>159425</v>
      </c>
      <c r="L350" s="31" t="inlineStr"/>
      <c r="M350" s="31" t="inlineStr"/>
      <c r="N350" s="32">
        <f>IF(M350="Underperforming",-5,IF(L350&gt;=95,15,IF(L350&gt;=90,10,IF(L350&gt;=80,5,0))))</f>
        <v/>
      </c>
      <c r="O350" s="32" t="inlineStr"/>
      <c r="P350" s="32" t="inlineStr"/>
      <c r="Q350" s="32" t="inlineStr"/>
      <c r="R350" s="31" t="inlineStr"/>
      <c r="S350" s="31" t="inlineStr"/>
      <c r="T350" s="32" t="inlineStr"/>
      <c r="U350" s="32" t="inlineStr"/>
      <c r="V350" s="32" t="inlineStr"/>
      <c r="W350" s="32" t="inlineStr"/>
      <c r="X350" s="31" t="n"/>
      <c r="Y350" s="31">
        <f>IF(X350="Growing Industry",10,IF(X350="Cyclical in an Upturn",5,0))</f>
        <v/>
      </c>
      <c r="Z350" s="31" t="n"/>
      <c r="AA350" s="31">
        <f>IF(Z350="Monopoly",10,IF(Z350="Oligopoly",5,IF(Z350="Duopoly that cooperate",10,IF(Z350="Duopoly that compete",5,IF(Z350="Too many players with High ROCE",5,0)))))</f>
        <v/>
      </c>
      <c r="AB350" s="31" t="n"/>
      <c r="AC350" s="31">
        <f>IF(AB350="No",5,0)</f>
        <v/>
      </c>
      <c r="AD350" s="31" t="n"/>
      <c r="AE350" s="31">
        <f>IF(AD350="Tailwind",10,0)</f>
        <v/>
      </c>
      <c r="AF350" s="31" t="n"/>
      <c r="AG350" s="31">
        <f>IF(AF350="Structural (10 Years Consistency)",10,IF(AF350="Shallow Cyclical (2 to 3 years growth)",5,0))</f>
        <v/>
      </c>
      <c r="AH350" s="31" t="n"/>
      <c r="AI350" s="31">
        <f>IF(AH350="Yes due to Product Mix change or Operating Leverage",10,IF(AH350="Yes, these are peak margins",-5,IF(AH350="No",5,0)))</f>
        <v/>
      </c>
      <c r="AJ350" s="31" t="n"/>
      <c r="AK350" s="31">
        <f>IF(AJ350="Stable",10,0)</f>
        <v/>
      </c>
      <c r="AL350" s="31" t="n"/>
      <c r="AM350" s="31">
        <f>IF(AL350="Yes",10,0)</f>
        <v/>
      </c>
      <c r="AN350" s="31" t="n"/>
      <c r="AO350" s="31">
        <f>IF(AN350="B2C",10,IF(AN350="B2B",5,0))</f>
        <v/>
      </c>
      <c r="AP350" s="31" t="n"/>
      <c r="AQ350" s="31">
        <f>IF(AP350="Yes",10,0)</f>
        <v/>
      </c>
      <c r="AR350" s="31" t="n"/>
      <c r="AS350" s="31">
        <f>IF(AR350="Fully Annuity",10,IF(AR350="Higher Annuity, Lower One Time",5,IF(AR350="Higher One Time, Lower Annuity",3,0)))</f>
        <v/>
      </c>
      <c r="AT350" s="31" t="n"/>
      <c r="AU350" s="31">
        <f>IF(AT350="Good",10,0)</f>
        <v/>
      </c>
      <c r="AV350" s="31" t="n"/>
      <c r="AW350" s="31">
        <f>IF(AV350="Yes for more than 2 years",10,IF(AV350="Yes only for next 1 to 2 years",5,0))</f>
        <v/>
      </c>
      <c r="AX350" s="31" t="n"/>
      <c r="AY350" s="31">
        <f>IF(AX350="Above 40",20,IF(AX350="20 to 40",10,IF(AX350="0 to 20",-5,0)))</f>
        <v/>
      </c>
      <c r="AZ350" s="31" t="n"/>
      <c r="BA350" s="31">
        <f>IF(AZ350="Between 50 to 75",10,IF(AZ350="Above 75",0,0))</f>
        <v/>
      </c>
      <c r="BB350" s="31" t="n"/>
      <c r="BC350" s="31">
        <f>IF(BB350="Stage 2",20,IF(BB350="Stage 1",0,IF(BB350="Stage 3",5,IF(BB350="Stage 4",-5,0))))</f>
        <v/>
      </c>
      <c r="BD350" s="31" t="n"/>
      <c r="BE350" s="31">
        <f>IF(BD350="Positive Trend",20,IF(BD350="Negative Trend",-10,0))</f>
        <v/>
      </c>
      <c r="BF350" s="31" t="n"/>
      <c r="BG350" s="31">
        <f>IF(BF350="Uptrend",10,IF(BF350="Sideways",5,0))</f>
        <v/>
      </c>
      <c r="BH350" s="31" t="n"/>
      <c r="BI350" s="31">
        <f>IF(BH350="Uptrend",10,IF(BH350="Sideways",5,0))</f>
        <v/>
      </c>
      <c r="BJ350" s="31" t="n"/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n"/>
      <c r="BM350" s="31">
        <f>IF(BL350="Yes",10,0)</f>
        <v/>
      </c>
      <c r="BN350" s="31" t="n"/>
      <c r="BO350" s="31">
        <f>IF(BN350="More than 20%",10,IF(BN350="Between 12 to 20%",5,IF(BN350="Less than 12%",0,0)))</f>
        <v/>
      </c>
      <c r="BP350" s="31" t="n"/>
      <c r="BQ350" s="31">
        <f>IF(BP350="No",10,0)</f>
        <v/>
      </c>
      <c r="BR350" s="31" t="n"/>
      <c r="BS350" s="31">
        <f>IF(BR350="NO",5,0)</f>
        <v/>
      </c>
      <c r="BT350" s="31" t="n"/>
      <c r="BU350" s="31">
        <f>IF(BT350="Above 2",0,IF(BT350="Between 1.5 to 2",5,IF(BT350="Less than 1.5",10,0)))</f>
        <v/>
      </c>
      <c r="BV350" s="31" t="n"/>
      <c r="BW350" s="31">
        <f>IF(BV350="Above 70%",10,IF(BV350="Between 50% to 70%",5,IF(BV350="Less than 50%",0,IF(BV350="Negative",-10,IF(BV350="Less than 50% and Borrowings are increasing",-5,0)))))</f>
        <v/>
      </c>
      <c r="BX350" s="31" t="n"/>
      <c r="BY350" s="31">
        <f>IF(BX350="More than 1.2",-10,IF(BX350="Between 0.7 to 1.2",0,IF(BX350="Less than 0.7",10,0)))</f>
        <v/>
      </c>
      <c r="BZ350" s="31" t="n"/>
      <c r="CA350" s="31">
        <f>IF(BZ350="Yes",-10,0)</f>
        <v/>
      </c>
      <c r="CB350" s="31" t="n"/>
      <c r="CC350" s="31">
        <f>IF(CB350="More than 15%",-10,IF(CB350="Less than 15%",10,0))</f>
        <v/>
      </c>
      <c r="CD350" s="31" t="n"/>
      <c r="CE350" s="31">
        <f>IF(CD350="Yes, more than 10%",-10,IF(CD350="No",10,0))</f>
        <v/>
      </c>
    </row>
    <row r="351">
      <c r="A351" s="31">
        <f>IF(B351=0,"",RANK(B351,$B$2:$B$354,0))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ORIENTHOT</t>
        </is>
      </c>
      <c r="D351" s="31" t="inlineStr">
        <is>
          <t>Oriental Hotels Limited</t>
        </is>
      </c>
      <c r="E351" s="31" t="inlineStr">
        <is>
          <t>services</t>
        </is>
      </c>
      <c r="F351" s="31" t="inlineStr">
        <is>
          <t>hotels</t>
        </is>
      </c>
      <c r="G351" s="31" t="inlineStr">
        <is>
          <t>smallcap</t>
        </is>
      </c>
      <c r="H351" s="32" t="n">
        <v>2566.11</v>
      </c>
      <c r="I351" s="32" t="n">
        <v>146.54</v>
      </c>
      <c r="J351" s="32" t="n">
        <v>1.99</v>
      </c>
      <c r="K351" s="32" t="n">
        <v>4360177</v>
      </c>
      <c r="L351" s="31" t="inlineStr"/>
      <c r="M351" s="31" t="inlineStr"/>
      <c r="N351" s="32">
        <f>IF(M351="Underperforming",-5,IF(L351&gt;=95,15,IF(L351&gt;=90,10,IF(L351&gt;=80,5,0))))</f>
        <v/>
      </c>
      <c r="O351" s="32" t="inlineStr"/>
      <c r="P351" s="32" t="inlineStr"/>
      <c r="Q351" s="32" t="inlineStr"/>
      <c r="R351" s="31" t="inlineStr"/>
      <c r="S351" s="31" t="inlineStr"/>
      <c r="T351" s="32" t="inlineStr"/>
      <c r="U351" s="32" t="inlineStr"/>
      <c r="V351" s="32" t="inlineStr"/>
      <c r="W351" s="32" t="inlineStr"/>
      <c r="X351" s="31" t="n"/>
      <c r="Y351" s="31">
        <f>IF(X351="Growing Industry",10,IF(X351="Cyclical in an Upturn",5,0))</f>
        <v/>
      </c>
      <c r="Z351" s="31" t="n"/>
      <c r="AA351" s="31">
        <f>IF(Z351="Monopoly",10,IF(Z351="Oligopoly",5,IF(Z351="Duopoly that cooperate",10,IF(Z351="Duopoly that compete",5,IF(Z351="Too many players with High ROCE",5,0)))))</f>
        <v/>
      </c>
      <c r="AB351" s="31" t="n"/>
      <c r="AC351" s="31">
        <f>IF(AB351="No",5,0)</f>
        <v/>
      </c>
      <c r="AD351" s="31" t="n"/>
      <c r="AE351" s="31">
        <f>IF(AD351="Tailwind",10,0)</f>
        <v/>
      </c>
      <c r="AF351" s="31" t="n"/>
      <c r="AG351" s="31">
        <f>IF(AF351="Structural (10 Years Consistency)",10,IF(AF351="Shallow Cyclical (2 to 3 years growth)",5,0))</f>
        <v/>
      </c>
      <c r="AH351" s="31" t="n"/>
      <c r="AI351" s="31">
        <f>IF(AH351="Yes due to Product Mix change or Operating Leverage",10,IF(AH351="Yes, these are peak margins",-5,IF(AH351="No",5,0)))</f>
        <v/>
      </c>
      <c r="AJ351" s="31" t="n"/>
      <c r="AK351" s="31">
        <f>IF(AJ351="Stable",10,0)</f>
        <v/>
      </c>
      <c r="AL351" s="31" t="n"/>
      <c r="AM351" s="31">
        <f>IF(AL351="Yes",10,0)</f>
        <v/>
      </c>
      <c r="AN351" s="31" t="n"/>
      <c r="AO351" s="31">
        <f>IF(AN351="B2C",10,IF(AN351="B2B",5,0))</f>
        <v/>
      </c>
      <c r="AP351" s="31" t="n"/>
      <c r="AQ351" s="31">
        <f>IF(AP351="Yes",10,0)</f>
        <v/>
      </c>
      <c r="AR351" s="31" t="n"/>
      <c r="AS351" s="31">
        <f>IF(AR351="Fully Annuity",10,IF(AR351="Higher Annuity, Lower One Time",5,IF(AR351="Higher One Time, Lower Annuity",3,0)))</f>
        <v/>
      </c>
      <c r="AT351" s="31" t="n"/>
      <c r="AU351" s="31">
        <f>IF(AT351="Good",10,0)</f>
        <v/>
      </c>
      <c r="AV351" s="31" t="n"/>
      <c r="AW351" s="31">
        <f>IF(AV351="Yes for more than 2 years",10,IF(AV351="Yes only for next 1 to 2 years",5,0))</f>
        <v/>
      </c>
      <c r="AX351" s="31" t="n"/>
      <c r="AY351" s="31">
        <f>IF(AX351="Above 40",20,IF(AX351="20 to 40",10,IF(AX351="0 to 20",-5,0)))</f>
        <v/>
      </c>
      <c r="AZ351" s="31" t="n"/>
      <c r="BA351" s="31">
        <f>IF(AZ351="Between 50 to 75",10,IF(AZ351="Above 75",0,0))</f>
        <v/>
      </c>
      <c r="BB351" s="31" t="n"/>
      <c r="BC351" s="31">
        <f>IF(BB351="Stage 2",20,IF(BB351="Stage 1",0,IF(BB351="Stage 3",5,IF(BB351="Stage 4",-5,0))))</f>
        <v/>
      </c>
      <c r="BD351" s="31" t="n"/>
      <c r="BE351" s="31">
        <f>IF(BD351="Positive Trend",20,IF(BD351="Negative Trend",-10,0))</f>
        <v/>
      </c>
      <c r="BF351" s="31" t="n"/>
      <c r="BG351" s="31">
        <f>IF(BF351="Uptrend",10,IF(BF351="Sideways",5,0))</f>
        <v/>
      </c>
      <c r="BH351" s="31" t="n"/>
      <c r="BI351" s="31">
        <f>IF(BH351="Uptrend",10,IF(BH351="Sideways",5,0))</f>
        <v/>
      </c>
      <c r="BJ351" s="31" t="n"/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n"/>
      <c r="BM351" s="31">
        <f>IF(BL351="Yes",10,0)</f>
        <v/>
      </c>
      <c r="BN351" s="31" t="n"/>
      <c r="BO351" s="31">
        <f>IF(BN351="More than 20%",10,IF(BN351="Between 12 to 20%",5,IF(BN351="Less than 12%",0,0)))</f>
        <v/>
      </c>
      <c r="BP351" s="31" t="n"/>
      <c r="BQ351" s="31">
        <f>IF(BP351="No",10,0)</f>
        <v/>
      </c>
      <c r="BR351" s="31" t="n"/>
      <c r="BS351" s="31">
        <f>IF(BR351="NO",5,0)</f>
        <v/>
      </c>
      <c r="BT351" s="31" t="n"/>
      <c r="BU351" s="31">
        <f>IF(BT351="Above 2",0,IF(BT351="Between 1.5 to 2",5,IF(BT351="Less than 1.5",10,0)))</f>
        <v/>
      </c>
      <c r="BV351" s="31" t="n"/>
      <c r="BW351" s="31">
        <f>IF(BV351="Above 70%",10,IF(BV351="Between 50% to 70%",5,IF(BV351="Less than 50%",0,IF(BV351="Negative",-10,IF(BV351="Less than 50% and Borrowings are increasing",-5,0)))))</f>
        <v/>
      </c>
      <c r="BX351" s="31" t="n"/>
      <c r="BY351" s="31">
        <f>IF(BX351="More than 1.2",-10,IF(BX351="Between 0.7 to 1.2",0,IF(BX351="Less than 0.7",10,0)))</f>
        <v/>
      </c>
      <c r="BZ351" s="31" t="n"/>
      <c r="CA351" s="31">
        <f>IF(BZ351="Yes",-10,0)</f>
        <v/>
      </c>
      <c r="CB351" s="31" t="n"/>
      <c r="CC351" s="31">
        <f>IF(CB351="More than 15%",-10,IF(CB351="Less than 15%",10,0))</f>
        <v/>
      </c>
      <c r="CD351" s="31" t="n"/>
      <c r="CE351" s="31">
        <f>IF(CD351="Yes, more than 10%",-10,IF(CD351="No",10,0))</f>
        <v/>
      </c>
    </row>
    <row r="352">
      <c r="A352" s="31">
        <f>IF(B352=0,"",RANK(B352,$B$2:$B$354,0))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GRASIM</t>
        </is>
      </c>
      <c r="D352" s="31" t="inlineStr">
        <is>
          <t>Grasim Industries Limited</t>
        </is>
      </c>
      <c r="E352" s="31" t="inlineStr">
        <is>
          <t>textiles</t>
        </is>
      </c>
      <c r="F352" s="31" t="inlineStr">
        <is>
          <t>textiles - manmade</t>
        </is>
      </c>
      <c r="G352" s="31" t="inlineStr">
        <is>
          <t>largecap</t>
        </is>
      </c>
      <c r="H352" s="32" t="n">
        <v>213960.92</v>
      </c>
      <c r="I352" s="32" t="n">
        <v>3179.8</v>
      </c>
      <c r="J352" s="32" t="n">
        <v>1.15</v>
      </c>
      <c r="K352" s="32" t="n">
        <v>659160</v>
      </c>
      <c r="L352" s="31" t="inlineStr"/>
      <c r="M352" s="31" t="inlineStr"/>
      <c r="N352" s="32">
        <f>IF(M352="Underperforming",-5,IF(L352&gt;=95,15,IF(L352&gt;=90,10,IF(L352&gt;=80,5,0))))</f>
        <v/>
      </c>
      <c r="O352" s="32" t="inlineStr"/>
      <c r="P352" s="32" t="inlineStr"/>
      <c r="Q352" s="32" t="inlineStr"/>
      <c r="R352" s="31" t="inlineStr"/>
      <c r="S352" s="31" t="inlineStr"/>
      <c r="T352" s="32" t="inlineStr"/>
      <c r="U352" s="32" t="inlineStr"/>
      <c r="V352" s="32" t="inlineStr"/>
      <c r="W352" s="32" t="inlineStr"/>
      <c r="X352" s="31" t="n"/>
      <c r="Y352" s="31">
        <f>IF(X352="Growing Industry",10,IF(X352="Cyclical in an Upturn",5,0))</f>
        <v/>
      </c>
      <c r="Z352" s="31" t="n"/>
      <c r="AA352" s="31">
        <f>IF(Z352="Monopoly",10,IF(Z352="Oligopoly",5,IF(Z352="Duopoly that cooperate",10,IF(Z352="Duopoly that compete",5,IF(Z352="Too many players with High ROCE",5,0)))))</f>
        <v/>
      </c>
      <c r="AB352" s="31" t="n"/>
      <c r="AC352" s="31">
        <f>IF(AB352="No",5,0)</f>
        <v/>
      </c>
      <c r="AD352" s="31" t="n"/>
      <c r="AE352" s="31">
        <f>IF(AD352="Tailwind",10,0)</f>
        <v/>
      </c>
      <c r="AF352" s="31" t="n"/>
      <c r="AG352" s="31">
        <f>IF(AF352="Structural (10 Years Consistency)",10,IF(AF352="Shallow Cyclical (2 to 3 years growth)",5,0))</f>
        <v/>
      </c>
      <c r="AH352" s="31" t="n"/>
      <c r="AI352" s="31">
        <f>IF(AH352="Yes due to Product Mix change or Operating Leverage",10,IF(AH352="Yes, these are peak margins",-5,IF(AH352="No",5,0)))</f>
        <v/>
      </c>
      <c r="AJ352" s="31" t="n"/>
      <c r="AK352" s="31">
        <f>IF(AJ352="Stable",10,0)</f>
        <v/>
      </c>
      <c r="AL352" s="31" t="n"/>
      <c r="AM352" s="31">
        <f>IF(AL352="Yes",10,0)</f>
        <v/>
      </c>
      <c r="AN352" s="31" t="n"/>
      <c r="AO352" s="31">
        <f>IF(AN352="B2C",10,IF(AN352="B2B",5,0))</f>
        <v/>
      </c>
      <c r="AP352" s="31" t="n"/>
      <c r="AQ352" s="31">
        <f>IF(AP352="Yes",10,0)</f>
        <v/>
      </c>
      <c r="AR352" s="31" t="n"/>
      <c r="AS352" s="31">
        <f>IF(AR352="Fully Annuity",10,IF(AR352="Higher Annuity, Lower One Time",5,IF(AR352="Higher One Time, Lower Annuity",3,0)))</f>
        <v/>
      </c>
      <c r="AT352" s="31" t="n"/>
      <c r="AU352" s="31">
        <f>IF(AT352="Good",10,0)</f>
        <v/>
      </c>
      <c r="AV352" s="31" t="n"/>
      <c r="AW352" s="31">
        <f>IF(AV352="Yes for more than 2 years",10,IF(AV352="Yes only for next 1 to 2 years",5,0))</f>
        <v/>
      </c>
      <c r="AX352" s="31" t="n"/>
      <c r="AY352" s="31">
        <f>IF(AX352="Above 40",20,IF(AX352="20 to 40",10,IF(AX352="0 to 20",-5,0)))</f>
        <v/>
      </c>
      <c r="AZ352" s="31" t="n"/>
      <c r="BA352" s="31">
        <f>IF(AZ352="Between 50 to 75",10,IF(AZ352="Above 75",0,0))</f>
        <v/>
      </c>
      <c r="BB352" s="31" t="n"/>
      <c r="BC352" s="31">
        <f>IF(BB352="Stage 2",20,IF(BB352="Stage 1",0,IF(BB352="Stage 3",5,IF(BB352="Stage 4",-5,0))))</f>
        <v/>
      </c>
      <c r="BD352" s="31" t="n"/>
      <c r="BE352" s="31">
        <f>IF(BD352="Positive Trend",20,IF(BD352="Negative Trend",-10,0))</f>
        <v/>
      </c>
      <c r="BF352" s="31" t="n"/>
      <c r="BG352" s="31">
        <f>IF(BF352="Uptrend",10,IF(BF352="Sideways",5,0))</f>
        <v/>
      </c>
      <c r="BH352" s="31" t="n"/>
      <c r="BI352" s="31">
        <f>IF(BH352="Uptrend",10,IF(BH352="Sideways",5,0))</f>
        <v/>
      </c>
      <c r="BJ352" s="31" t="n"/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n"/>
      <c r="BM352" s="31">
        <f>IF(BL352="Yes",10,0)</f>
        <v/>
      </c>
      <c r="BN352" s="31" t="n"/>
      <c r="BO352" s="31">
        <f>IF(BN352="More than 20%",10,IF(BN352="Between 12 to 20%",5,IF(BN352="Less than 12%",0,0)))</f>
        <v/>
      </c>
      <c r="BP352" s="31" t="n"/>
      <c r="BQ352" s="31">
        <f>IF(BP352="No",10,0)</f>
        <v/>
      </c>
      <c r="BR352" s="31" t="n"/>
      <c r="BS352" s="31">
        <f>IF(BR352="NO",5,0)</f>
        <v/>
      </c>
      <c r="BT352" s="31" t="n"/>
      <c r="BU352" s="31">
        <f>IF(BT352="Above 2",0,IF(BT352="Between 1.5 to 2",5,IF(BT352="Less than 1.5",10,0)))</f>
        <v/>
      </c>
      <c r="BV352" s="31" t="n"/>
      <c r="BW352" s="31">
        <f>IF(BV352="Above 70%",10,IF(BV352="Between 50% to 70%",5,IF(BV352="Less than 50%",0,IF(BV352="Negative",-10,IF(BV352="Less than 50% and Borrowings are increasing",-5,0)))))</f>
        <v/>
      </c>
      <c r="BX352" s="31" t="n"/>
      <c r="BY352" s="31">
        <f>IF(BX352="More than 1.2",-10,IF(BX352="Between 0.7 to 1.2",0,IF(BX352="Less than 0.7",10,0)))</f>
        <v/>
      </c>
      <c r="BZ352" s="31" t="n"/>
      <c r="CA352" s="31">
        <f>IF(BZ352="Yes",-10,0)</f>
        <v/>
      </c>
      <c r="CB352" s="31" t="n"/>
      <c r="CC352" s="31">
        <f>IF(CB352="More than 15%",-10,IF(CB352="Less than 15%",10,0))</f>
        <v/>
      </c>
      <c r="CD352" s="31" t="n"/>
      <c r="CE352" s="31">
        <f>IF(CD352="Yes, more than 10%",-10,IF(CD352="No",10,0))</f>
        <v/>
      </c>
    </row>
    <row r="353">
      <c r="A353" s="31">
        <f>IF(B353=0,"",RANK(B353,$B$2:$B$354,0))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MANORAMA</t>
        </is>
      </c>
      <c r="D353" s="31" t="inlineStr">
        <is>
          <t>Manorama Industries Ltd</t>
        </is>
      </c>
      <c r="E353" s="31" t="inlineStr">
        <is>
          <t>fmcg</t>
        </is>
      </c>
      <c r="F353" s="31" t="inlineStr">
        <is>
          <t>food - processing - indian</t>
        </is>
      </c>
      <c r="G353" s="31" t="inlineStr">
        <is>
          <t>midcap</t>
        </is>
      </c>
      <c r="H353" s="32" t="n">
        <v>9559.93</v>
      </c>
      <c r="I353" s="32" t="n">
        <v>1607.1</v>
      </c>
      <c r="J353" s="32" t="n">
        <v>0.37</v>
      </c>
      <c r="K353" s="32" t="n">
        <v>50167</v>
      </c>
      <c r="L353" s="31" t="inlineStr"/>
      <c r="M353" s="31" t="inlineStr"/>
      <c r="N353" s="32">
        <f>IF(M353="Underperforming",-5,IF(L353&gt;=95,15,IF(L353&gt;=90,10,IF(L353&gt;=80,5,0))))</f>
        <v/>
      </c>
      <c r="O353" s="32" t="inlineStr"/>
      <c r="P353" s="32" t="inlineStr"/>
      <c r="Q353" s="32" t="inlineStr"/>
      <c r="R353" s="31" t="inlineStr"/>
      <c r="S353" s="31" t="inlineStr"/>
      <c r="T353" s="32" t="inlineStr"/>
      <c r="U353" s="32" t="inlineStr"/>
      <c r="V353" s="32" t="inlineStr"/>
      <c r="W353" s="32" t="inlineStr"/>
      <c r="X353" s="31" t="n"/>
      <c r="Y353" s="31">
        <f>IF(X353="Growing Industry",10,IF(X353="Cyclical in an Upturn",5,0))</f>
        <v/>
      </c>
      <c r="Z353" s="31" t="n"/>
      <c r="AA353" s="31">
        <f>IF(Z353="Monopoly",10,IF(Z353="Oligopoly",5,IF(Z353="Duopoly that cooperate",10,IF(Z353="Duopoly that compete",5,IF(Z353="Too many players with High ROCE",5,0)))))</f>
        <v/>
      </c>
      <c r="AB353" s="31" t="n"/>
      <c r="AC353" s="31">
        <f>IF(AB353="No",5,0)</f>
        <v/>
      </c>
      <c r="AD353" s="31" t="n"/>
      <c r="AE353" s="31">
        <f>IF(AD353="Tailwind",10,0)</f>
        <v/>
      </c>
      <c r="AF353" s="31" t="n"/>
      <c r="AG353" s="31">
        <f>IF(AF353="Structural (10 Years Consistency)",10,IF(AF353="Shallow Cyclical (2 to 3 years growth)",5,0))</f>
        <v/>
      </c>
      <c r="AH353" s="31" t="n"/>
      <c r="AI353" s="31">
        <f>IF(AH353="Yes due to Product Mix change or Operating Leverage",10,IF(AH353="Yes, these are peak margins",-5,IF(AH353="No",5,0)))</f>
        <v/>
      </c>
      <c r="AJ353" s="31" t="n"/>
      <c r="AK353" s="31">
        <f>IF(AJ353="Stable",10,0)</f>
        <v/>
      </c>
      <c r="AL353" s="31" t="n"/>
      <c r="AM353" s="31">
        <f>IF(AL353="Yes",10,0)</f>
        <v/>
      </c>
      <c r="AN353" s="31" t="n"/>
      <c r="AO353" s="31">
        <f>IF(AN353="B2C",10,IF(AN353="B2B",5,0))</f>
        <v/>
      </c>
      <c r="AP353" s="31" t="n"/>
      <c r="AQ353" s="31">
        <f>IF(AP353="Yes",10,0)</f>
        <v/>
      </c>
      <c r="AR353" s="31" t="n"/>
      <c r="AS353" s="31">
        <f>IF(AR353="Fully Annuity",10,IF(AR353="Higher Annuity, Lower One Time",5,IF(AR353="Higher One Time, Lower Annuity",3,0)))</f>
        <v/>
      </c>
      <c r="AT353" s="31" t="n"/>
      <c r="AU353" s="31">
        <f>IF(AT353="Good",10,0)</f>
        <v/>
      </c>
      <c r="AV353" s="31" t="n"/>
      <c r="AW353" s="31">
        <f>IF(AV353="Yes for more than 2 years",10,IF(AV353="Yes only for next 1 to 2 years",5,0))</f>
        <v/>
      </c>
      <c r="AX353" s="31" t="n"/>
      <c r="AY353" s="31">
        <f>IF(AX353="Above 40",20,IF(AX353="20 to 40",10,IF(AX353="0 to 20",-5,0)))</f>
        <v/>
      </c>
      <c r="AZ353" s="31" t="n"/>
      <c r="BA353" s="31">
        <f>IF(AZ353="Between 50 to 75",10,IF(AZ353="Above 75",0,0))</f>
        <v/>
      </c>
      <c r="BB353" s="31" t="n"/>
      <c r="BC353" s="31">
        <f>IF(BB353="Stage 2",20,IF(BB353="Stage 1",0,IF(BB353="Stage 3",5,IF(BB353="Stage 4",-5,0))))</f>
        <v/>
      </c>
      <c r="BD353" s="31" t="n"/>
      <c r="BE353" s="31">
        <f>IF(BD353="Positive Trend",20,IF(BD353="Negative Trend",-10,0))</f>
        <v/>
      </c>
      <c r="BF353" s="31" t="n"/>
      <c r="BG353" s="31">
        <f>IF(BF353="Uptrend",10,IF(BF353="Sideways",5,0))</f>
        <v/>
      </c>
      <c r="BH353" s="31" t="n"/>
      <c r="BI353" s="31">
        <f>IF(BH353="Uptrend",10,IF(BH353="Sideways",5,0))</f>
        <v/>
      </c>
      <c r="BJ353" s="31" t="n"/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n"/>
      <c r="BM353" s="31">
        <f>IF(BL353="Yes",10,0)</f>
        <v/>
      </c>
      <c r="BN353" s="31" t="n"/>
      <c r="BO353" s="31">
        <f>IF(BN353="More than 20%",10,IF(BN353="Between 12 to 20%",5,IF(BN353="Less than 12%",0,0)))</f>
        <v/>
      </c>
      <c r="BP353" s="31" t="n"/>
      <c r="BQ353" s="31">
        <f>IF(BP353="No",10,0)</f>
        <v/>
      </c>
      <c r="BR353" s="31" t="n"/>
      <c r="BS353" s="31">
        <f>IF(BR353="NO",5,0)</f>
        <v/>
      </c>
      <c r="BT353" s="31" t="n"/>
      <c r="BU353" s="31">
        <f>IF(BT353="Above 2",0,IF(BT353="Between 1.5 to 2",5,IF(BT353="Less than 1.5",10,0)))</f>
        <v/>
      </c>
      <c r="BV353" s="31" t="n"/>
      <c r="BW353" s="31">
        <f>IF(BV353="Above 70%",10,IF(BV353="Between 50% to 70%",5,IF(BV353="Less than 50%",0,IF(BV353="Negative",-10,IF(BV353="Less than 50% and Borrowings are increasing",-5,0)))))</f>
        <v/>
      </c>
      <c r="BX353" s="31" t="n"/>
      <c r="BY353" s="31">
        <f>IF(BX353="More than 1.2",-10,IF(BX353="Between 0.7 to 1.2",0,IF(BX353="Less than 0.7",10,0)))</f>
        <v/>
      </c>
      <c r="BZ353" s="31" t="n"/>
      <c r="CA353" s="31">
        <f>IF(BZ353="Yes",-10,0)</f>
        <v/>
      </c>
      <c r="CB353" s="31" t="n"/>
      <c r="CC353" s="31">
        <f>IF(CB353="More than 15%",-10,IF(CB353="Less than 15%",10,0))</f>
        <v/>
      </c>
      <c r="CD353" s="31" t="n"/>
      <c r="CE353" s="31">
        <f>IF(CD353="Yes, more than 10%",-10,IF(CD353="No",10,0))</f>
        <v/>
      </c>
    </row>
    <row r="354">
      <c r="A354" s="31">
        <f>IF(B354=0,"",RANK(B354,$B$2:$B$354,0))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SIEMENS</t>
        </is>
      </c>
      <c r="D354" s="31" t="inlineStr">
        <is>
          <t>Siemens Limited</t>
        </is>
      </c>
      <c r="E354" s="31" t="inlineStr">
        <is>
          <t>industrials</t>
        </is>
      </c>
      <c r="F354" s="31" t="inlineStr">
        <is>
          <t>electric equipment</t>
        </is>
      </c>
      <c r="G354" s="31" t="inlineStr">
        <is>
          <t>largecap</t>
        </is>
      </c>
      <c r="H354" s="32" t="n">
        <v>130995.37</v>
      </c>
      <c r="I354" s="32" t="n">
        <v>3667.8</v>
      </c>
      <c r="J354" s="32" t="n">
        <v>-0.29</v>
      </c>
      <c r="K354" s="32" t="n">
        <v>244297</v>
      </c>
      <c r="L354" s="31" t="inlineStr"/>
      <c r="M354" s="31" t="inlineStr"/>
      <c r="N354" s="32">
        <f>IF(M354="Underperforming",-5,IF(L354&gt;=95,15,IF(L354&gt;=90,10,IF(L354&gt;=80,5,0))))</f>
        <v/>
      </c>
      <c r="O354" s="32" t="inlineStr"/>
      <c r="P354" s="32" t="inlineStr"/>
      <c r="Q354" s="32" t="inlineStr"/>
      <c r="R354" s="31" t="inlineStr"/>
      <c r="S354" s="31" t="inlineStr"/>
      <c r="T354" s="32" t="inlineStr"/>
      <c r="U354" s="32" t="inlineStr"/>
      <c r="V354" s="32" t="inlineStr"/>
      <c r="W354" s="32" t="inlineStr"/>
      <c r="X354" s="31" t="n"/>
      <c r="Y354" s="31">
        <f>IF(X354="Growing Industry",10,IF(X354="Cyclical in an Upturn",5,0))</f>
        <v/>
      </c>
      <c r="Z354" s="31" t="n"/>
      <c r="AA354" s="31">
        <f>IF(Z354="Monopoly",10,IF(Z354="Oligopoly",5,IF(Z354="Duopoly that cooperate",10,IF(Z354="Duopoly that compete",5,IF(Z354="Too many players with High ROCE",5,0)))))</f>
        <v/>
      </c>
      <c r="AB354" s="31" t="n"/>
      <c r="AC354" s="31">
        <f>IF(AB354="No",5,0)</f>
        <v/>
      </c>
      <c r="AD354" s="31" t="n"/>
      <c r="AE354" s="31">
        <f>IF(AD354="Tailwind",10,0)</f>
        <v/>
      </c>
      <c r="AF354" s="31" t="n"/>
      <c r="AG354" s="31">
        <f>IF(AF354="Structural (10 Years Consistency)",10,IF(AF354="Shallow Cyclical (2 to 3 years growth)",5,0))</f>
        <v/>
      </c>
      <c r="AH354" s="31" t="n"/>
      <c r="AI354" s="31">
        <f>IF(AH354="Yes due to Product Mix change or Operating Leverage",10,IF(AH354="Yes, these are peak margins",-5,IF(AH354="No",5,0)))</f>
        <v/>
      </c>
      <c r="AJ354" s="31" t="n"/>
      <c r="AK354" s="31">
        <f>IF(AJ354="Stable",10,0)</f>
        <v/>
      </c>
      <c r="AL354" s="31" t="n"/>
      <c r="AM354" s="31">
        <f>IF(AL354="Yes",10,0)</f>
        <v/>
      </c>
      <c r="AN354" s="31" t="n"/>
      <c r="AO354" s="31">
        <f>IF(AN354="B2C",10,IF(AN354="B2B",5,0))</f>
        <v/>
      </c>
      <c r="AP354" s="31" t="n"/>
      <c r="AQ354" s="31">
        <f>IF(AP354="Yes",10,0)</f>
        <v/>
      </c>
      <c r="AR354" s="31" t="n"/>
      <c r="AS354" s="31">
        <f>IF(AR354="Fully Annuity",10,IF(AR354="Higher Annuity, Lower One Time",5,IF(AR354="Higher One Time, Lower Annuity",3,0)))</f>
        <v/>
      </c>
      <c r="AT354" s="31" t="n"/>
      <c r="AU354" s="31">
        <f>IF(AT354="Good",10,0)</f>
        <v/>
      </c>
      <c r="AV354" s="31" t="n"/>
      <c r="AW354" s="31">
        <f>IF(AV354="Yes for more than 2 years",10,IF(AV354="Yes only for next 1 to 2 years",5,0))</f>
        <v/>
      </c>
      <c r="AX354" s="31" t="n"/>
      <c r="AY354" s="31">
        <f>IF(AX354="Above 40",20,IF(AX354="20 to 40",10,IF(AX354="0 to 20",-5,0)))</f>
        <v/>
      </c>
      <c r="AZ354" s="31" t="n"/>
      <c r="BA354" s="31">
        <f>IF(AZ354="Between 50 to 75",10,IF(AZ354="Above 75",0,0))</f>
        <v/>
      </c>
      <c r="BB354" s="31" t="n"/>
      <c r="BC354" s="31">
        <f>IF(BB354="Stage 2",20,IF(BB354="Stage 1",0,IF(BB354="Stage 3",5,IF(BB354="Stage 4",-5,0))))</f>
        <v/>
      </c>
      <c r="BD354" s="31" t="n"/>
      <c r="BE354" s="31">
        <f>IF(BD354="Positive Trend",20,IF(BD354="Negative Trend",-10,0))</f>
        <v/>
      </c>
      <c r="BF354" s="31" t="n"/>
      <c r="BG354" s="31">
        <f>IF(BF354="Uptrend",10,IF(BF354="Sideways",5,0))</f>
        <v/>
      </c>
      <c r="BH354" s="31" t="n"/>
      <c r="BI354" s="31">
        <f>IF(BH354="Uptrend",10,IF(BH354="Sideways",5,0))</f>
        <v/>
      </c>
      <c r="BJ354" s="31" t="n"/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n"/>
      <c r="BM354" s="31">
        <f>IF(BL354="Yes",10,0)</f>
        <v/>
      </c>
      <c r="BN354" s="31" t="n"/>
      <c r="BO354" s="31">
        <f>IF(BN354="More than 20%",10,IF(BN354="Between 12 to 20%",5,IF(BN354="Less than 12%",0,0)))</f>
        <v/>
      </c>
      <c r="BP354" s="31" t="n"/>
      <c r="BQ354" s="31">
        <f>IF(BP354="No",10,0)</f>
        <v/>
      </c>
      <c r="BR354" s="31" t="n"/>
      <c r="BS354" s="31">
        <f>IF(BR354="NO",5,0)</f>
        <v/>
      </c>
      <c r="BT354" s="31" t="n"/>
      <c r="BU354" s="31">
        <f>IF(BT354="Above 2",0,IF(BT354="Between 1.5 to 2",5,IF(BT354="Less than 1.5",10,0)))</f>
        <v/>
      </c>
      <c r="BV354" s="31" t="n"/>
      <c r="BW354" s="31">
        <f>IF(BV354="Above 70%",10,IF(BV354="Between 50% to 70%",5,IF(BV354="Less than 50%",0,IF(BV354="Negative",-10,IF(BV354="Less than 50% and Borrowings are increasing",-5,0)))))</f>
        <v/>
      </c>
      <c r="BX354" s="31" t="n"/>
      <c r="BY354" s="31">
        <f>IF(BX354="More than 1.2",-10,IF(BX354="Between 0.7 to 1.2",0,IF(BX354="Less than 0.7",10,0)))</f>
        <v/>
      </c>
      <c r="BZ354" s="31" t="n"/>
      <c r="CA354" s="31">
        <f>IF(BZ354="Yes",-10,0)</f>
        <v/>
      </c>
      <c r="CB354" s="31" t="n"/>
      <c r="CC354" s="31">
        <f>IF(CB354="More than 15%",-10,IF(CB354="Less than 15%",10,0))</f>
        <v/>
      </c>
      <c r="CD354" s="31" t="n"/>
      <c r="CE354" s="31">
        <f>IF(CD354="Yes, more than 10%",-10,IF(CD354="No",10,0))</f>
        <v/>
      </c>
    </row>
  </sheetData>
  <autoFilter ref="A1:CE354"/>
  <conditionalFormatting sqref="B2:B35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4">
    <cfRule type="cellIs" priority="36" operator="equal" dxfId="3" stopIfTrue="1">
      <formula>"Underperforming"</formula>
    </cfRule>
  </conditionalFormatting>
  <conditionalFormatting sqref="N2:N354">
    <cfRule type="cellIs" priority="37" operator="equal" dxfId="3" stopIfTrue="1">
      <formula>-5</formula>
    </cfRule>
  </conditionalFormatting>
  <conditionalFormatting sqref="Q2:Q35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4" showDropDown="0" showInputMessage="0" showErrorMessage="0" allowBlank="1" type="list">
      <formula1>"Growing Industry,Stagnant Industry,Cyclical in an Upturn"</formula1>
    </dataValidation>
    <dataValidation sqref="Z2:Z35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4" showDropDown="0" showInputMessage="0" showErrorMessage="0" allowBlank="1" type="list">
      <formula1>"Yes,No"</formula1>
    </dataValidation>
    <dataValidation sqref="AD2:AD354" showDropDown="0" showInputMessage="0" showErrorMessage="0" allowBlank="1" type="list">
      <formula1>"Tailwind,Headwind"</formula1>
    </dataValidation>
    <dataValidation sqref="AF2:AF354" showDropDown="0" showInputMessage="0" showErrorMessage="0" allowBlank="1" type="list">
      <formula1>"Structural (10 Years Consistency),Shallow Cyclical (2 to 3 Years Growth),Cyclical"</formula1>
    </dataValidation>
    <dataValidation sqref="AH2:AH354" showDropDown="0" showInputMessage="0" showErrorMessage="0" allowBlank="1" type="list">
      <formula1>"Yes due to Product Mix change or Operating Leverage,Yes, these are peak margins,No"</formula1>
    </dataValidation>
    <dataValidation sqref="AJ2:AJ354" showDropDown="0" showInputMessage="0" showErrorMessage="0" allowBlank="1" type="list">
      <formula1>"Stable,Volatile"</formula1>
    </dataValidation>
    <dataValidation sqref="AL2:AL354" showDropDown="0" showInputMessage="0" showErrorMessage="0" allowBlank="1" type="list">
      <formula1>"Yes,No"</formula1>
    </dataValidation>
    <dataValidation sqref="AN2:AN354" showDropDown="0" showInputMessage="0" showErrorMessage="0" allowBlank="1" type="list">
      <formula1>"B2C,B2B,B2G"</formula1>
    </dataValidation>
    <dataValidation sqref="AP2:AP354" showDropDown="0" showInputMessage="0" showErrorMessage="0" allowBlank="1" type="list">
      <formula1>"Yes,No"</formula1>
    </dataValidation>
    <dataValidation sqref="AR2:AR354" showDropDown="0" showInputMessage="0" showErrorMessage="0" allowBlank="1" type="list">
      <formula1>"Fully Annuity,Higher Annuity, Lower One time,Higher One Time, Lower Annuity,Fully One Time"</formula1>
    </dataValidation>
    <dataValidation sqref="AT2:AT354" showDropDown="0" showInputMessage="0" showErrorMessage="0" allowBlank="1" type="list">
      <formula1>"Good,Allocated capital in Non-core Areas"</formula1>
    </dataValidation>
    <dataValidation sqref="AV2:AV354" showDropDown="0" showInputMessage="0" showErrorMessage="0" allowBlank="1" type="list">
      <formula1>"Yes for more than 2 years,Yes only for next 1 to 2 years,No"</formula1>
    </dataValidation>
    <dataValidation sqref="AX2:AX354" showDropDown="0" showInputMessage="0" showErrorMessage="0" allowBlank="1" type="list">
      <formula1>"Above 40,20 to 40,0 to 20"</formula1>
    </dataValidation>
    <dataValidation sqref="AZ2:AZ354" showDropDown="0" showInputMessage="0" showErrorMessage="0" allowBlank="1" type="list">
      <formula1>"Between 50 to 75,Above 75,Below 45"</formula1>
    </dataValidation>
    <dataValidation sqref="BB2:BB354" showDropDown="0" showInputMessage="0" showErrorMessage="0" allowBlank="1" type="list">
      <formula1>"Stage 1,Stage 2,Stage 3,Stage 4"</formula1>
    </dataValidation>
    <dataValidation sqref="BD2:BD354" showDropDown="0" showInputMessage="0" showErrorMessage="0" allowBlank="1" type="list">
      <formula1>"Positive Trend,Negative Trend"</formula1>
    </dataValidation>
    <dataValidation sqref="BF2:BF354" showDropDown="0" showInputMessage="0" showErrorMessage="0" allowBlank="1" type="list">
      <formula1>"Uptrend,Sideways,Downtrend"</formula1>
    </dataValidation>
    <dataValidation sqref="BH2:BH354" showDropDown="0" showInputMessage="0" showErrorMessage="0" allowBlank="1" type="list">
      <formula1>"Uptrend,Sideways,Downtrend"</formula1>
    </dataValidation>
    <dataValidation sqref="BJ2:BJ35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4" showDropDown="0" showInputMessage="0" showErrorMessage="0" allowBlank="1" type="list">
      <formula1>"Yes,No"</formula1>
    </dataValidation>
    <dataValidation sqref="BN2:BN354" showDropDown="0" showInputMessage="0" showErrorMessage="0" allowBlank="1" type="list">
      <formula1>"More than 20%,Between 12 to 20%,Less than 12%"</formula1>
    </dataValidation>
    <dataValidation sqref="BP2:BP354" showDropDown="0" showInputMessage="0" showErrorMessage="0" allowBlank="1" type="list">
      <formula1>"Yes,No"</formula1>
    </dataValidation>
    <dataValidation sqref="BR2:BR354" showDropDown="0" showInputMessage="0" showErrorMessage="0" allowBlank="1" type="list">
      <formula1>"Yes,No"</formula1>
    </dataValidation>
    <dataValidation sqref="BT2:BT354" showDropDown="0" showInputMessage="0" showErrorMessage="0" allowBlank="1" type="list">
      <formula1>"Above 2,Between 1.5 to 2,Less than 1.5"</formula1>
    </dataValidation>
    <dataValidation sqref="BV2:BV354" showDropDown="0" showInputMessage="0" showErrorMessage="0" allowBlank="1" type="list">
      <formula1>"Above 70%,Between 50% to 70%,Less than 50%,Less than 50% and Borrowings are increasing,Negative"</formula1>
    </dataValidation>
    <dataValidation sqref="BX2:BX354" showDropDown="0" showInputMessage="0" showErrorMessage="0" allowBlank="1" type="list">
      <formula1>"More than 1.2,Between 0.7 to 1.2,Less than 0.7"</formula1>
    </dataValidation>
    <dataValidation sqref="BZ2:BZ354" showDropDown="0" showInputMessage="0" showErrorMessage="0" allowBlank="1" type="list">
      <formula1>"Yes,No"</formula1>
    </dataValidation>
    <dataValidation sqref="CB2:CB354" showDropDown="0" showInputMessage="0" showErrorMessage="0" allowBlank="1" type="list">
      <formula1>"More than 15%,Less than 15%"</formula1>
    </dataValidation>
    <dataValidation sqref="CD2:CD35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IF(B2=0,"",RANK(B2,$B$2:$B$65,0))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SURYODAY</t>
        </is>
      </c>
      <c r="D2" s="31" t="inlineStr">
        <is>
          <t>Suryoday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smallcap</t>
        </is>
      </c>
      <c r="H2" s="32" t="n">
        <v>1945.64</v>
      </c>
      <c r="I2" s="32" t="n">
        <v>190.41</v>
      </c>
      <c r="J2" s="32" t="n">
        <v>4.02</v>
      </c>
      <c r="K2" s="32" t="n">
        <v>416648</v>
      </c>
      <c r="L2" s="31" t="n">
        <v>68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69.06999999999999</v>
      </c>
      <c r="P2" s="32" t="n">
        <v>43.03</v>
      </c>
      <c r="Q2" s="32" t="n">
        <v>148.57</v>
      </c>
      <c r="R2" s="31" t="inlineStr">
        <is>
          <t>Near 52W High Breakout</t>
        </is>
      </c>
      <c r="S2" s="31" t="inlineStr">
        <is>
          <t>Nifty Bank</t>
        </is>
      </c>
      <c r="T2" s="32" t="n">
        <v>2.31</v>
      </c>
      <c r="U2" s="32" t="n">
        <v>43.92</v>
      </c>
      <c r="V2" s="32" t="n">
        <v>40.67</v>
      </c>
      <c r="W2" s="32" t="n">
        <v>15.08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IF(B3=0,"",RANK(B3,$B$2:$B$65,0))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10408.31</v>
      </c>
      <c r="I3" s="32" t="n">
        <v>281.3</v>
      </c>
      <c r="J3" s="32" t="n">
        <v>2.2</v>
      </c>
      <c r="K3" s="32" t="n">
        <v>2605464</v>
      </c>
      <c r="L3" s="31" t="n">
        <v>62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66.95</v>
      </c>
      <c r="P3" s="32" t="n">
        <v>48.08</v>
      </c>
      <c r="Q3" s="32" t="n">
        <v>230.63</v>
      </c>
      <c r="R3" s="31" t="inlineStr">
        <is>
          <t>Near 52W High Breakout</t>
        </is>
      </c>
      <c r="S3" s="31" t="inlineStr">
        <is>
          <t>Nifty Bank</t>
        </is>
      </c>
      <c r="T3" s="32" t="n">
        <v>2.31</v>
      </c>
      <c r="U3" s="32" t="n">
        <v>53.93</v>
      </c>
      <c r="V3" s="32" t="n">
        <v>50.45</v>
      </c>
      <c r="W3" s="32" t="n">
        <v>13.12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IF(B4=0,"",RANK(B4,$B$2:$B$65,0))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J&amp;KBANK</t>
        </is>
      </c>
      <c r="D4" s="31" t="inlineStr">
        <is>
          <t>The Jammu &amp; Kashmir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20069.05</v>
      </c>
      <c r="I4" s="32" t="n">
        <v>186.93</v>
      </c>
      <c r="J4" s="32" t="n">
        <v>2.57</v>
      </c>
      <c r="K4" s="32" t="n">
        <v>9197714</v>
      </c>
      <c r="L4" s="31" t="n">
        <v>83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73.83</v>
      </c>
      <c r="P4" s="32" t="n">
        <v>59.45</v>
      </c>
      <c r="Q4" s="32" t="n">
        <v>154.09</v>
      </c>
      <c r="R4" s="31" t="inlineStr">
        <is>
          <t>Near 52W High Breakout</t>
        </is>
      </c>
      <c r="S4" s="31" t="inlineStr">
        <is>
          <t>Nifty Bank</t>
        </is>
      </c>
      <c r="T4" s="32" t="n">
        <v>2.31</v>
      </c>
      <c r="U4" s="32" t="n">
        <v>74.45999999999999</v>
      </c>
      <c r="V4" s="32" t="n">
        <v>70.51000000000001</v>
      </c>
      <c r="W4" s="32" t="n">
        <v>22.96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less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IF(B5=0,"",RANK(B5,$B$2:$B$65,0))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CREDITACC</t>
        </is>
      </c>
      <c r="D5" s="31" t="inlineStr">
        <is>
          <t>CreditAccess Grameen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24006.88</v>
      </c>
      <c r="I5" s="32" t="n">
        <v>1534.7</v>
      </c>
      <c r="J5" s="32" t="n">
        <v>2.45</v>
      </c>
      <c r="K5" s="32" t="n">
        <v>263244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62.16</v>
      </c>
      <c r="P5" s="32" t="n">
        <v>43.38</v>
      </c>
      <c r="Q5" s="32" t="n">
        <v>1235.02</v>
      </c>
      <c r="R5" s="31" t="inlineStr">
        <is>
          <t>Near 52W High Breakout</t>
        </is>
      </c>
      <c r="S5" s="31" t="inlineStr">
        <is>
          <t>Nifty Bank</t>
        </is>
      </c>
      <c r="T5" s="32" t="n">
        <v>2.31</v>
      </c>
      <c r="U5" s="32" t="n">
        <v>17.31</v>
      </c>
      <c r="V5" s="32" t="n">
        <v>14.66</v>
      </c>
      <c r="W5" s="32" t="n">
        <v>8.73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IF(B6=0,"",RANK(B6,$B$2:$B$65,0))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CUB</t>
        </is>
      </c>
      <c r="D6" s="31" t="inlineStr">
        <is>
          <t>City Union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22290.73</v>
      </c>
      <c r="I6" s="32" t="n">
        <v>229.83</v>
      </c>
      <c r="J6" s="32" t="n">
        <v>2.16</v>
      </c>
      <c r="K6" s="32" t="n">
        <v>4752086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64.72</v>
      </c>
      <c r="P6" s="32" t="n">
        <v>21.74</v>
      </c>
      <c r="Q6" s="32" t="n">
        <v>183.19</v>
      </c>
      <c r="R6" s="31" t="inlineStr">
        <is>
          <t>Near 52W High Breakout</t>
        </is>
      </c>
      <c r="S6" s="31" t="inlineStr">
        <is>
          <t>Nifty Bank</t>
        </is>
      </c>
      <c r="T6" s="32" t="n">
        <v>2.31</v>
      </c>
      <c r="U6" s="32" t="n">
        <v>47.95</v>
      </c>
      <c r="V6" s="32" t="n">
        <v>44.6</v>
      </c>
      <c r="W6" s="32" t="n">
        <v>11.99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IF(B7=0,"",RANK(B7,$B$2:$B$65,0))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TMB</t>
        </is>
      </c>
      <c r="D7" s="31" t="inlineStr">
        <is>
          <t>Tamilnad Mercantile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12763.92</v>
      </c>
      <c r="I7" s="32" t="n">
        <v>818.45</v>
      </c>
      <c r="J7" s="32" t="n">
        <v>1.54</v>
      </c>
      <c r="K7" s="32" t="n">
        <v>465847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68.92</v>
      </c>
      <c r="P7" s="32" t="n">
        <v>35.95</v>
      </c>
      <c r="Q7" s="32" t="n">
        <v>657.63</v>
      </c>
      <c r="R7" s="31" t="inlineStr">
        <is>
          <t>Near 52W High Breakout</t>
        </is>
      </c>
      <c r="S7" s="31" t="inlineStr">
        <is>
          <t>Nifty Bank</t>
        </is>
      </c>
      <c r="T7" s="32" t="n">
        <v>2.31</v>
      </c>
      <c r="U7" s="32" t="n">
        <v>87.3</v>
      </c>
      <c r="V7" s="32" t="n">
        <v>83.06999999999999</v>
      </c>
      <c r="W7" s="32" t="n">
        <v>19.99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IF(B8=0,"",RANK(B8,$B$2:$B$65,0))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WELINV</t>
        </is>
      </c>
      <c r="D8" s="31" t="inlineStr">
        <is>
          <t>Welspun Investments And Commercials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666.65</v>
      </c>
      <c r="I8" s="32" t="n">
        <v>1850.1</v>
      </c>
      <c r="J8" s="32" t="n">
        <v>1.42</v>
      </c>
      <c r="K8" s="32" t="n">
        <v>238</v>
      </c>
      <c r="L8" s="31" t="n">
        <v>77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75.13</v>
      </c>
      <c r="P8" s="32" t="n">
        <v>52.99</v>
      </c>
      <c r="Q8" s="32" t="n">
        <v>1439.24</v>
      </c>
      <c r="R8" s="31" t="inlineStr">
        <is>
          <t>Near 52W High Breakout</t>
        </is>
      </c>
      <c r="S8" s="31" t="inlineStr">
        <is>
          <t>Nifty Bank</t>
        </is>
      </c>
      <c r="T8" s="32" t="n">
        <v>2.31</v>
      </c>
      <c r="U8" s="32" t="n">
        <v>76.8</v>
      </c>
      <c r="V8" s="32" t="n">
        <v>72.81</v>
      </c>
      <c r="W8" s="32" t="n">
        <v>19.23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IF(B9=0,"",RANK(B9,$B$2:$B$65,0))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PAISALO</t>
        </is>
      </c>
      <c r="D9" s="31" t="inlineStr">
        <is>
          <t>Paisalo Digital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midcap</t>
        </is>
      </c>
      <c r="H9" s="32" t="n">
        <v>6494.9</v>
      </c>
      <c r="I9" s="32" t="n">
        <v>72.18000000000001</v>
      </c>
      <c r="J9" s="32" t="n">
        <v>1.08</v>
      </c>
      <c r="K9" s="32" t="n">
        <v>12751903</v>
      </c>
      <c r="L9" s="31" t="n">
        <v>92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81.39</v>
      </c>
      <c r="P9" s="32" t="n">
        <v>54.84</v>
      </c>
      <c r="Q9" s="32" t="n">
        <v>57.25</v>
      </c>
      <c r="R9" s="31" t="inlineStr">
        <is>
          <t>Near 52W High Breakout</t>
        </is>
      </c>
      <c r="S9" s="31" t="inlineStr">
        <is>
          <t>Nifty Bank</t>
        </is>
      </c>
      <c r="T9" s="32" t="n">
        <v>2.31</v>
      </c>
      <c r="U9" s="32" t="n">
        <v>122.53</v>
      </c>
      <c r="V9" s="32" t="n">
        <v>117.5</v>
      </c>
      <c r="W9" s="32" t="n">
        <v>31.34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IF(B10=0,"",RANK(B10,$B$2:$B$65,0))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smallcap</t>
        </is>
      </c>
      <c r="H10" s="32" t="n">
        <v>3830.67</v>
      </c>
      <c r="I10" s="32" t="n">
        <v>83.20999999999999</v>
      </c>
      <c r="J10" s="32" t="n">
        <v>0.57</v>
      </c>
      <c r="K10" s="32" t="n">
        <v>8844355</v>
      </c>
      <c r="L10" s="31" t="n">
        <v>56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61.16</v>
      </c>
      <c r="P10" s="32" t="n">
        <v>41.32</v>
      </c>
      <c r="Q10" s="32" t="n">
        <v>63.79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2.31</v>
      </c>
      <c r="U10" s="32" t="n">
        <v>44.18</v>
      </c>
      <c r="V10" s="32" t="n">
        <v>40.92</v>
      </c>
      <c r="W10" s="32" t="n">
        <v>11.52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IF(B11=0,"",RANK(B11,$B$2:$B$65,0))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UJJIVANSFB</t>
        </is>
      </c>
      <c r="D11" s="31" t="inlineStr">
        <is>
          <t>Ujjivan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12762.82</v>
      </c>
      <c r="I11" s="32" t="n">
        <v>65.63</v>
      </c>
      <c r="J11" s="32" t="n">
        <v>0.03</v>
      </c>
      <c r="K11" s="32" t="n">
        <v>11314410</v>
      </c>
      <c r="L11" s="31" t="n">
        <v>60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63.26</v>
      </c>
      <c r="P11" s="32" t="n">
        <v>27.92</v>
      </c>
      <c r="Q11" s="32" t="n">
        <v>51.97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2.31</v>
      </c>
      <c r="U11" s="32" t="n">
        <v>51.5</v>
      </c>
      <c r="V11" s="32" t="n">
        <v>48.08</v>
      </c>
      <c r="W11" s="32" t="n">
        <v>12.5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IF(B12=0,"",RANK(B12,$B$2:$B$65,0))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JSFB</t>
        </is>
      </c>
      <c r="D12" s="31" t="inlineStr">
        <is>
          <t>Jana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5599.93</v>
      </c>
      <c r="I12" s="32" t="n">
        <v>561.6</v>
      </c>
      <c r="J12" s="32" t="n">
        <v>5.64</v>
      </c>
      <c r="K12" s="32" t="n">
        <v>3046641</v>
      </c>
      <c r="L12" s="31" t="n">
        <v>50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70.12</v>
      </c>
      <c r="P12" s="32" t="n">
        <v>33.25</v>
      </c>
      <c r="Q12" s="32" t="n">
        <v>435.84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2.31</v>
      </c>
      <c r="U12" s="32" t="n">
        <v>24.4</v>
      </c>
      <c r="V12" s="32" t="n">
        <v>21.59</v>
      </c>
      <c r="W12" s="32" t="n">
        <v>10.01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IF(B13=0,"",RANK(B13,$B$2:$B$65,0))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MANBA</t>
        </is>
      </c>
      <c r="D13" s="31" t="inlineStr">
        <is>
          <t>Manba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692.4</v>
      </c>
      <c r="I13" s="32" t="n">
        <v>142</v>
      </c>
      <c r="J13" s="32" t="n">
        <v>3.03</v>
      </c>
      <c r="K13" s="32" t="n">
        <v>535733</v>
      </c>
      <c r="L13" s="31" t="n">
        <v>42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63.64</v>
      </c>
      <c r="P13" s="32" t="n">
        <v>29.79</v>
      </c>
      <c r="Q13" s="32" t="n">
        <v>105.71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2.31</v>
      </c>
      <c r="U13" s="32" t="n">
        <v>3.85</v>
      </c>
      <c r="V13" s="32" t="n">
        <v>1.51</v>
      </c>
      <c r="W13" s="32" t="n">
        <v>8.390000000000001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IF(B14=0,"",RANK(B14,$B$2:$B$65,0))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INDUSINDBK</t>
        </is>
      </c>
      <c r="D14" s="31" t="inlineStr">
        <is>
          <t>Indusind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80472.73</v>
      </c>
      <c r="I14" s="32" t="n">
        <v>1063.45</v>
      </c>
      <c r="J14" s="32" t="n">
        <v>2.96</v>
      </c>
      <c r="K14" s="32" t="n">
        <v>5124543</v>
      </c>
      <c r="L14" s="31" t="n">
        <v>55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68.90000000000001</v>
      </c>
      <c r="P14" s="32" t="n">
        <v>22.32</v>
      </c>
      <c r="Q14" s="32" t="n">
        <v>903.61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2.31</v>
      </c>
      <c r="U14" s="32" t="n">
        <v>29.32</v>
      </c>
      <c r="V14" s="32" t="n">
        <v>26.39</v>
      </c>
      <c r="W14" s="32" t="n">
        <v>11.22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IF(B15=0,"",RANK(B15,$B$2:$B$65,0))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ESAFSFB</t>
        </is>
      </c>
      <c r="D15" s="31" t="inlineStr">
        <is>
          <t>ESAF Small Finance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smallcap</t>
        </is>
      </c>
      <c r="H15" s="32" t="n">
        <v>1825.96</v>
      </c>
      <c r="I15" s="32" t="n">
        <v>36.16</v>
      </c>
      <c r="J15" s="32" t="n">
        <v>2.12</v>
      </c>
      <c r="K15" s="32" t="n">
        <v>1433494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65.5</v>
      </c>
      <c r="P15" s="32" t="n">
        <v>25.27</v>
      </c>
      <c r="Q15" s="32" t="n">
        <v>27.39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2.31</v>
      </c>
      <c r="U15" s="32" t="n">
        <v>13.25</v>
      </c>
      <c r="V15" s="32" t="n">
        <v>10.69</v>
      </c>
      <c r="W15" s="32" t="n">
        <v>16.13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IF(B16=0,"",RANK(B16,$B$2:$B$65,0))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STARHEALTH</t>
        </is>
      </c>
      <c r="D16" s="31" t="inlineStr">
        <is>
          <t>Star Health &amp; Allied Insurance Company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34198.01</v>
      </c>
      <c r="I16" s="32" t="n">
        <v>588.65</v>
      </c>
      <c r="J16" s="32" t="n">
        <v>1.28</v>
      </c>
      <c r="K16" s="32" t="n">
        <v>303960</v>
      </c>
      <c r="L16" s="31" t="n">
        <v>52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67.73</v>
      </c>
      <c r="P16" s="32" t="n">
        <v>46.09</v>
      </c>
      <c r="Q16" s="32" t="n">
        <v>504.12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2.31</v>
      </c>
      <c r="U16" s="32" t="n">
        <v>38.47</v>
      </c>
      <c r="V16" s="32" t="n">
        <v>35.35</v>
      </c>
      <c r="W16" s="32" t="n">
        <v>10.43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IF(B17=0,"",RANK(B17,$B$2:$B$65,0))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RANEHOLDIN</t>
        </is>
      </c>
      <c r="D17" s="31" t="inlineStr">
        <is>
          <t>Rane Holdings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2491.33</v>
      </c>
      <c r="I17" s="32" t="n">
        <v>1760.9</v>
      </c>
      <c r="J17" s="32" t="n">
        <v>0.92</v>
      </c>
      <c r="K17" s="32" t="n">
        <v>18211</v>
      </c>
      <c r="L17" s="31" t="n">
        <v>76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68.75</v>
      </c>
      <c r="P17" s="32" t="n">
        <v>36.23</v>
      </c>
      <c r="Q17" s="32" t="n">
        <v>1385.8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2.31</v>
      </c>
      <c r="U17" s="32" t="n">
        <v>15.14</v>
      </c>
      <c r="V17" s="32" t="n">
        <v>12.54</v>
      </c>
      <c r="W17" s="32" t="n">
        <v>17.94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IF(B18=0,"",RANK(B18,$B$2:$B$65,0))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FUSION</t>
        </is>
      </c>
      <c r="D18" s="31" t="inlineStr">
        <is>
          <t>Fusion Micro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3662.74</v>
      </c>
      <c r="I18" s="32" t="n">
        <v>227.77</v>
      </c>
      <c r="J18" s="32" t="n">
        <v>0.79</v>
      </c>
      <c r="K18" s="32" t="n">
        <v>263643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64.29000000000001</v>
      </c>
      <c r="P18" s="32" t="n">
        <v>29.31</v>
      </c>
      <c r="Q18" s="32" t="n">
        <v>173.84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2.31</v>
      </c>
      <c r="U18" s="32" t="n">
        <v>33.92</v>
      </c>
      <c r="V18" s="32" t="n">
        <v>30.89</v>
      </c>
      <c r="W18" s="32" t="n">
        <v>12.36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IF(B19=0,"",RANK(B19,$B$2:$B$65,0))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ABCAPITAL</t>
        </is>
      </c>
      <c r="D19" s="31" t="inlineStr">
        <is>
          <t>Aditya Birla Capital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109682.69</v>
      </c>
      <c r="I19" s="32" t="n">
        <v>409.05</v>
      </c>
      <c r="J19" s="32" t="n">
        <v>1.97</v>
      </c>
      <c r="K19" s="32" t="n">
        <v>3359325</v>
      </c>
      <c r="L19" s="31" t="n">
        <v>64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70.73</v>
      </c>
      <c r="P19" s="32" t="n">
        <v>24.87</v>
      </c>
      <c r="Q19" s="32" t="n">
        <v>342.45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2.31</v>
      </c>
      <c r="U19" s="32" t="n">
        <v>57.12</v>
      </c>
      <c r="V19" s="32" t="n">
        <v>53.57</v>
      </c>
      <c r="W19" s="32" t="n">
        <v>13.86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IF(B20=0,"",RANK(B20,$B$2:$B$65,0))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FEDERALBNK</t>
        </is>
      </c>
      <c r="D20" s="31" t="inlineStr">
        <is>
          <t>The Federal Bank 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86434.7</v>
      </c>
      <c r="I20" s="32" t="n">
        <v>356.05</v>
      </c>
      <c r="J20" s="32" t="n">
        <v>1.51</v>
      </c>
      <c r="K20" s="32" t="n">
        <v>6342396</v>
      </c>
      <c r="L20" s="31" t="n">
        <v>72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78.20999999999999</v>
      </c>
      <c r="P20" s="32" t="n">
        <v>29.47</v>
      </c>
      <c r="Q20" s="32" t="n">
        <v>309.81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2.31</v>
      </c>
      <c r="U20" s="32" t="n">
        <v>72.09999999999999</v>
      </c>
      <c r="V20" s="32" t="n">
        <v>68.20999999999999</v>
      </c>
      <c r="W20" s="32" t="n">
        <v>16.13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IF(B21=0,"",RANK(B21,$B$2:$B$65,0))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CGCL</t>
        </is>
      </c>
      <c r="D21" s="31" t="inlineStr">
        <is>
          <t>Capri Global Capital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24055.77</v>
      </c>
      <c r="I21" s="32" t="n">
        <v>249.64</v>
      </c>
      <c r="J21" s="32" t="n">
        <v>-0.15</v>
      </c>
      <c r="K21" s="32" t="n">
        <v>1887889</v>
      </c>
      <c r="L21" s="31" t="n">
        <v>68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73.5</v>
      </c>
      <c r="P21" s="32" t="n">
        <v>35.63</v>
      </c>
      <c r="Q21" s="32" t="n">
        <v>212.69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2.31</v>
      </c>
      <c r="U21" s="32" t="n">
        <v>36.53</v>
      </c>
      <c r="V21" s="32" t="n">
        <v>33.45</v>
      </c>
      <c r="W21" s="32" t="n">
        <v>15.13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IF(B22=0,"",RANK(B22,$B$2:$B$65,0))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KARURVYSYA</t>
        </is>
      </c>
      <c r="D22" s="31" t="inlineStr">
        <is>
          <t>Karur Vysya Bank Limited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largecap</t>
        </is>
      </c>
      <c r="H22" s="32" t="n">
        <v>29096.05</v>
      </c>
      <c r="I22" s="32" t="n">
        <v>340.3</v>
      </c>
      <c r="J22" s="32" t="n">
        <v>13.06</v>
      </c>
      <c r="K22" s="32" t="n">
        <v>83899658</v>
      </c>
      <c r="L22" s="31" t="n">
        <v>61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69.3</v>
      </c>
      <c r="P22" s="32" t="n">
        <v>15.21</v>
      </c>
      <c r="Q22" s="32" t="n">
        <v>277.64</v>
      </c>
      <c r="R22" s="31" t="inlineStr">
        <is>
          <t>Volume Spike &amp; Near 52W High Breakout</t>
        </is>
      </c>
      <c r="S22" s="31" t="inlineStr">
        <is>
          <t>Nifty Bank</t>
        </is>
      </c>
      <c r="T22" s="32" t="n">
        <v>2.31</v>
      </c>
      <c r="U22" s="32" t="n">
        <v>58.27</v>
      </c>
      <c r="V22" s="32" t="n">
        <v>54.7</v>
      </c>
      <c r="W22" s="32" t="n">
        <v>12.78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IF(B23=0,"",RANK(B23,$B$2:$B$65,0))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MANAPPURAM</t>
        </is>
      </c>
      <c r="D23" s="31" t="inlineStr">
        <is>
          <t>Manappuram Finance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31665.02</v>
      </c>
      <c r="I23" s="32" t="n">
        <v>351.75</v>
      </c>
      <c r="J23" s="32" t="n">
        <v>4.35</v>
      </c>
      <c r="K23" s="32" t="n">
        <v>12016739</v>
      </c>
      <c r="L23" s="31" t="n">
        <v>53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65.23999999999999</v>
      </c>
      <c r="P23" s="32" t="n">
        <v>14.67</v>
      </c>
      <c r="Q23" s="32" t="n">
        <v>283.45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2.31</v>
      </c>
      <c r="U23" s="32" t="n">
        <v>33.35</v>
      </c>
      <c r="V23" s="32" t="n">
        <v>30.34</v>
      </c>
      <c r="W23" s="32" t="n">
        <v>10.58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IF(B24=0,"",RANK(B24,$B$2:$B$65,0))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SOUTHBANK</t>
        </is>
      </c>
      <c r="D24" s="31" t="inlineStr">
        <is>
          <t>The South Indian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midcap</t>
        </is>
      </c>
      <c r="H24" s="32" t="n">
        <v>12090.23</v>
      </c>
      <c r="I24" s="32" t="n">
        <v>47.28</v>
      </c>
      <c r="J24" s="32" t="n">
        <v>2.38</v>
      </c>
      <c r="K24" s="32" t="n">
        <v>34238345</v>
      </c>
      <c r="L24" s="31" t="n">
        <v>70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63.16</v>
      </c>
      <c r="P24" s="32" t="n">
        <v>22.7</v>
      </c>
      <c r="Q24" s="32" t="n">
        <v>38.03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2.31</v>
      </c>
      <c r="U24" s="32" t="n">
        <v>61.19</v>
      </c>
      <c r="V24" s="32" t="n">
        <v>57.55</v>
      </c>
      <c r="W24" s="32" t="n">
        <v>15.73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IF(B25=0,"",RANK(B25,$B$2:$B$65,0))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ANANDRATHI</t>
        </is>
      </c>
      <c r="D25" s="31" t="inlineStr">
        <is>
          <t>Anand Rathi Wealth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34581.41</v>
      </c>
      <c r="I25" s="32" t="n">
        <v>2091.2</v>
      </c>
      <c r="J25" s="32" t="n">
        <v>0.41</v>
      </c>
      <c r="K25" s="32" t="n">
        <v>108461</v>
      </c>
      <c r="L25" s="31" t="n">
        <v>64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73.45999999999999</v>
      </c>
      <c r="P25" s="32" t="n">
        <v>49.99</v>
      </c>
      <c r="Q25" s="32" t="n">
        <v>1846.73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2.31</v>
      </c>
      <c r="U25" s="32" t="n">
        <v>61.73</v>
      </c>
      <c r="V25" s="32" t="n">
        <v>58.07</v>
      </c>
      <c r="W25" s="32" t="n">
        <v>14.05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Above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IF(B26=0,"",RANK(B26,$B$2:$B$65,0))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DCBBANK</t>
        </is>
      </c>
      <c r="D26" s="31" t="inlineStr">
        <is>
          <t>Dcb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midcap</t>
        </is>
      </c>
      <c r="H26" s="32" t="n">
        <v>6114.64</v>
      </c>
      <c r="I26" s="32" t="n">
        <v>190.22</v>
      </c>
      <c r="J26" s="32" t="n">
        <v>0.19</v>
      </c>
      <c r="K26" s="32" t="n">
        <v>1471058</v>
      </c>
      <c r="L26" s="31" t="n">
        <v>34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61.02</v>
      </c>
      <c r="P26" s="32" t="n">
        <v>23.74</v>
      </c>
      <c r="Q26" s="32" t="n">
        <v>156.19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2.31</v>
      </c>
      <c r="U26" s="32" t="n">
        <v>39.12</v>
      </c>
      <c r="V26" s="32" t="n">
        <v>35.97</v>
      </c>
      <c r="W26" s="32" t="n">
        <v>6.89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IF(B27=0,"",RANK(B27,$B$2:$B$65,0))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PNBHOUSING</t>
        </is>
      </c>
      <c r="D27" s="31" t="inlineStr">
        <is>
          <t>Pnb Housing Finance Limited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largecap</t>
        </is>
      </c>
      <c r="H27" s="32" t="n">
        <v>28614.26</v>
      </c>
      <c r="I27" s="32" t="n">
        <v>1088</v>
      </c>
      <c r="J27" s="32" t="n">
        <v>-0.95</v>
      </c>
      <c r="K27" s="32" t="n">
        <v>584454</v>
      </c>
      <c r="L27" s="31" t="n">
        <v>19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64.27</v>
      </c>
      <c r="P27" s="32" t="n">
        <v>32.98</v>
      </c>
      <c r="Q27" s="32" t="n">
        <v>919.17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2.31</v>
      </c>
      <c r="U27" s="32" t="n">
        <v>8.83</v>
      </c>
      <c r="V27" s="32" t="n">
        <v>6.37</v>
      </c>
      <c r="W27" s="32" t="n">
        <v>3.74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IF(B28=0,"",RANK(B28,$B$2:$B$65,0))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CONSOFINVT</t>
        </is>
      </c>
      <c r="D28" s="31" t="inlineStr">
        <is>
          <t>Consolidated Finvest &amp; Holdings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915</v>
      </c>
      <c r="I28" s="32" t="n">
        <v>279.7</v>
      </c>
      <c r="J28" s="32" t="n">
        <v>-1.18</v>
      </c>
      <c r="K28" s="32" t="n">
        <v>15307</v>
      </c>
      <c r="L28" s="31" t="n">
        <v>62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73.67</v>
      </c>
      <c r="P28" s="32" t="n">
        <v>27.03</v>
      </c>
      <c r="Q28" s="32" t="n">
        <v>216.87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2.31</v>
      </c>
      <c r="U28" s="32" t="n">
        <v>36.75</v>
      </c>
      <c r="V28" s="32" t="n">
        <v>33.66</v>
      </c>
      <c r="W28" s="32" t="n">
        <v>13.16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IF(B29=0,"",RANK(B29,$B$2:$B$65,0))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SPANDANA</t>
        </is>
      </c>
      <c r="D29" s="31" t="inlineStr">
        <is>
          <t>Spandana Sphoorty Financial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2532.43</v>
      </c>
      <c r="I29" s="32" t="n">
        <v>303.15</v>
      </c>
      <c r="J29" s="32" t="n">
        <v>6.11</v>
      </c>
      <c r="K29" s="32" t="n">
        <v>313835</v>
      </c>
      <c r="L29" s="31" t="n">
        <v>55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61.39</v>
      </c>
      <c r="P29" s="32" t="n">
        <v>18.18</v>
      </c>
      <c r="Q29" s="32" t="n">
        <v>225.32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2.31</v>
      </c>
      <c r="U29" s="32" t="n">
        <v>10.74</v>
      </c>
      <c r="V29" s="32" t="n">
        <v>8.24</v>
      </c>
      <c r="W29" s="32" t="n">
        <v>11.21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IF(B30=0,"",RANK(B30,$B$2:$B$65,0))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GEECEE</t>
        </is>
      </c>
      <c r="D30" s="33" t="inlineStr">
        <is>
          <t>Geecee Ventures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721.25</v>
      </c>
      <c r="I30" s="32" t="n">
        <v>354.95</v>
      </c>
      <c r="J30" s="32" t="n">
        <v>2.91</v>
      </c>
      <c r="K30" s="32" t="n">
        <v>2482</v>
      </c>
      <c r="L30" s="31" t="n">
        <v>22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59.17</v>
      </c>
      <c r="P30" s="32" t="n">
        <v>25.35</v>
      </c>
      <c r="Q30" s="32" t="n">
        <v>272.28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2.31</v>
      </c>
      <c r="U30" s="32" t="n">
        <v>-3.93</v>
      </c>
      <c r="V30" s="32" t="n">
        <v>-6.1</v>
      </c>
      <c r="W30" s="32" t="n">
        <v>4.18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IF(B31=0,"",RANK(B31,$B$2:$B$65,0))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MONARCH</t>
        </is>
      </c>
      <c r="D31" s="33" t="inlineStr">
        <is>
          <t>Monarch Networth Capital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2838.05</v>
      </c>
      <c r="I31" s="32" t="n">
        <v>359.95</v>
      </c>
      <c r="J31" s="32" t="n">
        <v>0.59</v>
      </c>
      <c r="K31" s="32" t="n">
        <v>91478</v>
      </c>
      <c r="L31" s="31" t="n">
        <v>25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65.88</v>
      </c>
      <c r="P31" s="32" t="n">
        <v>23.18</v>
      </c>
      <c r="Q31" s="32" t="n">
        <v>293.2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2.31</v>
      </c>
      <c r="U31" s="32" t="n">
        <v>-1.42</v>
      </c>
      <c r="V31" s="32" t="n">
        <v>-3.65</v>
      </c>
      <c r="W31" s="32" t="n">
        <v>4.9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IF(B32=0,"",RANK(B32,$B$2:$B$65,0))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HOMEFIRST</t>
        </is>
      </c>
      <c r="D32" s="33" t="inlineStr">
        <is>
          <t>Home First Finance Company India Ltd</t>
        </is>
      </c>
      <c r="E32" s="31" t="inlineStr">
        <is>
          <t>financials</t>
        </is>
      </c>
      <c r="F32" s="31" t="inlineStr">
        <is>
          <t>finance - housing</t>
        </is>
      </c>
      <c r="G32" s="31" t="inlineStr">
        <is>
          <t>midcap</t>
        </is>
      </c>
      <c r="H32" s="32" t="n">
        <v>13283.04</v>
      </c>
      <c r="I32" s="32" t="n">
        <v>1280.1</v>
      </c>
      <c r="J32" s="32" t="n">
        <v>0.54</v>
      </c>
      <c r="K32" s="32" t="n">
        <v>306205</v>
      </c>
      <c r="L32" s="31" t="n">
        <v>7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64.78</v>
      </c>
      <c r="P32" s="32" t="n">
        <v>28.46</v>
      </c>
      <c r="Q32" s="32" t="n">
        <v>1030.78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2.31</v>
      </c>
      <c r="U32" s="32" t="n">
        <v>-13.04</v>
      </c>
      <c r="V32" s="32" t="n">
        <v>-15.01</v>
      </c>
      <c r="W32" s="32" t="n">
        <v>0.45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IF(B33=0,"",RANK(B33,$B$2:$B$65,0))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OFSS</t>
        </is>
      </c>
      <c r="D33" s="31" t="inlineStr">
        <is>
          <t>Oracle Financial Services Software Limited</t>
        </is>
      </c>
      <c r="E33" s="31" t="inlineStr">
        <is>
          <t>i.t</t>
        </is>
      </c>
      <c r="F33" s="31" t="inlineStr">
        <is>
          <t>computers - software - large</t>
        </is>
      </c>
      <c r="G33" s="31" t="inlineStr">
        <is>
          <t>largecap</t>
        </is>
      </c>
      <c r="H33" s="32" t="n">
        <v>101177.83</v>
      </c>
      <c r="I33" s="32" t="n">
        <v>11632</v>
      </c>
      <c r="J33" s="32" t="n">
        <v>0.1</v>
      </c>
      <c r="K33" s="32" t="n">
        <v>184484</v>
      </c>
      <c r="L33" s="31" t="n">
        <v>66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74.52</v>
      </c>
      <c r="P33" s="32" t="n">
        <v>36.72</v>
      </c>
      <c r="Q33" s="32" t="n">
        <v>9650.01</v>
      </c>
      <c r="R33" s="31" t="inlineStr">
        <is>
          <t>Near 52W High Breakout</t>
        </is>
      </c>
      <c r="S33" s="31" t="inlineStr">
        <is>
          <t>Nifty IT</t>
        </is>
      </c>
      <c r="T33" s="32" t="n">
        <v>-18.64</v>
      </c>
      <c r="U33" s="32" t="n">
        <v>41.14</v>
      </c>
      <c r="V33" s="32" t="n">
        <v>73.47</v>
      </c>
      <c r="W33" s="32" t="n">
        <v>14.74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IF(B34=0,"",RANK(B34,$B$2:$B$65,0))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CAPITALSFB</t>
        </is>
      </c>
      <c r="D34" s="31" t="inlineStr">
        <is>
          <t>Capital Small Finance Bank Ltd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smallcap</t>
        </is>
      </c>
      <c r="H34" s="32" t="n">
        <v>1387.82</v>
      </c>
      <c r="I34" s="32" t="n">
        <v>305.05</v>
      </c>
      <c r="J34" s="32" t="n">
        <v>-0.07000000000000001</v>
      </c>
      <c r="K34" s="32" t="n">
        <v>49660</v>
      </c>
      <c r="L34" s="31" t="n">
        <v>26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64.27</v>
      </c>
      <c r="P34" s="32" t="n">
        <v>27.68</v>
      </c>
      <c r="Q34" s="32" t="n">
        <v>250.36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2.31</v>
      </c>
      <c r="U34" s="32" t="n">
        <v>2.83</v>
      </c>
      <c r="V34" s="32" t="n">
        <v>0.51</v>
      </c>
      <c r="W34" s="32" t="n">
        <v>5.03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IF(B35=0,"",RANK(B35,$B$2:$B$65,0))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SHRIRAMFIN</t>
        </is>
      </c>
      <c r="D35" s="31" t="inlineStr">
        <is>
          <t>Shriram Finance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243597.15</v>
      </c>
      <c r="I35" s="32" t="n">
        <v>1061.5</v>
      </c>
      <c r="J35" s="32" t="n">
        <v>2.52</v>
      </c>
      <c r="K35" s="32" t="n">
        <v>7633487</v>
      </c>
      <c r="L35" s="31" t="n">
        <v>63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61.12</v>
      </c>
      <c r="P35" s="32" t="n">
        <v>11.75</v>
      </c>
      <c r="Q35" s="32" t="n">
        <v>860.6900000000001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2.31</v>
      </c>
      <c r="U35" s="32" t="n">
        <v>74.39</v>
      </c>
      <c r="V35" s="32" t="n">
        <v>70.45999999999999</v>
      </c>
      <c r="W35" s="32" t="n">
        <v>13.84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IF(B36=0,"",RANK(B36,$B$2:$B$65,0))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NUVAMA</t>
        </is>
      </c>
      <c r="D36" s="31" t="inlineStr">
        <is>
          <t>Nuvama Wealth Management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33840.84</v>
      </c>
      <c r="I36" s="32" t="n">
        <v>1891.6</v>
      </c>
      <c r="J36" s="32" t="n">
        <v>2.03</v>
      </c>
      <c r="K36" s="32" t="n">
        <v>392814</v>
      </c>
      <c r="L36" s="31" t="n">
        <v>69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67.09999999999999</v>
      </c>
      <c r="P36" s="32" t="n">
        <v>37.78</v>
      </c>
      <c r="Q36" s="32" t="n">
        <v>1590.29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2.31</v>
      </c>
      <c r="U36" s="32" t="n">
        <v>31.2</v>
      </c>
      <c r="V36" s="32" t="n">
        <v>28.24</v>
      </c>
      <c r="W36" s="32" t="n">
        <v>15.23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Blue sky scenario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IF(B37=0,"",RANK(B37,$B$2:$B$65,0))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INDOSTAR</t>
        </is>
      </c>
      <c r="D37" s="33" t="inlineStr">
        <is>
          <t>Indostar Capital Finance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smallcap</t>
        </is>
      </c>
      <c r="H37" s="32" t="n">
        <v>4308.66</v>
      </c>
      <c r="I37" s="32" t="n">
        <v>271</v>
      </c>
      <c r="J37" s="32" t="n">
        <v>1.63</v>
      </c>
      <c r="K37" s="32" t="n">
        <v>59718</v>
      </c>
      <c r="L37" s="31" t="n">
        <v>40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61.79</v>
      </c>
      <c r="P37" s="32" t="n">
        <v>20.06</v>
      </c>
      <c r="Q37" s="32" t="n">
        <v>200.11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2.31</v>
      </c>
      <c r="U37" s="32" t="n">
        <v>-7.55</v>
      </c>
      <c r="V37" s="32" t="n">
        <v>-9.640000000000001</v>
      </c>
      <c r="W37" s="32" t="n">
        <v>7.92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IF(B38=0,"",RANK(B38,$B$2:$B$65,0))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MUTHOOTMF</t>
        </is>
      </c>
      <c r="D38" s="31" t="inlineStr">
        <is>
          <t>Muthoot Microfin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4318.4</v>
      </c>
      <c r="I38" s="32" t="n">
        <v>254.3</v>
      </c>
      <c r="J38" s="32" t="n">
        <v>0.4</v>
      </c>
      <c r="K38" s="32" t="n">
        <v>472240</v>
      </c>
      <c r="L38" s="31" t="n">
        <v>74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77.13</v>
      </c>
      <c r="P38" s="32" t="n">
        <v>39.47</v>
      </c>
      <c r="Q38" s="32" t="n">
        <v>196.62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2.31</v>
      </c>
      <c r="U38" s="32" t="n">
        <v>51.84</v>
      </c>
      <c r="V38" s="32" t="n">
        <v>48.41</v>
      </c>
      <c r="W38" s="32" t="n">
        <v>17.1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Above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IF(B39=0,"",RANK(B39,$B$2:$B$65,0))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CHOICEIN</t>
        </is>
      </c>
      <c r="D39" s="31" t="inlineStr">
        <is>
          <t>Choice International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18157.4</v>
      </c>
      <c r="I39" s="32" t="n">
        <v>816.9</v>
      </c>
      <c r="J39" s="32" t="n">
        <v>0.23</v>
      </c>
      <c r="K39" s="32" t="n">
        <v>876231</v>
      </c>
      <c r="L39" s="31" t="n">
        <v>28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61.74</v>
      </c>
      <c r="P39" s="32" t="n">
        <v>20.83</v>
      </c>
      <c r="Q39" s="32" t="n">
        <v>687.05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2.31</v>
      </c>
      <c r="U39" s="32" t="n">
        <v>8.619999999999999</v>
      </c>
      <c r="V39" s="32" t="n">
        <v>6.16</v>
      </c>
      <c r="W39" s="32" t="n">
        <v>5.36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Blue sky scenario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IF(B40=0,"",RANK(B40,$B$2:$B$65,0))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EQUITASBNK</t>
        </is>
      </c>
      <c r="D40" s="31" t="inlineStr">
        <is>
          <t>Equitas Small Finance Bank Ltd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midcap</t>
        </is>
      </c>
      <c r="H40" s="32" t="n">
        <v>9067.43</v>
      </c>
      <c r="I40" s="32" t="n">
        <v>81.43000000000001</v>
      </c>
      <c r="J40" s="32" t="n">
        <v>2.71</v>
      </c>
      <c r="K40" s="32" t="n">
        <v>2744637</v>
      </c>
      <c r="L40" s="31" t="n">
        <v>57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64.45</v>
      </c>
      <c r="P40" s="32" t="n">
        <v>31.13</v>
      </c>
      <c r="Q40" s="32" t="n">
        <v>65.97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2.31</v>
      </c>
      <c r="U40" s="32" t="n">
        <v>33.01</v>
      </c>
      <c r="V40" s="32" t="n">
        <v>30.01</v>
      </c>
      <c r="W40" s="32" t="n">
        <v>11.6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Cyclical in an Uptick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inlineStr">
        <is>
          <t>Yes</t>
        </is>
      </c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No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No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IF(B41=0,"",RANK(B41,$B$2:$B$65,0))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SHAREINDIA</t>
        </is>
      </c>
      <c r="D41" s="31" t="inlineStr">
        <is>
          <t>Share India Securities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3963.59</v>
      </c>
      <c r="I41" s="32" t="n">
        <v>185.88</v>
      </c>
      <c r="J41" s="32" t="n">
        <v>2.62</v>
      </c>
      <c r="K41" s="32" t="n">
        <v>1989543</v>
      </c>
      <c r="L41" s="31" t="n">
        <v>47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68.14</v>
      </c>
      <c r="P41" s="32" t="n">
        <v>15.31</v>
      </c>
      <c r="Q41" s="32" t="n">
        <v>139.46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2.31</v>
      </c>
      <c r="U41" s="32" t="n">
        <v>8.869999999999999</v>
      </c>
      <c r="V41" s="32" t="n">
        <v>6.41</v>
      </c>
      <c r="W41" s="32" t="n">
        <v>9.380000000000001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IF(B42=0,"",RANK(B42,$B$2:$B$65,0))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IIFL</t>
        </is>
      </c>
      <c r="D42" s="31" t="inlineStr">
        <is>
          <t>IIFL Finance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largecap</t>
        </is>
      </c>
      <c r="H42" s="32" t="n">
        <v>23720.37</v>
      </c>
      <c r="I42" s="32" t="n">
        <v>571.8</v>
      </c>
      <c r="J42" s="32" t="n">
        <v>2.53</v>
      </c>
      <c r="K42" s="32" t="n">
        <v>2677295</v>
      </c>
      <c r="L42" s="31" t="n">
        <v>54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63.56</v>
      </c>
      <c r="P42" s="32" t="n">
        <v>17.76</v>
      </c>
      <c r="Q42" s="32" t="n">
        <v>447.72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2.31</v>
      </c>
      <c r="U42" s="32" t="n">
        <v>11.45</v>
      </c>
      <c r="V42" s="32" t="n">
        <v>8.93</v>
      </c>
      <c r="W42" s="32" t="n">
        <v>10.99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IF(B43=0,"",RANK(B43,$B$2:$B$65,0))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KICL</t>
        </is>
      </c>
      <c r="D43" s="31" t="inlineStr">
        <is>
          <t>Kalyani Investment Company Limited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smallcap</t>
        </is>
      </c>
      <c r="H43" s="32" t="n">
        <v>2417.07</v>
      </c>
      <c r="I43" s="32" t="n">
        <v>5600</v>
      </c>
      <c r="J43" s="32" t="n">
        <v>1.14</v>
      </c>
      <c r="K43" s="32" t="n">
        <v>1364</v>
      </c>
      <c r="L43" s="31" t="n">
        <v>35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64.97</v>
      </c>
      <c r="P43" s="32" t="n">
        <v>28.78</v>
      </c>
      <c r="Q43" s="32" t="n">
        <v>4567.5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2.31</v>
      </c>
      <c r="U43" s="32" t="n">
        <v>12.56</v>
      </c>
      <c r="V43" s="32" t="n">
        <v>10.01</v>
      </c>
      <c r="W43" s="32" t="n">
        <v>7.05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IF(B44=0,"",RANK(B44,$B$2:$B$65,0))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SMCGLOBAL</t>
        </is>
      </c>
      <c r="D44" s="31" t="inlineStr">
        <is>
          <t>SMC Global Securities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smallcap</t>
        </is>
      </c>
      <c r="H44" s="32" t="n">
        <v>1686.51</v>
      </c>
      <c r="I44" s="32" t="n">
        <v>79.08</v>
      </c>
      <c r="J44" s="32" t="n">
        <v>-1.81</v>
      </c>
      <c r="K44" s="32" t="n">
        <v>346874</v>
      </c>
      <c r="L44" s="31" t="n">
        <v>32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59.61</v>
      </c>
      <c r="P44" s="32" t="n">
        <v>16.17</v>
      </c>
      <c r="Q44" s="32" t="n">
        <v>61.82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2.31</v>
      </c>
      <c r="U44" s="32" t="n">
        <v>9.31</v>
      </c>
      <c r="V44" s="32" t="n">
        <v>6.84</v>
      </c>
      <c r="W44" s="32" t="n">
        <v>6.5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IF(B45=0,"",RANK(B45,$B$2:$B$65,0))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GEOJITFSL</t>
        </is>
      </c>
      <c r="D45" s="31" t="inlineStr">
        <is>
          <t>Geojit Financial Services Ltd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smallcap</t>
        </is>
      </c>
      <c r="H45" s="32" t="n">
        <v>2314.48</v>
      </c>
      <c r="I45" s="32" t="n">
        <v>82.45</v>
      </c>
      <c r="J45" s="32" t="n">
        <v>-0.57</v>
      </c>
      <c r="K45" s="32" t="n">
        <v>285800</v>
      </c>
      <c r="L45" s="31" t="n">
        <v>46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67.05</v>
      </c>
      <c r="P45" s="32" t="n">
        <v>14.41</v>
      </c>
      <c r="Q45" s="32" t="n">
        <v>65.70999999999999</v>
      </c>
      <c r="R45" s="31" t="inlineStr">
        <is>
          <t>Near 52W High Breakout</t>
        </is>
      </c>
      <c r="S45" s="31" t="inlineStr">
        <is>
          <t>Nifty Bank</t>
        </is>
      </c>
      <c r="T45" s="32" t="n">
        <v>2.31</v>
      </c>
      <c r="U45" s="32" t="n">
        <v>12.06</v>
      </c>
      <c r="V45" s="32" t="n">
        <v>9.529999999999999</v>
      </c>
      <c r="W45" s="32" t="n">
        <v>9.15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IF(B46=0,"",RANK(B46,$B$2:$B$65,0))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M&amp;MFIN</t>
        </is>
      </c>
      <c r="D46" s="31" t="inlineStr">
        <is>
          <t>Mahindra &amp; Mahindra Financial Services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44833.52</v>
      </c>
      <c r="I46" s="32" t="n">
        <v>349.85</v>
      </c>
      <c r="J46" s="32" t="n">
        <v>8.460000000000001</v>
      </c>
      <c r="K46" s="32" t="n">
        <v>20318674</v>
      </c>
      <c r="L46" s="31" t="n">
        <v>60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59.65</v>
      </c>
      <c r="P46" s="32" t="n">
        <v>16.12</v>
      </c>
      <c r="Q46" s="32" t="n">
        <v>268.83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2.31</v>
      </c>
      <c r="U46" s="32" t="n">
        <v>41.17</v>
      </c>
      <c r="V46" s="32" t="n">
        <v>37.98</v>
      </c>
      <c r="W46" s="32" t="n">
        <v>12.65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IF(B47=0,"",RANK(B47,$B$2:$B$65,0))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BAJFINANCE</t>
        </is>
      </c>
      <c r="D47" s="31" t="inlineStr">
        <is>
          <t>Bajaj Finance Limited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662072.0699999999</v>
      </c>
      <c r="I47" s="32" t="n">
        <v>1069.2</v>
      </c>
      <c r="J47" s="32" t="n">
        <v>0.49</v>
      </c>
      <c r="K47" s="32" t="n">
        <v>6970658</v>
      </c>
      <c r="L47" s="31" t="n">
        <v>37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65.29000000000001</v>
      </c>
      <c r="P47" s="32" t="n">
        <v>12.19</v>
      </c>
      <c r="Q47" s="32" t="n">
        <v>896.99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2.31</v>
      </c>
      <c r="U47" s="32" t="n">
        <v>17.73</v>
      </c>
      <c r="V47" s="32" t="n">
        <v>15.07</v>
      </c>
      <c r="W47" s="32" t="n">
        <v>7.44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above 5x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Blue sky scenario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IF(B48=0,"",RANK(B48,$B$2:$B$65,0))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5PAISA</t>
        </is>
      </c>
      <c r="D48" s="33" t="inlineStr">
        <is>
          <t>5Paisa Capital Ltd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smallcap</t>
        </is>
      </c>
      <c r="H48" s="32" t="n">
        <v>1771.21</v>
      </c>
      <c r="I48" s="32" t="n">
        <v>376.5</v>
      </c>
      <c r="J48" s="32" t="n">
        <v>-0.34</v>
      </c>
      <c r="K48" s="32" t="n">
        <v>54585</v>
      </c>
      <c r="L48" s="31" t="n">
        <v>19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60.72</v>
      </c>
      <c r="P48" s="32" t="n">
        <v>13.24</v>
      </c>
      <c r="Q48" s="32" t="n">
        <v>291.21</v>
      </c>
      <c r="R48" s="31" t="inlineStr">
        <is>
          <t>Near 52W High Breakout</t>
        </is>
      </c>
      <c r="S48" s="31" t="inlineStr">
        <is>
          <t>Nifty Bank</t>
        </is>
      </c>
      <c r="T48" s="32" t="n">
        <v>2.31</v>
      </c>
      <c r="U48" s="32" t="n">
        <v>-1.68</v>
      </c>
      <c r="V48" s="32" t="n">
        <v>-3.9</v>
      </c>
      <c r="W48" s="32" t="n">
        <v>3.55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IF(B49=0,"",RANK(B49,$B$2:$B$65,0))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POONAWALLA</t>
        </is>
      </c>
      <c r="D49" s="31" t="inlineStr">
        <is>
          <t>Poonawalla Fincorp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41141.3</v>
      </c>
      <c r="I49" s="32" t="n">
        <v>463.2</v>
      </c>
      <c r="J49" s="32" t="n">
        <v>-0.87</v>
      </c>
      <c r="K49" s="32" t="n">
        <v>798429</v>
      </c>
      <c r="L49" s="31" t="n">
        <v>27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56.78</v>
      </c>
      <c r="P49" s="32" t="n">
        <v>12.35</v>
      </c>
      <c r="Q49" s="32" t="n">
        <v>378.06</v>
      </c>
      <c r="R49" s="31" t="inlineStr">
        <is>
          <t>Earnings / Momentum Support</t>
        </is>
      </c>
      <c r="S49" s="31" t="inlineStr">
        <is>
          <t>Nifty Bank</t>
        </is>
      </c>
      <c r="T49" s="32" t="n">
        <v>2.31</v>
      </c>
      <c r="U49" s="32" t="n">
        <v>12.07</v>
      </c>
      <c r="V49" s="32" t="n">
        <v>9.539999999999999</v>
      </c>
      <c r="W49" s="32" t="n">
        <v>5.14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between 2.5x to 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IF(B50=0,"",RANK(B50,$B$2:$B$65,0))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MOTILALOFS</t>
        </is>
      </c>
      <c r="D50" s="31" t="inlineStr">
        <is>
          <t>Motilal Oswal Financial Services Limited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largecap</t>
        </is>
      </c>
      <c r="H50" s="32" t="n">
        <v>58597.91</v>
      </c>
      <c r="I50" s="32" t="n">
        <v>964.65</v>
      </c>
      <c r="J50" s="32" t="n">
        <v>-0.87</v>
      </c>
      <c r="K50" s="32" t="n">
        <v>265938</v>
      </c>
      <c r="L50" s="31" t="n">
        <v>40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63.11</v>
      </c>
      <c r="P50" s="32" t="n">
        <v>15.77</v>
      </c>
      <c r="Q50" s="32" t="n">
        <v>804.15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2.31</v>
      </c>
      <c r="U50" s="32" t="n">
        <v>8.029999999999999</v>
      </c>
      <c r="V50" s="32" t="n">
        <v>5.59</v>
      </c>
      <c r="W50" s="32" t="n">
        <v>7.93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IF(B51=0,"",RANK(B51,$B$2:$B$65,0))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ICICIBANK</t>
        </is>
      </c>
      <c r="D51" s="33" t="inlineStr">
        <is>
          <t>Icici Bank Limited</t>
        </is>
      </c>
      <c r="E51" s="31" t="inlineStr">
        <is>
          <t>bank</t>
        </is>
      </c>
      <c r="F51" s="31" t="inlineStr">
        <is>
          <t>banks - private sector</t>
        </is>
      </c>
      <c r="G51" s="31" t="inlineStr">
        <is>
          <t>largecap</t>
        </is>
      </c>
      <c r="H51" s="32" t="n">
        <v>1047491.37</v>
      </c>
      <c r="I51" s="32" t="n">
        <v>1463.1</v>
      </c>
      <c r="J51" s="32" t="n">
        <v>0.2</v>
      </c>
      <c r="K51" s="32" t="n">
        <v>18269907</v>
      </c>
      <c r="L51" s="31" t="n">
        <v>13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65.86</v>
      </c>
      <c r="P51" s="32" t="n">
        <v>15.29</v>
      </c>
      <c r="Q51" s="32" t="n">
        <v>1289.09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2.31</v>
      </c>
      <c r="U51" s="32" t="n">
        <v>-0.18</v>
      </c>
      <c r="V51" s="32" t="n">
        <v>-2.44</v>
      </c>
      <c r="W51" s="32" t="n">
        <v>2.17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Blue sky scenario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IF(B52=0,"",RANK(B52,$B$2:$B$65,0))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BANKINDIA</t>
        </is>
      </c>
      <c r="D52" s="31" t="inlineStr">
        <is>
          <t>Bank Of India Ltd</t>
        </is>
      </c>
      <c r="E52" s="31" t="inlineStr">
        <is>
          <t>bank</t>
        </is>
      </c>
      <c r="F52" s="31" t="inlineStr">
        <is>
          <t>banks - public sector</t>
        </is>
      </c>
      <c r="G52" s="31" t="inlineStr">
        <is>
          <t>largecap</t>
        </is>
      </c>
      <c r="H52" s="32" t="n">
        <v>66901.45</v>
      </c>
      <c r="I52" s="32" t="n">
        <v>147.1</v>
      </c>
      <c r="J52" s="32" t="n">
        <v>0.1</v>
      </c>
      <c r="K52" s="32" t="n">
        <v>12653380</v>
      </c>
      <c r="L52" s="31" t="n">
        <v>36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55.53</v>
      </c>
      <c r="P52" s="32" t="n">
        <v>7.44</v>
      </c>
      <c r="Q52" s="32" t="n">
        <v>121.11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2.31</v>
      </c>
      <c r="U52" s="32" t="n">
        <v>34.26</v>
      </c>
      <c r="V52" s="32" t="n">
        <v>31.23</v>
      </c>
      <c r="W52" s="32" t="n">
        <v>7.2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less than 2.5x and Growth less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IF(B53=0,"",RANK(B53,$B$2:$B$65,0))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UNIONBANK</t>
        </is>
      </c>
      <c r="D53" s="31" t="inlineStr">
        <is>
          <t>Union Bank Of India Ltd</t>
        </is>
      </c>
      <c r="E53" s="31" t="inlineStr">
        <is>
          <t>bank</t>
        </is>
      </c>
      <c r="F53" s="31" t="inlineStr">
        <is>
          <t>banks - public sector</t>
        </is>
      </c>
      <c r="G53" s="31" t="inlineStr">
        <is>
          <t>largecap</t>
        </is>
      </c>
      <c r="H53" s="32" t="n">
        <v>134298.02</v>
      </c>
      <c r="I53" s="32" t="n">
        <v>176.11</v>
      </c>
      <c r="J53" s="32" t="n">
        <v>0.1</v>
      </c>
      <c r="K53" s="32" t="n">
        <v>35648418</v>
      </c>
      <c r="L53" s="31" t="n">
        <v>33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58.34</v>
      </c>
      <c r="P53" s="32" t="n">
        <v>16.13</v>
      </c>
      <c r="Q53" s="32" t="n">
        <v>142.73</v>
      </c>
      <c r="R53" s="31" t="inlineStr">
        <is>
          <t>Earnings / Momentum Support</t>
        </is>
      </c>
      <c r="S53" s="31" t="inlineStr">
        <is>
          <t>Nifty Bank</t>
        </is>
      </c>
      <c r="T53" s="32" t="n">
        <v>2.31</v>
      </c>
      <c r="U53" s="32" t="n">
        <v>33.1</v>
      </c>
      <c r="V53" s="32" t="n">
        <v>30.09</v>
      </c>
      <c r="W53" s="32" t="n">
        <v>6.65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less than 2.5x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IF(B54=0,"",RANK(B54,$B$2:$B$65,0))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INDIASHLTR</t>
        </is>
      </c>
      <c r="D54" s="33" t="inlineStr">
        <is>
          <t>India Shelter Finance Corporation Ltd</t>
        </is>
      </c>
      <c r="E54" s="31" t="inlineStr">
        <is>
          <t>financials</t>
        </is>
      </c>
      <c r="F54" s="31" t="inlineStr">
        <is>
          <t>finance - housing</t>
        </is>
      </c>
      <c r="G54" s="31" t="inlineStr">
        <is>
          <t>midcap</t>
        </is>
      </c>
      <c r="H54" s="32" t="n">
        <v>8865.450000000001</v>
      </c>
      <c r="I54" s="32" t="n">
        <v>811</v>
      </c>
      <c r="J54" s="32" t="n">
        <v>-0.51</v>
      </c>
      <c r="K54" s="32" t="n">
        <v>76609</v>
      </c>
      <c r="L54" s="31" t="n">
        <v>3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56.68</v>
      </c>
      <c r="P54" s="32" t="n">
        <v>7.76</v>
      </c>
      <c r="Q54" s="32" t="n">
        <v>681.21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2.31</v>
      </c>
      <c r="U54" s="32" t="n">
        <v>-11.67</v>
      </c>
      <c r="V54" s="32" t="n">
        <v>-13.67</v>
      </c>
      <c r="W54" s="32" t="n">
        <v>-1.87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more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IF(B55=0,"",RANK(B55,$B$2:$B$65,0))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APTUS</t>
        </is>
      </c>
      <c r="D55" s="33" t="inlineStr">
        <is>
          <t>Aptus Value Housing Finance India Ltd</t>
        </is>
      </c>
      <c r="E55" s="31" t="inlineStr">
        <is>
          <t>financials</t>
        </is>
      </c>
      <c r="F55" s="31" t="inlineStr">
        <is>
          <t>finance - housing</t>
        </is>
      </c>
      <c r="G55" s="31" t="inlineStr">
        <is>
          <t>midcap</t>
        </is>
      </c>
      <c r="H55" s="32" t="n">
        <v>15296.71</v>
      </c>
      <c r="I55" s="32" t="n">
        <v>301.05</v>
      </c>
      <c r="J55" s="32" t="n">
        <v>-1.44</v>
      </c>
      <c r="K55" s="32" t="n">
        <v>729294</v>
      </c>
      <c r="L55" s="31" t="n">
        <v>13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62.77</v>
      </c>
      <c r="P55" s="32" t="n">
        <v>18.47</v>
      </c>
      <c r="Q55" s="32" t="n">
        <v>246.91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2.31</v>
      </c>
      <c r="U55" s="32" t="n">
        <v>-12.16</v>
      </c>
      <c r="V55" s="32" t="n">
        <v>-14.14</v>
      </c>
      <c r="W55" s="32" t="n">
        <v>2.11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between 2.5x to 5x and Growth more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IF(B56=0,"",RANK(B56,$B$2:$B$65,0))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ARMANFIN</t>
        </is>
      </c>
      <c r="D56" s="31" t="inlineStr">
        <is>
          <t>Arman Financial Services Limited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smallcap</t>
        </is>
      </c>
      <c r="H56" s="32" t="n">
        <v>2043.4</v>
      </c>
      <c r="I56" s="32" t="n">
        <v>1990</v>
      </c>
      <c r="J56" s="32" t="n">
        <v>2.38</v>
      </c>
      <c r="K56" s="32" t="n">
        <v>21664</v>
      </c>
      <c r="L56" s="31" t="n">
        <v>55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66.39</v>
      </c>
      <c r="P56" s="32" t="n">
        <v>17.49</v>
      </c>
      <c r="Q56" s="32" t="n">
        <v>1513.28</v>
      </c>
      <c r="R56" s="31" t="inlineStr">
        <is>
          <t>Near 52W High Breakout</t>
        </is>
      </c>
      <c r="S56" s="31" t="inlineStr">
        <is>
          <t>Nifty Bank</t>
        </is>
      </c>
      <c r="T56" s="32" t="n">
        <v>2.31</v>
      </c>
      <c r="U56" s="32" t="n">
        <v>19.31</v>
      </c>
      <c r="V56" s="32" t="n">
        <v>16.62</v>
      </c>
      <c r="W56" s="32" t="n">
        <v>11.17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 in an Uptick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Not Applicable</t>
        </is>
      </c>
      <c r="AK56" s="31">
        <f>IF(AJ56="Yes",10,0)</f>
        <v/>
      </c>
      <c r="AL56" s="31" t="inlineStr">
        <is>
          <t>Yes</t>
        </is>
      </c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Not Applicable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20 to 40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Sideways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IF(B57=0,"",RANK(B57,$B$2:$B$65,0))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TVSHLTD</t>
        </is>
      </c>
      <c r="D57" s="31" t="inlineStr">
        <is>
          <t>TVS Holdings Ltd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largecap</t>
        </is>
      </c>
      <c r="H57" s="32" t="n">
        <v>28387.67</v>
      </c>
      <c r="I57" s="32" t="n">
        <v>14279</v>
      </c>
      <c r="J57" s="32" t="n">
        <v>1.77</v>
      </c>
      <c r="K57" s="32" t="n">
        <v>21379</v>
      </c>
      <c r="L57" s="31" t="n">
        <v>22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54.55</v>
      </c>
      <c r="P57" s="32" t="n">
        <v>11.76</v>
      </c>
      <c r="Q57" s="32" t="n">
        <v>11952.6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2.31</v>
      </c>
      <c r="U57" s="32" t="n">
        <v>19.65</v>
      </c>
      <c r="V57" s="32" t="n">
        <v>16.95</v>
      </c>
      <c r="W57" s="32" t="n">
        <v>4.38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IF(B58=0,"",RANK(B58,$B$2:$B$65,0))</f>
        <v/>
      </c>
      <c r="B58" s="32">
        <f>SUM(N58,Y58,AA58,AC58,AE58,AG58,AI58,AK58,AM58,AO58,AQ58,AS58,AU58,AW58,AY58,BA58,BC58,BE58,BG58,BI58,BK58,BM58,BO58,BQ58,BS58,BU58,BW58,BY58,CA58)</f>
        <v/>
      </c>
      <c r="C58" s="31" t="inlineStr">
        <is>
          <t>INDIANB</t>
        </is>
      </c>
      <c r="D58" s="31" t="inlineStr">
        <is>
          <t>Indian Bank Ltd</t>
        </is>
      </c>
      <c r="E58" s="31" t="inlineStr">
        <is>
          <t>bank</t>
        </is>
      </c>
      <c r="F58" s="31" t="inlineStr">
        <is>
          <t>banks - public sector</t>
        </is>
      </c>
      <c r="G58" s="31" t="inlineStr">
        <is>
          <t>largecap</t>
        </is>
      </c>
      <c r="H58" s="32" t="n">
        <v>115636.86</v>
      </c>
      <c r="I58" s="32" t="n">
        <v>855.35</v>
      </c>
      <c r="J58" s="32" t="n">
        <v>-0.37</v>
      </c>
      <c r="K58" s="32" t="n">
        <v>1927868</v>
      </c>
      <c r="L58" s="31" t="n">
        <v>31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52.27</v>
      </c>
      <c r="P58" s="32" t="n">
        <v>7.29</v>
      </c>
      <c r="Q58" s="32" t="n">
        <v>715.77</v>
      </c>
      <c r="R58" s="31" t="inlineStr">
        <is>
          <t>Earnings / Momentum Support</t>
        </is>
      </c>
      <c r="S58" s="31" t="inlineStr">
        <is>
          <t>Nifty Bank</t>
        </is>
      </c>
      <c r="T58" s="32" t="n">
        <v>2.31</v>
      </c>
      <c r="U58" s="32" t="n">
        <v>37.02</v>
      </c>
      <c r="V58" s="32" t="n">
        <v>33.92</v>
      </c>
      <c r="W58" s="32" t="n">
        <v>6.27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less than 2.5x and Growth more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1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IF(B59=0,"",RANK(B59,$B$2:$B$65,0))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IDFCFIRSTB</t>
        </is>
      </c>
      <c r="D59" s="31" t="inlineStr">
        <is>
          <t>IDFC First Bank Ltd</t>
        </is>
      </c>
      <c r="E59" s="31" t="inlineStr">
        <is>
          <t>bank</t>
        </is>
      </c>
      <c r="F59" s="31" t="inlineStr">
        <is>
          <t>banks - private sector</t>
        </is>
      </c>
      <c r="G59" s="31" t="inlineStr">
        <is>
          <t>largecap</t>
        </is>
      </c>
      <c r="H59" s="32" t="n">
        <v>70451.31</v>
      </c>
      <c r="I59" s="32" t="n">
        <v>81.66</v>
      </c>
      <c r="J59" s="32" t="n">
        <v>-0.15</v>
      </c>
      <c r="K59" s="32" t="n">
        <v>17653805</v>
      </c>
      <c r="L59" s="31" t="n">
        <v>41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62.7</v>
      </c>
      <c r="P59" s="32" t="n">
        <v>18.25</v>
      </c>
      <c r="Q59" s="32" t="n">
        <v>69.47</v>
      </c>
      <c r="R59" s="31" t="inlineStr">
        <is>
          <t>Earnings / Momentum Support</t>
        </is>
      </c>
      <c r="S59" s="31" t="inlineStr">
        <is>
          <t>Nifty Bank</t>
        </is>
      </c>
      <c r="T59" s="32" t="n">
        <v>2.31</v>
      </c>
      <c r="U59" s="32" t="n">
        <v>15.5</v>
      </c>
      <c r="V59" s="32" t="n">
        <v>12.89</v>
      </c>
      <c r="W59" s="32" t="n">
        <v>8.130000000000001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No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less than 2.5x and Growth less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IF(B60=0,"",RANK(B60,$B$2:$B$65,0))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AIIL</t>
        </is>
      </c>
      <c r="D60" s="33" t="inlineStr">
        <is>
          <t>Authum Investment &amp; Infrastructure Ltd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largecap</t>
        </is>
      </c>
      <c r="H60" s="32" t="n">
        <v>46873</v>
      </c>
      <c r="I60" s="32" t="n">
        <v>558.55</v>
      </c>
      <c r="J60" s="32" t="n">
        <v>1.2</v>
      </c>
      <c r="K60" s="32" t="n">
        <v>1526027</v>
      </c>
      <c r="L60" s="31" t="n">
        <v>20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56.78</v>
      </c>
      <c r="P60" s="32" t="n">
        <v>9.85</v>
      </c>
      <c r="Q60" s="32" t="n">
        <v>418.41</v>
      </c>
      <c r="R60" s="31" t="inlineStr">
        <is>
          <t>Earnings / Momentum Support</t>
        </is>
      </c>
      <c r="S60" s="31" t="inlineStr">
        <is>
          <t>Nifty Bank</t>
        </is>
      </c>
      <c r="T60" s="32" t="n">
        <v>2.31</v>
      </c>
      <c r="U60" s="32" t="n">
        <v>1.9</v>
      </c>
      <c r="V60" s="32" t="n">
        <v>-0.41</v>
      </c>
      <c r="W60" s="32" t="n">
        <v>3.88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between 2.5x to 5x and Growth less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IF(B61=0,"",RANK(B61,$B$2:$B$65,0))</f>
        <v/>
      </c>
      <c r="B61" s="32">
        <f>SUM(N61,Y61,AA61,AC61,AE61,AG61,AI61,AK61,AM61,AO61,AQ61,AS61,AU61,AW61,AY61,BA61,BC61,BE61,BG61,BI61,BK61,BM61,BO61,BQ61,BS61,BU61,BW61,BY61,CA61)</f>
        <v/>
      </c>
      <c r="C61" s="33" t="inlineStr">
        <is>
          <t>BAJAJFINSV</t>
        </is>
      </c>
      <c r="D61" s="33" t="inlineStr">
        <is>
          <t>Bajaj Finserv Limited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largecap</t>
        </is>
      </c>
      <c r="H61" s="32" t="n">
        <v>297942.38</v>
      </c>
      <c r="I61" s="32" t="n">
        <v>1900.6</v>
      </c>
      <c r="J61" s="32" t="n">
        <v>2.1</v>
      </c>
      <c r="K61" s="32" t="n">
        <v>1668748</v>
      </c>
      <c r="L61" s="31" t="n">
        <v>9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54.15</v>
      </c>
      <c r="P61" s="32" t="n">
        <v>14.6</v>
      </c>
      <c r="Q61" s="32" t="n">
        <v>1632.72</v>
      </c>
      <c r="R61" s="31" t="inlineStr">
        <is>
          <t>Earnings / Momentum Support</t>
        </is>
      </c>
      <c r="S61" s="31" t="inlineStr">
        <is>
          <t>Nifty Bank</t>
        </is>
      </c>
      <c r="T61" s="32" t="n">
        <v>2.31</v>
      </c>
      <c r="U61" s="32" t="n">
        <v>-4.21</v>
      </c>
      <c r="V61" s="32" t="n">
        <v>-6.37</v>
      </c>
      <c r="W61" s="32" t="n">
        <v>0.9399999999999999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No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between 2.5x to 5x and Growth less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0 to 20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IF(B62=0,"",RANK(B62,$B$2:$B$65,0))</f>
        <v/>
      </c>
      <c r="B62" s="32">
        <f>SUM(N62,Y62,AA62,AC62,AE62,AG62,AI62,AK62,AM62,AO62,AQ62,AS62,AU62,AW62,AY62,BA62,BC62,BE62,BG62,BI62,BK62,BM62,BO62,BQ62,BS62,BU62,BW62,BY62,CA62)</f>
        <v/>
      </c>
      <c r="C62" s="31" t="inlineStr">
        <is>
          <t>PNB</t>
        </is>
      </c>
      <c r="D62" s="31" t="inlineStr">
        <is>
          <t>Punjab National Bank Ltd</t>
        </is>
      </c>
      <c r="E62" s="31" t="inlineStr">
        <is>
          <t>bank</t>
        </is>
      </c>
      <c r="F62" s="31" t="inlineStr">
        <is>
          <t>banks - public sector</t>
        </is>
      </c>
      <c r="G62" s="31" t="inlineStr">
        <is>
          <t>largecap</t>
        </is>
      </c>
      <c r="H62" s="32" t="n">
        <v>128445.13</v>
      </c>
      <c r="I62" s="32" t="n">
        <v>112.08</v>
      </c>
      <c r="J62" s="32" t="n">
        <v>0.29</v>
      </c>
      <c r="K62" s="32" t="n">
        <v>28707183</v>
      </c>
      <c r="L62" s="31" t="n">
        <v>11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54.87</v>
      </c>
      <c r="P62" s="32" t="n">
        <v>9.48</v>
      </c>
      <c r="Q62" s="32" t="n">
        <v>94.15000000000001</v>
      </c>
      <c r="R62" s="31" t="inlineStr">
        <is>
          <t>Earnings / Momentum Support</t>
        </is>
      </c>
      <c r="S62" s="31" t="inlineStr">
        <is>
          <t>Nifty Bank</t>
        </is>
      </c>
      <c r="T62" s="32" t="n">
        <v>2.31</v>
      </c>
      <c r="U62" s="32" t="n">
        <v>6.39</v>
      </c>
      <c r="V62" s="32" t="n">
        <v>3.99</v>
      </c>
      <c r="W62" s="32" t="n">
        <v>1.74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less than 2.5x and Growth less than 20%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1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IF(B63=0,"",RANK(B63,$B$2:$B$65,0))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SBIN</t>
        </is>
      </c>
      <c r="D63" s="31" t="inlineStr">
        <is>
          <t>State Bank Of India Ltd</t>
        </is>
      </c>
      <c r="E63" s="31" t="inlineStr">
        <is>
          <t>bank</t>
        </is>
      </c>
      <c r="F63" s="31" t="inlineStr">
        <is>
          <t>banks - public sector</t>
        </is>
      </c>
      <c r="G63" s="31" t="inlineStr">
        <is>
          <t>largecap</t>
        </is>
      </c>
      <c r="H63" s="32" t="n">
        <v>978445.46</v>
      </c>
      <c r="I63" s="32" t="n">
        <v>1044.4</v>
      </c>
      <c r="J63" s="32" t="n">
        <v>-1.47</v>
      </c>
      <c r="K63" s="32" t="n">
        <v>10514887</v>
      </c>
      <c r="L63" s="31" t="n">
        <v>27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55.51</v>
      </c>
      <c r="P63" s="32" t="n">
        <v>8.18</v>
      </c>
      <c r="Q63" s="32" t="n">
        <v>944.55</v>
      </c>
      <c r="R63" s="31" t="inlineStr">
        <is>
          <t>Earnings / Momentum Support</t>
        </is>
      </c>
      <c r="S63" s="31" t="inlineStr">
        <is>
          <t>Nifty Bank</t>
        </is>
      </c>
      <c r="T63" s="32" t="n">
        <v>2.31</v>
      </c>
      <c r="U63" s="32" t="n">
        <v>31.82</v>
      </c>
      <c r="V63" s="32" t="n">
        <v>28.85</v>
      </c>
      <c r="W63" s="32" t="n">
        <v>5.21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No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less than 2.5x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2</t>
        </is>
      </c>
      <c r="BQ63" s="31">
        <f>IF(BP63="Stage 2",20,IF(BP63="Stage 1",0,IF(BP63="Stage 3",5,IF(BP63="Stage 4",-5,0))))</f>
        <v/>
      </c>
      <c r="BR63" s="31" t="inlineStr">
        <is>
          <t>Negative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IF(B64=0,"",RANK(B64,$B$2:$B$65,0))</f>
        <v/>
      </c>
      <c r="B64" s="32">
        <f>SUM(N64,Y64,AA64,AC64,AE64,AG64,AI64,AK64,AM64,AO64,AQ64,AS64,AU64,AW64,AY64,BA64,BC64,BE64,BG64,BI64,BK64,BM64,BO64,BQ64,BS64,BU64,BW64,BY64,CA64)</f>
        <v/>
      </c>
      <c r="C64" s="33" t="inlineStr">
        <is>
          <t>RECLTD</t>
        </is>
      </c>
      <c r="D64" s="33" t="inlineStr">
        <is>
          <t>REC Ltd</t>
        </is>
      </c>
      <c r="E64" s="31" t="inlineStr">
        <is>
          <t>financials</t>
        </is>
      </c>
      <c r="F64" s="31" t="inlineStr">
        <is>
          <t>finance - term-lending institutions</t>
        </is>
      </c>
      <c r="G64" s="31" t="inlineStr">
        <is>
          <t>largecap</t>
        </is>
      </c>
      <c r="H64" s="32" t="n">
        <v>95717.69</v>
      </c>
      <c r="I64" s="32" t="n">
        <v>362.05</v>
      </c>
      <c r="J64" s="32" t="n">
        <v>-0.4</v>
      </c>
      <c r="K64" s="32" t="n">
        <v>3427264</v>
      </c>
      <c r="L64" s="31" t="n">
        <v>3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54</v>
      </c>
      <c r="P64" s="32" t="n">
        <v>8.59</v>
      </c>
      <c r="Q64" s="32" t="n">
        <v>315.76</v>
      </c>
      <c r="R64" s="31" t="inlineStr">
        <is>
          <t>Near 52W High Breakout</t>
        </is>
      </c>
      <c r="S64" s="31" t="inlineStr">
        <is>
          <t>Nifty Bank</t>
        </is>
      </c>
      <c r="T64" s="32" t="n">
        <v>2.31</v>
      </c>
      <c r="U64" s="32" t="n">
        <v>-4.79</v>
      </c>
      <c r="V64" s="32" t="n">
        <v>-6.94</v>
      </c>
      <c r="W64" s="32" t="n">
        <v>-1.53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less than 2.5x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1</t>
        </is>
      </c>
      <c r="BQ64" s="31">
        <f>IF(BP64="Stage 2",20,IF(BP64="Stage 1",0,IF(BP64="Stage 3",5,IF(BP64="Stage 4",-5,0))))</f>
        <v/>
      </c>
      <c r="BR64" s="31" t="inlineStr">
        <is>
          <t>Negative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IF(B65=0,"",RANK(B65,$B$2:$B$65,0))</f>
        <v/>
      </c>
      <c r="B65" s="32">
        <f>SUM(N65,Y65,AA65,AC65,AE65,AG65,AI65,AK65,AM65,AO65,AQ65,AS65,AU65,AW65,AY65,BA65,BC65,BE65,BG65,BI65,BK65,BM65,BO65,BQ65,BS65,BU65,BW65,BY65,CA65)</f>
        <v/>
      </c>
      <c r="C65" s="31" t="inlineStr">
        <is>
          <t>SATIN</t>
        </is>
      </c>
      <c r="D65" s="31" t="inlineStr">
        <is>
          <t>Satin Creditcare Network Limited</t>
        </is>
      </c>
      <c r="E65" s="31" t="inlineStr">
        <is>
          <t>financials</t>
        </is>
      </c>
      <c r="F65" s="31" t="inlineStr">
        <is>
          <t>finance &amp; investments</t>
        </is>
      </c>
      <c r="G65" s="31" t="inlineStr">
        <is>
          <t>smallcap</t>
        </is>
      </c>
      <c r="H65" s="32" t="n">
        <v>2828.83</v>
      </c>
      <c r="I65" s="32" t="n">
        <v>259</v>
      </c>
      <c r="J65" s="32" t="n">
        <v>1.14</v>
      </c>
      <c r="K65" s="32" t="n">
        <v>164231</v>
      </c>
      <c r="L65" s="31" t="inlineStr"/>
      <c r="M65" s="31" t="inlineStr"/>
      <c r="N65" s="32">
        <f>IF(M65="Underperforming",-5,IF(L65&gt;=95,15,IF(L65&gt;=90,10,IF(L65&gt;=80,5,0))))</f>
        <v/>
      </c>
      <c r="O65" s="32" t="inlineStr"/>
      <c r="P65" s="32" t="inlineStr"/>
      <c r="Q65" s="32" t="inlineStr"/>
      <c r="R65" s="31" t="inlineStr"/>
      <c r="S65" s="31" t="inlineStr"/>
      <c r="T65" s="32" t="inlineStr"/>
      <c r="U65" s="32" t="inlineStr"/>
      <c r="V65" s="32" t="inlineStr"/>
      <c r="W65" s="32" t="inlineStr"/>
      <c r="X65" s="31" t="n"/>
      <c r="Y65" s="31">
        <f>IF(X65="Growing Industry",10,IF(X65="Cyclical in an Upturn",5,0))</f>
        <v/>
      </c>
      <c r="Z65" s="31" t="n"/>
      <c r="AA65" s="31">
        <f>IF(Z65="Fragmented with Low ROE",-5,IF(Z65="Fragmented with High ROE",10,IF(Z65= "highly cyclical",5,0)))</f>
        <v/>
      </c>
      <c r="AB65" s="31" t="n"/>
      <c r="AC65" s="31">
        <f>IF(AB65="No",5,0)</f>
        <v/>
      </c>
      <c r="AD65" s="31" t="n"/>
      <c r="AE65" s="31">
        <f>IF(AD65="Tailwind",10,0)</f>
        <v/>
      </c>
      <c r="AF65" s="31" t="n"/>
      <c r="AG65" s="31">
        <f>IF(AF65="Structural (10 Years Consistency)",15,IF(AF65="Shallow Cyclical (2 to 3 years growth)",10,IF(AF65 = "Cyclical in an Uptick",5,IF(AF65 = "Cyclical in an Downtick",-10,0))))</f>
        <v/>
      </c>
      <c r="AH65" s="31" t="n"/>
      <c r="AI65" s="31">
        <f>IF(AH65="Yes",10,0)</f>
        <v/>
      </c>
      <c r="AJ65" s="31" t="n"/>
      <c r="AK65" s="31">
        <f>IF(AJ65="Yes",10,0)</f>
        <v/>
      </c>
      <c r="AL65" s="31" t="n"/>
      <c r="AM65" s="31">
        <f>IF(AL65="No",10,0)</f>
        <v/>
      </c>
      <c r="AN65" s="31" t="n"/>
      <c r="AO65" s="31">
        <f>IF(AN65="Yes",10,0)</f>
        <v/>
      </c>
      <c r="AP65" s="31" t="n"/>
      <c r="AQ65" s="31">
        <f>IF(AP65="Yes",10,0)</f>
        <v/>
      </c>
      <c r="AR65" s="31" t="n"/>
      <c r="AS65" s="31">
        <f>IF(AR65="Yes",5,0)</f>
        <v/>
      </c>
      <c r="AT65" s="31" t="n"/>
      <c r="AU65" s="31">
        <f>IF(AT65="No",10,IF(AT65="Yes",-10,0))</f>
        <v/>
      </c>
      <c r="AV65" s="31" t="n"/>
      <c r="AW65" s="31">
        <f>IF(AV65="No",10,0)</f>
        <v/>
      </c>
      <c r="AX65" s="31" t="n"/>
      <c r="AY65" s="31">
        <f>IF(AX65="No",10,IF(AX65= "Yes CEO Resignation",-5,0))</f>
        <v/>
      </c>
      <c r="AZ65" s="31" t="n"/>
      <c r="BA65" s="31">
        <f>IF(AZ65="No",10,IF(AZ65="Yes",-5,0))</f>
        <v/>
      </c>
      <c r="BB65" s="31" t="n"/>
      <c r="BC65" s="31">
        <f>IF(BB65="No",5,IF(BB65="Yes",-5,0))</f>
        <v/>
      </c>
      <c r="BD65" s="31" t="n"/>
      <c r="BE65" s="31">
        <f>IF(BD65="Yes",10,0)</f>
        <v/>
      </c>
      <c r="BF65" s="31" t="n"/>
      <c r="BG65" s="31">
        <f>IF(BF65="Yes",10,0)</f>
        <v/>
      </c>
      <c r="BH65" s="31" t="n"/>
      <c r="BI65" s="31">
        <f>IF(BH65="Yes",10,0)</f>
        <v/>
      </c>
      <c r="BJ65" s="31" t="n"/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n"/>
      <c r="BM65" s="31">
        <f>IF(BL65="Above 40",20,IF(BL65="20 to 40",10,IF(BL65="0 to 20",-5,0)))</f>
        <v/>
      </c>
      <c r="BN65" s="31" t="n"/>
      <c r="BO65" s="31">
        <f>IF(BN65="Between 50 to 75",10,IF(BN65="Above 75",0,0))</f>
        <v/>
      </c>
      <c r="BP65" s="31" t="n"/>
      <c r="BQ65" s="31">
        <f>IF(BP65="Stage 2",20,IF(BP65="Stage 1",0,IF(BP65="Stage 3",5,IF(BP65="Stage 4",-5,0))))</f>
        <v/>
      </c>
      <c r="BR65" s="31" t="n"/>
      <c r="BS65" s="31">
        <f>IF(BR65="Positive Trend",20,IF(BR65="Negative Trend",-10,0))</f>
        <v/>
      </c>
      <c r="BT65" s="31" t="n"/>
      <c r="BU65" s="31">
        <f>IF(BT65="Uptrend",10,IF(BT65="Sideways",5,0))</f>
        <v/>
      </c>
      <c r="BV65" s="31" t="n"/>
      <c r="BW65" s="31">
        <f>IF(BV65="Uptrend",10,IF(BV65="Sideways",5,0))</f>
        <v/>
      </c>
      <c r="BX65" s="31" t="n"/>
      <c r="BY65" s="31">
        <f>IF(BX65="Overhead supply in last 2 years in last 2 years",-5,IF(BX65="Close to 52 week high or retracement",5,IF(BX65="Blue sky scenario",10,IF(BX65="Long term Downtrend",-10,0))))</f>
        <v/>
      </c>
      <c r="BZ65" s="31" t="n"/>
      <c r="CA65" s="31">
        <f>IF(BZ65="Yes",10,0)</f>
        <v/>
      </c>
    </row>
  </sheetData>
  <autoFilter ref="A1:CA65"/>
  <conditionalFormatting sqref="B2:B6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5">
    <cfRule type="cellIs" priority="34" operator="equal" dxfId="3" stopIfTrue="1">
      <formula>"Underperforming"</formula>
    </cfRule>
  </conditionalFormatting>
  <conditionalFormatting sqref="N2:N65">
    <cfRule type="cellIs" priority="35" operator="equal" dxfId="3" stopIfTrue="1">
      <formula>-5</formula>
    </cfRule>
  </conditionalFormatting>
  <conditionalFormatting sqref="Q2:Q6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5" showDropDown="0" showInputMessage="0" showErrorMessage="0" allowBlank="1" type="list">
      <formula1>"Growing Industry,Stagnant Industry,Cyclical in an Upturn"</formula1>
    </dataValidation>
    <dataValidation sqref="Z2:Z65" showDropDown="0" showInputMessage="0" showErrorMessage="0" allowBlank="1" type="list">
      <formula1>"Fragmented with Low ROE,Fragmented with High ROE,Highly Cyclical"</formula1>
    </dataValidation>
    <dataValidation sqref="AB2:AB65" showDropDown="0" showInputMessage="0" showErrorMessage="0" allowBlank="1" type="list">
      <formula1>"Yes,No"</formula1>
    </dataValidation>
    <dataValidation sqref="AD2:AD65" showDropDown="0" showInputMessage="0" showErrorMessage="0" allowBlank="1" type="list">
      <formula1>"Tailwind,Headwind"</formula1>
    </dataValidation>
    <dataValidation sqref="AF2:AF6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5" showDropDown="0" showInputMessage="0" showErrorMessage="0" allowBlank="1" type="list">
      <formula1>"Yes,No"</formula1>
    </dataValidation>
    <dataValidation sqref="AJ2:AJ65" showDropDown="0" showInputMessage="0" showErrorMessage="0" allowBlank="1" type="list">
      <formula1>"Yes,No,Not Applicable"</formula1>
    </dataValidation>
    <dataValidation sqref="AL2:AL65" showDropDown="0" showInputMessage="0" showErrorMessage="0" allowBlank="1" type="list">
      <formula1>"Yes,No"</formula1>
    </dataValidation>
    <dataValidation sqref="AN2:AN65" showDropDown="0" showInputMessage="0" showErrorMessage="0" allowBlank="1" type="list">
      <formula1>"Yes,No"</formula1>
    </dataValidation>
    <dataValidation sqref="AP2:AP65" showDropDown="0" showInputMessage="0" showErrorMessage="0" allowBlank="1" type="list">
      <formula1>"Yes,No"</formula1>
    </dataValidation>
    <dataValidation sqref="AR2:AR65" showDropDown="0" showInputMessage="0" showErrorMessage="0" allowBlank="1" type="list">
      <formula1>"Yes,No"</formula1>
    </dataValidation>
    <dataValidation sqref="AT2:AT65" showDropDown="0" showInputMessage="0" showErrorMessage="0" allowBlank="1" type="list">
      <formula1>"No,Yes"</formula1>
    </dataValidation>
    <dataValidation sqref="AV2:AV65" showDropDown="0" showInputMessage="0" showErrorMessage="0" allowBlank="1" type="list">
      <formula1>"No,Yes"</formula1>
    </dataValidation>
    <dataValidation sqref="AX2:AX65" showDropDown="0" showInputMessage="0" showErrorMessage="0" allowBlank="1" type="list">
      <formula1>"No,Yes CEO Resignation,Yes CEO Retirement"</formula1>
    </dataValidation>
    <dataValidation sqref="AZ2:AZ65" showDropDown="0" showInputMessage="0" showErrorMessage="0" allowBlank="1" type="list">
      <formula1>"No,Yes"</formula1>
    </dataValidation>
    <dataValidation sqref="BB2:BB65" showDropDown="0" showInputMessage="0" showErrorMessage="0" allowBlank="1" type="list">
      <formula1>"No,Yes"</formula1>
    </dataValidation>
    <dataValidation sqref="BD2:BD65" showDropDown="0" showInputMessage="0" showErrorMessage="0" allowBlank="1" type="list">
      <formula1>"Yes,No"</formula1>
    </dataValidation>
    <dataValidation sqref="BF2:BF65" showDropDown="0" showInputMessage="0" showErrorMessage="0" allowBlank="1" type="list">
      <formula1>"Yes,No"</formula1>
    </dataValidation>
    <dataValidation sqref="BH2:BH65" showDropDown="0" showInputMessage="0" showErrorMessage="0" allowBlank="1" type="list">
      <formula1>"Yes,No"</formula1>
    </dataValidation>
    <dataValidation sqref="BJ2:BJ6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5" showDropDown="0" showInputMessage="0" showErrorMessage="0" allowBlank="1" type="list">
      <formula1>"Above 40,20 to 40,0 to 20"</formula1>
    </dataValidation>
    <dataValidation sqref="BN2:BN65" showDropDown="0" showInputMessage="0" showErrorMessage="0" allowBlank="1" type="list">
      <formula1>"Between 50 to 75,Above 75,Below 45"</formula1>
    </dataValidation>
    <dataValidation sqref="BP2:BP65" showDropDown="0" showInputMessage="0" showErrorMessage="0" allowBlank="1" type="list">
      <formula1>"Stage 1,Stage 2,Stage 3,Stage 4"</formula1>
    </dataValidation>
    <dataValidation sqref="BR2:BR65" showDropDown="0" showInputMessage="0" showErrorMessage="0" allowBlank="1" type="list">
      <formula1>"Positive Trend,Negative Trend"</formula1>
    </dataValidation>
    <dataValidation sqref="BT2:BT65" showDropDown="0" showInputMessage="0" showErrorMessage="0" allowBlank="1" type="list">
      <formula1>"Uptrend,Sideways,Downtrend"</formula1>
    </dataValidation>
    <dataValidation sqref="BV2:BV65" showDropDown="0" showInputMessage="0" showErrorMessage="0" allowBlank="1" type="list">
      <formula1>"Uptrend,Sideways,Downtrend"</formula1>
    </dataValidation>
    <dataValidation sqref="BX2:BX6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227</v>
      </c>
      <c r="H2" s="31" t="inlineStr">
        <is>
          <t>MENONBE</t>
        </is>
      </c>
      <c r="I2" s="31" t="inlineStr">
        <is>
          <t>Menon Bearings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1174.88</v>
      </c>
      <c r="N2" s="32" t="n">
        <v>220.13</v>
      </c>
      <c r="O2" s="32" t="n">
        <v>5</v>
      </c>
      <c r="P2" s="32" t="n">
        <v>305801</v>
      </c>
      <c r="Q2" s="31" t="n">
        <v>93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77.68000000000001</v>
      </c>
      <c r="U2" s="32" t="n">
        <v>45.45</v>
      </c>
      <c r="V2" s="32" t="n">
        <v>168.3</v>
      </c>
      <c r="W2" s="31" t="inlineStr">
        <is>
          <t>Near 52W High Breakout</t>
        </is>
      </c>
      <c r="X2" s="31" t="inlineStr">
        <is>
          <t>Nifty Auto</t>
        </is>
      </c>
      <c r="Y2" s="32" t="n">
        <v>14.71</v>
      </c>
      <c r="Z2" s="32" t="n">
        <v>71.63</v>
      </c>
      <c r="AA2" s="32" t="n">
        <v>49.62</v>
      </c>
      <c r="AB2" s="32" t="n">
        <v>32.64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139.2</v>
      </c>
      <c r="E3" s="32" t="inlineStr">
        <is>
          <t>5%</t>
        </is>
      </c>
      <c r="F3" s="32" t="n">
        <v>50000</v>
      </c>
      <c r="G3" s="32" t="n">
        <v>14</v>
      </c>
      <c r="H3" s="31" t="inlineStr">
        <is>
          <t>STYLAMIND</t>
        </is>
      </c>
      <c r="I3" s="31" t="inlineStr">
        <is>
          <t>Stylam Industries Ltd</t>
        </is>
      </c>
      <c r="J3" s="31" t="inlineStr">
        <is>
          <t>building materials</t>
        </is>
      </c>
      <c r="K3" s="31" t="inlineStr">
        <is>
          <t>miscellaneous</t>
        </is>
      </c>
      <c r="L3" s="31" t="inlineStr">
        <is>
          <t>midcap</t>
        </is>
      </c>
      <c r="M3" s="32" t="n">
        <v>5786.58</v>
      </c>
      <c r="N3" s="32" t="n">
        <v>3510.7</v>
      </c>
      <c r="O3" s="32" t="n">
        <v>2.82</v>
      </c>
      <c r="P3" s="32" t="n">
        <v>64273</v>
      </c>
      <c r="Q3" s="31" t="n">
        <v>88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85.23</v>
      </c>
      <c r="U3" s="32" t="n">
        <v>68.23</v>
      </c>
      <c r="V3" s="32" t="n">
        <v>2939.48</v>
      </c>
      <c r="W3" s="31" t="inlineStr">
        <is>
          <t>Near 52W High Breakout</t>
        </is>
      </c>
      <c r="X3" s="31" t="inlineStr">
        <is>
          <t>Nifty Infra</t>
        </is>
      </c>
      <c r="Y3" s="32" t="n">
        <v>4.24</v>
      </c>
      <c r="Z3" s="32" t="n">
        <v>86.64</v>
      </c>
      <c r="AA3" s="32" t="n">
        <v>79.06</v>
      </c>
      <c r="AB3" s="32" t="n">
        <v>26.48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</v>
      </c>
      <c r="E4" s="32" t="inlineStr">
        <is>
          <t>5%</t>
        </is>
      </c>
      <c r="F4" s="32" t="n">
        <v>50000</v>
      </c>
      <c r="G4" s="32" t="n">
        <v>25</v>
      </c>
      <c r="H4" s="31" t="inlineStr">
        <is>
          <t>EMCURE</t>
        </is>
      </c>
      <c r="I4" s="31" t="inlineStr">
        <is>
          <t>Emcure Pharmaceuticals Ltd</t>
        </is>
      </c>
      <c r="J4" s="31" t="inlineStr">
        <is>
          <t>healthcare</t>
        </is>
      </c>
      <c r="K4" s="31" t="inlineStr">
        <is>
          <t>pharmaceuticals - indian - bulk drugs &amp; formln</t>
        </is>
      </c>
      <c r="L4" s="31" t="inlineStr">
        <is>
          <t>largecap</t>
        </is>
      </c>
      <c r="M4" s="32" t="n">
        <v>35286.41</v>
      </c>
      <c r="N4" s="32" t="n">
        <v>1939.8</v>
      </c>
      <c r="O4" s="32" t="n">
        <v>4.22</v>
      </c>
      <c r="P4" s="32" t="n">
        <v>215541</v>
      </c>
      <c r="Q4" s="31" t="n">
        <v>51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68.56</v>
      </c>
      <c r="U4" s="32" t="n">
        <v>56.56</v>
      </c>
      <c r="V4" s="32" t="n">
        <v>1542.67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15.14</v>
      </c>
      <c r="Z4" s="32" t="n">
        <v>36.99</v>
      </c>
      <c r="AA4" s="32" t="n">
        <v>18.98</v>
      </c>
      <c r="AB4" s="32" t="n">
        <v>10.29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139.4</v>
      </c>
      <c r="E5" s="32" t="inlineStr">
        <is>
          <t>5%</t>
        </is>
      </c>
      <c r="F5" s="32" t="n">
        <v>50000</v>
      </c>
      <c r="G5" s="32" t="n">
        <v>30</v>
      </c>
      <c r="H5" s="31" t="inlineStr">
        <is>
          <t>CEMPRO</t>
        </is>
      </c>
      <c r="I5" s="31" t="inlineStr">
        <is>
          <t>Cemindia Projects Ltd</t>
        </is>
      </c>
      <c r="J5" s="31" t="inlineStr">
        <is>
          <t>realty</t>
        </is>
      </c>
      <c r="K5" s="31" t="inlineStr">
        <is>
          <t>construction</t>
        </is>
      </c>
      <c r="L5" s="31" t="inlineStr">
        <is>
          <t>largecap</t>
        </is>
      </c>
      <c r="M5" s="32" t="n">
        <v>27949.84</v>
      </c>
      <c r="N5" s="32" t="n">
        <v>1639.6</v>
      </c>
      <c r="O5" s="32" t="n">
        <v>0.77</v>
      </c>
      <c r="P5" s="32" t="n">
        <v>458838</v>
      </c>
      <c r="Q5" s="31" t="n">
        <v>99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84.86</v>
      </c>
      <c r="U5" s="32" t="n">
        <v>56.92</v>
      </c>
      <c r="V5" s="32" t="n">
        <v>1312.69</v>
      </c>
      <c r="W5" s="31" t="inlineStr">
        <is>
          <t>Near 52W High Breakout</t>
        </is>
      </c>
      <c r="X5" s="31" t="inlineStr">
        <is>
          <t>Nifty Realty</t>
        </is>
      </c>
      <c r="Y5" s="32" t="n">
        <v>-2.45</v>
      </c>
      <c r="Z5" s="32" t="n">
        <v>113.76</v>
      </c>
      <c r="AA5" s="32" t="n">
        <v>119.12</v>
      </c>
      <c r="AB5" s="32" t="n">
        <v>58.56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139.8</v>
      </c>
      <c r="E6" s="32" t="inlineStr">
        <is>
          <t>5%</t>
        </is>
      </c>
      <c r="F6" s="32" t="n">
        <v>50000</v>
      </c>
      <c r="G6" s="32" t="n">
        <v>25</v>
      </c>
      <c r="H6" s="31" t="inlineStr">
        <is>
          <t>SUNPHARMA</t>
        </is>
      </c>
      <c r="I6" s="31" t="inlineStr">
        <is>
          <t>Sun Pharmaceuticals Industries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largecap</t>
        </is>
      </c>
      <c r="M6" s="32" t="n">
        <v>469405.89</v>
      </c>
      <c r="N6" s="32" t="n">
        <v>1961.9</v>
      </c>
      <c r="O6" s="32" t="n">
        <v>0.28</v>
      </c>
      <c r="P6" s="32" t="n">
        <v>1412579</v>
      </c>
      <c r="Q6" s="31" t="n">
        <v>39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66.94</v>
      </c>
      <c r="U6" s="32" t="n">
        <v>20.54</v>
      </c>
      <c r="V6" s="32" t="n">
        <v>1743.01</v>
      </c>
      <c r="W6" s="31" t="inlineStr">
        <is>
          <t>Near 52W High Breakout</t>
        </is>
      </c>
      <c r="X6" s="31" t="inlineStr">
        <is>
          <t>Nifty Pharma</t>
        </is>
      </c>
      <c r="Y6" s="32" t="n">
        <v>15.14</v>
      </c>
      <c r="Z6" s="32" t="n">
        <v>16.53</v>
      </c>
      <c r="AA6" s="32" t="n">
        <v>1.21</v>
      </c>
      <c r="AB6" s="32" t="n">
        <v>7.76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Between 1.5 to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139.4</v>
      </c>
      <c r="E7" s="32" t="inlineStr">
        <is>
          <t>5%</t>
        </is>
      </c>
      <c r="F7" s="32" t="n">
        <v>50000</v>
      </c>
      <c r="G7" s="32" t="n">
        <v>223</v>
      </c>
      <c r="H7" s="31" t="inlineStr">
        <is>
          <t>RAIN</t>
        </is>
      </c>
      <c r="I7" s="31" t="inlineStr">
        <is>
          <t>Rain Industries Limited</t>
        </is>
      </c>
      <c r="J7" s="31" t="inlineStr">
        <is>
          <t>miscellaneous</t>
        </is>
      </c>
      <c r="K7" s="31" t="inlineStr">
        <is>
          <t>miscellaneous</t>
        </is>
      </c>
      <c r="L7" s="31" t="inlineStr">
        <is>
          <t>midcap</t>
        </is>
      </c>
      <c r="M7" s="32" t="n">
        <v>7131.2</v>
      </c>
      <c r="N7" s="32" t="n">
        <v>223.4</v>
      </c>
      <c r="O7" s="32" t="n">
        <v>5.37</v>
      </c>
      <c r="P7" s="32" t="n">
        <v>9359486</v>
      </c>
      <c r="Q7" s="31" t="n">
        <v>88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75.37</v>
      </c>
      <c r="U7" s="32" t="n">
        <v>40.46</v>
      </c>
      <c r="V7" s="32" t="n">
        <v>170.67</v>
      </c>
      <c r="W7" s="31" t="inlineStr">
        <is>
          <t>Near 52W High Breakout</t>
        </is>
      </c>
      <c r="X7" s="31" t="inlineStr">
        <is>
          <t>Nifty 50</t>
        </is>
      </c>
      <c r="Y7" s="32" t="n">
        <v>-2.61</v>
      </c>
      <c r="Z7" s="32" t="n">
        <v>44.81</v>
      </c>
      <c r="AA7" s="32" t="n">
        <v>48.7</v>
      </c>
      <c r="AB7" s="32" t="n">
        <v>26.34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More than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31</v>
      </c>
      <c r="H8" s="31" t="inlineStr">
        <is>
          <t>LAURUSLABS</t>
        </is>
      </c>
      <c r="I8" s="31" t="inlineStr">
        <is>
          <t>Laurus Labs Limited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largecap</t>
        </is>
      </c>
      <c r="M8" s="32" t="n">
        <v>84158.24000000001</v>
      </c>
      <c r="N8" s="32" t="n">
        <v>1593.2</v>
      </c>
      <c r="O8" s="32" t="n">
        <v>2.2</v>
      </c>
      <c r="P8" s="32" t="n">
        <v>1871739</v>
      </c>
      <c r="Q8" s="31" t="n">
        <v>84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79.78</v>
      </c>
      <c r="U8" s="32" t="n">
        <v>57.55</v>
      </c>
      <c r="V8" s="32" t="n">
        <v>1358.89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15.14</v>
      </c>
      <c r="Z8" s="32" t="n">
        <v>90.42</v>
      </c>
      <c r="AA8" s="32" t="n">
        <v>65.39</v>
      </c>
      <c r="AB8" s="32" t="n">
        <v>23.26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Between 12 to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139.6</v>
      </c>
      <c r="E9" s="32" t="inlineStr">
        <is>
          <t>5%</t>
        </is>
      </c>
      <c r="F9" s="32" t="n">
        <v>50000</v>
      </c>
      <c r="G9" s="32" t="n">
        <v>19</v>
      </c>
      <c r="H9" s="31" t="inlineStr">
        <is>
          <t>LUPIN</t>
        </is>
      </c>
      <c r="I9" s="31" t="inlineStr">
        <is>
          <t>Lupin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113311.84</v>
      </c>
      <c r="N9" s="32" t="n">
        <v>2514.8</v>
      </c>
      <c r="O9" s="32" t="n">
        <v>1.46</v>
      </c>
      <c r="P9" s="32" t="n">
        <v>782166</v>
      </c>
      <c r="Q9" s="31" t="n">
        <v>38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70.77</v>
      </c>
      <c r="U9" s="32" t="n">
        <v>18.01</v>
      </c>
      <c r="V9" s="32" t="n">
        <v>2219.69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15.14</v>
      </c>
      <c r="Z9" s="32" t="n">
        <v>29.83</v>
      </c>
      <c r="AA9" s="32" t="n">
        <v>12.76</v>
      </c>
      <c r="AB9" s="32" t="n">
        <v>7.55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0 to 20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138.8</v>
      </c>
      <c r="E10" s="32" t="inlineStr">
        <is>
          <t>5%</t>
        </is>
      </c>
      <c r="F10" s="32" t="n">
        <v>50000</v>
      </c>
      <c r="G10" s="32" t="n">
        <v>29</v>
      </c>
      <c r="H10" s="31" t="inlineStr">
        <is>
          <t>NOVARTIND</t>
        </is>
      </c>
      <c r="I10" s="31" t="inlineStr">
        <is>
          <t>Novartis India Ltd</t>
        </is>
      </c>
      <c r="J10" s="31" t="inlineStr">
        <is>
          <t>healthcare</t>
        </is>
      </c>
      <c r="K10" s="31" t="inlineStr">
        <is>
          <t>pharmaceuticals - multinational</t>
        </is>
      </c>
      <c r="L10" s="31" t="inlineStr">
        <is>
          <t>smallcap</t>
        </is>
      </c>
      <c r="M10" s="32" t="n">
        <v>4118.18</v>
      </c>
      <c r="N10" s="32" t="n">
        <v>1701.9</v>
      </c>
      <c r="O10" s="32" t="n">
        <v>2.04</v>
      </c>
      <c r="P10" s="32" t="n">
        <v>51291</v>
      </c>
      <c r="Q10" s="31" t="n">
        <v>91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76.23999999999999</v>
      </c>
      <c r="U10" s="32" t="n">
        <v>69.83</v>
      </c>
      <c r="V10" s="32" t="n">
        <v>1318.05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15.14</v>
      </c>
      <c r="Z10" s="32" t="n">
        <v>66.8</v>
      </c>
      <c r="AA10" s="32" t="n">
        <v>44.87</v>
      </c>
      <c r="AB10" s="32" t="n">
        <v>30.33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139.4</v>
      </c>
      <c r="E11" s="32" t="inlineStr">
        <is>
          <t>5%</t>
        </is>
      </c>
      <c r="F11" s="32" t="n">
        <v>50000</v>
      </c>
      <c r="G11" s="32" t="n">
        <v>23</v>
      </c>
      <c r="H11" s="31" t="inlineStr">
        <is>
          <t>INOXINDIA</t>
        </is>
      </c>
      <c r="I11" s="31" t="inlineStr">
        <is>
          <t>Inox India Ltd</t>
        </is>
      </c>
      <c r="J11" s="31" t="inlineStr">
        <is>
          <t>industrials</t>
        </is>
      </c>
      <c r="K11" s="31" t="inlineStr">
        <is>
          <t>packaging</t>
        </is>
      </c>
      <c r="L11" s="31" t="inlineStr">
        <is>
          <t>midcap</t>
        </is>
      </c>
      <c r="M11" s="32" t="n">
        <v>18183.56</v>
      </c>
      <c r="N11" s="32" t="n">
        <v>2093.8</v>
      </c>
      <c r="O11" s="32" t="n">
        <v>4.51</v>
      </c>
      <c r="P11" s="32" t="n">
        <v>535136</v>
      </c>
      <c r="Q11" s="31" t="n">
        <v>81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84.47</v>
      </c>
      <c r="U11" s="32" t="n">
        <v>66.31</v>
      </c>
      <c r="V11" s="32" t="n">
        <v>1624.75</v>
      </c>
      <c r="W11" s="31" t="inlineStr">
        <is>
          <t>Near 52W High Breakout</t>
        </is>
      </c>
      <c r="X11" s="31" t="inlineStr">
        <is>
          <t>Nifty 50</t>
        </is>
      </c>
      <c r="Y11" s="32" t="n">
        <v>-2.61</v>
      </c>
      <c r="Z11" s="32" t="n">
        <v>74.37</v>
      </c>
      <c r="AA11" s="32" t="n">
        <v>79.05</v>
      </c>
      <c r="AB11" s="32" t="n">
        <v>21.35</v>
      </c>
      <c r="AC11" s="31" t="inlineStr">
        <is>
          <t>Cyclical in an Upturn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Between 12 to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Less than 50%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185</v>
      </c>
      <c r="H12" s="31" t="inlineStr">
        <is>
          <t>DIACABS</t>
        </is>
      </c>
      <c r="I12" s="31" t="inlineStr">
        <is>
          <t>Diamond Power Infrastructure Ltd</t>
        </is>
      </c>
      <c r="J12" s="31" t="inlineStr">
        <is>
          <t>industrials</t>
        </is>
      </c>
      <c r="K12" s="31" t="inlineStr">
        <is>
          <t>cables - power</t>
        </is>
      </c>
      <c r="L12" s="31" t="inlineStr">
        <is>
          <t>midcap</t>
        </is>
      </c>
      <c r="M12" s="32" t="n">
        <v>12890.24</v>
      </c>
      <c r="N12" s="32" t="n">
        <v>269.07</v>
      </c>
      <c r="O12" s="32" t="n">
        <v>10</v>
      </c>
      <c r="P12" s="32" t="n">
        <v>20807551</v>
      </c>
      <c r="Q12" s="31" t="n">
        <v>89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80.83</v>
      </c>
      <c r="U12" s="32" t="n">
        <v>53.31</v>
      </c>
      <c r="V12" s="32" t="n">
        <v>204.05</v>
      </c>
      <c r="W12" s="31" t="inlineStr">
        <is>
          <t>Near 52W High Breakout</t>
        </is>
      </c>
      <c r="X12" s="31" t="inlineStr">
        <is>
          <t>Nifty Energy</t>
        </is>
      </c>
      <c r="Y12" s="32" t="n">
        <v>12.3</v>
      </c>
      <c r="Z12" s="32" t="n">
        <v>65.20999999999999</v>
      </c>
      <c r="AA12" s="32" t="n">
        <v>47.11</v>
      </c>
      <c r="AB12" s="32" t="n">
        <v>27.58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Negative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139.1</v>
      </c>
      <c r="E13" s="32" t="inlineStr">
        <is>
          <t>5%</t>
        </is>
      </c>
      <c r="F13" s="32" t="n">
        <v>50000</v>
      </c>
      <c r="G13" s="32" t="n">
        <v>9</v>
      </c>
      <c r="H13" s="31" t="inlineStr">
        <is>
          <t>TORNTPHARM</t>
        </is>
      </c>
      <c r="I13" s="31" t="inlineStr">
        <is>
          <t>Torrent Pharmaceuticals Limited</t>
        </is>
      </c>
      <c r="J13" s="31" t="inlineStr">
        <is>
          <t>healthcare</t>
        </is>
      </c>
      <c r="K13" s="31" t="inlineStr">
        <is>
          <t>pharmaceuticals - indian - formulations</t>
        </is>
      </c>
      <c r="L13" s="31" t="inlineStr">
        <is>
          <t>largecap</t>
        </is>
      </c>
      <c r="M13" s="32" t="n">
        <v>169405.48</v>
      </c>
      <c r="N13" s="32" t="n">
        <v>5040.7</v>
      </c>
      <c r="O13" s="32" t="n">
        <v>0.71</v>
      </c>
      <c r="P13" s="32" t="n">
        <v>287701</v>
      </c>
      <c r="Q13" s="31" t="n">
        <v>59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71.92</v>
      </c>
      <c r="U13" s="32" t="n">
        <v>38.31</v>
      </c>
      <c r="V13" s="32" t="n">
        <v>4319.78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15.14</v>
      </c>
      <c r="Z13" s="32" t="n">
        <v>41.11</v>
      </c>
      <c r="AA13" s="32" t="n">
        <v>22.56</v>
      </c>
      <c r="AB13" s="32" t="n">
        <v>11.99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139.3</v>
      </c>
      <c r="E14" s="32" t="inlineStr">
        <is>
          <t>5%</t>
        </is>
      </c>
      <c r="F14" s="32" t="n">
        <v>50000</v>
      </c>
      <c r="G14" s="32" t="n">
        <v>110</v>
      </c>
      <c r="H14" s="31" t="inlineStr">
        <is>
          <t>KAPSTON</t>
        </is>
      </c>
      <c r="I14" s="31" t="inlineStr">
        <is>
          <t>Kapston Services Ltd</t>
        </is>
      </c>
      <c r="J14" s="31" t="inlineStr">
        <is>
          <t>miscellaneous</t>
        </is>
      </c>
      <c r="K14" s="31" t="inlineStr">
        <is>
          <t>miscellaneous</t>
        </is>
      </c>
      <c r="L14" s="31" t="inlineStr">
        <is>
          <t>smallcap</t>
        </is>
      </c>
      <c r="M14" s="32" t="n">
        <v>1315.43</v>
      </c>
      <c r="N14" s="32" t="n">
        <v>451.95</v>
      </c>
      <c r="O14" s="32" t="n">
        <v>4.56</v>
      </c>
      <c r="P14" s="32" t="n">
        <v>76688</v>
      </c>
      <c r="Q14" s="31" t="n">
        <v>82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73.47</v>
      </c>
      <c r="U14" s="32" t="n">
        <v>21.71</v>
      </c>
      <c r="V14" s="32" t="n">
        <v>342.01</v>
      </c>
      <c r="W14" s="31" t="inlineStr">
        <is>
          <t>Near 52W High Breakout</t>
        </is>
      </c>
      <c r="X14" s="31" t="inlineStr">
        <is>
          <t>Nifty 50</t>
        </is>
      </c>
      <c r="Y14" s="32" t="n">
        <v>-2.61</v>
      </c>
      <c r="Z14" s="32" t="n">
        <v>88.97</v>
      </c>
      <c r="AA14" s="32" t="n">
        <v>94.04000000000001</v>
      </c>
      <c r="AB14" s="32" t="n">
        <v>22.35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Less than 50% and Borrowings are increasing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139.9</v>
      </c>
      <c r="E15" s="32" t="inlineStr">
        <is>
          <t>5%</t>
        </is>
      </c>
      <c r="F15" s="32" t="n">
        <v>50000</v>
      </c>
      <c r="G15" s="32" t="n">
        <v>10</v>
      </c>
      <c r="H15" s="31" t="inlineStr">
        <is>
          <t>TITAN</t>
        </is>
      </c>
      <c r="I15" s="31" t="inlineStr">
        <is>
          <t>Titan Company Limited</t>
        </is>
      </c>
      <c r="J15" s="31" t="inlineStr">
        <is>
          <t>consumer discretionary</t>
        </is>
      </c>
      <c r="K15" s="31" t="inlineStr">
        <is>
          <t>diamond cutting / jewellery</t>
        </is>
      </c>
      <c r="L15" s="31" t="inlineStr">
        <is>
          <t>largecap</t>
        </is>
      </c>
      <c r="M15" s="32" t="n">
        <v>412234.63</v>
      </c>
      <c r="N15" s="32" t="n">
        <v>4688.7</v>
      </c>
      <c r="O15" s="32" t="n">
        <v>0.98</v>
      </c>
      <c r="P15" s="32" t="n">
        <v>530109</v>
      </c>
      <c r="Q15" s="31" t="n">
        <v>38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64.22</v>
      </c>
      <c r="U15" s="32" t="n">
        <v>17.22</v>
      </c>
      <c r="V15" s="32" t="n">
        <v>4053.46</v>
      </c>
      <c r="W15" s="31" t="inlineStr">
        <is>
          <t>Near 52W High Breakout</t>
        </is>
      </c>
      <c r="X15" s="31" t="inlineStr">
        <is>
          <t>Nifty 50</t>
        </is>
      </c>
      <c r="Y15" s="32" t="n">
        <v>-2.61</v>
      </c>
      <c r="Z15" s="32" t="n">
        <v>35.85</v>
      </c>
      <c r="AA15" s="32" t="n">
        <v>39.49</v>
      </c>
      <c r="AB15" s="32" t="n">
        <v>7.71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0 to 20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139.6</v>
      </c>
      <c r="E16" s="32" t="inlineStr">
        <is>
          <t>5%</t>
        </is>
      </c>
      <c r="F16" s="32" t="n">
        <v>50000</v>
      </c>
      <c r="G16" s="32" t="n">
        <v>25</v>
      </c>
      <c r="H16" s="33" t="inlineStr">
        <is>
          <t>LLOYDSME</t>
        </is>
      </c>
      <c r="I16" s="33" t="inlineStr">
        <is>
          <t>Lloyds Metals &amp; Energy Ltd</t>
        </is>
      </c>
      <c r="J16" s="31" t="inlineStr">
        <is>
          <t>metals &amp; mining</t>
        </is>
      </c>
      <c r="K16" s="31" t="inlineStr">
        <is>
          <t>mining / minerals / metals</t>
        </is>
      </c>
      <c r="L16" s="31" t="inlineStr">
        <is>
          <t>largecap</t>
        </is>
      </c>
      <c r="M16" s="32" t="n">
        <v>107397.02</v>
      </c>
      <c r="N16" s="32" t="n">
        <v>1936.4</v>
      </c>
      <c r="O16" s="32" t="n">
        <v>1.49</v>
      </c>
      <c r="P16" s="32" t="n">
        <v>681812</v>
      </c>
      <c r="Q16" s="31" t="n">
        <v>53</v>
      </c>
      <c r="R16" s="31" t="inlineStr">
        <is>
          <t>Underperforming</t>
        </is>
      </c>
      <c r="S16" s="32">
        <f>IF(R16="Underperforming",-5,IF(Q16&gt;=95,15,IF(Q16&gt;=90,10,IF(Q16&gt;=80,5,0))))</f>
        <v/>
      </c>
      <c r="T16" s="32" t="n">
        <v>74.45999999999999</v>
      </c>
      <c r="U16" s="32" t="n">
        <v>44.68</v>
      </c>
      <c r="V16" s="32" t="n">
        <v>1599.12</v>
      </c>
      <c r="W16" s="31" t="inlineStr">
        <is>
          <t>Near 52W High Breakout</t>
        </is>
      </c>
      <c r="X16" s="31" t="inlineStr">
        <is>
          <t>Nifty Metal</t>
        </is>
      </c>
      <c r="Y16" s="32" t="n">
        <v>33.93</v>
      </c>
      <c r="Z16" s="32" t="n">
        <v>28.8</v>
      </c>
      <c r="AA16" s="32" t="n">
        <v>-3.83</v>
      </c>
      <c r="AB16" s="32" t="n">
        <v>10.57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Less than 50% and Borrowings are increasing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EMA Crossover</t>
        </is>
      </c>
      <c r="D17" s="32" t="n">
        <v>143.7</v>
      </c>
      <c r="E17" s="32" t="inlineStr">
        <is>
          <t>7%</t>
        </is>
      </c>
      <c r="F17" s="32" t="n">
        <v>70000</v>
      </c>
      <c r="G17" s="32" t="n">
        <v>94</v>
      </c>
      <c r="H17" s="33" t="inlineStr">
        <is>
          <t>JSL</t>
        </is>
      </c>
      <c r="I17" s="33" t="inlineStr">
        <is>
          <t>Jindal Stainless Limited</t>
        </is>
      </c>
      <c r="J17" s="31" t="inlineStr">
        <is>
          <t>metals &amp; mining</t>
        </is>
      </c>
      <c r="K17" s="31" t="inlineStr">
        <is>
          <t>steel - large</t>
        </is>
      </c>
      <c r="L17" s="31" t="inlineStr">
        <is>
          <t>largecap</t>
        </is>
      </c>
      <c r="M17" s="32" t="n">
        <v>60244.46</v>
      </c>
      <c r="N17" s="32" t="n">
        <v>739.05</v>
      </c>
      <c r="O17" s="32" t="n">
        <v>1.14</v>
      </c>
      <c r="P17" s="32" t="n">
        <v>719791</v>
      </c>
      <c r="Q17" s="31" t="n">
        <v>14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51.5</v>
      </c>
      <c r="U17" s="32" t="n">
        <v>12.47</v>
      </c>
      <c r="V17" s="32" t="n">
        <v>635.99</v>
      </c>
      <c r="W17" s="31" t="inlineStr">
        <is>
          <t>Earnings / Momentum Support</t>
        </is>
      </c>
      <c r="X17" s="31" t="inlineStr">
        <is>
          <t>Nifty Metal</t>
        </is>
      </c>
      <c r="Y17" s="32" t="n">
        <v>33.93</v>
      </c>
      <c r="Z17" s="32" t="n">
        <v>13.1</v>
      </c>
      <c r="AA17" s="32" t="n">
        <v>-15.56</v>
      </c>
      <c r="AB17" s="32" t="n">
        <v>2.25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1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649</v>
      </c>
      <c r="H18" s="31" t="inlineStr">
        <is>
          <t>TIRUPATIFL</t>
        </is>
      </c>
      <c r="I18" s="31" t="inlineStr">
        <is>
          <t>Tirupati Forge Ltd</t>
        </is>
      </c>
      <c r="J18" s="31" t="inlineStr">
        <is>
          <t>industrials</t>
        </is>
      </c>
      <c r="K18" s="31" t="inlineStr">
        <is>
          <t>castings &amp; forgings</t>
        </is>
      </c>
      <c r="L18" s="31" t="inlineStr">
        <is>
          <t>smallcap</t>
        </is>
      </c>
      <c r="M18" s="32" t="n">
        <v>903.8099999999999</v>
      </c>
      <c r="N18" s="32" t="n">
        <v>76.95</v>
      </c>
      <c r="O18" s="32" t="n">
        <v>9.99</v>
      </c>
      <c r="P18" s="32" t="n">
        <v>2813223</v>
      </c>
      <c r="Q18" s="31" t="inlineStr"/>
      <c r="R18" s="31" t="inlineStr"/>
      <c r="S18" s="32">
        <f>IF(R18="Underperforming",-5,IF(Q18&gt;=95,15,IF(Q18&gt;=90,10,IF(Q18&gt;=80,5,0))))</f>
        <v/>
      </c>
      <c r="T18" s="32" t="inlineStr"/>
      <c r="U18" s="32" t="inlineStr"/>
      <c r="V18" s="32" t="inlineStr"/>
      <c r="W18" s="31" t="inlineStr"/>
      <c r="X18" s="31" t="inlineStr"/>
      <c r="Y18" s="32" t="inlineStr"/>
      <c r="Z18" s="32" t="inlineStr"/>
      <c r="AA18" s="32" t="inlineStr"/>
      <c r="AB18" s="32" t="inlineStr"/>
      <c r="AC18" s="31" t="n"/>
      <c r="AD18" s="31">
        <f>IF(AC18="Growing Industry",10,IF(AC18="Cyclical in an Upturn",5,0))</f>
        <v/>
      </c>
      <c r="AE18" s="31" t="n"/>
      <c r="AF18" s="31">
        <f>IF(AE18="Monopoly",10,IF(AE18="Oligopoly",5,IF(AE18="Duopoly that cooperate",10,IF(AE18="Duopoly that compete",5,IF(AE18="Too many players with High ROCE",5,0)))))</f>
        <v/>
      </c>
      <c r="AG18" s="31" t="n"/>
      <c r="AH18" s="31">
        <f>IF(AG18="No",5,0)</f>
        <v/>
      </c>
      <c r="AI18" s="31" t="n"/>
      <c r="AJ18" s="31">
        <f>IF(AI18="Tailwind",10,0)</f>
        <v/>
      </c>
      <c r="AK18" s="31" t="n"/>
      <c r="AL18" s="31">
        <f>IF(AK18="Structural (10 Years Consistency)",10,IF(AK18="Shallow Cyclical (2 to 3 years growth)",5,0))</f>
        <v/>
      </c>
      <c r="AM18" s="31" t="n"/>
      <c r="AN18" s="31">
        <f>IF(AM18="Yes due to Product Mix change or Operating Leverage",10,IF(AM18="Yes, these are peak margins",-5,IF(AM18="No",5,0)))</f>
        <v/>
      </c>
      <c r="AO18" s="31" t="n"/>
      <c r="AP18" s="31">
        <f>IF(AO18="Stable",10,0)</f>
        <v/>
      </c>
      <c r="AQ18" s="31" t="n"/>
      <c r="AR18" s="31">
        <f>IF(AQ18="Yes",10,0)</f>
        <v/>
      </c>
      <c r="AS18" s="31" t="n"/>
      <c r="AT18" s="31">
        <f>IF(AS18="B2C",10,IF(AS18="B2B",5,0))</f>
        <v/>
      </c>
      <c r="AU18" s="31" t="n"/>
      <c r="AV18" s="31">
        <f>IF(AU18="Yes",10,0)</f>
        <v/>
      </c>
      <c r="AW18" s="31" t="n"/>
      <c r="AX18" s="31">
        <f>IF(AW18="Fully Annuity",10,IF(AW18="Higher Annuity, Lower One Time",5,IF(AW18="Higher One Time, Lower Annuity",3,0)))</f>
        <v/>
      </c>
      <c r="AY18" s="31" t="n"/>
      <c r="AZ18" s="31">
        <f>IF(AY18="Good",10,0)</f>
        <v/>
      </c>
      <c r="BA18" s="31" t="n"/>
      <c r="BB18" s="31">
        <f>IF(BA18="Yes for more than 2 years",10,IF(BA18="Yes only for next 1 to 2 years",5,0))</f>
        <v/>
      </c>
      <c r="BC18" s="31" t="n"/>
      <c r="BD18" s="31">
        <f>IF(BC18="Above 40",20,IF(BC18="20 to 40",10,IF(BC18="0 to 20",-5,0)))</f>
        <v/>
      </c>
      <c r="BE18" s="31" t="n"/>
      <c r="BF18" s="31">
        <f>IF(BE18="Between 50 to 75",10,IF(BE18="Above 75",0,0))</f>
        <v/>
      </c>
      <c r="BG18" s="31" t="n"/>
      <c r="BH18" s="31">
        <f>IF(BG18="Stage 2",20,IF(BG18="Stage 1",0,IF(BG18="Stage 3",5,IF(BG18="Stage 4",-5,0))))</f>
        <v/>
      </c>
      <c r="BI18" s="31" t="n"/>
      <c r="BJ18" s="31">
        <f>IF(BI18="Positive Trend",20,IF(BI18="Negative Trend",-10,0))</f>
        <v/>
      </c>
      <c r="BK18" s="31" t="n"/>
      <c r="BL18" s="31">
        <f>IF(BK18="Uptrend",10,IF(BK18="Sideways",5,0))</f>
        <v/>
      </c>
      <c r="BM18" s="31" t="n"/>
      <c r="BN18" s="31">
        <f>IF(BM18="Uptrend",10,IF(BM18="Sideways",5,0))</f>
        <v/>
      </c>
      <c r="BO18" s="31" t="n"/>
      <c r="BP18" s="31">
        <f>IF(BO18="Overhead supply in last 2 years in last 2 years",-5,IF(BO18="Close to 52 week high or retracement",5,IF(BO18="Blue sky scenario",10,IF(BO18="Long term Downtrend",-10,0))))</f>
        <v/>
      </c>
      <c r="BQ18" s="31" t="n"/>
      <c r="BR18" s="31">
        <f>IF(BQ18="Yes",10,0)</f>
        <v/>
      </c>
      <c r="BS18" s="31" t="n"/>
      <c r="BT18" s="31">
        <f>IF(BS18="More than 20%",10,IF(BS18="Between 12 to 20%",5,IF(BS18="Less than 12%",0,0)))</f>
        <v/>
      </c>
      <c r="BU18" s="31" t="n"/>
      <c r="BV18" s="31">
        <f>IF(BU18="No",10,0)</f>
        <v/>
      </c>
      <c r="BW18" s="31" t="n"/>
      <c r="BX18" s="31">
        <f>IF(BW18="NO",5,0)</f>
        <v/>
      </c>
      <c r="BY18" s="31" t="n"/>
      <c r="BZ18" s="31">
        <f>IF(BY18="Above 2",0,IF(BY18="Between 1.5 to 2",5,IF(BY18="Less than 1.5",10,0)))</f>
        <v/>
      </c>
      <c r="CA18" s="31" t="n"/>
      <c r="CB18" s="31">
        <f>IF(CA18="Above 70%",10,IF(CA18="Between 50% to 70%",5,IF(CA18="Less than 50%",0,IF(CA18="Negative",-10,IF(CA18="Less than 50% and Borrowings are increasing",-5,0)))))</f>
        <v/>
      </c>
      <c r="CC18" s="31" t="n"/>
      <c r="CD18" s="31">
        <f>IF(CC18="More than 1.2",-10,IF(CC18="Between 0.7 to 1.2",0,IF(CC18="Less than 0.7",10,0)))</f>
        <v/>
      </c>
      <c r="CE18" s="31" t="n"/>
      <c r="CF18" s="31">
        <f>IF(CE18="Yes",-10,0)</f>
        <v/>
      </c>
      <c r="CG18" s="31" t="n"/>
      <c r="CH18" s="31">
        <f>IF(CG18="More than 15%",-10,IF(CG18="Less than 15%",10,0))</f>
        <v/>
      </c>
      <c r="CI18" s="31" t="n"/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139.3</v>
      </c>
      <c r="E19" s="32" t="inlineStr">
        <is>
          <t>5%</t>
        </is>
      </c>
      <c r="F19" s="32" t="n">
        <v>50000</v>
      </c>
      <c r="G19" s="32" t="n">
        <v>13</v>
      </c>
      <c r="H19" s="31" t="inlineStr">
        <is>
          <t>AJANTPHARM</t>
        </is>
      </c>
      <c r="I19" s="31" t="inlineStr">
        <is>
          <t>Ajanta Pharma Limited</t>
        </is>
      </c>
      <c r="J19" s="31" t="inlineStr">
        <is>
          <t>healthcare</t>
        </is>
      </c>
      <c r="K19" s="31" t="inlineStr">
        <is>
          <t>pharmaceuticals - indian - formulations</t>
        </is>
      </c>
      <c r="L19" s="31" t="inlineStr">
        <is>
          <t>largecap</t>
        </is>
      </c>
      <c r="M19" s="32" t="n">
        <v>43340.17</v>
      </c>
      <c r="N19" s="32" t="n">
        <v>3575.3</v>
      </c>
      <c r="O19" s="32" t="n">
        <v>3.06</v>
      </c>
      <c r="P19" s="32" t="n">
        <v>204702</v>
      </c>
      <c r="Q19" s="31" t="inlineStr"/>
      <c r="R19" s="31" t="inlineStr"/>
      <c r="S19" s="32">
        <f>IF(R19="Underperforming",-5,IF(Q19&gt;=95,15,IF(Q19&gt;=90,10,IF(Q19&gt;=80,5,0))))</f>
        <v/>
      </c>
      <c r="T19" s="32" t="inlineStr"/>
      <c r="U19" s="32" t="inlineStr"/>
      <c r="V19" s="32" t="inlineStr"/>
      <c r="W19" s="31" t="inlineStr"/>
      <c r="X19" s="31" t="inlineStr"/>
      <c r="Y19" s="32" t="inlineStr"/>
      <c r="Z19" s="32" t="inlineStr"/>
      <c r="AA19" s="32" t="inlineStr"/>
      <c r="AB19" s="32" t="inlineStr"/>
      <c r="AC19" s="31" t="n"/>
      <c r="AD19" s="31">
        <f>IF(AC19="Growing Industry",10,IF(AC19="Cyclical in an Upturn",5,0))</f>
        <v/>
      </c>
      <c r="AE19" s="31" t="n"/>
      <c r="AF19" s="31">
        <f>IF(AE19="Monopoly",10,IF(AE19="Oligopoly",5,IF(AE19="Duopoly that cooperate",10,IF(AE19="Duopoly that compete",5,IF(AE19="Too many players with High ROCE",5,0)))))</f>
        <v/>
      </c>
      <c r="AG19" s="31" t="n"/>
      <c r="AH19" s="31">
        <f>IF(AG19="No",5,0)</f>
        <v/>
      </c>
      <c r="AI19" s="31" t="n"/>
      <c r="AJ19" s="31">
        <f>IF(AI19="Tailwind",10,0)</f>
        <v/>
      </c>
      <c r="AK19" s="31" t="n"/>
      <c r="AL19" s="31">
        <f>IF(AK19="Structural (10 Years Consistency)",10,IF(AK19="Shallow Cyclical (2 to 3 years growth)",5,0))</f>
        <v/>
      </c>
      <c r="AM19" s="31" t="n"/>
      <c r="AN19" s="31">
        <f>IF(AM19="Yes due to Product Mix change or Operating Leverage",10,IF(AM19="Yes, these are peak margins",-5,IF(AM19="No",5,0)))</f>
        <v/>
      </c>
      <c r="AO19" s="31" t="n"/>
      <c r="AP19" s="31">
        <f>IF(AO19="Stable",10,0)</f>
        <v/>
      </c>
      <c r="AQ19" s="31" t="n"/>
      <c r="AR19" s="31">
        <f>IF(AQ19="Yes",10,0)</f>
        <v/>
      </c>
      <c r="AS19" s="31" t="n"/>
      <c r="AT19" s="31">
        <f>IF(AS19="B2C",10,IF(AS19="B2B",5,0))</f>
        <v/>
      </c>
      <c r="AU19" s="31" t="n"/>
      <c r="AV19" s="31">
        <f>IF(AU19="Yes",10,0)</f>
        <v/>
      </c>
      <c r="AW19" s="31" t="n"/>
      <c r="AX19" s="31">
        <f>IF(AW19="Fully Annuity",10,IF(AW19="Higher Annuity, Lower One Time",5,IF(AW19="Higher One Time, Lower Annuity",3,0)))</f>
        <v/>
      </c>
      <c r="AY19" s="31" t="n"/>
      <c r="AZ19" s="31">
        <f>IF(AY19="Good",10,0)</f>
        <v/>
      </c>
      <c r="BA19" s="31" t="n"/>
      <c r="BB19" s="31">
        <f>IF(BA19="Yes for more than 2 years",10,IF(BA19="Yes only for next 1 to 2 years",5,0))</f>
        <v/>
      </c>
      <c r="BC19" s="31" t="n"/>
      <c r="BD19" s="31">
        <f>IF(BC19="Above 40",20,IF(BC19="20 to 40",10,IF(BC19="0 to 20",-5,0)))</f>
        <v/>
      </c>
      <c r="BE19" s="31" t="n"/>
      <c r="BF19" s="31">
        <f>IF(BE19="Between 50 to 75",10,IF(BE19="Above 75",0,0))</f>
        <v/>
      </c>
      <c r="BG19" s="31" t="n"/>
      <c r="BH19" s="31">
        <f>IF(BG19="Stage 2",20,IF(BG19="Stage 1",0,IF(BG19="Stage 3",5,IF(BG19="Stage 4",-5,0))))</f>
        <v/>
      </c>
      <c r="BI19" s="31" t="n"/>
      <c r="BJ19" s="31">
        <f>IF(BI19="Positive Trend",20,IF(BI19="Negative Trend",-10,0))</f>
        <v/>
      </c>
      <c r="BK19" s="31" t="n"/>
      <c r="BL19" s="31">
        <f>IF(BK19="Uptrend",10,IF(BK19="Sideways",5,0))</f>
        <v/>
      </c>
      <c r="BM19" s="31" t="n"/>
      <c r="BN19" s="31">
        <f>IF(BM19="Uptrend",10,IF(BM19="Sideways",5,0))</f>
        <v/>
      </c>
      <c r="BO19" s="31" t="n"/>
      <c r="BP19" s="31">
        <f>IF(BO19="Overhead supply in last 2 years in last 2 years",-5,IF(BO19="Close to 52 week high or retracement",5,IF(BO19="Blue sky scenario",10,IF(BO19="Long term Downtrend",-10,0))))</f>
        <v/>
      </c>
      <c r="BQ19" s="31" t="n"/>
      <c r="BR19" s="31">
        <f>IF(BQ19="Yes",10,0)</f>
        <v/>
      </c>
      <c r="BS19" s="31" t="n"/>
      <c r="BT19" s="31">
        <f>IF(BS19="More than 20%",10,IF(BS19="Between 12 to 20%",5,IF(BS19="Less than 12%",0,0)))</f>
        <v/>
      </c>
      <c r="BU19" s="31" t="n"/>
      <c r="BV19" s="31">
        <f>IF(BU19="No",10,0)</f>
        <v/>
      </c>
      <c r="BW19" s="31" t="n"/>
      <c r="BX19" s="31">
        <f>IF(BW19="NO",5,0)</f>
        <v/>
      </c>
      <c r="BY19" s="31" t="n"/>
      <c r="BZ19" s="31">
        <f>IF(BY19="Above 2",0,IF(BY19="Between 1.5 to 2",5,IF(BY19="Less than 1.5",10,0)))</f>
        <v/>
      </c>
      <c r="CA19" s="31" t="n"/>
      <c r="CB19" s="31">
        <f>IF(CA19="Above 70%",10,IF(CA19="Between 50% to 70%",5,IF(CA19="Less than 50%",0,IF(CA19="Negative",-10,IF(CA19="Less than 50% and Borrowings are increasing",-5,0)))))</f>
        <v/>
      </c>
      <c r="CC19" s="31" t="n"/>
      <c r="CD19" s="31">
        <f>IF(CC19="More than 1.2",-10,IF(CC19="Between 0.7 to 1.2",0,IF(CC19="Less than 0.7",10,0)))</f>
        <v/>
      </c>
      <c r="CE19" s="31" t="n"/>
      <c r="CF19" s="31">
        <f>IF(CE19="Yes",-10,0)</f>
        <v/>
      </c>
      <c r="CG19" s="31" t="n"/>
      <c r="CH19" s="31">
        <f>IF(CG19="More than 15%",-10,IF(CG19="Less than 15%",10,0))</f>
        <v/>
      </c>
      <c r="CI19" s="31" t="n"/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139.8</v>
      </c>
      <c r="E2" s="32" t="inlineStr">
        <is>
          <t>5%</t>
        </is>
      </c>
      <c r="F2" s="32" t="n">
        <v>50000</v>
      </c>
      <c r="G2" s="32" t="n">
        <v>140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86434.7</v>
      </c>
      <c r="N2" s="32" t="n">
        <v>356.05</v>
      </c>
      <c r="O2" s="32" t="n">
        <v>1.51</v>
      </c>
      <c r="P2" s="32" t="n">
        <v>6342396</v>
      </c>
      <c r="Q2" s="31" t="n">
        <v>72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78.20999999999999</v>
      </c>
      <c r="U2" s="32" t="n">
        <v>29.47</v>
      </c>
      <c r="V2" s="32" t="n">
        <v>309.81</v>
      </c>
      <c r="W2" s="31" t="inlineStr">
        <is>
          <t>Near 52W High Breakout</t>
        </is>
      </c>
      <c r="X2" s="31" t="inlineStr">
        <is>
          <t>Nifty Bank</t>
        </is>
      </c>
      <c r="Y2" s="32" t="n">
        <v>2.31</v>
      </c>
      <c r="Z2" s="32" t="n">
        <v>72.09999999999999</v>
      </c>
      <c r="AA2" s="32" t="n">
        <v>68.20999999999999</v>
      </c>
      <c r="AB2" s="32" t="n">
        <v>16.13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139.5</v>
      </c>
      <c r="E3" s="32" t="inlineStr">
        <is>
          <t>5%</t>
        </is>
      </c>
      <c r="F3" s="32" t="n">
        <v>50000</v>
      </c>
      <c r="G3" s="32" t="n">
        <v>142</v>
      </c>
      <c r="H3" s="31" t="inlineStr">
        <is>
          <t>MANAPPURAM</t>
        </is>
      </c>
      <c r="I3" s="31" t="inlineStr">
        <is>
          <t>Manappuram Finance Limited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31665.02</v>
      </c>
      <c r="N3" s="32" t="n">
        <v>351.75</v>
      </c>
      <c r="O3" s="32" t="n">
        <v>4.35</v>
      </c>
      <c r="P3" s="32" t="n">
        <v>12016739</v>
      </c>
      <c r="Q3" s="31" t="n">
        <v>53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65.23999999999999</v>
      </c>
      <c r="U3" s="32" t="n">
        <v>14.67</v>
      </c>
      <c r="V3" s="32" t="n">
        <v>283.45</v>
      </c>
      <c r="W3" s="31" t="inlineStr">
        <is>
          <t>Near 52W High Breakout</t>
        </is>
      </c>
      <c r="X3" s="31" t="inlineStr">
        <is>
          <t>Nifty Bank</t>
        </is>
      </c>
      <c r="Y3" s="32" t="n">
        <v>2.31</v>
      </c>
      <c r="Z3" s="32" t="n">
        <v>33.35</v>
      </c>
      <c r="AA3" s="32" t="n">
        <v>30.34</v>
      </c>
      <c r="AB3" s="32" t="n">
        <v>10.58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138.9</v>
      </c>
      <c r="E4" s="32" t="inlineStr">
        <is>
          <t>5%</t>
        </is>
      </c>
      <c r="F4" s="32" t="n">
        <v>50000</v>
      </c>
      <c r="G4" s="32" t="n">
        <v>196</v>
      </c>
      <c r="H4" s="31" t="inlineStr">
        <is>
          <t>MUTHOOTMF</t>
        </is>
      </c>
      <c r="I4" s="31" t="inlineStr">
        <is>
          <t>Muthoot Microfin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4318.4</v>
      </c>
      <c r="N4" s="32" t="n">
        <v>254.3</v>
      </c>
      <c r="O4" s="32" t="n">
        <v>0.4</v>
      </c>
      <c r="P4" s="32" t="n">
        <v>472240</v>
      </c>
      <c r="Q4" s="31" t="n">
        <v>74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77.13</v>
      </c>
      <c r="U4" s="32" t="n">
        <v>39.47</v>
      </c>
      <c r="V4" s="32" t="n">
        <v>196.62</v>
      </c>
      <c r="W4" s="31" t="inlineStr">
        <is>
          <t>Near 52W High Breakout</t>
        </is>
      </c>
      <c r="X4" s="31" t="inlineStr">
        <is>
          <t>Nifty Bank</t>
        </is>
      </c>
      <c r="Y4" s="32" t="n">
        <v>2.31</v>
      </c>
      <c r="Z4" s="32" t="n">
        <v>51.84</v>
      </c>
      <c r="AA4" s="32" t="n">
        <v>48.41</v>
      </c>
      <c r="AB4" s="32" t="n">
        <v>17.1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EMA Crossover</t>
        </is>
      </c>
      <c r="D5" s="32" t="n">
        <v>146.7</v>
      </c>
      <c r="E5" s="32" t="inlineStr">
        <is>
          <t>7%</t>
        </is>
      </c>
      <c r="F5" s="32" t="n">
        <v>70000</v>
      </c>
      <c r="G5" s="32" t="n">
        <v>36</v>
      </c>
      <c r="H5" s="33" t="inlineStr">
        <is>
          <t>BAJAJFINSV</t>
        </is>
      </c>
      <c r="I5" s="33" t="inlineStr">
        <is>
          <t>Bajaj Finserv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297942.38</v>
      </c>
      <c r="N5" s="32" t="n">
        <v>1900.6</v>
      </c>
      <c r="O5" s="32" t="n">
        <v>2.1</v>
      </c>
      <c r="P5" s="32" t="n">
        <v>1668748</v>
      </c>
      <c r="Q5" s="31" t="n">
        <v>9</v>
      </c>
      <c r="R5" s="31" t="inlineStr">
        <is>
          <t>Underperforming</t>
        </is>
      </c>
      <c r="S5" s="32">
        <f>IF(R5="Underperforming",-5,IF(Q5&gt;=95,15,IF(Q5&gt;=90,10,IF(Q5&gt;=80,5,0))))</f>
        <v/>
      </c>
      <c r="T5" s="32" t="n">
        <v>54.15</v>
      </c>
      <c r="U5" s="32" t="n">
        <v>14.6</v>
      </c>
      <c r="V5" s="32" t="n">
        <v>1632.72</v>
      </c>
      <c r="W5" s="31" t="inlineStr">
        <is>
          <t>Earnings / Momentum Support</t>
        </is>
      </c>
      <c r="X5" s="31" t="inlineStr">
        <is>
          <t>Nifty Bank</t>
        </is>
      </c>
      <c r="Y5" s="32" t="n">
        <v>2.31</v>
      </c>
      <c r="Z5" s="32" t="n">
        <v>-4.21</v>
      </c>
      <c r="AA5" s="32" t="n">
        <v>-6.37</v>
      </c>
      <c r="AB5" s="32" t="n">
        <v>0.9399999999999999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No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Close to 52 week high or retracement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RPEL</t>
        </is>
      </c>
      <c r="D2" s="31" t="inlineStr">
        <is>
          <t>Raghav Productivity Enhancers Ltd</t>
        </is>
      </c>
      <c r="E2" s="31" t="inlineStr">
        <is>
          <t>building materials</t>
        </is>
      </c>
      <c r="F2" s="31" t="inlineStr">
        <is>
          <t>Steel Products</t>
        </is>
      </c>
      <c r="G2" s="31" t="inlineStr">
        <is>
          <t>midcap</t>
        </is>
      </c>
      <c r="H2" s="32" t="n">
        <v>5809.13</v>
      </c>
      <c r="I2" s="32" t="n">
        <v>1265</v>
      </c>
      <c r="J2" s="32" t="n">
        <v>-1.5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73.88</v>
      </c>
      <c r="P2" s="32" t="n">
        <v>43.22</v>
      </c>
      <c r="Q2" s="32" t="n">
        <v>1028.33</v>
      </c>
      <c r="R2" s="31" t="inlineStr">
        <is>
          <t>Near 52W High Breakout</t>
        </is>
      </c>
      <c r="S2" s="31" t="inlineStr">
        <is>
          <t>Nifty Infra</t>
        </is>
      </c>
      <c r="T2" s="32" t="n">
        <v>4.24</v>
      </c>
      <c r="U2" s="32" t="n">
        <v>92.2</v>
      </c>
      <c r="V2" s="32" t="n">
        <v>84.39</v>
      </c>
      <c r="W2" s="32" t="n">
        <v>35.37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IF(B3=0,"",RANK(B3,$B$2:$B$87,0))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5739.01</v>
      </c>
      <c r="I3" s="32" t="n">
        <v>568.5</v>
      </c>
      <c r="J3" s="32" t="n">
        <v>0.08</v>
      </c>
      <c r="K3" s="32" t="n">
        <v>0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73.14</v>
      </c>
      <c r="P3" s="32" t="n">
        <v>44.88</v>
      </c>
      <c r="Q3" s="32" t="n">
        <v>434.83</v>
      </c>
      <c r="R3" s="31" t="inlineStr">
        <is>
          <t>Near 52W High Breakout</t>
        </is>
      </c>
      <c r="S3" s="31" t="inlineStr">
        <is>
          <t>Nifty 50</t>
        </is>
      </c>
      <c r="T3" s="32" t="n">
        <v>-2.61</v>
      </c>
      <c r="U3" s="32" t="n">
        <v>165.87</v>
      </c>
      <c r="V3" s="32" t="n">
        <v>173.01</v>
      </c>
      <c r="W3" s="32" t="n">
        <v>40.7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IF(B4=0,"",RANK(B4,$B$2:$B$87,0))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MENONBE</t>
        </is>
      </c>
      <c r="D4" s="31" t="inlineStr">
        <is>
          <t>Menon Bearings Ltd</t>
        </is>
      </c>
      <c r="E4" s="31" t="inlineStr">
        <is>
          <t>auto</t>
        </is>
      </c>
      <c r="F4" s="31" t="inlineStr">
        <is>
          <t>Auto Ancillaries - Bearings</t>
        </is>
      </c>
      <c r="G4" s="31" t="inlineStr">
        <is>
          <t>smallcap</t>
        </is>
      </c>
      <c r="H4" s="32" t="n">
        <v>1233.61</v>
      </c>
      <c r="I4" s="32" t="n">
        <v>220.13</v>
      </c>
      <c r="J4" s="32" t="n">
        <v>5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77.68000000000001</v>
      </c>
      <c r="P4" s="32" t="n">
        <v>45.45</v>
      </c>
      <c r="Q4" s="32" t="n">
        <v>168.3</v>
      </c>
      <c r="R4" s="31" t="inlineStr">
        <is>
          <t>Near 52W High Breakout</t>
        </is>
      </c>
      <c r="S4" s="31" t="inlineStr">
        <is>
          <t>Nifty Auto</t>
        </is>
      </c>
      <c r="T4" s="32" t="n">
        <v>14.71</v>
      </c>
      <c r="U4" s="32" t="n">
        <v>71.63</v>
      </c>
      <c r="V4" s="32" t="n">
        <v>49.62</v>
      </c>
      <c r="W4" s="32" t="n">
        <v>32.64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IF(B5=0,"",RANK(B5,$B$2:$B$87,0))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</t>
        </is>
      </c>
      <c r="G5" s="31" t="inlineStr">
        <is>
          <t>midcap</t>
        </is>
      </c>
      <c r="H5" s="32" t="n">
        <v>6755.68</v>
      </c>
      <c r="I5" s="32" t="n">
        <v>29</v>
      </c>
      <c r="J5" s="32" t="n">
        <v>-1.33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75.58</v>
      </c>
      <c r="P5" s="32" t="n">
        <v>46.52</v>
      </c>
      <c r="Q5" s="32" t="n">
        <v>21.71</v>
      </c>
      <c r="R5" s="31" t="inlineStr">
        <is>
          <t>Near 52W High Breakout</t>
        </is>
      </c>
      <c r="S5" s="31" t="inlineStr">
        <is>
          <t>Nifty 50</t>
        </is>
      </c>
      <c r="T5" s="32" t="n">
        <v>-2.61</v>
      </c>
      <c r="U5" s="32" t="n">
        <v>87.08</v>
      </c>
      <c r="V5" s="32" t="n">
        <v>92.09999999999999</v>
      </c>
      <c r="W5" s="32" t="n">
        <v>35.38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16</t>
        </is>
      </c>
      <c r="CG5" s="31">
        <f>IF(CF5&gt;20,10,IF(CF5&gt;=10,5,2))</f>
        <v/>
      </c>
    </row>
    <row r="6">
      <c r="A6" s="31">
        <f>IF(B6=0,"",RANK(B6,$B$2:$B$87,0))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TINNARUBR</t>
        </is>
      </c>
      <c r="D6" s="31" t="inlineStr">
        <is>
          <t>Tinna Rubber &amp; Infrastructure Ltd</t>
        </is>
      </c>
      <c r="E6" s="31" t="inlineStr">
        <is>
          <t>fmcg</t>
        </is>
      </c>
      <c r="F6" s="31" t="inlineStr">
        <is>
          <t>Rubber Processing/Rubber Products</t>
        </is>
      </c>
      <c r="G6" s="31" t="inlineStr">
        <is>
          <t>smallcap</t>
        </is>
      </c>
      <c r="H6" s="32" t="n">
        <v>2008.67</v>
      </c>
      <c r="I6" s="32" t="n">
        <v>1114.95</v>
      </c>
      <c r="J6" s="32" t="n">
        <v>-5.98</v>
      </c>
      <c r="K6" s="32" t="n">
        <v>0</v>
      </c>
      <c r="L6" s="31" t="n">
        <v>81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73.84</v>
      </c>
      <c r="P6" s="32" t="n">
        <v>31.4</v>
      </c>
      <c r="Q6" s="32" t="n">
        <v>837.05</v>
      </c>
      <c r="R6" s="31" t="inlineStr">
        <is>
          <t>Volume Spike &amp; Near 52W High Breakout</t>
        </is>
      </c>
      <c r="S6" s="31" t="inlineStr">
        <is>
          <t>Nifty FMCG</t>
        </is>
      </c>
      <c r="T6" s="32" t="n">
        <v>-10.38</v>
      </c>
      <c r="U6" s="32" t="n">
        <v>24.8</v>
      </c>
      <c r="V6" s="32" t="n">
        <v>39.25</v>
      </c>
      <c r="W6" s="32" t="n">
        <v>21.59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17</t>
        </is>
      </c>
      <c r="CG6" s="31">
        <f>IF(CF6&gt;20,10,IF(CF6&gt;=10,5,2))</f>
        <v/>
      </c>
    </row>
    <row r="7">
      <c r="A7" s="31">
        <f>IF(B7=0,"",RANK(B7,$B$2:$B$87,0))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INDIAGLYCO</t>
        </is>
      </c>
      <c r="D7" s="31" t="inlineStr">
        <is>
          <t>India Glycols Ltd</t>
        </is>
      </c>
      <c r="E7" s="31" t="inlineStr">
        <is>
          <t>fmcg</t>
        </is>
      </c>
      <c r="F7" s="31" t="inlineStr">
        <is>
          <t>Alcoholic Beverages</t>
        </is>
      </c>
      <c r="G7" s="31" t="inlineStr">
        <is>
          <t>midcap</t>
        </is>
      </c>
      <c r="H7" s="32" t="n">
        <v>7720.48</v>
      </c>
      <c r="I7" s="32" t="n">
        <v>1151.85</v>
      </c>
      <c r="J7" s="32" t="n">
        <v>0.76</v>
      </c>
      <c r="K7" s="32" t="n">
        <v>0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64.65000000000001</v>
      </c>
      <c r="P7" s="32" t="n">
        <v>23.89</v>
      </c>
      <c r="Q7" s="32" t="n">
        <v>910.91</v>
      </c>
      <c r="R7" s="31" t="inlineStr">
        <is>
          <t>Near 52W High Breakout</t>
        </is>
      </c>
      <c r="S7" s="31" t="inlineStr">
        <is>
          <t>Nifty FMCG</t>
        </is>
      </c>
      <c r="T7" s="32" t="n">
        <v>-10.38</v>
      </c>
      <c r="U7" s="32" t="n">
        <v>35.56</v>
      </c>
      <c r="V7" s="32" t="n">
        <v>51.25</v>
      </c>
      <c r="W7" s="32" t="n">
        <v>11.12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IF(B8=0,"",RANK(B8,$B$2:$B$87,0))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E2E</t>
        </is>
      </c>
      <c r="D8" s="31" t="inlineStr">
        <is>
          <t>E2E Networks Ltd</t>
        </is>
      </c>
      <c r="E8" s="31" t="inlineStr">
        <is>
          <t>i.t</t>
        </is>
      </c>
      <c r="F8" s="31" t="inlineStr">
        <is>
          <t>Data Centre</t>
        </is>
      </c>
      <c r="G8" s="31" t="inlineStr">
        <is>
          <t>midcap</t>
        </is>
      </c>
      <c r="H8" s="32" t="n">
        <v>9176.42</v>
      </c>
      <c r="I8" s="32" t="n">
        <v>446.4</v>
      </c>
      <c r="J8" s="32" t="n">
        <v>5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65.69</v>
      </c>
      <c r="P8" s="32" t="n">
        <v>42.68</v>
      </c>
      <c r="Q8" s="32" t="n">
        <v>314.35</v>
      </c>
      <c r="R8" s="31" t="inlineStr">
        <is>
          <t>Near 52W High Breakout</t>
        </is>
      </c>
      <c r="S8" s="31" t="inlineStr">
        <is>
          <t>Nifty IT</t>
        </is>
      </c>
      <c r="T8" s="32" t="n">
        <v>-18.64</v>
      </c>
      <c r="U8" s="32" t="n">
        <v>108.64</v>
      </c>
      <c r="V8" s="32" t="n">
        <v>156.43</v>
      </c>
      <c r="W8" s="32" t="n">
        <v>32.02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Less than 12%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IF(B9=0,"",RANK(B9,$B$2:$B$87,0))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ACUTAAS</t>
        </is>
      </c>
      <c r="D9" s="31" t="inlineStr">
        <is>
          <t>Acutaas Chemicals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largecap</t>
        </is>
      </c>
      <c r="H9" s="32" t="n">
        <v>30065.53</v>
      </c>
      <c r="I9" s="32" t="n">
        <v>3672.3</v>
      </c>
      <c r="J9" s="32" t="n">
        <v>0.44</v>
      </c>
      <c r="K9" s="32" t="n">
        <v>0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72.28</v>
      </c>
      <c r="P9" s="32" t="n">
        <v>69.86</v>
      </c>
      <c r="Q9" s="32" t="n">
        <v>2911.28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15.14</v>
      </c>
      <c r="U9" s="32" t="n">
        <v>217.59</v>
      </c>
      <c r="V9" s="32" t="n">
        <v>175.84</v>
      </c>
      <c r="W9" s="32" t="n">
        <v>39.1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22</t>
        </is>
      </c>
      <c r="CG9" s="31">
        <f>IF(CF9&gt;20,10,IF(CF9&gt;=10,5,2))</f>
        <v/>
      </c>
    </row>
    <row r="10">
      <c r="A10" s="31">
        <f>IF(B10=0,"",RANK(B10,$B$2:$B$87,0))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SAKAR</t>
        </is>
      </c>
      <c r="D10" s="31" t="inlineStr">
        <is>
          <t>Sakar Healthcare Ltd</t>
        </is>
      </c>
      <c r="E10" s="31" t="inlineStr">
        <is>
          <t>healthcare</t>
        </is>
      </c>
      <c r="F10" s="31" t="inlineStr">
        <is>
          <t>Hospitals</t>
        </is>
      </c>
      <c r="G10" s="31" t="inlineStr">
        <is>
          <t>smallcap</t>
        </is>
      </c>
      <c r="H10" s="32" t="n">
        <v>1963.78</v>
      </c>
      <c r="I10" s="32" t="n">
        <v>882.6</v>
      </c>
      <c r="J10" s="32" t="n">
        <v>-1.8</v>
      </c>
      <c r="K10" s="32" t="n">
        <v>0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75.06</v>
      </c>
      <c r="P10" s="32" t="n">
        <v>56.59</v>
      </c>
      <c r="Q10" s="32" t="n">
        <v>627.3099999999999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15.14</v>
      </c>
      <c r="U10" s="32" t="n">
        <v>142.31</v>
      </c>
      <c r="V10" s="32" t="n">
        <v>110.46</v>
      </c>
      <c r="W10" s="32" t="n">
        <v>29.72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15</t>
        </is>
      </c>
      <c r="CG10" s="31">
        <f>IF(CF10&gt;20,10,IF(CF10&gt;=10,5,2))</f>
        <v/>
      </c>
    </row>
    <row r="11">
      <c r="A11" s="31">
        <f>IF(B11=0,"",RANK(B11,$B$2:$B$87,0))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AURUM</t>
        </is>
      </c>
      <c r="D11" s="31" t="inlineStr">
        <is>
          <t>Aurum Proptech Ltd</t>
        </is>
      </c>
      <c r="E11" s="31" t="inlineStr">
        <is>
          <t>i.t</t>
        </is>
      </c>
      <c r="F11" s="31" t="inlineStr">
        <is>
          <t>IT Enabled Services</t>
        </is>
      </c>
      <c r="G11" s="31" t="inlineStr">
        <is>
          <t>smallcap</t>
        </is>
      </c>
      <c r="H11" s="32" t="n">
        <v>1642.67</v>
      </c>
      <c r="I11" s="32" t="n">
        <v>228.01</v>
      </c>
      <c r="J11" s="32" t="n">
        <v>-2.89</v>
      </c>
      <c r="K11" s="32" t="n">
        <v>0</v>
      </c>
      <c r="L11" s="31" t="n">
        <v>46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66.06</v>
      </c>
      <c r="P11" s="32" t="n">
        <v>41.42</v>
      </c>
      <c r="Q11" s="32" t="n">
        <v>185.15</v>
      </c>
      <c r="R11" s="31" t="inlineStr">
        <is>
          <t>Volume Spike &amp; Near 52W High Breakout</t>
        </is>
      </c>
      <c r="S11" s="31" t="inlineStr">
        <is>
          <t>Nifty IT</t>
        </is>
      </c>
      <c r="T11" s="32" t="n">
        <v>-18.64</v>
      </c>
      <c r="U11" s="32" t="n">
        <v>16.57</v>
      </c>
      <c r="V11" s="32" t="n">
        <v>43.27</v>
      </c>
      <c r="W11" s="32" t="n">
        <v>9.08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24</t>
        </is>
      </c>
      <c r="CG11" s="31">
        <f>IF(CF11&gt;20,10,IF(CF11&gt;=10,5,2))</f>
        <v/>
      </c>
    </row>
    <row r="12">
      <c r="A12" s="31">
        <f>IF(B12=0,"",RANK(B12,$B$2:$B$87,0))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TIPSMUSIC</t>
        </is>
      </c>
      <c r="D12" s="31" t="inlineStr">
        <is>
          <t>Tips Music Ltd</t>
        </is>
      </c>
      <c r="E12" s="31" t="inlineStr">
        <is>
          <t>media</t>
        </is>
      </c>
      <c r="F12" s="31" t="inlineStr">
        <is>
          <t>Music Licensing</t>
        </is>
      </c>
      <c r="G12" s="31" t="inlineStr">
        <is>
          <t>midcap</t>
        </is>
      </c>
      <c r="H12" s="32" t="n">
        <v>9114.389999999999</v>
      </c>
      <c r="I12" s="32" t="n">
        <v>713</v>
      </c>
      <c r="J12" s="32" t="n">
        <v>0.34</v>
      </c>
      <c r="K12" s="32" t="n">
        <v>0</v>
      </c>
      <c r="L12" s="31" t="n">
        <v>30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62.29</v>
      </c>
      <c r="P12" s="32" t="n">
        <v>42.77</v>
      </c>
      <c r="Q12" s="32" t="n">
        <v>546.04</v>
      </c>
      <c r="R12" s="31" t="inlineStr">
        <is>
          <t>Volume Spike &amp; Near 52W High Breakout</t>
        </is>
      </c>
      <c r="S12" s="31" t="inlineStr">
        <is>
          <t>Nifty IT</t>
        </is>
      </c>
      <c r="T12" s="32" t="n">
        <v>-18.64</v>
      </c>
      <c r="U12" s="32" t="n">
        <v>19.86</v>
      </c>
      <c r="V12" s="32" t="n">
        <v>47.31</v>
      </c>
      <c r="W12" s="32" t="n">
        <v>5.85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IF(B13=0,"",RANK(B13,$B$2:$B$87,0))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BHEL</t>
        </is>
      </c>
      <c r="D13" s="31" t="inlineStr">
        <is>
          <t>Bharat Heavy Electricals Ltd</t>
        </is>
      </c>
      <c r="E13" s="31" t="inlineStr">
        <is>
          <t>Industrials</t>
        </is>
      </c>
      <c r="F13" s="31" t="inlineStr">
        <is>
          <t>Capital Goods - Engineering Heavy</t>
        </is>
      </c>
      <c r="G13" s="31" t="inlineStr">
        <is>
          <t>largecap</t>
        </is>
      </c>
      <c r="H13" s="32" t="n">
        <v>144575.27</v>
      </c>
      <c r="I13" s="32" t="n">
        <v>415.2</v>
      </c>
      <c r="J13" s="32" t="n">
        <v>-0.55</v>
      </c>
      <c r="K13" s="32" t="n">
        <v>0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65.17</v>
      </c>
      <c r="P13" s="32" t="n">
        <v>46.77</v>
      </c>
      <c r="Q13" s="32" t="n">
        <v>336.2</v>
      </c>
      <c r="R13" s="31" t="inlineStr">
        <is>
          <t>Near 52W High Breakout</t>
        </is>
      </c>
      <c r="S13" s="31" t="inlineStr">
        <is>
          <t>Nifty 500</t>
        </is>
      </c>
      <c r="T13" s="32" t="n">
        <v>1.47</v>
      </c>
      <c r="U13" s="32" t="n">
        <v>73.02</v>
      </c>
      <c r="V13" s="32" t="n">
        <v>70.52</v>
      </c>
      <c r="W13" s="32" t="n">
        <v>17.26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17</t>
        </is>
      </c>
      <c r="CG13" s="31">
        <f>IF(CF13&gt;20,10,IF(CF13&gt;=10,5,2))</f>
        <v/>
      </c>
    </row>
    <row r="14">
      <c r="A14" s="31">
        <f>IF(B14=0,"",RANK(B14,$B$2:$B$87,0))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UNIPARTS</t>
        </is>
      </c>
      <c r="D14" s="31" t="inlineStr">
        <is>
          <t>Uniparts India Ltd</t>
        </is>
      </c>
      <c r="E14" s="31" t="inlineStr">
        <is>
          <t>industrials</t>
        </is>
      </c>
      <c r="F14" s="31" t="inlineStr">
        <is>
          <t>Castings, Forgings &amp; Fastners</t>
        </is>
      </c>
      <c r="G14" s="31" t="inlineStr">
        <is>
          <t>smallcap</t>
        </is>
      </c>
      <c r="H14" s="32" t="n">
        <v>3112.17</v>
      </c>
      <c r="I14" s="32" t="n">
        <v>689.4</v>
      </c>
      <c r="J14" s="32" t="n">
        <v>-0.3</v>
      </c>
      <c r="K14" s="32" t="n">
        <v>0</v>
      </c>
      <c r="L14" s="31" t="n">
        <v>85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69.70999999999999</v>
      </c>
      <c r="P14" s="32" t="n">
        <v>55.4</v>
      </c>
      <c r="Q14" s="32" t="n">
        <v>557.22</v>
      </c>
      <c r="R14" s="31" t="inlineStr">
        <is>
          <t>Near 52W High Breakout</t>
        </is>
      </c>
      <c r="S14" s="31" t="inlineStr">
        <is>
          <t>Nifty 50</t>
        </is>
      </c>
      <c r="T14" s="32" t="n">
        <v>-2.61</v>
      </c>
      <c r="U14" s="32" t="n">
        <v>101.41</v>
      </c>
      <c r="V14" s="32" t="n">
        <v>106.81</v>
      </c>
      <c r="W14" s="32" t="n">
        <v>24.15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IF(B15=0,"",RANK(B15,$B$2:$B$87,0))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KPL</t>
        </is>
      </c>
      <c r="D15" s="31" t="inlineStr">
        <is>
          <t>Kwality Pharmaceuticals Ltd</t>
        </is>
      </c>
      <c r="E15" s="31" t="inlineStr">
        <is>
          <t>Healthcare</t>
        </is>
      </c>
      <c r="F15" s="31" t="inlineStr">
        <is>
          <t>Pharma - Formulators</t>
        </is>
      </c>
      <c r="G15" s="31" t="inlineStr">
        <is>
          <t>smallcap</t>
        </is>
      </c>
      <c r="H15" s="32" t="n">
        <v>2830.47</v>
      </c>
      <c r="I15" s="32" t="n">
        <v>2727.85</v>
      </c>
      <c r="J15" s="32" t="n">
        <v>-1.32</v>
      </c>
      <c r="K15" s="32" t="n">
        <v>0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76.95</v>
      </c>
      <c r="P15" s="32" t="n">
        <v>63.44</v>
      </c>
      <c r="Q15" s="32" t="n">
        <v>1997.55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15.14</v>
      </c>
      <c r="U15" s="32" t="n">
        <v>130.07</v>
      </c>
      <c r="V15" s="32" t="n">
        <v>99.83</v>
      </c>
      <c r="W15" s="32" t="n">
        <v>35.36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IF(B16=0,"",RANK(B16,$B$2:$B$87,0))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28439.57</v>
      </c>
      <c r="I16" s="32" t="n">
        <v>211.5</v>
      </c>
      <c r="J16" s="32" t="n">
        <v>2.04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86.06999999999999</v>
      </c>
      <c r="P16" s="32" t="n">
        <v>65.62</v>
      </c>
      <c r="Q16" s="32" t="n">
        <v>167.52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-10.38</v>
      </c>
      <c r="U16" s="32" t="n">
        <v>614.12</v>
      </c>
      <c r="V16" s="32" t="n">
        <v>696.78</v>
      </c>
      <c r="W16" s="32" t="n">
        <v>68.77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IF(B17=0,"",RANK(B17,$B$2:$B$87,0))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PGHL</t>
        </is>
      </c>
      <c r="D17" s="31" t="inlineStr">
        <is>
          <t>Procter &amp; Gamble Health Ltd</t>
        </is>
      </c>
      <c r="E17" s="31" t="inlineStr">
        <is>
          <t>healthcare</t>
        </is>
      </c>
      <c r="F17" s="31" t="inlineStr">
        <is>
          <t>Pharma - MNC bulk Drugs</t>
        </is>
      </c>
      <c r="G17" s="31" t="inlineStr">
        <is>
          <t>midcap</t>
        </is>
      </c>
      <c r="H17" s="32" t="n">
        <v>11236.12</v>
      </c>
      <c r="I17" s="32" t="n">
        <v>6769</v>
      </c>
      <c r="J17" s="32" t="n">
        <v>-1.22</v>
      </c>
      <c r="K17" s="32" t="n">
        <v>0</v>
      </c>
      <c r="L17" s="31" t="n">
        <v>55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79.27</v>
      </c>
      <c r="P17" s="32" t="n">
        <v>64.98</v>
      </c>
      <c r="Q17" s="32" t="n">
        <v>5885.09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15.14</v>
      </c>
      <c r="U17" s="32" t="n">
        <v>21.04</v>
      </c>
      <c r="V17" s="32" t="n">
        <v>5.13</v>
      </c>
      <c r="W17" s="32" t="n">
        <v>11.22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IF(B18=0,"",RANK(B18,$B$2:$B$87,0))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ACCENTMIC</t>
        </is>
      </c>
      <c r="D18" s="31" t="inlineStr">
        <is>
          <t>Accent Microcell Ltd</t>
        </is>
      </c>
      <c r="E18" s="31" t="inlineStr">
        <is>
          <t>unknown</t>
        </is>
      </c>
      <c r="F18" s="31" t="inlineStr">
        <is>
          <t>Pharma - Formulators</t>
        </is>
      </c>
      <c r="G18" s="31" t="inlineStr">
        <is>
          <t>smallcap</t>
        </is>
      </c>
      <c r="H18" s="32" t="n">
        <v>1223.44</v>
      </c>
      <c r="I18" s="32" t="n">
        <v>510</v>
      </c>
      <c r="J18" s="32" t="n">
        <v>-3.33</v>
      </c>
      <c r="K18" s="32" t="n">
        <v>0</v>
      </c>
      <c r="L18" s="31" t="n">
        <v>77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75.45999999999999</v>
      </c>
      <c r="P18" s="32" t="n">
        <v>63.22</v>
      </c>
      <c r="Q18" s="32" t="n">
        <v>423.06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-2.61</v>
      </c>
      <c r="U18" s="32" t="n">
        <v>93.56</v>
      </c>
      <c r="V18" s="32" t="n">
        <v>98.75</v>
      </c>
      <c r="W18" s="32" t="n">
        <v>19.18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23</t>
        </is>
      </c>
      <c r="CG18" s="31">
        <f>IF(CF18&gt;20,10,IF(CF18&gt;=10,5,2))</f>
        <v/>
      </c>
    </row>
    <row r="19">
      <c r="A19" s="31">
        <f>IF(B19=0,"",RANK(B19,$B$2:$B$87,0))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THANGAMAYL</t>
        </is>
      </c>
      <c r="D19" s="31" t="inlineStr">
        <is>
          <t>Thangamayil Jewellery Ltd</t>
        </is>
      </c>
      <c r="E19" s="31" t="inlineStr">
        <is>
          <t>consumer discretionary</t>
        </is>
      </c>
      <c r="F19" s="31" t="inlineStr">
        <is>
          <t>Diamond, Gems &amp; Jewellery</t>
        </is>
      </c>
      <c r="G19" s="31" t="inlineStr">
        <is>
          <t>largecap</t>
        </is>
      </c>
      <c r="H19" s="32" t="n">
        <v>20063.44</v>
      </c>
      <c r="I19" s="32" t="n">
        <v>6455</v>
      </c>
      <c r="J19" s="32" t="n">
        <v>1.09</v>
      </c>
      <c r="K19" s="32" t="n">
        <v>0</v>
      </c>
      <c r="L19" s="31" t="n">
        <v>97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75.95999999999999</v>
      </c>
      <c r="P19" s="32" t="n">
        <v>49.01</v>
      </c>
      <c r="Q19" s="32" t="n">
        <v>4923.51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-2.61</v>
      </c>
      <c r="U19" s="32" t="n">
        <v>251.93</v>
      </c>
      <c r="V19" s="32" t="n">
        <v>261.38</v>
      </c>
      <c r="W19" s="32" t="n">
        <v>46.47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IF(B20=0,"",RANK(B20,$B$2:$B$87,0))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SUNRAKSHAK</t>
        </is>
      </c>
      <c r="D20" s="31" t="inlineStr">
        <is>
          <t>Sunrakshakk Industries India Ltd</t>
        </is>
      </c>
      <c r="E20" s="31" t="inlineStr">
        <is>
          <t>Consumer Cyclical</t>
        </is>
      </c>
      <c r="F20" s="31" t="inlineStr">
        <is>
          <t>Textiles - Processing/Texturising</t>
        </is>
      </c>
      <c r="G20" s="31" t="inlineStr">
        <is>
          <t>smallcap</t>
        </is>
      </c>
      <c r="H20" s="32" t="n">
        <v>1145.7</v>
      </c>
      <c r="I20" s="32" t="n">
        <v>369.5</v>
      </c>
      <c r="J20" s="32" t="n">
        <v>3.4</v>
      </c>
      <c r="K20" s="32" t="n">
        <v>0</v>
      </c>
      <c r="L20" s="31" t="n">
        <v>71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70.81</v>
      </c>
      <c r="P20" s="32" t="n">
        <v>46.38</v>
      </c>
      <c r="Q20" s="32" t="n">
        <v>288.25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-2.61</v>
      </c>
      <c r="U20" s="32" t="n">
        <v>46.17</v>
      </c>
      <c r="V20" s="32" t="n">
        <v>50.1</v>
      </c>
      <c r="W20" s="32" t="n">
        <v>15.84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Negative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IF(B21=0,"",RANK(B21,$B$2:$B$87,0))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ATHERENERG</t>
        </is>
      </c>
      <c r="D21" s="31" t="inlineStr">
        <is>
          <t>Ather Energy Ltd</t>
        </is>
      </c>
      <c r="E21" s="31" t="inlineStr">
        <is>
          <t>auto</t>
        </is>
      </c>
      <c r="F21" s="31" t="inlineStr">
        <is>
          <t>Auto - 2 &amp; 3 Wheelers</t>
        </is>
      </c>
      <c r="G21" s="31" t="inlineStr">
        <is>
          <t>largecap</t>
        </is>
      </c>
      <c r="H21" s="32" t="n">
        <v>49458.49</v>
      </c>
      <c r="I21" s="32" t="n">
        <v>1290.3</v>
      </c>
      <c r="J21" s="32" t="n">
        <v>-0.49</v>
      </c>
      <c r="K21" s="32" t="n">
        <v>0</v>
      </c>
      <c r="L21" s="31" t="n">
        <v>98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79.73999999999999</v>
      </c>
      <c r="P21" s="32" t="n">
        <v>55.67</v>
      </c>
      <c r="Q21" s="32" t="n">
        <v>995.46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14.71</v>
      </c>
      <c r="U21" s="32" t="n">
        <v>285.4</v>
      </c>
      <c r="V21" s="32" t="n">
        <v>235.97</v>
      </c>
      <c r="W21" s="32" t="n">
        <v>46.64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Negative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17</t>
        </is>
      </c>
      <c r="CG21" s="31">
        <f>IF(CF21&gt;20,10,IF(CF21&gt;=10,5,2))</f>
        <v/>
      </c>
    </row>
    <row r="22">
      <c r="A22" s="31">
        <f>IF(B22=0,"",RANK(B22,$B$2:$B$87,0))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GRANULES</t>
        </is>
      </c>
      <c r="D22" s="31" t="inlineStr">
        <is>
          <t>Granules India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largecap</t>
        </is>
      </c>
      <c r="H22" s="32" t="n">
        <v>21707.01</v>
      </c>
      <c r="I22" s="32" t="n">
        <v>876</v>
      </c>
      <c r="J22" s="32" t="n">
        <v>-0.01</v>
      </c>
      <c r="K22" s="32" t="n">
        <v>0</v>
      </c>
      <c r="L22" s="31" t="n">
        <v>78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75.13</v>
      </c>
      <c r="P22" s="32" t="n">
        <v>50.36</v>
      </c>
      <c r="Q22" s="32" t="n">
        <v>748.5599999999999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15.14</v>
      </c>
      <c r="U22" s="32" t="n">
        <v>87.25</v>
      </c>
      <c r="V22" s="32" t="n">
        <v>62.63</v>
      </c>
      <c r="W22" s="32" t="n">
        <v>19.37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IF(B23=0,"",RANK(B23,$B$2:$B$87,0))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VADILALIND</t>
        </is>
      </c>
      <c r="D23" s="31" t="inlineStr">
        <is>
          <t>Vadilal Industries Ltd</t>
        </is>
      </c>
      <c r="E23" s="31" t="inlineStr">
        <is>
          <t>fmcg</t>
        </is>
      </c>
      <c r="F23" s="31" t="inlineStr">
        <is>
          <t>FMCG - Dairy Products</t>
        </is>
      </c>
      <c r="G23" s="31" t="inlineStr">
        <is>
          <t>smallcap</t>
        </is>
      </c>
      <c r="H23" s="32" t="n">
        <v>4874.79</v>
      </c>
      <c r="I23" s="32" t="n">
        <v>6782</v>
      </c>
      <c r="J23" s="32" t="n">
        <v>-0.13</v>
      </c>
      <c r="K23" s="32" t="n">
        <v>0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73.36</v>
      </c>
      <c r="P23" s="32" t="n">
        <v>29.27</v>
      </c>
      <c r="Q23" s="32" t="n">
        <v>5465.08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-10.38</v>
      </c>
      <c r="U23" s="32" t="n">
        <v>24.54</v>
      </c>
      <c r="V23" s="32" t="n">
        <v>38.96</v>
      </c>
      <c r="W23" s="32" t="n">
        <v>18.12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IF(B24=0,"",RANK(B24,$B$2:$B$87,0))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THYROCARE</t>
        </is>
      </c>
      <c r="D24" s="31" t="inlineStr">
        <is>
          <t>Thyrocare Technologies Ltd</t>
        </is>
      </c>
      <c r="E24" s="31" t="inlineStr">
        <is>
          <t>healthcare</t>
        </is>
      </c>
      <c r="F24" s="31" t="inlineStr">
        <is>
          <t>Diagnostics</t>
        </is>
      </c>
      <c r="G24" s="31" t="inlineStr">
        <is>
          <t>midcap</t>
        </is>
      </c>
      <c r="H24" s="32" t="n">
        <v>8897.34</v>
      </c>
      <c r="I24" s="32" t="n">
        <v>559</v>
      </c>
      <c r="J24" s="32" t="n">
        <v>0.63</v>
      </c>
      <c r="K24" s="32" t="n">
        <v>0</v>
      </c>
      <c r="L24" s="31" t="n">
        <v>71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67.12</v>
      </c>
      <c r="P24" s="32" t="n">
        <v>47.8</v>
      </c>
      <c r="Q24" s="32" t="n">
        <v>427.94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15.14</v>
      </c>
      <c r="U24" s="32" t="n">
        <v>31.09</v>
      </c>
      <c r="V24" s="32" t="n">
        <v>13.86</v>
      </c>
      <c r="W24" s="32" t="n">
        <v>15.94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15</t>
        </is>
      </c>
      <c r="CG24" s="31">
        <f>IF(CF24&gt;20,10,IF(CF24&gt;=10,5,2))</f>
        <v/>
      </c>
    </row>
    <row r="25">
      <c r="A25" s="31">
        <f>IF(B25=0,"",RANK(B25,$B$2:$B$87,0))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CEMPRO</t>
        </is>
      </c>
      <c r="D25" s="31" t="inlineStr">
        <is>
          <t>Cemindia Projects Ltd</t>
        </is>
      </c>
      <c r="E25" s="31" t="inlineStr">
        <is>
          <t>realty</t>
        </is>
      </c>
      <c r="F25" s="31" t="inlineStr">
        <is>
          <t>Infra - Construction &amp; Contracting</t>
        </is>
      </c>
      <c r="G25" s="31" t="inlineStr">
        <is>
          <t>largecap</t>
        </is>
      </c>
      <c r="H25" s="32" t="n">
        <v>28121.63</v>
      </c>
      <c r="I25" s="32" t="n">
        <v>1637</v>
      </c>
      <c r="J25" s="32" t="n">
        <v>0.61</v>
      </c>
      <c r="K25" s="32" t="n">
        <v>0</v>
      </c>
      <c r="L25" s="31" t="n">
        <v>99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84.86</v>
      </c>
      <c r="P25" s="32" t="n">
        <v>56.92</v>
      </c>
      <c r="Q25" s="32" t="n">
        <v>1312.69</v>
      </c>
      <c r="R25" s="31" t="inlineStr">
        <is>
          <t>Near 52W High Breakout</t>
        </is>
      </c>
      <c r="S25" s="31" t="inlineStr">
        <is>
          <t>Nifty Realty</t>
        </is>
      </c>
      <c r="T25" s="32" t="n">
        <v>-2.45</v>
      </c>
      <c r="U25" s="32" t="n">
        <v>113.76</v>
      </c>
      <c r="V25" s="32" t="n">
        <v>119.12</v>
      </c>
      <c r="W25" s="32" t="n">
        <v>58.56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IF(B26=0,"",RANK(B26,$B$2:$B$87,0))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FILATEX</t>
        </is>
      </c>
      <c r="D26" s="31" t="inlineStr">
        <is>
          <t>Filatex India Ltd</t>
        </is>
      </c>
      <c r="E26" s="31" t="inlineStr">
        <is>
          <t>textiles</t>
        </is>
      </c>
      <c r="F26" s="31" t="inlineStr">
        <is>
          <t>Textiles - Manmade Fibre - PFY/PSF</t>
        </is>
      </c>
      <c r="G26" s="31" t="inlineStr">
        <is>
          <t>smallcap</t>
        </is>
      </c>
      <c r="H26" s="32" t="n">
        <v>3159.48</v>
      </c>
      <c r="I26" s="32" t="n">
        <v>71.15000000000001</v>
      </c>
      <c r="J26" s="32" t="n">
        <v>-1.82</v>
      </c>
      <c r="K26" s="32" t="n">
        <v>0</v>
      </c>
      <c r="L26" s="31" t="n">
        <v>82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75.16</v>
      </c>
      <c r="P26" s="32" t="n">
        <v>24.3</v>
      </c>
      <c r="Q26" s="32" t="n">
        <v>54.99</v>
      </c>
      <c r="R26" s="31" t="inlineStr">
        <is>
          <t>Near 52W High Breakout</t>
        </is>
      </c>
      <c r="S26" s="31" t="inlineStr">
        <is>
          <t>Nifty 50</t>
        </is>
      </c>
      <c r="T26" s="32" t="n">
        <v>-2.61</v>
      </c>
      <c r="U26" s="32" t="n">
        <v>20.58</v>
      </c>
      <c r="V26" s="32" t="n">
        <v>23.82</v>
      </c>
      <c r="W26" s="32" t="n">
        <v>22.64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Between 12 to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IF(B27=0,"",RANK(B27,$B$2:$B$87,0))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ADOR</t>
        </is>
      </c>
      <c r="D27" s="31" t="inlineStr">
        <is>
          <t>Ador Welding Ltd</t>
        </is>
      </c>
      <c r="E27" s="31" t="inlineStr">
        <is>
          <t>industrials</t>
        </is>
      </c>
      <c r="F27" s="31" t="inlineStr">
        <is>
          <t>Welding Equipments</t>
        </is>
      </c>
      <c r="G27" s="31" t="inlineStr">
        <is>
          <t>smallcap</t>
        </is>
      </c>
      <c r="H27" s="32" t="n">
        <v>2740.94</v>
      </c>
      <c r="I27" s="32" t="n">
        <v>1575</v>
      </c>
      <c r="J27" s="32" t="n">
        <v>8.23</v>
      </c>
      <c r="K27" s="32" t="n">
        <v>0</v>
      </c>
      <c r="L27" s="31" t="n">
        <v>81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82.20999999999999</v>
      </c>
      <c r="P27" s="32" t="n">
        <v>38.91</v>
      </c>
      <c r="Q27" s="32" t="n">
        <v>1219.19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-2.61</v>
      </c>
      <c r="U27" s="32" t="n">
        <v>46.83</v>
      </c>
      <c r="V27" s="32" t="n">
        <v>50.77</v>
      </c>
      <c r="W27" s="32" t="n">
        <v>21.49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17</t>
        </is>
      </c>
      <c r="CG27" s="31">
        <f>IF(CF27&gt;20,10,IF(CF27&gt;=10,5,2))</f>
        <v/>
      </c>
    </row>
    <row r="28">
      <c r="A28" s="31">
        <f>IF(B28=0,"",RANK(B28,$B$2:$B$87,0))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GHCLTEXTIL</t>
        </is>
      </c>
      <c r="D28" s="34" t="inlineStr">
        <is>
          <t>GHCL Textiles Ltd</t>
        </is>
      </c>
      <c r="E28" s="31" t="inlineStr">
        <is>
          <t>textiles</t>
        </is>
      </c>
      <c r="F28" s="31" t="inlineStr">
        <is>
          <t>Textiles - General</t>
        </is>
      </c>
      <c r="G28" s="31" t="inlineStr">
        <is>
          <t>smallcap</t>
        </is>
      </c>
      <c r="H28" s="32" t="n">
        <v>1123.13</v>
      </c>
      <c r="I28" s="32" t="n">
        <v>117.5</v>
      </c>
      <c r="J28" s="32" t="n">
        <v>2.92</v>
      </c>
      <c r="K28" s="32" t="n">
        <v>0</v>
      </c>
      <c r="L28" s="31" t="n">
        <v>65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72.54000000000001</v>
      </c>
      <c r="P28" s="32" t="n">
        <v>24.62</v>
      </c>
      <c r="Q28" s="32" t="n">
        <v>91.16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-2.61</v>
      </c>
      <c r="U28" s="32" t="n">
        <v>28.63</v>
      </c>
      <c r="V28" s="32" t="n">
        <v>32.09</v>
      </c>
      <c r="W28" s="32" t="n">
        <v>14.52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IF(B29=0,"",RANK(B29,$B$2:$B$87,0))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KMCSHIL</t>
        </is>
      </c>
      <c r="D29" s="31" t="inlineStr">
        <is>
          <t>KMC Speciality Hospitals (India) Ltd</t>
        </is>
      </c>
      <c r="E29" s="31" t="inlineStr">
        <is>
          <t>Healthcare</t>
        </is>
      </c>
      <c r="F29" s="31" t="inlineStr">
        <is>
          <t>Hospitals</t>
        </is>
      </c>
      <c r="G29" s="31" t="inlineStr">
        <is>
          <t>smallcap</t>
        </is>
      </c>
      <c r="H29" s="32" t="n">
        <v>2181.26</v>
      </c>
      <c r="I29" s="32" t="n">
        <v>133.75</v>
      </c>
      <c r="J29" s="32" t="n">
        <v>0</v>
      </c>
      <c r="K29" s="32" t="n">
        <v>0</v>
      </c>
      <c r="L29" s="31" t="n">
        <v>89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81.95999999999999</v>
      </c>
      <c r="P29" s="32" t="n">
        <v>66.92</v>
      </c>
      <c r="Q29" s="32" t="n">
        <v>106.46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15.14</v>
      </c>
      <c r="U29" s="32" t="n">
        <v>106.63</v>
      </c>
      <c r="V29" s="32" t="n">
        <v>79.47</v>
      </c>
      <c r="W29" s="32" t="n">
        <v>26.91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IF(B30=0,"",RANK(B30,$B$2:$B$87,0))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HESTERBIO</t>
        </is>
      </c>
      <c r="D30" s="31" t="inlineStr">
        <is>
          <t>Hester Biosciences Ltd</t>
        </is>
      </c>
      <c r="E30" s="31" t="inlineStr">
        <is>
          <t>healthcare</t>
        </is>
      </c>
      <c r="F30" s="31" t="inlineStr">
        <is>
          <t>Pharma - Animal</t>
        </is>
      </c>
      <c r="G30" s="31" t="inlineStr">
        <is>
          <t>smallcap</t>
        </is>
      </c>
      <c r="H30" s="32" t="n">
        <v>2068.87</v>
      </c>
      <c r="I30" s="32" t="n">
        <v>2432</v>
      </c>
      <c r="J30" s="32" t="n">
        <v>-3.62</v>
      </c>
      <c r="K30" s="32" t="n">
        <v>0</v>
      </c>
      <c r="L30" s="31" t="n">
        <v>82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76.16</v>
      </c>
      <c r="P30" s="32" t="n">
        <v>49.25</v>
      </c>
      <c r="Q30" s="32" t="n">
        <v>1871.31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15.14</v>
      </c>
      <c r="U30" s="32" t="n">
        <v>36.91</v>
      </c>
      <c r="V30" s="32" t="n">
        <v>18.91</v>
      </c>
      <c r="W30" s="32" t="n">
        <v>22.72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17</t>
        </is>
      </c>
      <c r="CG30" s="31">
        <f>IF(CF30&gt;20,10,IF(CF30&gt;=10,5,2))</f>
        <v/>
      </c>
    </row>
    <row r="31">
      <c r="A31" s="31">
        <f>IF(B31=0,"",RANK(B31,$B$2:$B$87,0))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PICCADIL</t>
        </is>
      </c>
      <c r="D31" s="34" t="inlineStr">
        <is>
          <t>Piccadily Agro Industries Ltd</t>
        </is>
      </c>
      <c r="E31" s="31" t="inlineStr">
        <is>
          <t>fmcg</t>
        </is>
      </c>
      <c r="F31" s="31" t="inlineStr">
        <is>
          <t>Alcoholic Beverages</t>
        </is>
      </c>
      <c r="G31" s="31" t="inlineStr">
        <is>
          <t>midcap</t>
        </is>
      </c>
      <c r="H31" s="32" t="n">
        <v>7396.85</v>
      </c>
      <c r="I31" s="32" t="n">
        <v>750.4</v>
      </c>
      <c r="J31" s="32" t="n">
        <v>-0.25</v>
      </c>
      <c r="K31" s="32" t="n">
        <v>0</v>
      </c>
      <c r="L31" s="31" t="n">
        <v>44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72</v>
      </c>
      <c r="P31" s="32" t="n">
        <v>41.19</v>
      </c>
      <c r="Q31" s="32" t="n">
        <v>594.6900000000001</v>
      </c>
      <c r="R31" s="31" t="inlineStr">
        <is>
          <t>Near 52W High Breakout</t>
        </is>
      </c>
      <c r="S31" s="31" t="inlineStr">
        <is>
          <t>Nifty FMCG</t>
        </is>
      </c>
      <c r="T31" s="32" t="n">
        <v>-10.38</v>
      </c>
      <c r="U31" s="32" t="n">
        <v>24</v>
      </c>
      <c r="V31" s="32" t="n">
        <v>38.36</v>
      </c>
      <c r="W31" s="32" t="n">
        <v>8.85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Less than 12%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IF(B32=0,"",RANK(B32,$B$2:$B$87,0))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INDNIPPON</t>
        </is>
      </c>
      <c r="D32" s="31" t="inlineStr">
        <is>
          <t>India Nippon Electricals Ltd</t>
        </is>
      </c>
      <c r="E32" s="31" t="inlineStr">
        <is>
          <t>auto</t>
        </is>
      </c>
      <c r="F32" s="31" t="inlineStr">
        <is>
          <t>Auto Ancillaries - Engine Parts</t>
        </is>
      </c>
      <c r="G32" s="31" t="inlineStr">
        <is>
          <t>smallcap</t>
        </is>
      </c>
      <c r="H32" s="32" t="n">
        <v>2825.42</v>
      </c>
      <c r="I32" s="32" t="n">
        <v>1249</v>
      </c>
      <c r="J32" s="32" t="n">
        <v>3.27</v>
      </c>
      <c r="K32" s="32" t="n">
        <v>0</v>
      </c>
      <c r="L32" s="31" t="n">
        <v>87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78.81</v>
      </c>
      <c r="P32" s="32" t="n">
        <v>32.02</v>
      </c>
      <c r="Q32" s="32" t="n">
        <v>1006.59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14.71</v>
      </c>
      <c r="U32" s="32" t="n">
        <v>63.38</v>
      </c>
      <c r="V32" s="32" t="n">
        <v>42.42</v>
      </c>
      <c r="W32" s="32" t="n">
        <v>26.1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IF(B33=0,"",RANK(B33,$B$2:$B$87,0))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SSWL</t>
        </is>
      </c>
      <c r="D33" s="31" t="inlineStr">
        <is>
          <t>Steel Strips Wheels Ltd</t>
        </is>
      </c>
      <c r="E33" s="31" t="inlineStr">
        <is>
          <t>auto</t>
        </is>
      </c>
      <c r="F33" s="31" t="inlineStr">
        <is>
          <t>Auto Ancillaries - Wheels</t>
        </is>
      </c>
      <c r="G33" s="31" t="inlineStr">
        <is>
          <t>smallcap</t>
        </is>
      </c>
      <c r="H33" s="32" t="n">
        <v>4390.84</v>
      </c>
      <c r="I33" s="32" t="n">
        <v>279.35</v>
      </c>
      <c r="J33" s="32" t="n">
        <v>1.09</v>
      </c>
      <c r="K33" s="32" t="n">
        <v>0</v>
      </c>
      <c r="L33" s="31" t="n">
        <v>57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70.90000000000001</v>
      </c>
      <c r="P33" s="32" t="n">
        <v>16.52</v>
      </c>
      <c r="Q33" s="32" t="n">
        <v>217.48</v>
      </c>
      <c r="R33" s="31" t="inlineStr">
        <is>
          <t>Near 52W High Breakout</t>
        </is>
      </c>
      <c r="S33" s="31" t="inlineStr">
        <is>
          <t>Nifty Auto</t>
        </is>
      </c>
      <c r="T33" s="32" t="n">
        <v>14.71</v>
      </c>
      <c r="U33" s="32" t="n">
        <v>16.62</v>
      </c>
      <c r="V33" s="32" t="n">
        <v>1.66</v>
      </c>
      <c r="W33" s="32" t="n">
        <v>11.58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0 to 20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24</t>
        </is>
      </c>
      <c r="CG33" s="31">
        <f>IF(CF33&gt;20,10,IF(CF33&gt;=10,5,2))</f>
        <v/>
      </c>
    </row>
    <row r="34">
      <c r="A34" s="31">
        <f>IF(B34=0,"",RANK(B34,$B$2:$B$87,0))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TATVA</t>
        </is>
      </c>
      <c r="D34" s="31" t="inlineStr">
        <is>
          <t>Tatva Chintan Pharma Chem Ltd</t>
        </is>
      </c>
      <c r="E34" s="31" t="inlineStr">
        <is>
          <t>chemicals</t>
        </is>
      </c>
      <c r="F34" s="31" t="inlineStr">
        <is>
          <t>Speciality Chemicals</t>
        </is>
      </c>
      <c r="G34" s="31" t="inlineStr">
        <is>
          <t>smallcap</t>
        </is>
      </c>
      <c r="H34" s="32" t="n">
        <v>3941.56</v>
      </c>
      <c r="I34" s="32" t="n">
        <v>1685</v>
      </c>
      <c r="J34" s="32" t="n">
        <v>-1.67</v>
      </c>
      <c r="K34" s="32" t="n">
        <v>0</v>
      </c>
      <c r="L34" s="31" t="n">
        <v>70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72.97</v>
      </c>
      <c r="P34" s="32" t="n">
        <v>20.34</v>
      </c>
      <c r="Q34" s="32" t="n">
        <v>1264.5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-2.61</v>
      </c>
      <c r="U34" s="32" t="n">
        <v>47.21</v>
      </c>
      <c r="V34" s="32" t="n">
        <v>51.16</v>
      </c>
      <c r="W34" s="32" t="n">
        <v>15.75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IF(B35=0,"",RANK(B35,$B$2:$B$87,0))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KMEW</t>
        </is>
      </c>
      <c r="D35" s="31" t="inlineStr">
        <is>
          <t>Knowledge Marine &amp; Engineering Works Ltd</t>
        </is>
      </c>
      <c r="E35" s="31" t="inlineStr">
        <is>
          <t>transportation</t>
        </is>
      </c>
      <c r="F35" s="31" t="inlineStr">
        <is>
          <t>Shipping</t>
        </is>
      </c>
      <c r="G35" s="31" t="inlineStr">
        <is>
          <t>midcap</t>
        </is>
      </c>
      <c r="H35" s="32" t="n">
        <v>6048.03</v>
      </c>
      <c r="I35" s="32" t="n">
        <v>2458.55</v>
      </c>
      <c r="J35" s="32" t="n">
        <v>0.16</v>
      </c>
      <c r="K35" s="32" t="n">
        <v>0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71.37</v>
      </c>
      <c r="P35" s="32" t="n">
        <v>45.6</v>
      </c>
      <c r="Q35" s="32" t="n">
        <v>1777.53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-2.61</v>
      </c>
      <c r="U35" s="32" t="n">
        <v>186.04</v>
      </c>
      <c r="V35" s="32" t="n">
        <v>193.72</v>
      </c>
      <c r="W35" s="32" t="n">
        <v>34.06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Negative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18</t>
        </is>
      </c>
      <c r="CG35" s="31">
        <f>IF(CF35&gt;20,10,IF(CF35&gt;=10,5,2))</f>
        <v/>
      </c>
    </row>
    <row r="36">
      <c r="A36" s="31">
        <f>IF(B36=0,"",RANK(B36,$B$2:$B$87,0))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RAIN</t>
        </is>
      </c>
      <c r="D36" s="31" t="inlineStr">
        <is>
          <t>Rain Industries Ltd</t>
        </is>
      </c>
      <c r="E36" s="31" t="inlineStr">
        <is>
          <t>miscellaneous</t>
        </is>
      </c>
      <c r="F36" s="31" t="inlineStr">
        <is>
          <t>Cement</t>
        </is>
      </c>
      <c r="G36" s="31" t="inlineStr">
        <is>
          <t>midcap</t>
        </is>
      </c>
      <c r="H36" s="32" t="n">
        <v>7468.56</v>
      </c>
      <c r="I36" s="32" t="n">
        <v>222.05</v>
      </c>
      <c r="J36" s="32" t="n">
        <v>4.73</v>
      </c>
      <c r="K36" s="32" t="n">
        <v>0</v>
      </c>
      <c r="L36" s="31" t="n">
        <v>88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75.37</v>
      </c>
      <c r="P36" s="32" t="n">
        <v>40.46</v>
      </c>
      <c r="Q36" s="32" t="n">
        <v>170.67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-2.61</v>
      </c>
      <c r="U36" s="32" t="n">
        <v>44.81</v>
      </c>
      <c r="V36" s="32" t="n">
        <v>48.7</v>
      </c>
      <c r="W36" s="32" t="n">
        <v>26.34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More than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IF(B37=0,"",RANK(B37,$B$2:$B$87,0))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SAREGAMA</t>
        </is>
      </c>
      <c r="D37" s="34" t="inlineStr">
        <is>
          <t>Saregama India Ltd</t>
        </is>
      </c>
      <c r="E37" s="31" t="inlineStr">
        <is>
          <t>media</t>
        </is>
      </c>
      <c r="F37" s="31" t="inlineStr">
        <is>
          <t>Music Licensing</t>
        </is>
      </c>
      <c r="G37" s="31" t="inlineStr">
        <is>
          <t>midcap</t>
        </is>
      </c>
      <c r="H37" s="32" t="n">
        <v>9968.25</v>
      </c>
      <c r="I37" s="32" t="n">
        <v>517</v>
      </c>
      <c r="J37" s="32" t="n">
        <v>0.55</v>
      </c>
      <c r="K37" s="32" t="n">
        <v>0</v>
      </c>
      <c r="L37" s="31" t="n">
        <v>64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72.73999999999999</v>
      </c>
      <c r="P37" s="32" t="n">
        <v>40.82</v>
      </c>
      <c r="Q37" s="32" t="n">
        <v>409.54</v>
      </c>
      <c r="R37" s="31" t="inlineStr">
        <is>
          <t>Near 52W High Breakout</t>
        </is>
      </c>
      <c r="S37" s="31" t="inlineStr">
        <is>
          <t>Nifty IT</t>
        </is>
      </c>
      <c r="T37" s="32" t="n">
        <v>-18.64</v>
      </c>
      <c r="U37" s="32" t="n">
        <v>7.44</v>
      </c>
      <c r="V37" s="32" t="n">
        <v>32.06</v>
      </c>
      <c r="W37" s="32" t="n">
        <v>13.92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15</t>
        </is>
      </c>
      <c r="CG37" s="31">
        <f>IF(CF37&gt;20,10,IF(CF37&gt;=10,5,2))</f>
        <v/>
      </c>
    </row>
    <row r="38">
      <c r="A38" s="31">
        <f>IF(B38=0,"",RANK(B38,$B$2:$B$87,0))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SKYGOLD</t>
        </is>
      </c>
      <c r="D38" s="31" t="inlineStr">
        <is>
          <t>Sky Gold &amp; Diamonds Ltd</t>
        </is>
      </c>
      <c r="E38" s="31" t="inlineStr">
        <is>
          <t>consumer discretionary</t>
        </is>
      </c>
      <c r="F38" s="31" t="inlineStr">
        <is>
          <t>Diamond, Gems &amp; Jewellery</t>
        </is>
      </c>
      <c r="G38" s="31" t="inlineStr">
        <is>
          <t>midcap</t>
        </is>
      </c>
      <c r="H38" s="32" t="n">
        <v>10158.18</v>
      </c>
      <c r="I38" s="32" t="n">
        <v>655.9</v>
      </c>
      <c r="J38" s="32" t="n">
        <v>-0.37</v>
      </c>
      <c r="K38" s="32" t="n">
        <v>0</v>
      </c>
      <c r="L38" s="31" t="n">
        <v>92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74.66</v>
      </c>
      <c r="P38" s="32" t="n">
        <v>55.57</v>
      </c>
      <c r="Q38" s="32" t="n">
        <v>489.6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-2.61</v>
      </c>
      <c r="U38" s="32" t="n">
        <v>117.3</v>
      </c>
      <c r="V38" s="32" t="n">
        <v>123.13</v>
      </c>
      <c r="W38" s="32" t="n">
        <v>31.67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Negative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26</t>
        </is>
      </c>
      <c r="CG38" s="31">
        <f>IF(CF38&gt;20,10,IF(CF38&gt;=10,5,2))</f>
        <v/>
      </c>
    </row>
    <row r="39">
      <c r="A39" s="31">
        <f>IF(B39=0,"",RANK(B39,$B$2:$B$87,0))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BLUESTONE</t>
        </is>
      </c>
      <c r="D39" s="34" t="inlineStr">
        <is>
          <t>Bluestone Jewellery &amp; Lifestyle Ltd</t>
        </is>
      </c>
      <c r="E39" s="31" t="inlineStr">
        <is>
          <t>Consumer Cyclical</t>
        </is>
      </c>
      <c r="F39" s="31" t="inlineStr">
        <is>
          <t>Diamond, Gems &amp; Jewellery</t>
        </is>
      </c>
      <c r="G39" s="31" t="inlineStr">
        <is>
          <t>midcap</t>
        </is>
      </c>
      <c r="H39" s="32" t="n">
        <v>11162.67</v>
      </c>
      <c r="I39" s="32" t="n">
        <v>732.45</v>
      </c>
      <c r="J39" s="32" t="n">
        <v>20</v>
      </c>
      <c r="K39" s="32" t="n">
        <v>0</v>
      </c>
      <c r="L39" s="31" t="n">
        <v>75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71.70999999999999</v>
      </c>
      <c r="P39" s="32" t="n">
        <v>20.61</v>
      </c>
      <c r="Q39" s="32" t="n">
        <v>542.61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-2.74</v>
      </c>
      <c r="U39" s="32" t="n">
        <v>33.37</v>
      </c>
      <c r="V39" s="32" t="n">
        <v>37.13</v>
      </c>
      <c r="W39" s="32" t="n">
        <v>17.3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IF(B40=0,"",RANK(B40,$B$2:$B$87,0))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WELCORP</t>
        </is>
      </c>
      <c r="D40" s="31" t="inlineStr">
        <is>
          <t>Welspun Corp Ltd</t>
        </is>
      </c>
      <c r="E40" s="31" t="inlineStr">
        <is>
          <t>industrials</t>
        </is>
      </c>
      <c r="F40" s="31" t="inlineStr">
        <is>
          <t>DI Pipes/Saw Pipes</t>
        </is>
      </c>
      <c r="G40" s="31" t="inlineStr">
        <is>
          <t>largecap</t>
        </is>
      </c>
      <c r="H40" s="32" t="n">
        <v>43077.01</v>
      </c>
      <c r="I40" s="32" t="n">
        <v>1633</v>
      </c>
      <c r="J40" s="32" t="n">
        <v>1.06</v>
      </c>
      <c r="K40" s="32" t="n">
        <v>0</v>
      </c>
      <c r="L40" s="31" t="n">
        <v>85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84.20999999999999</v>
      </c>
      <c r="P40" s="32" t="n">
        <v>68.84999999999999</v>
      </c>
      <c r="Q40" s="32" t="n">
        <v>1335.3</v>
      </c>
      <c r="R40" s="31" t="inlineStr">
        <is>
          <t>Near 52W High Breakout</t>
        </is>
      </c>
      <c r="S40" s="31" t="inlineStr">
        <is>
          <t>Nifty Metal</t>
        </is>
      </c>
      <c r="T40" s="32" t="n">
        <v>33.93</v>
      </c>
      <c r="U40" s="32" t="n">
        <v>84.93000000000001</v>
      </c>
      <c r="V40" s="32" t="n">
        <v>38.08</v>
      </c>
      <c r="W40" s="32" t="n">
        <v>23.57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Less than 12%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IF(B41=0,"",RANK(B41,$B$2:$B$87,0))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INDOTECH</t>
        </is>
      </c>
      <c r="D41" s="31" t="inlineStr">
        <is>
          <t>Indo Tech Transformers Ltd</t>
        </is>
      </c>
      <c r="E41" s="31" t="inlineStr">
        <is>
          <t>industrials</t>
        </is>
      </c>
      <c r="F41" s="31" t="inlineStr">
        <is>
          <t>Capital Goods - Transformers</t>
        </is>
      </c>
      <c r="G41" s="31" t="inlineStr">
        <is>
          <t>smallcap</t>
        </is>
      </c>
      <c r="H41" s="32" t="n">
        <v>3642.66</v>
      </c>
      <c r="I41" s="32" t="n">
        <v>3430</v>
      </c>
      <c r="J41" s="32" t="n">
        <v>0.65</v>
      </c>
      <c r="K41" s="32" t="n">
        <v>0</v>
      </c>
      <c r="L41" s="31" t="n">
        <v>90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75.56</v>
      </c>
      <c r="P41" s="32" t="n">
        <v>48.96</v>
      </c>
      <c r="Q41" s="32" t="n">
        <v>2530.39</v>
      </c>
      <c r="R41" s="31" t="inlineStr">
        <is>
          <t>Near 52W High Breakout</t>
        </is>
      </c>
      <c r="S41" s="31" t="inlineStr">
        <is>
          <t>Nifty Infra</t>
        </is>
      </c>
      <c r="T41" s="32" t="n">
        <v>4.24</v>
      </c>
      <c r="U41" s="32" t="n">
        <v>84.54000000000001</v>
      </c>
      <c r="V41" s="32" t="n">
        <v>77.04000000000001</v>
      </c>
      <c r="W41" s="32" t="n">
        <v>28.84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18</t>
        </is>
      </c>
      <c r="CG41" s="31">
        <f>IF(CF41&gt;20,10,IF(CF41&gt;=10,5,2))</f>
        <v/>
      </c>
    </row>
    <row r="42">
      <c r="A42" s="31">
        <f>IF(B42=0,"",RANK(B42,$B$2:$B$87,0))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KABRAEXTRU</t>
        </is>
      </c>
      <c r="D42" s="31" t="inlineStr">
        <is>
          <t>Kabra Extrusion Technik Ltd</t>
        </is>
      </c>
      <c r="E42" s="31" t="inlineStr">
        <is>
          <t>industrials</t>
        </is>
      </c>
      <c r="F42" s="31" t="inlineStr">
        <is>
          <t>Capital Goods - Engineering Heavy</t>
        </is>
      </c>
      <c r="G42" s="31" t="inlineStr">
        <is>
          <t>smallcap</t>
        </is>
      </c>
      <c r="H42" s="32" t="n">
        <v>1255.7</v>
      </c>
      <c r="I42" s="32" t="n">
        <v>359.05</v>
      </c>
      <c r="J42" s="32" t="n">
        <v>2.1</v>
      </c>
      <c r="K42" s="32" t="n">
        <v>0</v>
      </c>
      <c r="L42" s="31" t="n">
        <v>73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75.56</v>
      </c>
      <c r="P42" s="32" t="n">
        <v>20.57</v>
      </c>
      <c r="Q42" s="32" t="n">
        <v>271.86</v>
      </c>
      <c r="R42" s="31" t="inlineStr">
        <is>
          <t>Near 52W High Breakout</t>
        </is>
      </c>
      <c r="S42" s="31" t="inlineStr">
        <is>
          <t>Nifty Infra</t>
        </is>
      </c>
      <c r="T42" s="32" t="n">
        <v>4.24</v>
      </c>
      <c r="U42" s="32" t="n">
        <v>23.56</v>
      </c>
      <c r="V42" s="32" t="n">
        <v>18.53</v>
      </c>
      <c r="W42" s="32" t="n">
        <v>16.62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IF(B43=0,"",RANK(B43,$B$2:$B$87,0))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GABRIEL</t>
        </is>
      </c>
      <c r="D43" s="31" t="inlineStr">
        <is>
          <t>Gabriel India Ltd</t>
        </is>
      </c>
      <c r="E43" s="31" t="inlineStr">
        <is>
          <t>auto</t>
        </is>
      </c>
      <c r="F43" s="31" t="inlineStr">
        <is>
          <t>Auto Ancillaries - Shock Absorber</t>
        </is>
      </c>
      <c r="G43" s="31" t="inlineStr">
        <is>
          <t>largecap</t>
        </is>
      </c>
      <c r="H43" s="32" t="n">
        <v>21762.06</v>
      </c>
      <c r="I43" s="32" t="n">
        <v>1515</v>
      </c>
      <c r="J43" s="32" t="n">
        <v>8.369999999999999</v>
      </c>
      <c r="K43" s="32" t="n">
        <v>0</v>
      </c>
      <c r="L43" s="31" t="n">
        <v>82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74.12</v>
      </c>
      <c r="P43" s="32" t="n">
        <v>28.34</v>
      </c>
      <c r="Q43" s="32" t="n">
        <v>1175.47</v>
      </c>
      <c r="R43" s="31" t="inlineStr">
        <is>
          <t>Volume Spike &amp; Near 52W High Breakout</t>
        </is>
      </c>
      <c r="S43" s="31" t="inlineStr">
        <is>
          <t>Nifty Auto</t>
        </is>
      </c>
      <c r="T43" s="32" t="n">
        <v>14.71</v>
      </c>
      <c r="U43" s="32" t="n">
        <v>50.56</v>
      </c>
      <c r="V43" s="32" t="n">
        <v>31.25</v>
      </c>
      <c r="W43" s="32" t="n">
        <v>22.37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Less than 12%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16</t>
        </is>
      </c>
      <c r="CG43" s="31">
        <f>IF(CF43&gt;20,10,IF(CF43&gt;=10,5,2))</f>
        <v/>
      </c>
    </row>
    <row r="44">
      <c r="A44" s="31">
        <f>IF(B44=0,"",RANK(B44,$B$2:$B$87,0))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NYKAA</t>
        </is>
      </c>
      <c r="D44" s="31" t="inlineStr">
        <is>
          <t>FSN E-Commerce Ventures Ltd</t>
        </is>
      </c>
      <c r="E44" s="31" t="inlineStr">
        <is>
          <t>i.t</t>
        </is>
      </c>
      <c r="F44" s="31" t="inlineStr">
        <is>
          <t>New age - Platform - E-Retail</t>
        </is>
      </c>
      <c r="G44" s="31" t="inlineStr">
        <is>
          <t>largecap</t>
        </is>
      </c>
      <c r="H44" s="32" t="n">
        <v>94164.63</v>
      </c>
      <c r="I44" s="32" t="n">
        <v>328.8</v>
      </c>
      <c r="J44" s="32" t="n">
        <v>1.64</v>
      </c>
      <c r="K44" s="32" t="n">
        <v>0</v>
      </c>
      <c r="L44" s="31" t="n">
        <v>66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71.16</v>
      </c>
      <c r="P44" s="32" t="n">
        <v>36.23</v>
      </c>
      <c r="Q44" s="32" t="n">
        <v>281.45</v>
      </c>
      <c r="R44" s="31" t="inlineStr">
        <is>
          <t>Near 52W High Breakout</t>
        </is>
      </c>
      <c r="S44" s="31" t="inlineStr">
        <is>
          <t>Nifty IT</t>
        </is>
      </c>
      <c r="T44" s="32" t="n">
        <v>-18.64</v>
      </c>
      <c r="U44" s="32" t="n">
        <v>54.53</v>
      </c>
      <c r="V44" s="32" t="n">
        <v>89.92</v>
      </c>
      <c r="W44" s="32" t="n">
        <v>14.66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IF(B45=0,"",RANK(B45,$B$2:$B$87,0))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FERMENTA</t>
        </is>
      </c>
      <c r="D45" s="31" t="inlineStr">
        <is>
          <t>Fermenta Biotech Ltd</t>
        </is>
      </c>
      <c r="E45" s="31" t="inlineStr">
        <is>
          <t>Healthcare</t>
        </is>
      </c>
      <c r="F45" s="31" t="inlineStr">
        <is>
          <t>Pharma - API</t>
        </is>
      </c>
      <c r="G45" s="31" t="inlineStr">
        <is>
          <t>smallcap</t>
        </is>
      </c>
      <c r="H45" s="32" t="n">
        <v>1283.19</v>
      </c>
      <c r="I45" s="32" t="n">
        <v>436</v>
      </c>
      <c r="J45" s="32" t="n">
        <v>-1.62</v>
      </c>
      <c r="K45" s="32" t="n">
        <v>0</v>
      </c>
      <c r="L45" s="31" t="n">
        <v>61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70.34</v>
      </c>
      <c r="P45" s="32" t="n">
        <v>25.45</v>
      </c>
      <c r="Q45" s="32" t="n">
        <v>328.73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15.14</v>
      </c>
      <c r="U45" s="32" t="n">
        <v>17.09</v>
      </c>
      <c r="V45" s="32" t="n">
        <v>1.7</v>
      </c>
      <c r="W45" s="32" t="n">
        <v>12.7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16</t>
        </is>
      </c>
      <c r="CG45" s="31">
        <f>IF(CF45&gt;20,10,IF(CF45&gt;=10,5,2))</f>
        <v/>
      </c>
    </row>
    <row r="46">
      <c r="A46" s="31">
        <f>IF(B46=0,"",RANK(B46,$B$2:$B$87,0))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HFCL</t>
        </is>
      </c>
      <c r="D46" s="31" t="inlineStr">
        <is>
          <t>HFCL Ltd</t>
        </is>
      </c>
      <c r="E46" s="31" t="inlineStr">
        <is>
          <t>telecom</t>
        </is>
      </c>
      <c r="F46" s="31" t="inlineStr">
        <is>
          <t>Telecom Services</t>
        </is>
      </c>
      <c r="G46" s="31" t="inlineStr">
        <is>
          <t>largecap</t>
        </is>
      </c>
      <c r="H46" s="32" t="n">
        <v>33432.95</v>
      </c>
      <c r="I46" s="32" t="n">
        <v>218.43</v>
      </c>
      <c r="J46" s="32" t="n">
        <v>5</v>
      </c>
      <c r="K46" s="32" t="n">
        <v>0</v>
      </c>
      <c r="L46" s="31" t="n">
        <v>98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83.17</v>
      </c>
      <c r="P46" s="32" t="n">
        <v>70.84</v>
      </c>
      <c r="Q46" s="32" t="n">
        <v>163.76</v>
      </c>
      <c r="R46" s="31" t="inlineStr">
        <is>
          <t>Near 52W High Breakout</t>
        </is>
      </c>
      <c r="S46" s="31" t="inlineStr">
        <is>
          <t>Nifty Infra</t>
        </is>
      </c>
      <c r="T46" s="32" t="n">
        <v>4.24</v>
      </c>
      <c r="U46" s="32" t="n">
        <v>187.44</v>
      </c>
      <c r="V46" s="32" t="n">
        <v>175.76</v>
      </c>
      <c r="W46" s="32" t="n">
        <v>56.02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Negative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21</t>
        </is>
      </c>
      <c r="CG46" s="31">
        <f>IF(CF46&gt;20,10,IF(CF46&gt;=10,5,2))</f>
        <v/>
      </c>
    </row>
    <row r="47">
      <c r="A47" s="31">
        <f>IF(B47=0,"",RANK(B47,$B$2:$B$87,0))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NOVARTIND</t>
        </is>
      </c>
      <c r="D47" s="31" t="inlineStr">
        <is>
          <t>Novartis India Ltd</t>
        </is>
      </c>
      <c r="E47" s="31" t="inlineStr">
        <is>
          <t>healthcare</t>
        </is>
      </c>
      <c r="F47" s="31" t="inlineStr">
        <is>
          <t>Pharma - MNC bulk Drugs</t>
        </is>
      </c>
      <c r="G47" s="31" t="inlineStr">
        <is>
          <t>smallcap</t>
        </is>
      </c>
      <c r="H47" s="32" t="n">
        <v>4194.97</v>
      </c>
      <c r="I47" s="32" t="n">
        <v>1699</v>
      </c>
      <c r="J47" s="32" t="n">
        <v>1.86</v>
      </c>
      <c r="K47" s="32" t="n">
        <v>0</v>
      </c>
      <c r="L47" s="31" t="n">
        <v>91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76.23999999999999</v>
      </c>
      <c r="P47" s="32" t="n">
        <v>69.83</v>
      </c>
      <c r="Q47" s="32" t="n">
        <v>1318.05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15.14</v>
      </c>
      <c r="U47" s="32" t="n">
        <v>66.8</v>
      </c>
      <c r="V47" s="32" t="n">
        <v>44.87</v>
      </c>
      <c r="W47" s="32" t="n">
        <v>30.33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IF(B48=0,"",RANK(B48,$B$2:$B$87,0))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KERNEX</t>
        </is>
      </c>
      <c r="D48" s="31" t="inlineStr">
        <is>
          <t>Kernex Microsystems (India) Ltd</t>
        </is>
      </c>
      <c r="E48" s="31" t="inlineStr">
        <is>
          <t>Technology</t>
        </is>
      </c>
      <c r="F48" s="31" t="inlineStr">
        <is>
          <t>Railways - Kavach/Springs</t>
        </is>
      </c>
      <c r="G48" s="31" t="inlineStr">
        <is>
          <t>smallcap</t>
        </is>
      </c>
      <c r="H48" s="32" t="n">
        <v>3592.61</v>
      </c>
      <c r="I48" s="32" t="n">
        <v>2138</v>
      </c>
      <c r="J48" s="32" t="n">
        <v>0.84</v>
      </c>
      <c r="K48" s="32" t="n">
        <v>0</v>
      </c>
      <c r="L48" s="31" t="n">
        <v>92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66.54000000000001</v>
      </c>
      <c r="P48" s="32" t="n">
        <v>52.65</v>
      </c>
      <c r="Q48" s="32" t="n">
        <v>1745.69</v>
      </c>
      <c r="R48" s="31" t="inlineStr">
        <is>
          <t>Earnings / Momentum Support</t>
        </is>
      </c>
      <c r="S48" s="31" t="inlineStr">
        <is>
          <t>Nifty IT</t>
        </is>
      </c>
      <c r="T48" s="32" t="n">
        <v>-18.64</v>
      </c>
      <c r="U48" s="32" t="n">
        <v>106.99</v>
      </c>
      <c r="V48" s="32" t="n">
        <v>154.41</v>
      </c>
      <c r="W48" s="32" t="n">
        <v>30.84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IF(B49=0,"",RANK(B49,$B$2:$B$87,0))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3" t="inlineStr">
        <is>
          <t>DYCL</t>
        </is>
      </c>
      <c r="D49" s="33" t="inlineStr">
        <is>
          <t>Dynamic Cables Ltd</t>
        </is>
      </c>
      <c r="E49" s="31" t="inlineStr">
        <is>
          <t>industrials</t>
        </is>
      </c>
      <c r="F49" s="31" t="inlineStr">
        <is>
          <t>Cables - Power</t>
        </is>
      </c>
      <c r="G49" s="31" t="inlineStr">
        <is>
          <t>smallcap</t>
        </is>
      </c>
      <c r="H49" s="32" t="n">
        <v>2083.24</v>
      </c>
      <c r="I49" s="32" t="n">
        <v>429.9</v>
      </c>
      <c r="J49" s="32" t="n">
        <v>-3.53</v>
      </c>
      <c r="K49" s="32" t="n">
        <v>0</v>
      </c>
      <c r="L49" s="31" t="n">
        <v>41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64.77</v>
      </c>
      <c r="P49" s="32" t="n">
        <v>19.38</v>
      </c>
      <c r="Q49" s="32" t="n">
        <v>301.62</v>
      </c>
      <c r="R49" s="31" t="inlineStr">
        <is>
          <t>Volume Spike &amp; Near 52W High Breakout</t>
        </is>
      </c>
      <c r="S49" s="31" t="inlineStr">
        <is>
          <t>Nifty Energy</t>
        </is>
      </c>
      <c r="T49" s="32" t="n">
        <v>12.3</v>
      </c>
      <c r="U49" s="32" t="n">
        <v>6.45</v>
      </c>
      <c r="V49" s="32" t="n">
        <v>-5.22</v>
      </c>
      <c r="W49" s="32" t="n">
        <v>8.220000000000001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21</t>
        </is>
      </c>
      <c r="CG49" s="31">
        <f>IF(CF49&gt;20,10,IF(CF49&gt;=10,5,2))</f>
        <v/>
      </c>
    </row>
    <row r="50">
      <c r="A50" s="31">
        <f>IF(B50=0,"",RANK(B50,$B$2:$B$87,0))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LLOYDSENT</t>
        </is>
      </c>
      <c r="D50" s="31" t="inlineStr">
        <is>
          <t>Lloyds Enterprises Ltd</t>
        </is>
      </c>
      <c r="E50" s="31" t="inlineStr">
        <is>
          <t>services</t>
        </is>
      </c>
      <c r="F50" s="31" t="inlineStr">
        <is>
          <t>Trading</t>
        </is>
      </c>
      <c r="G50" s="31" t="inlineStr">
        <is>
          <t>midcap</t>
        </is>
      </c>
      <c r="H50" s="32" t="n">
        <v>12421.48</v>
      </c>
      <c r="I50" s="32" t="n">
        <v>81.5</v>
      </c>
      <c r="J50" s="32" t="n">
        <v>-0.92</v>
      </c>
      <c r="K50" s="32" t="n">
        <v>0</v>
      </c>
      <c r="L50" s="31" t="n">
        <v>33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65.31</v>
      </c>
      <c r="P50" s="32" t="n">
        <v>33.7</v>
      </c>
      <c r="Q50" s="32" t="n">
        <v>60.91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-2.61</v>
      </c>
      <c r="U50" s="32" t="n">
        <v>2.82</v>
      </c>
      <c r="V50" s="32" t="n">
        <v>5.58</v>
      </c>
      <c r="W50" s="32" t="n">
        <v>6.55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IF(B51=0,"",RANK(B51,$B$2:$B$87,0))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IKS</t>
        </is>
      </c>
      <c r="D51" s="31" t="inlineStr">
        <is>
          <t>Inventurus Knowledge Solutions Ltd</t>
        </is>
      </c>
      <c r="E51" s="31" t="inlineStr">
        <is>
          <t>i.t</t>
        </is>
      </c>
      <c r="F51" s="31" t="inlineStr">
        <is>
          <t>IT Enabled Services/Business Process Outsourcing</t>
        </is>
      </c>
      <c r="G51" s="31" t="inlineStr">
        <is>
          <t>largecap</t>
        </is>
      </c>
      <c r="H51" s="32" t="n">
        <v>32384.25</v>
      </c>
      <c r="I51" s="32" t="n">
        <v>1886.5</v>
      </c>
      <c r="J51" s="32" t="n">
        <v>-0.8100000000000001</v>
      </c>
      <c r="K51" s="32" t="n">
        <v>0</v>
      </c>
      <c r="L51" s="31" t="n">
        <v>52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64.95</v>
      </c>
      <c r="P51" s="32" t="n">
        <v>13.53</v>
      </c>
      <c r="Q51" s="32" t="n">
        <v>1564.27</v>
      </c>
      <c r="R51" s="31" t="inlineStr">
        <is>
          <t>Near 52W High Breakout</t>
        </is>
      </c>
      <c r="S51" s="31" t="inlineStr">
        <is>
          <t>Nifty IT</t>
        </is>
      </c>
      <c r="T51" s="32" t="n">
        <v>-18.64</v>
      </c>
      <c r="U51" s="32" t="n">
        <v>17.82</v>
      </c>
      <c r="V51" s="32" t="n">
        <v>44.81</v>
      </c>
      <c r="W51" s="32" t="n">
        <v>10.53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0 to 20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16</t>
        </is>
      </c>
      <c r="CG51" s="31">
        <f>IF(CF51&gt;20,10,IF(CF51&gt;=10,5,2))</f>
        <v/>
      </c>
    </row>
    <row r="52">
      <c r="A52" s="31">
        <f>IF(B52=0,"",RANK(B52,$B$2:$B$87,0))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AEGISVOPAK</t>
        </is>
      </c>
      <c r="D52" s="34" t="inlineStr">
        <is>
          <t>Aegis Vopak Terminals Ltd</t>
        </is>
      </c>
      <c r="E52" s="31" t="inlineStr">
        <is>
          <t>transportation</t>
        </is>
      </c>
      <c r="F52" s="31" t="inlineStr">
        <is>
          <t>Miscellaneous</t>
        </is>
      </c>
      <c r="G52" s="31" t="inlineStr">
        <is>
          <t>largecap</t>
        </is>
      </c>
      <c r="H52" s="32" t="n">
        <v>31743.96</v>
      </c>
      <c r="I52" s="32" t="n">
        <v>286.5</v>
      </c>
      <c r="J52" s="32" t="n">
        <v>1.95</v>
      </c>
      <c r="K52" s="32" t="n">
        <v>0</v>
      </c>
      <c r="L52" s="31" t="n">
        <v>72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64.56999999999999</v>
      </c>
      <c r="P52" s="32" t="n">
        <v>25.52</v>
      </c>
      <c r="Q52" s="32" t="n">
        <v>208.36</v>
      </c>
      <c r="R52" s="31" t="inlineStr">
        <is>
          <t>Near 52W High Breakout</t>
        </is>
      </c>
      <c r="S52" s="31" t="inlineStr">
        <is>
          <t>Nifty 50</t>
        </is>
      </c>
      <c r="T52" s="32" t="n">
        <v>-2.61</v>
      </c>
      <c r="U52" s="32" t="n">
        <v>12.38</v>
      </c>
      <c r="V52" s="32" t="n">
        <v>15.39</v>
      </c>
      <c r="W52" s="32" t="n">
        <v>16.25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Between 12 to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IF(B53=0,"",RANK(B53,$B$2:$B$87,0))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IKIO</t>
        </is>
      </c>
      <c r="D53" s="31" t="inlineStr">
        <is>
          <t>IKIO Technologies Ltd</t>
        </is>
      </c>
      <c r="E53" s="31" t="inlineStr">
        <is>
          <t>consumer discretionary</t>
        </is>
      </c>
      <c r="F53" s="31" t="inlineStr">
        <is>
          <t>Capital Goods - Electric General</t>
        </is>
      </c>
      <c r="G53" s="31" t="inlineStr">
        <is>
          <t>smallcap</t>
        </is>
      </c>
      <c r="H53" s="32" t="n">
        <v>1654.58</v>
      </c>
      <c r="I53" s="32" t="n">
        <v>214.1</v>
      </c>
      <c r="J53" s="32" t="n">
        <v>-0.13</v>
      </c>
      <c r="K53" s="32" t="n">
        <v>0</v>
      </c>
      <c r="L53" s="31" t="n">
        <v>66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67.93000000000001</v>
      </c>
      <c r="P53" s="32" t="n">
        <v>24.97</v>
      </c>
      <c r="Q53" s="32" t="n">
        <v>158.2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-2.61</v>
      </c>
      <c r="U53" s="32" t="n">
        <v>4.87</v>
      </c>
      <c r="V53" s="32" t="n">
        <v>7.68</v>
      </c>
      <c r="W53" s="32" t="n">
        <v>14.58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16</t>
        </is>
      </c>
      <c r="CG53" s="31">
        <f>IF(CF53&gt;20,10,IF(CF53&gt;=10,5,2))</f>
        <v/>
      </c>
    </row>
    <row r="54">
      <c r="A54" s="31">
        <f>IF(B54=0,"",RANK(B54,$B$2:$B$87,0))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HUHTAMAKI</t>
        </is>
      </c>
      <c r="D54" s="31" t="inlineStr">
        <is>
          <t>Huhtamaki India Ltd</t>
        </is>
      </c>
      <c r="E54" s="31" t="inlineStr">
        <is>
          <t>industrials</t>
        </is>
      </c>
      <c r="F54" s="31" t="inlineStr">
        <is>
          <t>Packaging - FMCG/Consumers</t>
        </is>
      </c>
      <c r="G54" s="31" t="inlineStr">
        <is>
          <t>smallcap</t>
        </is>
      </c>
      <c r="H54" s="32" t="n">
        <v>2023.91</v>
      </c>
      <c r="I54" s="32" t="n">
        <v>267.99</v>
      </c>
      <c r="J54" s="32" t="n">
        <v>7.29</v>
      </c>
      <c r="K54" s="32" t="n">
        <v>0</v>
      </c>
      <c r="L54" s="31" t="n">
        <v>75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74.8</v>
      </c>
      <c r="P54" s="32" t="n">
        <v>18.62</v>
      </c>
      <c r="Q54" s="32" t="n">
        <v>209.8</v>
      </c>
      <c r="R54" s="31" t="inlineStr">
        <is>
          <t>Volume Spike &amp; Near 52W High Breakout</t>
        </is>
      </c>
      <c r="S54" s="31" t="inlineStr">
        <is>
          <t>Nifty Infra</t>
        </is>
      </c>
      <c r="T54" s="32" t="n">
        <v>4.24</v>
      </c>
      <c r="U54" s="32" t="n">
        <v>22.16</v>
      </c>
      <c r="V54" s="32" t="n">
        <v>17.2</v>
      </c>
      <c r="W54" s="32" t="n">
        <v>17.33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0 to 20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Less than 12%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IF(B55=0,"",RANK(B55,$B$2:$B$87,0))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VENUSREM</t>
        </is>
      </c>
      <c r="D55" s="34" t="inlineStr">
        <is>
          <t>Venus Remedies Ltd</t>
        </is>
      </c>
      <c r="E55" s="31" t="inlineStr">
        <is>
          <t>Healthcare</t>
        </is>
      </c>
      <c r="F55" s="31" t="inlineStr">
        <is>
          <t>Pharmaceuticals - I V Fluids</t>
        </is>
      </c>
      <c r="G55" s="31" t="inlineStr">
        <is>
          <t>smallcap</t>
        </is>
      </c>
      <c r="H55" s="32" t="n">
        <v>2377.32</v>
      </c>
      <c r="I55" s="32" t="n">
        <v>1778.5</v>
      </c>
      <c r="J55" s="32" t="n">
        <v>4.99</v>
      </c>
      <c r="K55" s="32" t="n">
        <v>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71.27</v>
      </c>
      <c r="P55" s="32" t="n">
        <v>59.88</v>
      </c>
      <c r="Q55" s="32" t="n">
        <v>1414.77</v>
      </c>
      <c r="R55" s="31" t="inlineStr">
        <is>
          <t>Earnings / Momentum Support</t>
        </is>
      </c>
      <c r="S55" s="31" t="inlineStr">
        <is>
          <t>Nifty Pharma</t>
        </is>
      </c>
      <c r="T55" s="32" t="n">
        <v>15.14</v>
      </c>
      <c r="U55" s="32" t="n">
        <v>242.1</v>
      </c>
      <c r="V55" s="32" t="n">
        <v>197.13</v>
      </c>
      <c r="W55" s="32" t="n">
        <v>50.76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IF(B56=0,"",RANK(B56,$B$2:$B$87,0))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JLHL</t>
        </is>
      </c>
      <c r="D56" s="34" t="inlineStr">
        <is>
          <t>Jupiter Life Line Hospitals Ltd</t>
        </is>
      </c>
      <c r="E56" s="31" t="inlineStr">
        <is>
          <t>healthcare</t>
        </is>
      </c>
      <c r="F56" s="31" t="inlineStr">
        <is>
          <t>Hospitals</t>
        </is>
      </c>
      <c r="G56" s="31" t="inlineStr">
        <is>
          <t>midcap</t>
        </is>
      </c>
      <c r="H56" s="32" t="n">
        <v>10297.14</v>
      </c>
      <c r="I56" s="32" t="n">
        <v>1570.5</v>
      </c>
      <c r="J56" s="32" t="n">
        <v>0.8</v>
      </c>
      <c r="K56" s="32" t="n">
        <v>0</v>
      </c>
      <c r="L56" s="31" t="n">
        <v>38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72.37</v>
      </c>
      <c r="P56" s="32" t="n">
        <v>24.4</v>
      </c>
      <c r="Q56" s="32" t="n">
        <v>1330.11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15.14</v>
      </c>
      <c r="U56" s="32" t="n">
        <v>7.87</v>
      </c>
      <c r="V56" s="32" t="n">
        <v>-6.31</v>
      </c>
      <c r="W56" s="32" t="n">
        <v>7.45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DIACABS</t>
        </is>
      </c>
      <c r="D57" s="31" t="inlineStr">
        <is>
          <t>Diamond Power Infrastructure Ltd</t>
        </is>
      </c>
      <c r="E57" s="31" t="inlineStr">
        <is>
          <t>industrials</t>
        </is>
      </c>
      <c r="F57" s="31" t="inlineStr">
        <is>
          <t>Cables - Power</t>
        </is>
      </c>
      <c r="G57" s="31" t="inlineStr">
        <is>
          <t>midcap</t>
        </is>
      </c>
      <c r="H57" s="32" t="n">
        <v>14179.21</v>
      </c>
      <c r="I57" s="32" t="n">
        <v>269.07</v>
      </c>
      <c r="J57" s="32" t="n">
        <v>10</v>
      </c>
      <c r="K57" s="32" t="n">
        <v>0</v>
      </c>
      <c r="L57" s="31" t="n">
        <v>89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80.83</v>
      </c>
      <c r="P57" s="32" t="n">
        <v>53.31</v>
      </c>
      <c r="Q57" s="32" t="n">
        <v>204.05</v>
      </c>
      <c r="R57" s="31" t="inlineStr">
        <is>
          <t>Near 52W High Breakout</t>
        </is>
      </c>
      <c r="S57" s="31" t="inlineStr">
        <is>
          <t>Nifty Energy</t>
        </is>
      </c>
      <c r="T57" s="32" t="n">
        <v>12.3</v>
      </c>
      <c r="U57" s="32" t="n">
        <v>65.20999999999999</v>
      </c>
      <c r="V57" s="32" t="n">
        <v>47.11</v>
      </c>
      <c r="W57" s="32" t="n">
        <v>27.58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IF(B58=0,"",RANK(B58,$B$2:$B$87,0))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TBZ</t>
        </is>
      </c>
      <c r="D58" s="31" t="inlineStr">
        <is>
          <t>Tribhovandas Bhimji Zaveri Ltd</t>
        </is>
      </c>
      <c r="E58" s="31" t="inlineStr">
        <is>
          <t>consumer discretionary</t>
        </is>
      </c>
      <c r="F58" s="31" t="inlineStr">
        <is>
          <t>Diamond, Gems &amp; Jewellery</t>
        </is>
      </c>
      <c r="G58" s="31" t="inlineStr">
        <is>
          <t>smallcap</t>
        </is>
      </c>
      <c r="H58" s="32" t="n">
        <v>1745.61</v>
      </c>
      <c r="I58" s="32" t="n">
        <v>261.59</v>
      </c>
      <c r="J58" s="32" t="n">
        <v>2.34</v>
      </c>
      <c r="K58" s="32" t="n">
        <v>0</v>
      </c>
      <c r="L58" s="31" t="n">
        <v>88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78.34999999999999</v>
      </c>
      <c r="P58" s="32" t="n">
        <v>28.61</v>
      </c>
      <c r="Q58" s="32" t="n">
        <v>194.23</v>
      </c>
      <c r="R58" s="31" t="inlineStr">
        <is>
          <t>Near 52W High Breakout</t>
        </is>
      </c>
      <c r="S58" s="31" t="inlineStr">
        <is>
          <t>Nifty 50</t>
        </is>
      </c>
      <c r="T58" s="32" t="n">
        <v>-2.61</v>
      </c>
      <c r="U58" s="32" t="n">
        <v>38.96</v>
      </c>
      <c r="V58" s="32" t="n">
        <v>42.69</v>
      </c>
      <c r="W58" s="32" t="n">
        <v>26.4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Less than 50% and Borrowings are increasing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IF(B59=0,"",RANK(B59,$B$2:$B$87,0))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KALYANKJIL</t>
        </is>
      </c>
      <c r="D59" s="31" t="inlineStr">
        <is>
          <t>Kalyan Jewellers India Ltd</t>
        </is>
      </c>
      <c r="E59" s="31" t="inlineStr">
        <is>
          <t>consumer discretionary</t>
        </is>
      </c>
      <c r="F59" s="31" t="inlineStr">
        <is>
          <t>Diamond, Gems &amp; Jewellery</t>
        </is>
      </c>
      <c r="G59" s="31" t="inlineStr">
        <is>
          <t>largecap</t>
        </is>
      </c>
      <c r="H59" s="32" t="n">
        <v>59744.02</v>
      </c>
      <c r="I59" s="32" t="n">
        <v>578.5</v>
      </c>
      <c r="J59" s="32" t="n">
        <v>1.49</v>
      </c>
      <c r="K59" s="32" t="n">
        <v>0</v>
      </c>
      <c r="L59" s="31" t="n">
        <v>53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70.27</v>
      </c>
      <c r="P59" s="32" t="n">
        <v>22.67</v>
      </c>
      <c r="Q59" s="32" t="n">
        <v>442.73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-2.61</v>
      </c>
      <c r="U59" s="32" t="n">
        <v>-2.58</v>
      </c>
      <c r="V59" s="32" t="n">
        <v>0.04</v>
      </c>
      <c r="W59" s="32" t="n">
        <v>10.57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IF(B60=0,"",RANK(B60,$B$2:$B$87,0))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BEPL</t>
        </is>
      </c>
      <c r="D60" s="31" t="inlineStr">
        <is>
          <t>Bhansali Engineering Polymers Ltd</t>
        </is>
      </c>
      <c r="E60" s="31" t="inlineStr">
        <is>
          <t>energy</t>
        </is>
      </c>
      <c r="F60" s="31" t="inlineStr">
        <is>
          <t>Petrochem - Polymers</t>
        </is>
      </c>
      <c r="G60" s="31" t="inlineStr">
        <is>
          <t>smallcap</t>
        </is>
      </c>
      <c r="H60" s="32" t="n">
        <v>3043.29</v>
      </c>
      <c r="I60" s="32" t="n">
        <v>122.29</v>
      </c>
      <c r="J60" s="32" t="n">
        <v>-4.29</v>
      </c>
      <c r="K60" s="32" t="n">
        <v>0</v>
      </c>
      <c r="L60" s="31" t="n">
        <v>49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75.06</v>
      </c>
      <c r="P60" s="32" t="n">
        <v>40.38</v>
      </c>
      <c r="Q60" s="32" t="n">
        <v>96.79000000000001</v>
      </c>
      <c r="R60" s="31" t="inlineStr">
        <is>
          <t>Volume Spike &amp; Near 52W High Breakout</t>
        </is>
      </c>
      <c r="S60" s="31" t="inlineStr">
        <is>
          <t>Nifty Energy</t>
        </is>
      </c>
      <c r="T60" s="32" t="n">
        <v>12.3</v>
      </c>
      <c r="U60" s="32" t="n">
        <v>18.62</v>
      </c>
      <c r="V60" s="32" t="n">
        <v>5.63</v>
      </c>
      <c r="W60" s="32" t="n">
        <v>9.81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18</t>
        </is>
      </c>
      <c r="CG60" s="31">
        <f>IF(CF60&gt;20,10,IF(CF60&gt;=10,5,2))</f>
        <v/>
      </c>
    </row>
    <row r="61">
      <c r="A61" s="31">
        <f>IF(B61=0,"",RANK(B61,$B$2:$B$87,0))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AFCOM</t>
        </is>
      </c>
      <c r="D61" s="31" t="inlineStr">
        <is>
          <t>Afcom Holdings Ltd</t>
        </is>
      </c>
      <c r="E61" s="31" t="inlineStr">
        <is>
          <t>Industrials</t>
        </is>
      </c>
      <c r="F61" s="31" t="inlineStr">
        <is>
          <t>Air Transport Service</t>
        </is>
      </c>
      <c r="G61" s="31" t="inlineStr">
        <is>
          <t>smallcap</t>
        </is>
      </c>
      <c r="H61" s="32" t="n">
        <v>4004.75</v>
      </c>
      <c r="I61" s="32" t="n">
        <v>1395.45</v>
      </c>
      <c r="J61" s="32" t="n">
        <v>-3.93</v>
      </c>
      <c r="K61" s="32" t="n">
        <v>0</v>
      </c>
      <c r="L61" s="31" t="n">
        <v>86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69.66</v>
      </c>
      <c r="P61" s="32" t="n">
        <v>32.61</v>
      </c>
      <c r="Q61" s="32" t="n">
        <v>1102.05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-2.61</v>
      </c>
      <c r="U61" s="32" t="n">
        <v>27.3</v>
      </c>
      <c r="V61" s="32" t="n">
        <v>30.72</v>
      </c>
      <c r="W61" s="32" t="n">
        <v>25.66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17</t>
        </is>
      </c>
      <c r="CG61" s="31">
        <f>IF(CF61&gt;20,10,IF(CF61&gt;=10,5,2))</f>
        <v/>
      </c>
    </row>
    <row r="62">
      <c r="A62" s="31">
        <f>IF(B62=0,"",RANK(B62,$B$2:$B$87,0))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AZAD</t>
        </is>
      </c>
      <c r="D62" s="31" t="inlineStr">
        <is>
          <t>Azad Engineering Ltd</t>
        </is>
      </c>
      <c r="E62" s="31" t="inlineStr">
        <is>
          <t>aerospace &amp; defence</t>
        </is>
      </c>
      <c r="F62" s="31" t="inlineStr">
        <is>
          <t>Aerospace &amp; Defence - Equipments</t>
        </is>
      </c>
      <c r="G62" s="31" t="inlineStr">
        <is>
          <t>midcap</t>
        </is>
      </c>
      <c r="H62" s="32" t="n">
        <v>15376.27</v>
      </c>
      <c r="I62" s="32" t="n">
        <v>2380.9</v>
      </c>
      <c r="J62" s="32" t="n">
        <v>1.5</v>
      </c>
      <c r="K62" s="32" t="n">
        <v>0</v>
      </c>
      <c r="L62" s="31" t="n">
        <v>63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63.77</v>
      </c>
      <c r="P62" s="32" t="n">
        <v>31.33</v>
      </c>
      <c r="Q62" s="32" t="n">
        <v>1901.89</v>
      </c>
      <c r="R62" s="31" t="inlineStr">
        <is>
          <t>Near 52W High Breakout</t>
        </is>
      </c>
      <c r="S62" s="31" t="inlineStr">
        <is>
          <t>Nifty 50</t>
        </is>
      </c>
      <c r="T62" s="32" t="n">
        <v>-2.61</v>
      </c>
      <c r="U62" s="32" t="n">
        <v>52.99</v>
      </c>
      <c r="V62" s="32" t="n">
        <v>57.1</v>
      </c>
      <c r="W62" s="32" t="n">
        <v>13.69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16</t>
        </is>
      </c>
      <c r="CG62" s="31">
        <f>IF(CF62&gt;20,10,IF(CF62&gt;=10,5,2))</f>
        <v/>
      </c>
    </row>
    <row r="63">
      <c r="A63" s="31">
        <f>IF(B63=0,"",RANK(B63,$B$2:$B$87,0))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CHENNPETRO</t>
        </is>
      </c>
      <c r="D63" s="34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midcap</t>
        </is>
      </c>
      <c r="H63" s="32" t="n">
        <v>18865.59</v>
      </c>
      <c r="I63" s="32" t="n">
        <v>1266.9</v>
      </c>
      <c r="J63" s="32" t="n">
        <v>4.36</v>
      </c>
      <c r="K63" s="32" t="n">
        <v>0</v>
      </c>
      <c r="L63" s="31" t="n">
        <v>76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66.45</v>
      </c>
      <c r="P63" s="32" t="n">
        <v>48.18</v>
      </c>
      <c r="Q63" s="32" t="n">
        <v>947.72</v>
      </c>
      <c r="R63" s="31" t="inlineStr">
        <is>
          <t>Near 52W High Breakout</t>
        </is>
      </c>
      <c r="S63" s="31" t="inlineStr">
        <is>
          <t>Nifty Energy</t>
        </is>
      </c>
      <c r="T63" s="32" t="n">
        <v>12.3</v>
      </c>
      <c r="U63" s="32" t="n">
        <v>85.78</v>
      </c>
      <c r="V63" s="32" t="n">
        <v>65.43000000000001</v>
      </c>
      <c r="W63" s="32" t="n">
        <v>17.84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16</t>
        </is>
      </c>
      <c r="CG63" s="31">
        <f>IF(CF63&gt;20,10,IF(CF63&gt;=10,5,2))</f>
        <v/>
      </c>
    </row>
    <row r="64">
      <c r="A64" s="31">
        <f>IF(B64=0,"",RANK(B64,$B$2:$B$87,0))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MBAPL</t>
        </is>
      </c>
      <c r="D64" s="31" t="inlineStr">
        <is>
          <t>Madhya Bharat Agro Products Ltd</t>
        </is>
      </c>
      <c r="E64" s="31" t="inlineStr">
        <is>
          <t>chemicals</t>
        </is>
      </c>
      <c r="F64" s="31" t="inlineStr">
        <is>
          <t>Fertilisers</t>
        </is>
      </c>
      <c r="G64" s="31" t="inlineStr">
        <is>
          <t>midcap</t>
        </is>
      </c>
      <c r="H64" s="32" t="n">
        <v>6350.76</v>
      </c>
      <c r="I64" s="32" t="n">
        <v>144.95</v>
      </c>
      <c r="J64" s="32" t="n">
        <v>-0.41</v>
      </c>
      <c r="K64" s="32" t="n">
        <v>0</v>
      </c>
      <c r="L64" s="31" t="n">
        <v>80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82.98</v>
      </c>
      <c r="P64" s="32" t="n">
        <v>57.84</v>
      </c>
      <c r="Q64" s="32" t="n">
        <v>113.26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-2.61</v>
      </c>
      <c r="U64" s="32" t="n">
        <v>67.61</v>
      </c>
      <c r="V64" s="32" t="n">
        <v>72.11</v>
      </c>
      <c r="W64" s="32" t="n">
        <v>20.63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More than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15</t>
        </is>
      </c>
      <c r="CG64" s="31">
        <f>IF(CF64&gt;20,10,IF(CF64&gt;=10,5,2))</f>
        <v/>
      </c>
    </row>
    <row r="65">
      <c r="A65" s="31">
        <f>IF(B65=0,"",RANK(B65,$B$2:$B$87,0))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BETA</t>
        </is>
      </c>
      <c r="D65" s="31" t="inlineStr">
        <is>
          <t>Beta Drugs Ltd</t>
        </is>
      </c>
      <c r="E65" s="31" t="inlineStr">
        <is>
          <t>Healthcare</t>
        </is>
      </c>
      <c r="F65" s="31" t="inlineStr">
        <is>
          <t>Pharma - API</t>
        </is>
      </c>
      <c r="G65" s="31" t="inlineStr">
        <is>
          <t>smallcap</t>
        </is>
      </c>
      <c r="H65" s="32" t="n">
        <v>2512.83</v>
      </c>
      <c r="I65" s="32" t="n">
        <v>2478.9</v>
      </c>
      <c r="J65" s="32" t="n">
        <v>1.62</v>
      </c>
      <c r="K65" s="32" t="n">
        <v>0</v>
      </c>
      <c r="L65" s="31" t="n">
        <v>91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77.53</v>
      </c>
      <c r="P65" s="32" t="n">
        <v>27.57</v>
      </c>
      <c r="Q65" s="32" t="n">
        <v>1795.9</v>
      </c>
      <c r="R65" s="31" t="inlineStr">
        <is>
          <t>Volume Spike &amp; Near 52W High Breakout</t>
        </is>
      </c>
      <c r="S65" s="31" t="inlineStr">
        <is>
          <t>Nifty Pharma</t>
        </is>
      </c>
      <c r="T65" s="32" t="n">
        <v>15.14</v>
      </c>
      <c r="U65" s="32" t="n">
        <v>44.92</v>
      </c>
      <c r="V65" s="32" t="n">
        <v>25.87</v>
      </c>
      <c r="W65" s="32" t="n">
        <v>29.73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IF(B66=0,"",RANK(B66,$B$2:$B$87,0))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BALRAMCHIN</t>
        </is>
      </c>
      <c r="D66" s="34" t="inlineStr">
        <is>
          <t>Balrampur Chini Mills Ltd</t>
        </is>
      </c>
      <c r="E66" s="31" t="inlineStr">
        <is>
          <t>fmcg</t>
        </is>
      </c>
      <c r="F66" s="31" t="inlineStr">
        <is>
          <t>Sugar</t>
        </is>
      </c>
      <c r="G66" s="31" t="inlineStr">
        <is>
          <t>midcap</t>
        </is>
      </c>
      <c r="H66" s="32" t="n">
        <v>13049.98</v>
      </c>
      <c r="I66" s="32" t="n">
        <v>617.7</v>
      </c>
      <c r="J66" s="32" t="n">
        <v>2.94</v>
      </c>
      <c r="K66" s="32" t="n">
        <v>0</v>
      </c>
      <c r="L66" s="31" t="n">
        <v>33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76.13</v>
      </c>
      <c r="P66" s="32" t="n">
        <v>35.55</v>
      </c>
      <c r="Q66" s="32" t="n">
        <v>507.78</v>
      </c>
      <c r="R66" s="31" t="inlineStr">
        <is>
          <t>Near 52W High Breakout</t>
        </is>
      </c>
      <c r="S66" s="31" t="inlineStr">
        <is>
          <t>Nifty FMCG</t>
        </is>
      </c>
      <c r="T66" s="32" t="n">
        <v>-10.38</v>
      </c>
      <c r="U66" s="32" t="n">
        <v>5.66</v>
      </c>
      <c r="V66" s="32" t="n">
        <v>17.89</v>
      </c>
      <c r="W66" s="32" t="n">
        <v>6.56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16</t>
        </is>
      </c>
      <c r="CG66" s="31">
        <f>IF(CF66&gt;20,10,IF(CF66&gt;=10,5,2))</f>
        <v/>
      </c>
    </row>
    <row r="67">
      <c r="A67" s="31">
        <f>IF(B67=0,"",RANK(B67,$B$2:$B$87,0))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DPABHUSHAN</t>
        </is>
      </c>
      <c r="D67" s="33" t="inlineStr">
        <is>
          <t>DP Abhushan Ltd</t>
        </is>
      </c>
      <c r="E67" s="31" t="inlineStr">
        <is>
          <t>consumer discretionary</t>
        </is>
      </c>
      <c r="F67" s="31" t="inlineStr">
        <is>
          <t>Diamond, Gems &amp; Jewellery</t>
        </is>
      </c>
      <c r="G67" s="31" t="inlineStr">
        <is>
          <t>smallcap</t>
        </is>
      </c>
      <c r="H67" s="32" t="n">
        <v>3352.28</v>
      </c>
      <c r="I67" s="32" t="n">
        <v>1468.5</v>
      </c>
      <c r="J67" s="32" t="n">
        <v>2.38</v>
      </c>
      <c r="K67" s="32" t="n">
        <v>0</v>
      </c>
      <c r="L67" s="31" t="n">
        <v>28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67.36</v>
      </c>
      <c r="P67" s="32" t="n">
        <v>26.87</v>
      </c>
      <c r="Q67" s="32" t="n">
        <v>1083.98</v>
      </c>
      <c r="R67" s="31" t="inlineStr">
        <is>
          <t>Volume Spike / Accumulation</t>
        </is>
      </c>
      <c r="S67" s="31" t="inlineStr">
        <is>
          <t>Nifty 50</t>
        </is>
      </c>
      <c r="T67" s="32" t="n">
        <v>-2.61</v>
      </c>
      <c r="U67" s="32" t="n">
        <v>-12.29</v>
      </c>
      <c r="V67" s="32" t="n">
        <v>-9.94</v>
      </c>
      <c r="W67" s="32" t="n">
        <v>5.38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IF(B68=0,"",RANK(B68,$B$2:$B$87,0))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ADANIENSOL</t>
        </is>
      </c>
      <c r="D68" s="34" t="inlineStr">
        <is>
          <t>Adani Energy Solutions Ltd</t>
        </is>
      </c>
      <c r="E68" s="31" t="inlineStr">
        <is>
          <t>power &amp; utilities</t>
        </is>
      </c>
      <c r="F68" s="31" t="inlineStr">
        <is>
          <t>Power - Transmission/Equipment</t>
        </is>
      </c>
      <c r="G68" s="31" t="inlineStr">
        <is>
          <t>largecap</t>
        </is>
      </c>
      <c r="H68" s="32" t="n">
        <v>208674.81</v>
      </c>
      <c r="I68" s="32" t="n">
        <v>1737.1</v>
      </c>
      <c r="J68" s="32" t="n">
        <v>0.44</v>
      </c>
      <c r="K68" s="32" t="n">
        <v>0</v>
      </c>
      <c r="L68" s="31" t="n">
        <v>86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76.53</v>
      </c>
      <c r="P68" s="32" t="n">
        <v>54.01</v>
      </c>
      <c r="Q68" s="32" t="n">
        <v>1401.19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-18.64</v>
      </c>
      <c r="U68" s="32" t="n">
        <v>113.13</v>
      </c>
      <c r="V68" s="32" t="n">
        <v>161.95</v>
      </c>
      <c r="W68" s="32" t="n">
        <v>24.41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17</t>
        </is>
      </c>
      <c r="CG68" s="31">
        <f>IF(CF68&gt;20,10,IF(CF68&gt;=10,5,2))</f>
        <v/>
      </c>
    </row>
    <row r="69">
      <c r="A69" s="31">
        <f>IF(B69=0,"",RANK(B69,$B$2:$B$87,0))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JNKINDIA</t>
        </is>
      </c>
      <c r="D69" s="34" t="inlineStr">
        <is>
          <t>JNK India Ltd</t>
        </is>
      </c>
      <c r="E69" s="31" t="inlineStr">
        <is>
          <t>Industrials</t>
        </is>
      </c>
      <c r="F69" s="31" t="inlineStr">
        <is>
          <t>Capital Goods - Engineering Heavy</t>
        </is>
      </c>
      <c r="G69" s="31" t="inlineStr">
        <is>
          <t>smallcap</t>
        </is>
      </c>
      <c r="H69" s="32" t="n">
        <v>2707.05</v>
      </c>
      <c r="I69" s="32" t="n">
        <v>483.8</v>
      </c>
      <c r="J69" s="32" t="n">
        <v>3.21</v>
      </c>
      <c r="K69" s="32" t="n">
        <v>0</v>
      </c>
      <c r="L69" s="31" t="n">
        <v>80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67.36</v>
      </c>
      <c r="P69" s="32" t="n">
        <v>48.34</v>
      </c>
      <c r="Q69" s="32" t="n">
        <v>352.83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-2.61</v>
      </c>
      <c r="U69" s="32" t="n">
        <v>46.68</v>
      </c>
      <c r="V69" s="32" t="n">
        <v>50.62</v>
      </c>
      <c r="W69" s="32" t="n">
        <v>20.07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16</t>
        </is>
      </c>
      <c r="CG69" s="31">
        <f>IF(CF69&gt;20,10,IF(CF69&gt;=10,5,2))</f>
        <v/>
      </c>
    </row>
    <row r="70">
      <c r="A70" s="31">
        <f>IF(B70=0,"",RANK(B70,$B$2:$B$87,0))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HIRECT</t>
        </is>
      </c>
      <c r="D70" s="34" t="inlineStr">
        <is>
          <t>Hind Rectifiers Ltd</t>
        </is>
      </c>
      <c r="E70" s="31" t="inlineStr">
        <is>
          <t>consumer discretionary</t>
        </is>
      </c>
      <c r="F70" s="31" t="inlineStr">
        <is>
          <t>Electronics - Equipment/Components</t>
        </is>
      </c>
      <c r="G70" s="31" t="inlineStr">
        <is>
          <t>smallcap</t>
        </is>
      </c>
      <c r="H70" s="32" t="n">
        <v>4516.51</v>
      </c>
      <c r="I70" s="32" t="n">
        <v>1314</v>
      </c>
      <c r="J70" s="32" t="n">
        <v>4.94</v>
      </c>
      <c r="K70" s="32" t="n">
        <v>0</v>
      </c>
      <c r="L70" s="31" t="n">
        <v>88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76.63</v>
      </c>
      <c r="P70" s="32" t="n">
        <v>31.73</v>
      </c>
      <c r="Q70" s="32" t="n">
        <v>928.5700000000001</v>
      </c>
      <c r="R70" s="31" t="inlineStr">
        <is>
          <t>Near 52W High Breakout</t>
        </is>
      </c>
      <c r="S70" s="31" t="inlineStr">
        <is>
          <t>Nifty Infra</t>
        </is>
      </c>
      <c r="T70" s="32" t="n">
        <v>4.24</v>
      </c>
      <c r="U70" s="32" t="n">
        <v>93.90000000000001</v>
      </c>
      <c r="V70" s="32" t="n">
        <v>86.02</v>
      </c>
      <c r="W70" s="32" t="n">
        <v>26.48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IF(B71=0,"",RANK(B71,$B$2:$B$87,0))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GALAPREC</t>
        </is>
      </c>
      <c r="D71" s="31" t="inlineStr">
        <is>
          <t>Gala Precision Engineering Ltd</t>
        </is>
      </c>
      <c r="E71" s="31" t="inlineStr">
        <is>
          <t>industrials</t>
        </is>
      </c>
      <c r="F71" s="31" t="inlineStr">
        <is>
          <t>Castings, Forgings &amp; Fastners</t>
        </is>
      </c>
      <c r="G71" s="31" t="inlineStr">
        <is>
          <t>smallcap</t>
        </is>
      </c>
      <c r="H71" s="32" t="n">
        <v>1550.76</v>
      </c>
      <c r="I71" s="32" t="n">
        <v>1210</v>
      </c>
      <c r="J71" s="32" t="n">
        <v>-0.41</v>
      </c>
      <c r="K71" s="32" t="n">
        <v>0</v>
      </c>
      <c r="L71" s="31" t="n">
        <v>82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79.93000000000001</v>
      </c>
      <c r="P71" s="32" t="n">
        <v>46.19</v>
      </c>
      <c r="Q71" s="32" t="n">
        <v>918.55</v>
      </c>
      <c r="R71" s="31" t="inlineStr">
        <is>
          <t>Near 52W High Breakout</t>
        </is>
      </c>
      <c r="S71" s="31" t="inlineStr">
        <is>
          <t>Nifty Infra</t>
        </is>
      </c>
      <c r="T71" s="32" t="n">
        <v>4.24</v>
      </c>
      <c r="U71" s="32" t="n">
        <v>40.29</v>
      </c>
      <c r="V71" s="32" t="n">
        <v>34.59</v>
      </c>
      <c r="W71" s="32" t="n">
        <v>22.48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16</t>
        </is>
      </c>
      <c r="CG71" s="31">
        <f>IF(CF71&gt;20,10,IF(CF71&gt;=10,5,2))</f>
        <v/>
      </c>
    </row>
    <row r="72">
      <c r="A72" s="31">
        <f>IF(B72=0,"",RANK(B72,$B$2:$B$87,0))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3" t="inlineStr">
        <is>
          <t>SHYAMMETL</t>
        </is>
      </c>
      <c r="D72" s="33" t="inlineStr">
        <is>
          <t>Shyam Metalics &amp; Energy Ltd</t>
        </is>
      </c>
      <c r="E72" s="31" t="inlineStr">
        <is>
          <t>metals &amp; mining</t>
        </is>
      </c>
      <c r="F72" s="31" t="inlineStr">
        <is>
          <t>Steel Products</t>
        </is>
      </c>
      <c r="G72" s="31" t="inlineStr">
        <is>
          <t>largecap</t>
        </is>
      </c>
      <c r="H72" s="32" t="n">
        <v>29560.06</v>
      </c>
      <c r="I72" s="32" t="n">
        <v>1059</v>
      </c>
      <c r="J72" s="32" t="n">
        <v>0.38</v>
      </c>
      <c r="K72" s="32" t="n">
        <v>0</v>
      </c>
      <c r="L72" s="31" t="n">
        <v>44</v>
      </c>
      <c r="M72" s="31" t="inlineStr">
        <is>
          <t>Underperforming</t>
        </is>
      </c>
      <c r="N72" s="32">
        <f>IF(M72="Underperforming",-5,IF(L72&gt;=95,15,IF(L72&gt;=90,10,IF(L72&gt;=80,5,0))))</f>
        <v/>
      </c>
      <c r="O72" s="32" t="n">
        <v>68.64</v>
      </c>
      <c r="P72" s="32" t="n">
        <v>17.94</v>
      </c>
      <c r="Q72" s="32" t="n">
        <v>873.55</v>
      </c>
      <c r="R72" s="31" t="inlineStr">
        <is>
          <t>Near 52W High Breakout</t>
        </is>
      </c>
      <c r="S72" s="31" t="inlineStr">
        <is>
          <t>Nifty Metal</t>
        </is>
      </c>
      <c r="T72" s="32" t="n">
        <v>33.93</v>
      </c>
      <c r="U72" s="32" t="n">
        <v>10.12</v>
      </c>
      <c r="V72" s="32" t="n">
        <v>-17.78</v>
      </c>
      <c r="W72" s="32" t="n">
        <v>8.83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IF(B73=0,"",RANK(B73,$B$2:$B$87,0))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KAPSTON</t>
        </is>
      </c>
      <c r="D73" s="31" t="inlineStr">
        <is>
          <t>Kapston Services Ltd</t>
        </is>
      </c>
      <c r="E73" s="31" t="inlineStr">
        <is>
          <t>miscellaneous</t>
        </is>
      </c>
      <c r="F73" s="31" t="inlineStr">
        <is>
          <t>Services - Others</t>
        </is>
      </c>
      <c r="G73" s="31" t="inlineStr">
        <is>
          <t>smallcap</t>
        </is>
      </c>
      <c r="H73" s="32" t="n">
        <v>1379.49</v>
      </c>
      <c r="I73" s="32" t="n">
        <v>453.3</v>
      </c>
      <c r="J73" s="32" t="n">
        <v>4.87</v>
      </c>
      <c r="K73" s="32" t="n">
        <v>0</v>
      </c>
      <c r="L73" s="31" t="n">
        <v>82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73.47</v>
      </c>
      <c r="P73" s="32" t="n">
        <v>21.71</v>
      </c>
      <c r="Q73" s="32" t="n">
        <v>342.01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-2.61</v>
      </c>
      <c r="U73" s="32" t="n">
        <v>88.97</v>
      </c>
      <c r="V73" s="32" t="n">
        <v>94.04000000000001</v>
      </c>
      <c r="W73" s="32" t="n">
        <v>22.35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Less than 50% and Borrowings are increasing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RPTECH</t>
        </is>
      </c>
      <c r="D74" s="31" t="inlineStr">
        <is>
          <t>Rashi Peripherals Ltd</t>
        </is>
      </c>
      <c r="E74" s="31" t="inlineStr">
        <is>
          <t>services</t>
        </is>
      </c>
      <c r="F74" s="31" t="inlineStr">
        <is>
          <t>Trading</t>
        </is>
      </c>
      <c r="G74" s="31" t="inlineStr">
        <is>
          <t>smallcap</t>
        </is>
      </c>
      <c r="H74" s="32" t="n">
        <v>4912.16</v>
      </c>
      <c r="I74" s="32" t="n">
        <v>745.4</v>
      </c>
      <c r="J74" s="32" t="n">
        <v>-1.49</v>
      </c>
      <c r="K74" s="32" t="n">
        <v>0</v>
      </c>
      <c r="L74" s="31" t="n">
        <v>94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76.01000000000001</v>
      </c>
      <c r="P74" s="32" t="n">
        <v>73.65000000000001</v>
      </c>
      <c r="Q74" s="32" t="n">
        <v>604.09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-2.61</v>
      </c>
      <c r="U74" s="32" t="n">
        <v>153.59</v>
      </c>
      <c r="V74" s="32" t="n">
        <v>160.39</v>
      </c>
      <c r="W74" s="32" t="n">
        <v>34.84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IF(B75=0,"",RANK(B75,$B$2:$B$87,0))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SENCO</t>
        </is>
      </c>
      <c r="D75" s="34" t="inlineStr">
        <is>
          <t>Senco Gold Ltd</t>
        </is>
      </c>
      <c r="E75" s="31" t="inlineStr">
        <is>
          <t>consumer discretionary</t>
        </is>
      </c>
      <c r="F75" s="31" t="inlineStr">
        <is>
          <t>Diamond, Gems &amp; Jewellery</t>
        </is>
      </c>
      <c r="G75" s="31" t="inlineStr">
        <is>
          <t>midcap</t>
        </is>
      </c>
      <c r="H75" s="32" t="n">
        <v>6183.27</v>
      </c>
      <c r="I75" s="32" t="n">
        <v>377.4</v>
      </c>
      <c r="J75" s="32" t="n">
        <v>3.11</v>
      </c>
      <c r="K75" s="32" t="n">
        <v>0</v>
      </c>
      <c r="L75" s="31" t="n">
        <v>31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61.4</v>
      </c>
      <c r="P75" s="32" t="n">
        <v>26.06</v>
      </c>
      <c r="Q75" s="32" t="n">
        <v>289.34</v>
      </c>
      <c r="R75" s="31" t="inlineStr">
        <is>
          <t>Near 52W High Breakout</t>
        </is>
      </c>
      <c r="S75" s="31" t="inlineStr">
        <is>
          <t>Nifty 50</t>
        </is>
      </c>
      <c r="T75" s="32" t="n">
        <v>-2.61</v>
      </c>
      <c r="U75" s="32" t="n">
        <v>11.63</v>
      </c>
      <c r="V75" s="32" t="n">
        <v>14.63</v>
      </c>
      <c r="W75" s="32" t="n">
        <v>6.34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17</t>
        </is>
      </c>
      <c r="CG75" s="31">
        <f>IF(CF75&gt;20,10,IF(CF75&gt;=10,5,2))</f>
        <v/>
      </c>
    </row>
    <row r="76">
      <c r="A76" s="31">
        <f>IF(B76=0,"",RANK(B76,$B$2:$B$87,0))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GANDHAR</t>
        </is>
      </c>
      <c r="D76" s="31" t="inlineStr">
        <is>
          <t>Gandhar Oil Refinery (India) Ltd</t>
        </is>
      </c>
      <c r="E76" s="31" t="inlineStr">
        <is>
          <t>energy</t>
        </is>
      </c>
      <c r="F76" s="31" t="inlineStr">
        <is>
          <t>Refineries</t>
        </is>
      </c>
      <c r="G76" s="31" t="inlineStr">
        <is>
          <t>smallcap</t>
        </is>
      </c>
      <c r="H76" s="32" t="n">
        <v>2221.87</v>
      </c>
      <c r="I76" s="32" t="n">
        <v>227</v>
      </c>
      <c r="J76" s="32" t="n">
        <v>-0.58</v>
      </c>
      <c r="K76" s="32" t="n">
        <v>0</v>
      </c>
      <c r="L76" s="31" t="n">
        <v>84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77.03</v>
      </c>
      <c r="P76" s="32" t="n">
        <v>47.52</v>
      </c>
      <c r="Q76" s="32" t="n">
        <v>175.84</v>
      </c>
      <c r="R76" s="31" t="inlineStr">
        <is>
          <t>Near 52W High Breakout</t>
        </is>
      </c>
      <c r="S76" s="31" t="inlineStr">
        <is>
          <t>Nifty Energy</t>
        </is>
      </c>
      <c r="T76" s="32" t="n">
        <v>12.3</v>
      </c>
      <c r="U76" s="32" t="n">
        <v>36.77</v>
      </c>
      <c r="V76" s="32" t="n">
        <v>21.79</v>
      </c>
      <c r="W76" s="32" t="n">
        <v>23.37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16</t>
        </is>
      </c>
      <c r="CG76" s="31">
        <f>IF(CF76&gt;20,10,IF(CF76&gt;=10,5,2))</f>
        <v/>
      </c>
    </row>
    <row r="77">
      <c r="A77" s="31">
        <f>IF(B77=0,"",RANK(B77,$B$2:$B$87,0))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RML</t>
        </is>
      </c>
      <c r="D77" s="31" t="inlineStr">
        <is>
          <t>Rane (Madras) Ltd</t>
        </is>
      </c>
      <c r="E77" s="31" t="inlineStr">
        <is>
          <t>auto</t>
        </is>
      </c>
      <c r="F77" s="31" t="inlineStr">
        <is>
          <t>Auto Ancillaries - Gears</t>
        </is>
      </c>
      <c r="G77" s="31" t="inlineStr">
        <is>
          <t>smallcap</t>
        </is>
      </c>
      <c r="H77" s="32" t="n">
        <v>3323.37</v>
      </c>
      <c r="I77" s="32" t="n">
        <v>1202.5</v>
      </c>
      <c r="J77" s="32" t="n">
        <v>2.08</v>
      </c>
      <c r="K77" s="32" t="n">
        <v>0</v>
      </c>
      <c r="L77" s="31" t="n">
        <v>81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65.87</v>
      </c>
      <c r="P77" s="32" t="n">
        <v>39.83</v>
      </c>
      <c r="Q77" s="32" t="n">
        <v>1014.61</v>
      </c>
      <c r="R77" s="31" t="inlineStr">
        <is>
          <t>Earnings / Momentum Support</t>
        </is>
      </c>
      <c r="S77" s="31" t="inlineStr">
        <is>
          <t>Nifty Auto</t>
        </is>
      </c>
      <c r="T77" s="32" t="n">
        <v>14.71</v>
      </c>
      <c r="U77" s="32" t="n">
        <v>41.97</v>
      </c>
      <c r="V77" s="32" t="n">
        <v>23.76</v>
      </c>
      <c r="W77" s="32" t="n">
        <v>21.84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IF(B78=0,"",RANK(B78,$B$2:$B$87,0))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RPGLIFE</t>
        </is>
      </c>
      <c r="D78" s="31" t="inlineStr">
        <is>
          <t>RPG Life Sciences Ltd</t>
        </is>
      </c>
      <c r="E78" s="31" t="inlineStr">
        <is>
          <t>healthcare</t>
        </is>
      </c>
      <c r="F78" s="31" t="inlineStr">
        <is>
          <t>Pharma - Formulators</t>
        </is>
      </c>
      <c r="G78" s="31" t="inlineStr">
        <is>
          <t>midcap</t>
        </is>
      </c>
      <c r="H78" s="32" t="n">
        <v>5003.05</v>
      </c>
      <c r="I78" s="32" t="n">
        <v>3025</v>
      </c>
      <c r="J78" s="32" t="n">
        <v>0.26</v>
      </c>
      <c r="K78" s="32" t="n">
        <v>0</v>
      </c>
      <c r="L78" s="31" t="n">
        <v>70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77.67</v>
      </c>
      <c r="P78" s="32" t="n">
        <v>26.72</v>
      </c>
      <c r="Q78" s="32" t="n">
        <v>2393.27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15.14</v>
      </c>
      <c r="U78" s="32" t="n">
        <v>21.5</v>
      </c>
      <c r="V78" s="32" t="n">
        <v>5.53</v>
      </c>
      <c r="W78" s="32" t="n">
        <v>15.64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IF(B79=0,"",RANK(B79,$B$2:$B$87,0))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CNL</t>
        </is>
      </c>
      <c r="D79" s="31" t="inlineStr">
        <is>
          <t>Creative Newtech Ltd</t>
        </is>
      </c>
      <c r="E79" s="31" t="inlineStr">
        <is>
          <t>Technology</t>
        </is>
      </c>
      <c r="F79" s="31" t="inlineStr">
        <is>
          <t>E-Commerce - Platform - Utility</t>
        </is>
      </c>
      <c r="G79" s="31" t="inlineStr">
        <is>
          <t>smallcap</t>
        </is>
      </c>
      <c r="H79" s="32" t="n">
        <v>1433.34</v>
      </c>
      <c r="I79" s="32" t="n">
        <v>954.5</v>
      </c>
      <c r="J79" s="32" t="n">
        <v>2.54</v>
      </c>
      <c r="K79" s="32" t="n">
        <v>0</v>
      </c>
      <c r="L79" s="31" t="n">
        <v>83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79.42</v>
      </c>
      <c r="P79" s="32" t="n">
        <v>34.1</v>
      </c>
      <c r="Q79" s="32" t="n">
        <v>729.76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-2.61</v>
      </c>
      <c r="U79" s="32" t="n">
        <v>44.46</v>
      </c>
      <c r="V79" s="32" t="n">
        <v>48.34</v>
      </c>
      <c r="W79" s="32" t="n">
        <v>22.74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IF(B80=0,"",RANK(B80,$B$2:$B$87,0))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LLOYDSME</t>
        </is>
      </c>
      <c r="D80" s="33" t="inlineStr">
        <is>
          <t>Lloyds Metals &amp; Energy Ltd</t>
        </is>
      </c>
      <c r="E80" s="31" t="inlineStr">
        <is>
          <t>metals &amp; mining</t>
        </is>
      </c>
      <c r="F80" s="31" t="inlineStr">
        <is>
          <t>Mining/Minerals - Iron Ore</t>
        </is>
      </c>
      <c r="G80" s="31" t="inlineStr">
        <is>
          <t>largecap</t>
        </is>
      </c>
      <c r="H80" s="32" t="n">
        <v>108809.91</v>
      </c>
      <c r="I80" s="32" t="n">
        <v>1933</v>
      </c>
      <c r="J80" s="32" t="n">
        <v>1.32</v>
      </c>
      <c r="K80" s="32" t="n">
        <v>0</v>
      </c>
      <c r="L80" s="31" t="n">
        <v>53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74.45999999999999</v>
      </c>
      <c r="P80" s="32" t="n">
        <v>44.68</v>
      </c>
      <c r="Q80" s="32" t="n">
        <v>1599.12</v>
      </c>
      <c r="R80" s="31" t="inlineStr">
        <is>
          <t>Near 52W High Breakout</t>
        </is>
      </c>
      <c r="S80" s="31" t="inlineStr">
        <is>
          <t>Nifty Metal</t>
        </is>
      </c>
      <c r="T80" s="32" t="n">
        <v>33.93</v>
      </c>
      <c r="U80" s="32" t="n">
        <v>28.8</v>
      </c>
      <c r="V80" s="32" t="n">
        <v>-3.83</v>
      </c>
      <c r="W80" s="32" t="n">
        <v>10.57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 and Borrowings are increasing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IF(B81=0,"",RANK(B81,$B$2:$B$87,0))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TVSMOTOR</t>
        </is>
      </c>
      <c r="D81" s="34" t="inlineStr">
        <is>
          <t>TVS Motor Company Ltd</t>
        </is>
      </c>
      <c r="E81" s="31" t="inlineStr">
        <is>
          <t>auto</t>
        </is>
      </c>
      <c r="F81" s="31" t="inlineStr">
        <is>
          <t>Auto - 2 &amp; 3 Wheelers</t>
        </is>
      </c>
      <c r="G81" s="31" t="inlineStr">
        <is>
          <t>largecap</t>
        </is>
      </c>
      <c r="H81" s="32" t="n">
        <v>180248.05</v>
      </c>
      <c r="I81" s="32" t="n">
        <v>3794</v>
      </c>
      <c r="J81" s="32" t="n">
        <v>5.68</v>
      </c>
      <c r="K81" s="32" t="n">
        <v>0</v>
      </c>
      <c r="L81" s="31" t="n">
        <v>45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59.26</v>
      </c>
      <c r="P81" s="32" t="n">
        <v>9.949999999999999</v>
      </c>
      <c r="Q81" s="32" t="n">
        <v>3145.77</v>
      </c>
      <c r="R81" s="31" t="inlineStr">
        <is>
          <t>Near 52W High Breakout</t>
        </is>
      </c>
      <c r="S81" s="31" t="inlineStr">
        <is>
          <t>Nifty Auto</t>
        </is>
      </c>
      <c r="T81" s="32" t="n">
        <v>14.71</v>
      </c>
      <c r="U81" s="32" t="n">
        <v>37.16</v>
      </c>
      <c r="V81" s="32" t="n">
        <v>19.56</v>
      </c>
      <c r="W81" s="32" t="n">
        <v>8.880000000000001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IF(B82=0,"",RANK(B82,$B$2:$B$87,0))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MRPL</t>
        </is>
      </c>
      <c r="D82" s="34" t="inlineStr">
        <is>
          <t>Mangalore Refinery And Petrochemicals Ltd</t>
        </is>
      </c>
      <c r="E82" s="31" t="inlineStr">
        <is>
          <t>energy</t>
        </is>
      </c>
      <c r="F82" s="31" t="inlineStr">
        <is>
          <t>Refineries</t>
        </is>
      </c>
      <c r="G82" s="31" t="inlineStr">
        <is>
          <t>largecap</t>
        </is>
      </c>
      <c r="H82" s="32" t="n">
        <v>31047.29</v>
      </c>
      <c r="I82" s="32" t="n">
        <v>177.15</v>
      </c>
      <c r="J82" s="32" t="n">
        <v>3.64</v>
      </c>
      <c r="K82" s="32" t="n">
        <v>0</v>
      </c>
      <c r="L82" s="31" t="n">
        <v>22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56.78</v>
      </c>
      <c r="P82" s="32" t="n">
        <v>14.79</v>
      </c>
      <c r="Q82" s="32" t="n">
        <v>138.94</v>
      </c>
      <c r="R82" s="31" t="inlineStr">
        <is>
          <t>Earnings / Momentum Support</t>
        </is>
      </c>
      <c r="S82" s="31" t="inlineStr">
        <is>
          <t>Nifty Energy</t>
        </is>
      </c>
      <c r="T82" s="32" t="n">
        <v>12.3</v>
      </c>
      <c r="U82" s="32" t="n">
        <v>27.84</v>
      </c>
      <c r="V82" s="32" t="n">
        <v>13.84</v>
      </c>
      <c r="W82" s="32" t="n">
        <v>4.36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IF(B83=0,"",RANK(B83,$B$2:$B$87,0))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KRISHANA</t>
        </is>
      </c>
      <c r="D83" s="31" t="inlineStr">
        <is>
          <t>Krishana Phoschem Ltd</t>
        </is>
      </c>
      <c r="E83" s="31" t="inlineStr">
        <is>
          <t>Basic Materials</t>
        </is>
      </c>
      <c r="F83" s="31" t="inlineStr">
        <is>
          <t>Fertilisers</t>
        </is>
      </c>
      <c r="G83" s="31" t="inlineStr">
        <is>
          <t>smallcap</t>
        </is>
      </c>
      <c r="H83" s="32" t="n">
        <v>4420.67</v>
      </c>
      <c r="I83" s="32" t="n">
        <v>143</v>
      </c>
      <c r="J83" s="32" t="n">
        <v>-1.58</v>
      </c>
      <c r="K83" s="32" t="n">
        <v>0</v>
      </c>
      <c r="L83" s="31" t="n">
        <v>48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64.48999999999999</v>
      </c>
      <c r="P83" s="32" t="n">
        <v>43.02</v>
      </c>
      <c r="Q83" s="32" t="n">
        <v>116.04</v>
      </c>
      <c r="R83" s="31" t="inlineStr">
        <is>
          <t>Earnings / Momentum Support</t>
        </is>
      </c>
      <c r="S83" s="31" t="inlineStr">
        <is>
          <t>Nifty FMCG</t>
        </is>
      </c>
      <c r="T83" s="32" t="n">
        <v>-10.38</v>
      </c>
      <c r="U83" s="32" t="n">
        <v>36.4</v>
      </c>
      <c r="V83" s="32" t="n">
        <v>52.2</v>
      </c>
      <c r="W83" s="32" t="n">
        <v>9.630000000000001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IF(B84=0,"",RANK(B84,$B$2:$B$87,0))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UTSSAV</t>
        </is>
      </c>
      <c r="D84" s="31" t="inlineStr">
        <is>
          <t>Utssav CZ Gold Jewels Ltd</t>
        </is>
      </c>
      <c r="E84" s="31" t="inlineStr">
        <is>
          <t>unknown</t>
        </is>
      </c>
      <c r="F84" s="31" t="inlineStr">
        <is>
          <t>Diamond, Gems &amp; Jewellery</t>
        </is>
      </c>
      <c r="G84" s="31" t="inlineStr">
        <is>
          <t>smallcap</t>
        </is>
      </c>
      <c r="H84" s="32" t="n">
        <v>1278.64</v>
      </c>
      <c r="I84" s="32" t="n">
        <v>529.5</v>
      </c>
      <c r="J84" s="32" t="n">
        <v>-1.55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NITTAGELA</t>
        </is>
      </c>
      <c r="D85" s="31" t="inlineStr">
        <is>
          <t>Nitta Gelatin India Ltd</t>
        </is>
      </c>
      <c r="E85" s="31" t="inlineStr">
        <is>
          <t>unknown</t>
        </is>
      </c>
      <c r="F85" s="31" t="inlineStr">
        <is>
          <t>Chemicals - Organic</t>
        </is>
      </c>
      <c r="G85" s="31" t="inlineStr">
        <is>
          <t>smallcap</t>
        </is>
      </c>
      <c r="H85" s="32" t="n">
        <v>1682.91</v>
      </c>
      <c r="I85" s="32" t="n">
        <v>1853.6</v>
      </c>
      <c r="J85" s="32" t="n">
        <v>-1.29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6">
      <c r="A86" s="31">
        <f>IF(B86=0,"",RANK(B86,$B$2:$B$87,0))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ECLERX</t>
        </is>
      </c>
      <c r="D86" s="31" t="inlineStr">
        <is>
          <t>eClerx Services Ltd</t>
        </is>
      </c>
      <c r="E86" s="31" t="inlineStr">
        <is>
          <t>unknown</t>
        </is>
      </c>
      <c r="F86" s="31" t="inlineStr">
        <is>
          <t>IT Enabled Services</t>
        </is>
      </c>
      <c r="G86" s="31" t="inlineStr">
        <is>
          <t>midcap</t>
        </is>
      </c>
      <c r="H86" s="32" t="n">
        <v>18245.84</v>
      </c>
      <c r="I86" s="32" t="n">
        <v>1940</v>
      </c>
      <c r="J86" s="32" t="n">
        <v>3.33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inlineStr"/>
      <c r="P86" s="32" t="inlineStr"/>
      <c r="Q86" s="32" t="inlineStr"/>
      <c r="R86" s="31" t="inlineStr"/>
      <c r="S86" s="31" t="inlineStr"/>
      <c r="T86" s="32" t="inlineStr"/>
      <c r="U86" s="32" t="inlineStr"/>
      <c r="V86" s="32" t="inlineStr"/>
      <c r="W86" s="32" t="inlineStr"/>
      <c r="X86" s="31" t="n"/>
      <c r="Y86" s="31">
        <f>IF(X86="Growing Industry",10,IF(X86="Cyclical in an Upturn",5,0))</f>
        <v/>
      </c>
      <c r="Z86" s="31" t="n"/>
      <c r="AA86" s="31">
        <f>IF(Z86="Monopoly",10,IF(Z86="Oligopoly",5,IF(Z86="Duopoly that cooperate",10,IF(Z86="Duopoly that compete",5,IF(Z86="Too many players with High ROCE",5,0)))))</f>
        <v/>
      </c>
      <c r="AB86" s="31" t="n"/>
      <c r="AC86" s="31">
        <f>IF(AB86="No",5,0)</f>
        <v/>
      </c>
      <c r="AD86" s="31" t="n"/>
      <c r="AE86" s="31">
        <f>IF(AD86="Tailwind",10,0)</f>
        <v/>
      </c>
      <c r="AF86" s="31" t="n"/>
      <c r="AG86" s="31">
        <f>IF(AF86="Structural (10 Years Consistency)",10,IF(AF86="Shallow Cyclical (2 to 3 years growth)",5,0))</f>
        <v/>
      </c>
      <c r="AH86" s="31" t="n"/>
      <c r="AI86" s="31">
        <f>IF(AH86="Yes due to Product Mix change or Operating Leverage",10,IF(AH86="Yes, these are peak margins",-5,IF(AH86="No",5,0)))</f>
        <v/>
      </c>
      <c r="AJ86" s="31" t="n"/>
      <c r="AK86" s="31">
        <f>IF(AJ86="Stable",10,0)</f>
        <v/>
      </c>
      <c r="AL86" s="31" t="n"/>
      <c r="AM86" s="31">
        <f>IF(AL86="Yes",10,0)</f>
        <v/>
      </c>
      <c r="AN86" s="31" t="n"/>
      <c r="AO86" s="31">
        <f>IF(AN86="B2C",10,IF(AN86="B2B",5,0))</f>
        <v/>
      </c>
      <c r="AP86" s="31" t="n"/>
      <c r="AQ86" s="31">
        <f>IF(AP86="Yes",10,0)</f>
        <v/>
      </c>
      <c r="AR86" s="31" t="n"/>
      <c r="AS86" s="31">
        <f>IF(AR86="Fully Annuity",10,IF(AR86="Higher Annuity, Lower One Time",5,IF(AR86="Higher One Time, Lower Annuity",3,0)))</f>
        <v/>
      </c>
      <c r="AT86" s="31" t="n"/>
      <c r="AU86" s="31">
        <f>IF(AT86="Good",10,0)</f>
        <v/>
      </c>
      <c r="AV86" s="31" t="n"/>
      <c r="AW86" s="31">
        <f>IF(AV86="Yes for more than 2 years",10,IF(AV86="Yes only for next 1 to 2 years",5,0))</f>
        <v/>
      </c>
      <c r="AX86" s="31" t="n"/>
      <c r="AY86" s="31">
        <f>IF(AX86="Above 40",20,IF(AX86="20 to 40",10,IF(AX86="0 to 20",-5,0)))</f>
        <v/>
      </c>
      <c r="AZ86" s="31" t="n"/>
      <c r="BA86" s="31">
        <f>IF(AZ86="Between 50 to 75",10,IF(AZ86="Above 75",0,0))</f>
        <v/>
      </c>
      <c r="BB86" s="31" t="n"/>
      <c r="BC86" s="31">
        <f>IF(BB86="Stage 2",20,IF(BB86="Stage 1",0,IF(BB86="Stage 3",5,IF(BB86="Stage 4",-5,0))))</f>
        <v/>
      </c>
      <c r="BD86" s="31" t="n"/>
      <c r="BE86" s="31">
        <f>IF(BD86="Positive Trend",20,IF(BD86="Negative Trend",-10,0))</f>
        <v/>
      </c>
      <c r="BF86" s="31" t="n"/>
      <c r="BG86" s="31">
        <f>IF(BF86="Uptrend",10,IF(BF86="Sideways",5,0))</f>
        <v/>
      </c>
      <c r="BH86" s="31" t="n"/>
      <c r="BI86" s="31">
        <f>IF(BH86="Uptrend",10,IF(BH86="Sideways",5,0))</f>
        <v/>
      </c>
      <c r="BJ86" s="31" t="n"/>
      <c r="BK86" s="31">
        <f>IF(BJ86="Overhead supply in last 2 years in last 2 years",-5,IF(BJ86="Close to 52 week high or retracement",5,IF(BJ86="Blue sky scenario",10,IF(BJ86="Long term Downtrend",-10,0))))</f>
        <v/>
      </c>
      <c r="BL86" s="31" t="n"/>
      <c r="BM86" s="31">
        <f>IF(BL86="Yes",10,0)</f>
        <v/>
      </c>
      <c r="BN86" s="31" t="n"/>
      <c r="BO86" s="31">
        <f>IF(BN86="More than 20%",10,IF(BN86="Between 12 to 20%",5,IF(BN86="Less than 12%",0,0)))</f>
        <v/>
      </c>
      <c r="BP86" s="31" t="n"/>
      <c r="BQ86" s="31">
        <f>IF(BP86="No",10,0)</f>
        <v/>
      </c>
      <c r="BR86" s="31" t="n"/>
      <c r="BS86" s="31">
        <f>IF(BR86="NO",5,0)</f>
        <v/>
      </c>
      <c r="BT86" s="31" t="n"/>
      <c r="BU86" s="31">
        <f>IF(BT86="Above 2",0,IF(BT86="Between 1.5 to 2",5,IF(BT86="Less than 1.5",10,0)))</f>
        <v/>
      </c>
      <c r="BV86" s="31" t="n"/>
      <c r="BW86" s="31">
        <f>IF(BV86="Above 70%",10,IF(BV86="Between 50% to 70%",5,IF(BV86="Less than 50%",0,IF(BV86="Negative",-10,IF(BV86="Less than 50% and Borrowings are increasing",-5,0)))))</f>
        <v/>
      </c>
      <c r="BX86" s="31" t="n"/>
      <c r="BY86" s="31">
        <f>IF(BX86="More than 1.2",-10,IF(BX86="Between 0.7 to 1.2",0,IF(BX86="Less than 0.7",10,0)))</f>
        <v/>
      </c>
      <c r="BZ86" s="31" t="n"/>
      <c r="CA86" s="31">
        <f>IF(BZ86="Yes",-10,0)</f>
        <v/>
      </c>
      <c r="CB86" s="31" t="n"/>
      <c r="CC86" s="31">
        <f>IF(CB86="More than 15%",-10,IF(CB86="Less than 15%",10,0))</f>
        <v/>
      </c>
      <c r="CD86" s="31" t="n"/>
      <c r="CE86" s="31">
        <f>IF(CD86="Yes, more than 10%",-10,IF(CD86="No",10,0))</f>
        <v/>
      </c>
      <c r="CF86" s="31" t="n"/>
      <c r="CG86" s="31">
        <f>IF(CF86&gt;20,10,IF(CF86&gt;=10,5,2))</f>
        <v/>
      </c>
    </row>
    <row r="87">
      <c r="A87" s="31">
        <f>IF(B87=0,"",RANK(B87,$B$2:$B$87,0))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SACHEEROME</t>
        </is>
      </c>
      <c r="D87" s="31" t="inlineStr">
        <is>
          <t>Sacheerome Ltd</t>
        </is>
      </c>
      <c r="E87" s="31" t="inlineStr">
        <is>
          <t>unknown</t>
        </is>
      </c>
      <c r="F87" s="31" t="inlineStr">
        <is>
          <t>Chemicals - Organic</t>
        </is>
      </c>
      <c r="G87" s="31" t="inlineStr">
        <is>
          <t>smallcap</t>
        </is>
      </c>
      <c r="H87" s="32" t="n">
        <v>1051.52</v>
      </c>
      <c r="I87" s="32" t="n">
        <v>470</v>
      </c>
      <c r="J87" s="32" t="n">
        <v>-0.46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inlineStr"/>
      <c r="P87" s="32" t="inlineStr"/>
      <c r="Q87" s="32" t="inlineStr"/>
      <c r="R87" s="31" t="inlineStr"/>
      <c r="S87" s="31" t="inlineStr"/>
      <c r="T87" s="32" t="inlineStr"/>
      <c r="U87" s="32" t="inlineStr"/>
      <c r="V87" s="32" t="inlineStr"/>
      <c r="W87" s="32" t="inlineStr"/>
      <c r="X87" s="31" t="n"/>
      <c r="Y87" s="31">
        <f>IF(X87="Growing Industry",10,IF(X87="Cyclical in an Upturn",5,0))</f>
        <v/>
      </c>
      <c r="Z87" s="31" t="n"/>
      <c r="AA87" s="31">
        <f>IF(Z87="Monopoly",10,IF(Z87="Oligopoly",5,IF(Z87="Duopoly that cooperate",10,IF(Z87="Duopoly that compete",5,IF(Z87="Too many players with High ROCE",5,0)))))</f>
        <v/>
      </c>
      <c r="AB87" s="31" t="n"/>
      <c r="AC87" s="31">
        <f>IF(AB87="No",5,0)</f>
        <v/>
      </c>
      <c r="AD87" s="31" t="n"/>
      <c r="AE87" s="31">
        <f>IF(AD87="Tailwind",10,0)</f>
        <v/>
      </c>
      <c r="AF87" s="31" t="n"/>
      <c r="AG87" s="31">
        <f>IF(AF87="Structural (10 Years Consistency)",10,IF(AF87="Shallow Cyclical (2 to 3 years growth)",5,0))</f>
        <v/>
      </c>
      <c r="AH87" s="31" t="n"/>
      <c r="AI87" s="31">
        <f>IF(AH87="Yes due to Product Mix change or Operating Leverage",10,IF(AH87="Yes, these are peak margins",-5,IF(AH87="No",5,0)))</f>
        <v/>
      </c>
      <c r="AJ87" s="31" t="n"/>
      <c r="AK87" s="31">
        <f>IF(AJ87="Stable",10,0)</f>
        <v/>
      </c>
      <c r="AL87" s="31" t="n"/>
      <c r="AM87" s="31">
        <f>IF(AL87="Yes",10,0)</f>
        <v/>
      </c>
      <c r="AN87" s="31" t="n"/>
      <c r="AO87" s="31">
        <f>IF(AN87="B2C",10,IF(AN87="B2B",5,0))</f>
        <v/>
      </c>
      <c r="AP87" s="31" t="n"/>
      <c r="AQ87" s="31">
        <f>IF(AP87="Yes",10,0)</f>
        <v/>
      </c>
      <c r="AR87" s="31" t="n"/>
      <c r="AS87" s="31">
        <f>IF(AR87="Fully Annuity",10,IF(AR87="Higher Annuity, Lower One Time",5,IF(AR87="Higher One Time, Lower Annuity",3,0)))</f>
        <v/>
      </c>
      <c r="AT87" s="31" t="n"/>
      <c r="AU87" s="31">
        <f>IF(AT87="Good",10,0)</f>
        <v/>
      </c>
      <c r="AV87" s="31" t="n"/>
      <c r="AW87" s="31">
        <f>IF(AV87="Yes for more than 2 years",10,IF(AV87="Yes only for next 1 to 2 years",5,0))</f>
        <v/>
      </c>
      <c r="AX87" s="31" t="n"/>
      <c r="AY87" s="31">
        <f>IF(AX87="Above 40",20,IF(AX87="20 to 40",10,IF(AX87="0 to 20",-5,0)))</f>
        <v/>
      </c>
      <c r="AZ87" s="31" t="n"/>
      <c r="BA87" s="31">
        <f>IF(AZ87="Between 50 to 75",10,IF(AZ87="Above 75",0,0))</f>
        <v/>
      </c>
      <c r="BB87" s="31" t="n"/>
      <c r="BC87" s="31">
        <f>IF(BB87="Stage 2",20,IF(BB87="Stage 1",0,IF(BB87="Stage 3",5,IF(BB87="Stage 4",-5,0))))</f>
        <v/>
      </c>
      <c r="BD87" s="31" t="n"/>
      <c r="BE87" s="31">
        <f>IF(BD87="Positive Trend",20,IF(BD87="Negative Trend",-10,0))</f>
        <v/>
      </c>
      <c r="BF87" s="31" t="n"/>
      <c r="BG87" s="31">
        <f>IF(BF87="Uptrend",10,IF(BF87="Sideways",5,0))</f>
        <v/>
      </c>
      <c r="BH87" s="31" t="n"/>
      <c r="BI87" s="31">
        <f>IF(BH87="Uptrend",10,IF(BH87="Sideways",5,0))</f>
        <v/>
      </c>
      <c r="BJ87" s="31" t="n"/>
      <c r="BK87" s="31">
        <f>IF(BJ87="Overhead supply in last 2 years in last 2 years",-5,IF(BJ87="Close to 52 week high or retracement",5,IF(BJ87="Blue sky scenario",10,IF(BJ87="Long term Downtrend",-10,0))))</f>
        <v/>
      </c>
      <c r="BL87" s="31" t="n"/>
      <c r="BM87" s="31">
        <f>IF(BL87="Yes",10,0)</f>
        <v/>
      </c>
      <c r="BN87" s="31" t="n"/>
      <c r="BO87" s="31">
        <f>IF(BN87="More than 20%",10,IF(BN87="Between 12 to 20%",5,IF(BN87="Less than 12%",0,0)))</f>
        <v/>
      </c>
      <c r="BP87" s="31" t="n"/>
      <c r="BQ87" s="31">
        <f>IF(BP87="No",10,0)</f>
        <v/>
      </c>
      <c r="BR87" s="31" t="n"/>
      <c r="BS87" s="31">
        <f>IF(BR87="NO",5,0)</f>
        <v/>
      </c>
      <c r="BT87" s="31" t="n"/>
      <c r="BU87" s="31">
        <f>IF(BT87="Above 2",0,IF(BT87="Between 1.5 to 2",5,IF(BT87="Less than 1.5",10,0)))</f>
        <v/>
      </c>
      <c r="BV87" s="31" t="n"/>
      <c r="BW87" s="31">
        <f>IF(BV87="Above 70%",10,IF(BV87="Between 50% to 70%",5,IF(BV87="Less than 50%",0,IF(BV87="Negative",-10,IF(BV87="Less than 50% and Borrowings are increasing",-5,0)))))</f>
        <v/>
      </c>
      <c r="BX87" s="31" t="n"/>
      <c r="BY87" s="31">
        <f>IF(BX87="More than 1.2",-10,IF(BX87="Between 0.7 to 1.2",0,IF(BX87="Less than 0.7",10,0)))</f>
        <v/>
      </c>
      <c r="BZ87" s="31" t="n"/>
      <c r="CA87" s="31">
        <f>IF(BZ87="Yes",-10,0)</f>
        <v/>
      </c>
      <c r="CB87" s="31" t="n"/>
      <c r="CC87" s="31">
        <f>IF(CB87="More than 15%",-10,IF(CB87="Less than 15%",10,0))</f>
        <v/>
      </c>
      <c r="CD87" s="31" t="n"/>
      <c r="CE87" s="31">
        <f>IF(CD87="Yes, more than 10%",-10,IF(CD87="No",10,0))</f>
        <v/>
      </c>
      <c r="CF87" s="31" t="n"/>
      <c r="CG87" s="31">
        <f>IF(CF87&gt;20,10,IF(CF87&gt;=10,5,2))</f>
        <v/>
      </c>
    </row>
    <row r="91">
      <c r="A91" s="25" t="inlineStr">
        <is>
          <t>❌ REMOVED SCAN MATCH STOCKS (THIS WEEK)</t>
        </is>
      </c>
    </row>
    <row r="92">
      <c r="A92" s="35" t="inlineStr">
        <is>
          <t>Symbol</t>
        </is>
      </c>
      <c r="B92" s="35" t="inlineStr">
        <is>
          <t>Company Name</t>
        </is>
      </c>
      <c r="C92" s="35" t="inlineStr">
        <is>
          <t>Sector</t>
        </is>
      </c>
      <c r="D92" s="35" t="inlineStr">
        <is>
          <t>Date of Removal</t>
        </is>
      </c>
    </row>
    <row r="93">
      <c r="A93" s="36" t="inlineStr">
        <is>
          <t>AEGISLOG</t>
        </is>
      </c>
      <c r="B93" s="37" t="inlineStr">
        <is>
          <t>AEGISLOG</t>
        </is>
      </c>
      <c r="C93" s="37" t="inlineStr">
        <is>
          <t>Energy</t>
        </is>
      </c>
      <c r="D93" s="38" t="inlineStr">
        <is>
          <t>2026-07-21</t>
        </is>
      </c>
    </row>
    <row r="94">
      <c r="A94" s="36" t="inlineStr">
        <is>
          <t>CFF</t>
        </is>
      </c>
      <c r="B94" s="37" t="inlineStr">
        <is>
          <t>CFF</t>
        </is>
      </c>
      <c r="C94" s="37" t="inlineStr">
        <is>
          <t>unknown</t>
        </is>
      </c>
      <c r="D94" s="38" t="inlineStr">
        <is>
          <t>2026-07-21</t>
        </is>
      </c>
    </row>
    <row r="95">
      <c r="A95" s="36" t="inlineStr">
        <is>
          <t>EMMVEE</t>
        </is>
      </c>
      <c r="B95" s="37" t="inlineStr">
        <is>
          <t>EMMVEE</t>
        </is>
      </c>
      <c r="C95" s="37" t="inlineStr">
        <is>
          <t>unknown</t>
        </is>
      </c>
      <c r="D95" s="38" t="inlineStr">
        <is>
          <t>2026-07-21</t>
        </is>
      </c>
    </row>
    <row r="96">
      <c r="A96" s="36" t="inlineStr">
        <is>
          <t>GNA</t>
        </is>
      </c>
      <c r="B96" s="37" t="inlineStr">
        <is>
          <t>G N A Axles Limited</t>
        </is>
      </c>
      <c r="C96" s="37" t="inlineStr">
        <is>
          <t>Consumer Cyclical</t>
        </is>
      </c>
      <c r="D96" s="38" t="inlineStr">
        <is>
          <t>2026-07-21</t>
        </is>
      </c>
    </row>
    <row r="97">
      <c r="A97" s="36" t="inlineStr">
        <is>
          <t>HSCL</t>
        </is>
      </c>
      <c r="B97" s="37" t="inlineStr">
        <is>
          <t>Himadri Speciality Chemical Limited</t>
        </is>
      </c>
      <c r="C97" s="37" t="inlineStr">
        <is>
          <t>Basic Materials</t>
        </is>
      </c>
      <c r="D97" s="38" t="inlineStr">
        <is>
          <t>2026-07-21</t>
        </is>
      </c>
    </row>
    <row r="98">
      <c r="A98" s="36" t="inlineStr">
        <is>
          <t>INDOBORAX</t>
        </is>
      </c>
      <c r="B98" s="37" t="inlineStr">
        <is>
          <t>INDOBORAX</t>
        </is>
      </c>
      <c r="C98" s="37" t="inlineStr">
        <is>
          <t>unknown</t>
        </is>
      </c>
      <c r="D98" s="38" t="inlineStr">
        <is>
          <t>2026-07-21</t>
        </is>
      </c>
    </row>
    <row r="99">
      <c r="A99" s="36" t="inlineStr">
        <is>
          <t>IOLCP</t>
        </is>
      </c>
      <c r="B99" s="37" t="inlineStr">
        <is>
          <t>IOLCP</t>
        </is>
      </c>
      <c r="C99" s="37" t="inlineStr">
        <is>
          <t>unknown</t>
        </is>
      </c>
      <c r="D99" s="38" t="inlineStr">
        <is>
          <t>2026-07-21</t>
        </is>
      </c>
    </row>
    <row r="100">
      <c r="A100" s="36" t="inlineStr">
        <is>
          <t>JUSTDIAL</t>
        </is>
      </c>
      <c r="B100" s="37" t="inlineStr">
        <is>
          <t>JUSTDIAL</t>
        </is>
      </c>
      <c r="C100" s="37" t="inlineStr">
        <is>
          <t>unknown</t>
        </is>
      </c>
      <c r="D100" s="38" t="inlineStr">
        <is>
          <t>2026-07-21</t>
        </is>
      </c>
    </row>
    <row r="101">
      <c r="A101" s="36" t="inlineStr">
        <is>
          <t>NITTAGELA</t>
        </is>
      </c>
      <c r="B101" s="37" t="inlineStr">
        <is>
          <t>NITTAGELA</t>
        </is>
      </c>
      <c r="C101" s="37" t="inlineStr">
        <is>
          <t>unknown</t>
        </is>
      </c>
      <c r="D101" s="38" t="inlineStr">
        <is>
          <t>2026-07-21</t>
        </is>
      </c>
    </row>
    <row r="102">
      <c r="A102" s="36" t="inlineStr">
        <is>
          <t>OBEROIRLTY</t>
        </is>
      </c>
      <c r="B102" s="37" t="inlineStr">
        <is>
          <t>Oberoi Realty Limited</t>
        </is>
      </c>
      <c r="C102" s="37" t="inlineStr">
        <is>
          <t>Real Estate</t>
        </is>
      </c>
      <c r="D102" s="38" t="inlineStr">
        <is>
          <t>2026-07-21</t>
        </is>
      </c>
    </row>
    <row r="103">
      <c r="A103" s="36" t="inlineStr">
        <is>
          <t>PRICOLLTD</t>
        </is>
      </c>
      <c r="B103" s="37" t="inlineStr">
        <is>
          <t>PRICOLLTD</t>
        </is>
      </c>
      <c r="C103" s="37" t="inlineStr">
        <is>
          <t>unknown</t>
        </is>
      </c>
      <c r="D103" s="38" t="inlineStr">
        <is>
          <t>2026-07-21</t>
        </is>
      </c>
    </row>
    <row r="104">
      <c r="A104" s="36" t="inlineStr">
        <is>
          <t>RADICO</t>
        </is>
      </c>
      <c r="B104" s="37" t="inlineStr">
        <is>
          <t>Radico Khaitan Limited</t>
        </is>
      </c>
      <c r="C104" s="37" t="inlineStr">
        <is>
          <t>Consumer Defensive</t>
        </is>
      </c>
      <c r="D104" s="38" t="inlineStr">
        <is>
          <t>2026-07-21</t>
        </is>
      </c>
    </row>
    <row r="105">
      <c r="A105" s="36" t="inlineStr">
        <is>
          <t>RAMCOSYS</t>
        </is>
      </c>
      <c r="B105" s="37" t="inlineStr">
        <is>
          <t>Ramco Systems Limited</t>
        </is>
      </c>
      <c r="C105" s="37" t="inlineStr">
        <is>
          <t>Technology</t>
        </is>
      </c>
      <c r="D105" s="38" t="inlineStr">
        <is>
          <t>2026-07-21</t>
        </is>
      </c>
    </row>
    <row r="106">
      <c r="A106" s="36" t="inlineStr">
        <is>
          <t>RATEGAIN</t>
        </is>
      </c>
      <c r="B106" s="37" t="inlineStr">
        <is>
          <t>RateGain Travel Technologies Limited</t>
        </is>
      </c>
      <c r="C106" s="37" t="inlineStr">
        <is>
          <t>Technology</t>
        </is>
      </c>
      <c r="D106" s="38" t="inlineStr">
        <is>
          <t>2026-07-21</t>
        </is>
      </c>
    </row>
    <row r="107">
      <c r="A107" s="36" t="inlineStr">
        <is>
          <t>RISHABH</t>
        </is>
      </c>
      <c r="B107" s="37" t="inlineStr">
        <is>
          <t>Rishabh Instruments Limited</t>
        </is>
      </c>
      <c r="C107" s="37" t="inlineStr">
        <is>
          <t>Technology</t>
        </is>
      </c>
      <c r="D107" s="38" t="inlineStr">
        <is>
          <t>2026-07-21</t>
        </is>
      </c>
    </row>
    <row r="108">
      <c r="A108" s="36" t="inlineStr">
        <is>
          <t>SAKAR</t>
        </is>
      </c>
      <c r="B108" s="37" t="inlineStr">
        <is>
          <t>Sakar Healthcare Limited</t>
        </is>
      </c>
      <c r="C108" s="37" t="inlineStr">
        <is>
          <t>Healthcare</t>
        </is>
      </c>
      <c r="D108" s="38" t="inlineStr">
        <is>
          <t>2026-07-21</t>
        </is>
      </c>
    </row>
    <row r="109">
      <c r="A109" s="36" t="inlineStr">
        <is>
          <t>SEKURITIND</t>
        </is>
      </c>
      <c r="B109" s="37" t="inlineStr">
        <is>
          <t>SEKURITIND</t>
        </is>
      </c>
      <c r="C109" s="37" t="inlineStr">
        <is>
          <t>unknown</t>
        </is>
      </c>
      <c r="D109" s="38" t="inlineStr">
        <is>
          <t>2026-07-21</t>
        </is>
      </c>
    </row>
    <row r="110">
      <c r="A110" s="36" t="inlineStr">
        <is>
          <t>SGMART</t>
        </is>
      </c>
      <c r="B110" s="37" t="inlineStr">
        <is>
          <t>SGMART</t>
        </is>
      </c>
      <c r="C110" s="37" t="inlineStr">
        <is>
          <t>unknown</t>
        </is>
      </c>
      <c r="D110" s="38" t="inlineStr">
        <is>
          <t>2026-07-21</t>
        </is>
      </c>
    </row>
    <row r="111">
      <c r="A111" s="36" t="inlineStr">
        <is>
          <t>SKMEGGPROD</t>
        </is>
      </c>
      <c r="B111" s="37" t="inlineStr">
        <is>
          <t>SKMEGGPROD</t>
        </is>
      </c>
      <c r="C111" s="37" t="inlineStr">
        <is>
          <t>Consumer Defensive</t>
        </is>
      </c>
      <c r="D111" s="38" t="inlineStr">
        <is>
          <t>2026-07-21</t>
        </is>
      </c>
    </row>
    <row r="112">
      <c r="A112" s="36" t="inlineStr">
        <is>
          <t>WABAG</t>
        </is>
      </c>
      <c r="B112" s="37" t="inlineStr">
        <is>
          <t>VA Tech Wabag Limited</t>
        </is>
      </c>
      <c r="C112" s="37" t="inlineStr">
        <is>
          <t>Industrials</t>
        </is>
      </c>
      <c r="D112" s="38" t="inlineStr">
        <is>
          <t>2026-07-21</t>
        </is>
      </c>
    </row>
  </sheetData>
  <autoFilter ref="A1:CG87"/>
  <conditionalFormatting sqref="B2:B8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7">
    <cfRule type="cellIs" priority="37" operator="equal" dxfId="3" stopIfTrue="1">
      <formula>"Underperforming"</formula>
    </cfRule>
  </conditionalFormatting>
  <conditionalFormatting sqref="N2:N87">
    <cfRule type="cellIs" priority="38" operator="equal" dxfId="3" stopIfTrue="1">
      <formula>-5</formula>
    </cfRule>
  </conditionalFormatting>
  <conditionalFormatting sqref="Q2:Q8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7" showDropDown="0" showInputMessage="0" showErrorMessage="0" allowBlank="1" type="list">
      <formula1>"Growing Industry,Stagnant Industry,Cyclical in an Upturn"</formula1>
    </dataValidation>
    <dataValidation sqref="Z2:Z8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7" showDropDown="0" showInputMessage="0" showErrorMessage="0" allowBlank="1" type="list">
      <formula1>"Yes,No"</formula1>
    </dataValidation>
    <dataValidation sqref="AD2:AD87" showDropDown="0" showInputMessage="0" showErrorMessage="0" allowBlank="1" type="list">
      <formula1>"Tailwind,Headwind"</formula1>
    </dataValidation>
    <dataValidation sqref="AF2:AF87" showDropDown="0" showInputMessage="0" showErrorMessage="0" allowBlank="1" type="list">
      <formula1>"Structural (10 Years Consistency),Shallow Cyclical (2 to 3 Years Growth),Cyclical"</formula1>
    </dataValidation>
    <dataValidation sqref="AH2:AH87" showDropDown="0" showInputMessage="0" showErrorMessage="0" allowBlank="1" type="list">
      <formula1>"Yes due to Product Mix change or Operating Leverage,Yes, these are peak margins,No"</formula1>
    </dataValidation>
    <dataValidation sqref="AJ2:AJ87" showDropDown="0" showInputMessage="0" showErrorMessage="0" allowBlank="1" type="list">
      <formula1>"Stable,Volatile"</formula1>
    </dataValidation>
    <dataValidation sqref="AL2:AL87" showDropDown="0" showInputMessage="0" showErrorMessage="0" allowBlank="1" type="list">
      <formula1>"Yes,No"</formula1>
    </dataValidation>
    <dataValidation sqref="AN2:AN87" showDropDown="0" showInputMessage="0" showErrorMessage="0" allowBlank="1" type="list">
      <formula1>"B2C,B2B,B2G"</formula1>
    </dataValidation>
    <dataValidation sqref="AP2:AP87" showDropDown="0" showInputMessage="0" showErrorMessage="0" allowBlank="1" type="list">
      <formula1>"Yes,No"</formula1>
    </dataValidation>
    <dataValidation sqref="AR2:AR87" showDropDown="0" showInputMessage="0" showErrorMessage="0" allowBlank="1" type="list">
      <formula1>"Fully Annuity,Higher Annuity, Lower One time,Higher One Time, Lower Annuity,Fully One Time"</formula1>
    </dataValidation>
    <dataValidation sqref="AT2:AT87" showDropDown="0" showInputMessage="0" showErrorMessage="0" allowBlank="1" type="list">
      <formula1>"Good,Allocated capital in Non-core Areas"</formula1>
    </dataValidation>
    <dataValidation sqref="AV2:AV87" showDropDown="0" showInputMessage="0" showErrorMessage="0" allowBlank="1" type="list">
      <formula1>"Yes for more than 2 years,Yes only for next 1 to 2 years,No"</formula1>
    </dataValidation>
    <dataValidation sqref="AX2:AX87" showDropDown="0" showInputMessage="0" showErrorMessage="0" allowBlank="1" type="list">
      <formula1>"Above 40,20 to 40,0 to 20"</formula1>
    </dataValidation>
    <dataValidation sqref="AZ2:AZ87" showDropDown="0" showInputMessage="0" showErrorMessage="0" allowBlank="1" type="list">
      <formula1>"Between 50 to 75,Above 75,Below 45"</formula1>
    </dataValidation>
    <dataValidation sqref="BB2:BB87" showDropDown="0" showInputMessage="0" showErrorMessage="0" allowBlank="1" type="list">
      <formula1>"Stage 1,Stage 2,Stage 3,Stage 4"</formula1>
    </dataValidation>
    <dataValidation sqref="BD2:BD87" showDropDown="0" showInputMessage="0" showErrorMessage="0" allowBlank="1" type="list">
      <formula1>"Positive Trend,Negative Trend"</formula1>
    </dataValidation>
    <dataValidation sqref="BF2:BF87" showDropDown="0" showInputMessage="0" showErrorMessage="0" allowBlank="1" type="list">
      <formula1>"Uptrend,Sideways,Downtrend"</formula1>
    </dataValidation>
    <dataValidation sqref="BH2:BH87" showDropDown="0" showInputMessage="0" showErrorMessage="0" allowBlank="1" type="list">
      <formula1>"Uptrend,Sideways,Downtrend"</formula1>
    </dataValidation>
    <dataValidation sqref="BJ2:BJ8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7" showDropDown="0" showInputMessage="0" showErrorMessage="0" allowBlank="1" type="list">
      <formula1>"Yes,No"</formula1>
    </dataValidation>
    <dataValidation sqref="BN2:BN87" showDropDown="0" showInputMessage="0" showErrorMessage="0" allowBlank="1" type="list">
      <formula1>"More than 20%,Between 12 to 20%,Less than 12%"</formula1>
    </dataValidation>
    <dataValidation sqref="BP2:BP87" showDropDown="0" showInputMessage="0" showErrorMessage="0" allowBlank="1" type="list">
      <formula1>"Yes,No"</formula1>
    </dataValidation>
    <dataValidation sqref="BR2:BR87" showDropDown="0" showInputMessage="0" showErrorMessage="0" allowBlank="1" type="list">
      <formula1>"Yes,No"</formula1>
    </dataValidation>
    <dataValidation sqref="BT2:BT87" showDropDown="0" showInputMessage="0" showErrorMessage="0" allowBlank="1" type="list">
      <formula1>"Above 2,Between 1.5 to 2,Less than 1.5"</formula1>
    </dataValidation>
    <dataValidation sqref="BV2:BV87" showDropDown="0" showInputMessage="0" showErrorMessage="0" allowBlank="1" type="list">
      <formula1>"Above 70%,Between 50% to 70%,Less than 50%,Less than 50% and Borrowings are increasing,Negative"</formula1>
    </dataValidation>
    <dataValidation sqref="BX2:BX87" showDropDown="0" showInputMessage="0" showErrorMessage="0" allowBlank="1" type="list">
      <formula1>"More than 1.2,Between 0.7 to 1.2,Less than 0.7"</formula1>
    </dataValidation>
    <dataValidation sqref="BZ2:BZ87" showDropDown="0" showInputMessage="0" showErrorMessage="0" allowBlank="1" type="list">
      <formula1>"Yes,No"</formula1>
    </dataValidation>
    <dataValidation sqref="CB2:CB87" showDropDown="0" showInputMessage="0" showErrorMessage="0" allowBlank="1" type="list">
      <formula1>"More than 15%,Less than 15%"</formula1>
    </dataValidation>
    <dataValidation sqref="CD2:CD8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SURYODAY</t>
        </is>
      </c>
      <c r="D2" s="31" t="inlineStr">
        <is>
          <t>Suryoday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smallcap</t>
        </is>
      </c>
      <c r="H2" s="32" t="n">
        <v>2017.59</v>
      </c>
      <c r="I2" s="32" t="n">
        <v>189.82</v>
      </c>
      <c r="J2" s="32" t="n">
        <v>3.7</v>
      </c>
      <c r="K2" s="32" t="n">
        <v>0</v>
      </c>
      <c r="L2" s="31" t="n">
        <v>68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69.06999999999999</v>
      </c>
      <c r="P2" s="32" t="n">
        <v>43.03</v>
      </c>
      <c r="Q2" s="32" t="n">
        <v>148.57</v>
      </c>
      <c r="R2" s="31" t="inlineStr">
        <is>
          <t>Near 52W High Breakout</t>
        </is>
      </c>
      <c r="S2" s="31" t="inlineStr">
        <is>
          <t>Nifty Bank</t>
        </is>
      </c>
      <c r="T2" s="32" t="n">
        <v>2.31</v>
      </c>
      <c r="U2" s="32" t="n">
        <v>43.92</v>
      </c>
      <c r="V2" s="32" t="n">
        <v>40.67</v>
      </c>
      <c r="W2" s="32" t="n">
        <v>15.08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IF(B3=0,"",RANK(B3,$B$2:$B$15,0))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 Services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4480.2</v>
      </c>
      <c r="I3" s="32" t="n">
        <v>679.9</v>
      </c>
      <c r="J3" s="32" t="n">
        <v>1.1</v>
      </c>
      <c r="K3" s="32" t="n">
        <v>0</v>
      </c>
      <c r="L3" s="31" t="n">
        <v>78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71.03</v>
      </c>
      <c r="P3" s="32" t="n">
        <v>58.89</v>
      </c>
      <c r="Q3" s="32" t="n">
        <v>511.33</v>
      </c>
      <c r="R3" s="31" t="inlineStr">
        <is>
          <t>Near 52W High Breakout</t>
        </is>
      </c>
      <c r="S3" s="31" t="inlineStr">
        <is>
          <t>Nifty Bank</t>
        </is>
      </c>
      <c r="T3" s="32" t="n">
        <v>5.15</v>
      </c>
      <c r="U3" s="32" t="n">
        <v>72.95999999999999</v>
      </c>
      <c r="V3" s="32" t="n">
        <v>64.5</v>
      </c>
      <c r="W3" s="32" t="n">
        <v>19.28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28</t>
        </is>
      </c>
      <c r="CC3" s="31">
        <f>IF(CB3&gt;20,10,IF(CB3&gt;=10,5,2))</f>
        <v/>
      </c>
    </row>
    <row r="4">
      <c r="A4" s="31">
        <f>IF(B4=0,"",RANK(B4,$B$2:$B$15,0))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smallcap</t>
        </is>
      </c>
      <c r="H4" s="32" t="n">
        <v>3858.45</v>
      </c>
      <c r="I4" s="32" t="n">
        <v>83.34</v>
      </c>
      <c r="J4" s="32" t="n">
        <v>0.73</v>
      </c>
      <c r="K4" s="32" t="n">
        <v>0</v>
      </c>
      <c r="L4" s="31" t="n">
        <v>56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61.16</v>
      </c>
      <c r="P4" s="32" t="n">
        <v>41.32</v>
      </c>
      <c r="Q4" s="32" t="n">
        <v>63.79</v>
      </c>
      <c r="R4" s="31" t="inlineStr">
        <is>
          <t>Near 52W High Breakout</t>
        </is>
      </c>
      <c r="S4" s="31" t="inlineStr">
        <is>
          <t>Nifty Bank</t>
        </is>
      </c>
      <c r="T4" s="32" t="n">
        <v>2.31</v>
      </c>
      <c r="U4" s="32" t="n">
        <v>44.18</v>
      </c>
      <c r="V4" s="32" t="n">
        <v>40.92</v>
      </c>
      <c r="W4" s="32" t="n">
        <v>11.52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IF(B5=0,"",RANK(B5,$B$2:$B$15,0))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6548.56</v>
      </c>
      <c r="I5" s="32" t="n">
        <v>72</v>
      </c>
      <c r="J5" s="32" t="n">
        <v>0.83</v>
      </c>
      <c r="K5" s="32" t="n">
        <v>0</v>
      </c>
      <c r="L5" s="31" t="n">
        <v>92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81.39</v>
      </c>
      <c r="P5" s="32" t="n">
        <v>54.84</v>
      </c>
      <c r="Q5" s="32" t="n">
        <v>57.25</v>
      </c>
      <c r="R5" s="31" t="inlineStr">
        <is>
          <t>Near 52W High Breakout</t>
        </is>
      </c>
      <c r="S5" s="31" t="inlineStr">
        <is>
          <t>Nifty Bank</t>
        </is>
      </c>
      <c r="T5" s="32" t="n">
        <v>2.31</v>
      </c>
      <c r="U5" s="32" t="n">
        <v>122.53</v>
      </c>
      <c r="V5" s="32" t="n">
        <v>117.5</v>
      </c>
      <c r="W5" s="32" t="n">
        <v>31.34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IF(B6=0,"",RANK(B6,$B$2:$B$15,0))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UJJIVANSFB</t>
        </is>
      </c>
      <c r="D6" s="31" t="inlineStr">
        <is>
          <t>Ujjivan Small Finance Bank Ltd</t>
        </is>
      </c>
      <c r="E6" s="31" t="inlineStr">
        <is>
          <t>bank</t>
        </is>
      </c>
      <c r="F6" s="31" t="inlineStr">
        <is>
          <t>Banks - Small Finance</t>
        </is>
      </c>
      <c r="G6" s="31" t="inlineStr">
        <is>
          <t>midcap</t>
        </is>
      </c>
      <c r="H6" s="32" t="n">
        <v>12801.61</v>
      </c>
      <c r="I6" s="32" t="n">
        <v>65.79000000000001</v>
      </c>
      <c r="J6" s="32" t="n">
        <v>0.27</v>
      </c>
      <c r="K6" s="32" t="n">
        <v>0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63.26</v>
      </c>
      <c r="P6" s="32" t="n">
        <v>27.92</v>
      </c>
      <c r="Q6" s="32" t="n">
        <v>51.97</v>
      </c>
      <c r="R6" s="31" t="inlineStr">
        <is>
          <t>Near 52W High Breakout</t>
        </is>
      </c>
      <c r="S6" s="31" t="inlineStr">
        <is>
          <t>Nifty Bank</t>
        </is>
      </c>
      <c r="T6" s="32" t="n">
        <v>2.31</v>
      </c>
      <c r="U6" s="32" t="n">
        <v>51.5</v>
      </c>
      <c r="V6" s="32" t="n">
        <v>48.08</v>
      </c>
      <c r="W6" s="32" t="n">
        <v>12.5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17</t>
        </is>
      </c>
      <c r="CC6" s="31">
        <f>IF(CB6&gt;20,10,IF(CB6&gt;=10,5,2))</f>
        <v/>
      </c>
    </row>
    <row r="7">
      <c r="A7" s="31">
        <f>IF(B7=0,"",RANK(B7,$B$2:$B$15,0))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J&amp;KBANK</t>
        </is>
      </c>
      <c r="D7" s="34" t="inlineStr">
        <is>
          <t>Jammu and Kashmir Bank Ltd</t>
        </is>
      </c>
      <c r="E7" s="31" t="inlineStr">
        <is>
          <t>bank</t>
        </is>
      </c>
      <c r="F7" s="31" t="inlineStr">
        <is>
          <t>Banks - Private</t>
        </is>
      </c>
      <c r="G7" s="31" t="inlineStr">
        <is>
          <t>largecap</t>
        </is>
      </c>
      <c r="H7" s="32" t="n">
        <v>20790.32</v>
      </c>
      <c r="I7" s="32" t="n">
        <v>188.8</v>
      </c>
      <c r="J7" s="32" t="n">
        <v>3.59</v>
      </c>
      <c r="K7" s="32" t="n">
        <v>0</v>
      </c>
      <c r="L7" s="31" t="n">
        <v>83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73.83</v>
      </c>
      <c r="P7" s="32" t="n">
        <v>59.45</v>
      </c>
      <c r="Q7" s="32" t="n">
        <v>154.09</v>
      </c>
      <c r="R7" s="31" t="inlineStr">
        <is>
          <t>Near 52W High Breakout</t>
        </is>
      </c>
      <c r="S7" s="31" t="inlineStr">
        <is>
          <t>Nifty Bank</t>
        </is>
      </c>
      <c r="T7" s="32" t="n">
        <v>2.31</v>
      </c>
      <c r="U7" s="32" t="n">
        <v>74.45999999999999</v>
      </c>
      <c r="V7" s="32" t="n">
        <v>70.51000000000001</v>
      </c>
      <c r="W7" s="32" t="n">
        <v>22.96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IF(B8=0,"",RANK(B8,$B$2:$B$15,0))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JSFB</t>
        </is>
      </c>
      <c r="D8" s="31" t="inlineStr">
        <is>
          <t>Jana Small Finance Bank Ltd</t>
        </is>
      </c>
      <c r="E8" s="31" t="inlineStr">
        <is>
          <t>bank</t>
        </is>
      </c>
      <c r="F8" s="31" t="inlineStr">
        <is>
          <t>Banks - Small Finance</t>
        </is>
      </c>
      <c r="G8" s="31" t="inlineStr">
        <is>
          <t>midcap</t>
        </is>
      </c>
      <c r="H8" s="32" t="n">
        <v>5941.15</v>
      </c>
      <c r="I8" s="32" t="n">
        <v>562</v>
      </c>
      <c r="J8" s="32" t="n">
        <v>5.72</v>
      </c>
      <c r="K8" s="32" t="n">
        <v>0</v>
      </c>
      <c r="L8" s="31" t="n">
        <v>50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70.12</v>
      </c>
      <c r="P8" s="32" t="n">
        <v>33.25</v>
      </c>
      <c r="Q8" s="32" t="n">
        <v>435.84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2.31</v>
      </c>
      <c r="U8" s="32" t="n">
        <v>24.4</v>
      </c>
      <c r="V8" s="32" t="n">
        <v>21.59</v>
      </c>
      <c r="W8" s="32" t="n">
        <v>10.01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22</t>
        </is>
      </c>
      <c r="CC8" s="31">
        <f>IF(CB8&gt;20,10,IF(CB8&gt;=10,5,2))</f>
        <v/>
      </c>
    </row>
    <row r="9">
      <c r="A9" s="31">
        <f>IF(B9=0,"",RANK(B9,$B$2:$B$15,0))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GODREJIND</t>
        </is>
      </c>
      <c r="D9" s="34" t="inlineStr">
        <is>
          <t>Godrej Industries Ltd</t>
        </is>
      </c>
      <c r="E9" s="31" t="inlineStr">
        <is>
          <t>chemicals</t>
        </is>
      </c>
      <c r="F9" s="31" t="inlineStr">
        <is>
          <t>Finance - Holding Company</t>
        </is>
      </c>
      <c r="G9" s="31" t="inlineStr">
        <is>
          <t>largecap</t>
        </is>
      </c>
      <c r="H9" s="32" t="n">
        <v>46384.39</v>
      </c>
      <c r="I9" s="32" t="n">
        <v>1377</v>
      </c>
      <c r="J9" s="32" t="n">
        <v>0.89</v>
      </c>
      <c r="K9" s="32" t="n">
        <v>0</v>
      </c>
      <c r="L9" s="31" t="n">
        <v>62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66.52</v>
      </c>
      <c r="P9" s="32" t="n">
        <v>35.7</v>
      </c>
      <c r="Q9" s="32" t="n">
        <v>1100.75</v>
      </c>
      <c r="R9" s="31" t="inlineStr">
        <is>
          <t>Near 52W High Breakout</t>
        </is>
      </c>
      <c r="S9" s="31" t="inlineStr">
        <is>
          <t>Nifty 500</t>
        </is>
      </c>
      <c r="T9" s="32" t="n">
        <v>1.47</v>
      </c>
      <c r="U9" s="32" t="n">
        <v>21.54</v>
      </c>
      <c r="V9" s="32" t="n">
        <v>19.79</v>
      </c>
      <c r="W9" s="32" t="n">
        <v>13.15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16</t>
        </is>
      </c>
      <c r="CC9" s="31">
        <f>IF(CB9&gt;20,10,IF(CB9&gt;=10,5,2))</f>
        <v/>
      </c>
    </row>
    <row r="10">
      <c r="A10" s="31">
        <f>IF(B10=0,"",RANK(B10,$B$2:$B$15,0))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CGCL</t>
        </is>
      </c>
      <c r="D10" s="31" t="inlineStr">
        <is>
          <t>Capri Global Capital Ltd</t>
        </is>
      </c>
      <c r="E10" s="31" t="inlineStr">
        <is>
          <t>financials</t>
        </is>
      </c>
      <c r="F10" s="31" t="inlineStr">
        <is>
          <t>Finance &amp; Investments - Gold Loan</t>
        </is>
      </c>
      <c r="G10" s="31" t="inlineStr">
        <is>
          <t>largecap</t>
        </is>
      </c>
      <c r="H10" s="32" t="n">
        <v>23946.09</v>
      </c>
      <c r="I10" s="32" t="n">
        <v>248.88</v>
      </c>
      <c r="J10" s="32" t="n">
        <v>-0.46</v>
      </c>
      <c r="K10" s="32" t="n">
        <v>0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73.5</v>
      </c>
      <c r="P10" s="32" t="n">
        <v>35.63</v>
      </c>
      <c r="Q10" s="32" t="n">
        <v>212.69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2.31</v>
      </c>
      <c r="U10" s="32" t="n">
        <v>36.53</v>
      </c>
      <c r="V10" s="32" t="n">
        <v>33.45</v>
      </c>
      <c r="W10" s="32" t="n">
        <v>15.13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21</t>
        </is>
      </c>
      <c r="CC10" s="31">
        <f>IF(CB10&gt;20,10,IF(CB10&gt;=10,5,2))</f>
        <v/>
      </c>
    </row>
    <row r="11">
      <c r="A11" s="31">
        <f>IF(B11=0,"",RANK(B11,$B$2:$B$15,0))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KARURVYSYA</t>
        </is>
      </c>
      <c r="D11" s="34" t="inlineStr">
        <is>
          <t>Karur Vysya Bank Ltd</t>
        </is>
      </c>
      <c r="E11" s="31" t="inlineStr">
        <is>
          <t>bank</t>
        </is>
      </c>
      <c r="F11" s="31" t="inlineStr">
        <is>
          <t>Banks - Private</t>
        </is>
      </c>
      <c r="G11" s="31" t="inlineStr">
        <is>
          <t>largecap</t>
        </is>
      </c>
      <c r="H11" s="32" t="n">
        <v>32904.75</v>
      </c>
      <c r="I11" s="32" t="n">
        <v>340.45</v>
      </c>
      <c r="J11" s="32" t="n">
        <v>13.11</v>
      </c>
      <c r="K11" s="32" t="n">
        <v>0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69.3</v>
      </c>
      <c r="P11" s="32" t="n">
        <v>15.21</v>
      </c>
      <c r="Q11" s="32" t="n">
        <v>277.64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2.31</v>
      </c>
      <c r="U11" s="32" t="n">
        <v>58.27</v>
      </c>
      <c r="V11" s="32" t="n">
        <v>54.7</v>
      </c>
      <c r="W11" s="32" t="n">
        <v>12.78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23</t>
        </is>
      </c>
      <c r="CC11" s="31">
        <f>IF(CB11&gt;20,10,IF(CB11&gt;=10,5,2))</f>
        <v/>
      </c>
    </row>
    <row r="12">
      <c r="A12" s="31">
        <f>IF(B12=0,"",RANK(B12,$B$2:$B$15,0))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MUTHOOTMF</t>
        </is>
      </c>
      <c r="D12" s="31" t="inlineStr">
        <is>
          <t>Muthoot Microfin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smallcap</t>
        </is>
      </c>
      <c r="H12" s="32" t="n">
        <v>4347.55</v>
      </c>
      <c r="I12" s="32" t="n">
        <v>255</v>
      </c>
      <c r="J12" s="32" t="n">
        <v>0.68</v>
      </c>
      <c r="K12" s="32" t="n">
        <v>0</v>
      </c>
      <c r="L12" s="31" t="n">
        <v>74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77.13</v>
      </c>
      <c r="P12" s="32" t="n">
        <v>39.47</v>
      </c>
      <c r="Q12" s="32" t="n">
        <v>196.62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2.31</v>
      </c>
      <c r="U12" s="32" t="n">
        <v>51.84</v>
      </c>
      <c r="V12" s="32" t="n">
        <v>48.41</v>
      </c>
      <c r="W12" s="32" t="n">
        <v>17.1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IF(B13=0,"",RANK(B13,$B$2:$B$15,0))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SHAREINDIA</t>
        </is>
      </c>
      <c r="D13" s="31" t="inlineStr">
        <is>
          <t>Share India Securities Ltd</t>
        </is>
      </c>
      <c r="E13" s="31" t="inlineStr">
        <is>
          <t>financials</t>
        </is>
      </c>
      <c r="F13" s="31" t="inlineStr">
        <is>
          <t>Finance - Capital Markets - Brokers</t>
        </is>
      </c>
      <c r="G13" s="31" t="inlineStr">
        <is>
          <t>smallcap</t>
        </is>
      </c>
      <c r="H13" s="32" t="n">
        <v>4060.31</v>
      </c>
      <c r="I13" s="32" t="n">
        <v>185.55</v>
      </c>
      <c r="J13" s="32" t="n">
        <v>2.44</v>
      </c>
      <c r="K13" s="32" t="n">
        <v>0</v>
      </c>
      <c r="L13" s="31" t="n">
        <v>47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68.14</v>
      </c>
      <c r="P13" s="32" t="n">
        <v>15.31</v>
      </c>
      <c r="Q13" s="32" t="n">
        <v>139.46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2.31</v>
      </c>
      <c r="U13" s="32" t="n">
        <v>8.869999999999999</v>
      </c>
      <c r="V13" s="32" t="n">
        <v>6.41</v>
      </c>
      <c r="W13" s="32" t="n">
        <v>9.380000000000001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16</t>
        </is>
      </c>
      <c r="CC13" s="31">
        <f>IF(CB13&gt;20,10,IF(CB13&gt;=10,5,2))</f>
        <v/>
      </c>
    </row>
    <row r="14">
      <c r="A14" s="31">
        <f>IF(B14=0,"",RANK(B14,$B$2:$B$15,0))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POONAWALLA</t>
        </is>
      </c>
      <c r="D14" s="31" t="inlineStr">
        <is>
          <t>Poonawalla Fincorp Ltd</t>
        </is>
      </c>
      <c r="E14" s="31" t="inlineStr">
        <is>
          <t>financials</t>
        </is>
      </c>
      <c r="F14" s="31" t="inlineStr">
        <is>
          <t>Conglomerate Backed NBFC</t>
        </is>
      </c>
      <c r="G14" s="31" t="inlineStr">
        <is>
          <t>largecap</t>
        </is>
      </c>
      <c r="H14" s="32" t="n">
        <v>40741.3</v>
      </c>
      <c r="I14" s="32" t="n">
        <v>462.7</v>
      </c>
      <c r="J14" s="32" t="n">
        <v>-0.97</v>
      </c>
      <c r="K14" s="32" t="n">
        <v>0</v>
      </c>
      <c r="L14" s="31" t="n">
        <v>27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56.78</v>
      </c>
      <c r="P14" s="32" t="n">
        <v>12.35</v>
      </c>
      <c r="Q14" s="32" t="n">
        <v>378.06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2.31</v>
      </c>
      <c r="U14" s="32" t="n">
        <v>12.07</v>
      </c>
      <c r="V14" s="32" t="n">
        <v>9.539999999999999</v>
      </c>
      <c r="W14" s="32" t="n">
        <v>5.14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18</t>
        </is>
      </c>
      <c r="CC14" s="31">
        <f>IF(CB14&gt;20,10,IF(CB14&gt;=10,5,2))</f>
        <v/>
      </c>
    </row>
    <row r="15">
      <c r="A15" s="31">
        <f>IF(B15=0,"",RANK(B15,$B$2:$B$15,0))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SATIN</t>
        </is>
      </c>
      <c r="D15" s="31" t="inlineStr">
        <is>
          <t>Satin Creditcare Network Ltd</t>
        </is>
      </c>
      <c r="E15" s="31" t="inlineStr">
        <is>
          <t>financials</t>
        </is>
      </c>
      <c r="F15" s="31" t="inlineStr">
        <is>
          <t>Finance &amp; Investments - Microfinance</t>
        </is>
      </c>
      <c r="G15" s="31" t="inlineStr">
        <is>
          <t>smallcap</t>
        </is>
      </c>
      <c r="H15" s="32" t="n">
        <v>2861.2</v>
      </c>
      <c r="I15" s="32" t="n">
        <v>259</v>
      </c>
      <c r="J15" s="32" t="n">
        <v>1.14</v>
      </c>
      <c r="K15" s="32" t="n">
        <v>0</v>
      </c>
      <c r="L15" s="31" t="inlineStr"/>
      <c r="M15" s="31" t="inlineStr"/>
      <c r="N15" s="32">
        <f>IF(M15="Underperforming",-5,IF(L15&gt;=95,15,IF(L15&gt;=90,10,IF(L15&gt;=80,5,0))))</f>
        <v/>
      </c>
      <c r="O15" s="32" t="inlineStr"/>
      <c r="P15" s="32" t="inlineStr"/>
      <c r="Q15" s="32" t="inlineStr"/>
      <c r="R15" s="31" t="inlineStr"/>
      <c r="S15" s="31" t="inlineStr"/>
      <c r="T15" s="32" t="inlineStr"/>
      <c r="U15" s="32" t="inlineStr"/>
      <c r="V15" s="32" t="inlineStr"/>
      <c r="W15" s="32" t="inlineStr"/>
      <c r="X15" s="31" t="n"/>
      <c r="Y15" s="31">
        <f>IF(X15="Growing Industry",10,IF(X15="Cyclical in an Upturn",5,0))</f>
        <v/>
      </c>
      <c r="Z15" s="31" t="n"/>
      <c r="AA15" s="31">
        <f>IF(Z15="Fragmented with Low ROE",-5,IF(Z15="Fragmented with High ROE",10,IF(Z15= "highly cyclical",5,0)))</f>
        <v/>
      </c>
      <c r="AB15" s="31" t="n"/>
      <c r="AC15" s="31">
        <f>IF(AB15="No",5,0)</f>
        <v/>
      </c>
      <c r="AD15" s="31" t="n"/>
      <c r="AE15" s="31">
        <f>IF(AD15="Tailwind",10,0)</f>
        <v/>
      </c>
      <c r="AF15" s="31" t="n"/>
      <c r="AG15" s="31">
        <f>IF(AF15="Structural (10 Years Consistency)",15,IF(AF15="Shallow Cyclical (2 to 3 years growth)",10,IF(AF15 = "Cyclical in an Uptick",5,IF(AF15 = "Cyclical in an Downtick",-10,0))))</f>
        <v/>
      </c>
      <c r="AH15" s="31" t="n"/>
      <c r="AI15" s="31">
        <f>IF(AH15="Yes",10,0)</f>
        <v/>
      </c>
      <c r="AJ15" s="31" t="n"/>
      <c r="AK15" s="31">
        <f>IF(AJ15="Yes",10,0)</f>
        <v/>
      </c>
      <c r="AL15" s="31" t="n"/>
      <c r="AM15" s="31">
        <f>IF(AL15="No",10,0)</f>
        <v/>
      </c>
      <c r="AN15" s="31" t="n"/>
      <c r="AO15" s="31">
        <f>IF(AN15="Yes",10,0)</f>
        <v/>
      </c>
      <c r="AP15" s="31" t="n"/>
      <c r="AQ15" s="31">
        <f>IF(AP15="Yes",10,0)</f>
        <v/>
      </c>
      <c r="AR15" s="31" t="n"/>
      <c r="AS15" s="31">
        <f>IF(AR15="Yes",5,0)</f>
        <v/>
      </c>
      <c r="AT15" s="31" t="n"/>
      <c r="AU15" s="31">
        <f>IF(AT15="No",10,IF(AT15="Yes",-10,0))</f>
        <v/>
      </c>
      <c r="AV15" s="31" t="n"/>
      <c r="AW15" s="31">
        <f>IF(AV15="No",10,0)</f>
        <v/>
      </c>
      <c r="AX15" s="31" t="n"/>
      <c r="AY15" s="31">
        <f>IF(AX15="No",10,IF(AX15= "Yes CEO Resignation",-5,0))</f>
        <v/>
      </c>
      <c r="AZ15" s="31" t="n"/>
      <c r="BA15" s="31">
        <f>IF(AZ15="No",10,IF(AZ15="Yes",-5,0))</f>
        <v/>
      </c>
      <c r="BB15" s="31" t="n"/>
      <c r="BC15" s="31">
        <f>IF(BB15="No",5,IF(BB15="Yes",-5,0))</f>
        <v/>
      </c>
      <c r="BD15" s="31" t="n"/>
      <c r="BE15" s="31">
        <f>IF(BD15="Yes",10,0)</f>
        <v/>
      </c>
      <c r="BF15" s="31" t="n"/>
      <c r="BG15" s="31">
        <f>IF(BF15="Yes",10,0)</f>
        <v/>
      </c>
      <c r="BH15" s="31" t="n"/>
      <c r="BI15" s="31">
        <f>IF(BH15="Yes",10,0)</f>
        <v/>
      </c>
      <c r="BJ15" s="31" t="n"/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n"/>
      <c r="BM15" s="31">
        <f>IF(BL15="Above 40",20,IF(BL15="20 to 40",10,IF(BL15="0 to 20",-5,0)))</f>
        <v/>
      </c>
      <c r="BN15" s="31" t="n"/>
      <c r="BO15" s="31">
        <f>IF(BN15="Between 50 to 75",10,IF(BN15="Above 75",0,0))</f>
        <v/>
      </c>
      <c r="BP15" s="31" t="n"/>
      <c r="BQ15" s="31">
        <f>IF(BP15="Stage 2",20,IF(BP15="Stage 1",0,IF(BP15="Stage 3",5,IF(BP15="Stage 4",-5,0))))</f>
        <v/>
      </c>
      <c r="BR15" s="31" t="n"/>
      <c r="BS15" s="31">
        <f>IF(BR15="Positive Trend",20,IF(BR15="Negative Trend",-10,0))</f>
        <v/>
      </c>
      <c r="BT15" s="31" t="n"/>
      <c r="BU15" s="31">
        <f>IF(BT15="Uptrend",10,IF(BT15="Sideways",5,0))</f>
        <v/>
      </c>
      <c r="BV15" s="31" t="n"/>
      <c r="BW15" s="31">
        <f>IF(BV15="Uptrend",10,IF(BV15="Sideways",5,0))</f>
        <v/>
      </c>
      <c r="BX15" s="31" t="n"/>
      <c r="BY15" s="31">
        <f>IF(BX15="Overhead supply in last 2 years in last 2 years",-5,IF(BX15="Close to 52 week high or retracement",5,IF(BX15="Blue sky scenario",10,IF(BX15="Long term Downtrend",-10,0))))</f>
        <v/>
      </c>
      <c r="BZ15" s="31" t="n"/>
      <c r="CA15" s="31">
        <f>IF(BZ15="Yes",10,0)</f>
        <v/>
      </c>
      <c r="CB15" s="31" t="n"/>
      <c r="CC15" s="31">
        <f>IF(CB15&gt;20,10,IF(CB15&gt;=10,5,2))</f>
        <v/>
      </c>
    </row>
    <row r="19">
      <c r="A19" s="25" t="inlineStr">
        <is>
          <t>❌ REMOVED SCAN MATCH STOCKS (THIS WEEK)</t>
        </is>
      </c>
    </row>
    <row r="20">
      <c r="A20" s="35" t="inlineStr">
        <is>
          <t>Symbol</t>
        </is>
      </c>
      <c r="B20" s="35" t="inlineStr">
        <is>
          <t>Company Name</t>
        </is>
      </c>
      <c r="C20" s="35" t="inlineStr">
        <is>
          <t>Sector</t>
        </is>
      </c>
      <c r="D20" s="35" t="inlineStr">
        <is>
          <t>Date of Removal</t>
        </is>
      </c>
    </row>
    <row r="21">
      <c r="A21" s="36" t="inlineStr">
        <is>
          <t>CHOICEIN</t>
        </is>
      </c>
      <c r="B21" s="37" t="inlineStr">
        <is>
          <t>Choice International Limited</t>
        </is>
      </c>
      <c r="C21" s="37" t="inlineStr">
        <is>
          <t>Financial Services</t>
        </is>
      </c>
      <c r="D21" s="38" t="inlineStr">
        <is>
          <t>2026-07-21</t>
        </is>
      </c>
    </row>
  </sheetData>
  <autoFilter ref="A1:CC15"/>
  <conditionalFormatting sqref="B2:B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5">
    <cfRule type="cellIs" priority="35" operator="equal" dxfId="3" stopIfTrue="1">
      <formula>"Underperforming"</formula>
    </cfRule>
  </conditionalFormatting>
  <conditionalFormatting sqref="N2:N15">
    <cfRule type="cellIs" priority="36" operator="equal" dxfId="3" stopIfTrue="1">
      <formula>-5</formula>
    </cfRule>
  </conditionalFormatting>
  <conditionalFormatting sqref="Q2:Q1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5" showDropDown="0" showInputMessage="0" showErrorMessage="0" allowBlank="1" type="list">
      <formula1>"Growing Industry,Stagnant Industry,Cyclical in an Upturn"</formula1>
    </dataValidation>
    <dataValidation sqref="Z2:Z15" showDropDown="0" showInputMessage="0" showErrorMessage="0" allowBlank="1" type="list">
      <formula1>"Fragmented with Low ROE,Fragmented with High ROE,Highly Cyclical"</formula1>
    </dataValidation>
    <dataValidation sqref="AB2:AB15" showDropDown="0" showInputMessage="0" showErrorMessage="0" allowBlank="1" type="list">
      <formula1>"Yes,No"</formula1>
    </dataValidation>
    <dataValidation sqref="AD2:AD15" showDropDown="0" showInputMessage="0" showErrorMessage="0" allowBlank="1" type="list">
      <formula1>"Tailwind,Headwind"</formula1>
    </dataValidation>
    <dataValidation sqref="AF2:AF1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5" showDropDown="0" showInputMessage="0" showErrorMessage="0" allowBlank="1" type="list">
      <formula1>"Yes,No"</formula1>
    </dataValidation>
    <dataValidation sqref="AJ2:AJ15" showDropDown="0" showInputMessage="0" showErrorMessage="0" allowBlank="1" type="list">
      <formula1>"Yes,No,Not Applicable"</formula1>
    </dataValidation>
    <dataValidation sqref="AL2:AL15" showDropDown="0" showInputMessage="0" showErrorMessage="0" allowBlank="1" type="list">
      <formula1>"Yes,No"</formula1>
    </dataValidation>
    <dataValidation sqref="AN2:AN15" showDropDown="0" showInputMessage="0" showErrorMessage="0" allowBlank="1" type="list">
      <formula1>"Yes,No"</formula1>
    </dataValidation>
    <dataValidation sqref="AP2:AP15" showDropDown="0" showInputMessage="0" showErrorMessage="0" allowBlank="1" type="list">
      <formula1>"Yes,No"</formula1>
    </dataValidation>
    <dataValidation sqref="AR2:AR15" showDropDown="0" showInputMessage="0" showErrorMessage="0" allowBlank="1" type="list">
      <formula1>"Yes,No"</formula1>
    </dataValidation>
    <dataValidation sqref="AT2:AT15" showDropDown="0" showInputMessage="0" showErrorMessage="0" allowBlank="1" type="list">
      <formula1>"No,Yes"</formula1>
    </dataValidation>
    <dataValidation sqref="AV2:AV15" showDropDown="0" showInputMessage="0" showErrorMessage="0" allowBlank="1" type="list">
      <formula1>"No,Yes"</formula1>
    </dataValidation>
    <dataValidation sqref="AX2:AX15" showDropDown="0" showInputMessage="0" showErrorMessage="0" allowBlank="1" type="list">
      <formula1>"No,Yes CEO Resignation,Yes CEO Retirement"</formula1>
    </dataValidation>
    <dataValidation sqref="AZ2:AZ15" showDropDown="0" showInputMessage="0" showErrorMessage="0" allowBlank="1" type="list">
      <formula1>"No,Yes"</formula1>
    </dataValidation>
    <dataValidation sqref="BB2:BB15" showDropDown="0" showInputMessage="0" showErrorMessage="0" allowBlank="1" type="list">
      <formula1>"No,Yes"</formula1>
    </dataValidation>
    <dataValidation sqref="BD2:BD15" showDropDown="0" showInputMessage="0" showErrorMessage="0" allowBlank="1" type="list">
      <formula1>"Yes,No"</formula1>
    </dataValidation>
    <dataValidation sqref="BF2:BF15" showDropDown="0" showInputMessage="0" showErrorMessage="0" allowBlank="1" type="list">
      <formula1>"Yes,No"</formula1>
    </dataValidation>
    <dataValidation sqref="BH2:BH15" showDropDown="0" showInputMessage="0" showErrorMessage="0" allowBlank="1" type="list">
      <formula1>"Yes,No"</formula1>
    </dataValidation>
    <dataValidation sqref="BJ2:BJ1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5" showDropDown="0" showInputMessage="0" showErrorMessage="0" allowBlank="1" type="list">
      <formula1>"Above 40,20 to 40,0 to 20"</formula1>
    </dataValidation>
    <dataValidation sqref="BN2:BN15" showDropDown="0" showInputMessage="0" showErrorMessage="0" allowBlank="1" type="list">
      <formula1>"Between 50 to 75,Above 75,Below 45"</formula1>
    </dataValidation>
    <dataValidation sqref="BP2:BP15" showDropDown="0" showInputMessage="0" showErrorMessage="0" allowBlank="1" type="list">
      <formula1>"Stage 1,Stage 2,Stage 3,Stage 4"</formula1>
    </dataValidation>
    <dataValidation sqref="BR2:BR15" showDropDown="0" showInputMessage="0" showErrorMessage="0" allowBlank="1" type="list">
      <formula1>"Positive Trend,Negative Trend"</formula1>
    </dataValidation>
    <dataValidation sqref="BT2:BT15" showDropDown="0" showInputMessage="0" showErrorMessage="0" allowBlank="1" type="list">
      <formula1>"Uptrend,Sideways,Downtrend"</formula1>
    </dataValidation>
    <dataValidation sqref="BV2:BV15" showDropDown="0" showInputMessage="0" showErrorMessage="0" allowBlank="1" type="list">
      <formula1>"Uptrend,Sideways,Downtrend"</formula1>
    </dataValidation>
    <dataValidation sqref="BX2:BX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2026-07-21T12:05:14Z</dcterms:created>
  <dcterms:modified xmlns:dcterms="http://purl.org/dc/terms/" xmlns:xsi="http://www.w3.org/2001/XMLSchema-instance" xsi:type="dcterms:W3CDTF">2026-07-21T12:06:45Z</dcterms:modified>
</cp:coreProperties>
</file>