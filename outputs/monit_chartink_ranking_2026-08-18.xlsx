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Universe'!$A$1:$J$396</definedName>
    <definedName name="_xlnm._FilterDatabase" localSheetId="3" hidden="1">'Confluence Overlap'!$A$1:$K$94</definedName>
    <definedName name="_xlnm._FilterDatabase" localSheetId="4" hidden="1">'Monit Non Financial'!$A$1:$CE$360</definedName>
    <definedName name="_xlnm._FilterDatabase" localSheetId="5" hidden="1">'Monit Banks NBFC'!$A$1:$CA$37</definedName>
    <definedName name="_xlnm._FilterDatabase" localSheetId="6" hidden="1">'Scanner Non Financial'!$A$1:$CJ$23</definedName>
    <definedName name="_xlnm._FilterDatabase" localSheetId="8" hidden="1">'Scan Match Non Financial'!$A$1:$CG$99</definedName>
    <definedName name="_xlnm._FilterDatabase" localSheetId="9" hidden="1">'Scan Match Banks NBFC'!$A$1:$CC$3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18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612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87</v>
      </c>
      <c r="G6" s="19" t="n">
        <v>49645.4</v>
      </c>
      <c r="H6" s="18" t="inlineStr">
        <is>
          <t>Potential Leader</t>
        </is>
      </c>
      <c r="J6" s="18" t="inlineStr">
        <is>
          <t>co-working</t>
        </is>
      </c>
      <c r="K6" s="16" t="n">
        <v>2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504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69</v>
      </c>
      <c r="G7" s="19" t="n">
        <v>2823.82</v>
      </c>
      <c r="H7" s="18" t="inlineStr">
        <is>
          <t>Potential Leader</t>
        </is>
      </c>
      <c r="J7" s="18" t="inlineStr">
        <is>
          <t>telecom-service</t>
        </is>
      </c>
      <c r="K7" s="16" t="n">
        <v>8</v>
      </c>
      <c r="L7" s="16" t="n">
        <v>5</v>
      </c>
      <c r="M7" s="20" t="inlineStr">
        <is>
          <t>60.0%</t>
        </is>
      </c>
    </row>
    <row r="8">
      <c r="A8" s="16" t="n">
        <v>3</v>
      </c>
      <c r="B8" s="17" t="n">
        <v>498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68</v>
      </c>
      <c r="G8" s="19" t="n">
        <v>97768.97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71</v>
      </c>
      <c r="L8" s="16" t="n">
        <v>56</v>
      </c>
      <c r="M8" s="20" t="inlineStr">
        <is>
          <t>26.8%</t>
        </is>
      </c>
    </row>
    <row r="9">
      <c r="A9" s="16" t="n">
        <v>4</v>
      </c>
      <c r="B9" s="17" t="n">
        <v>432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57</v>
      </c>
      <c r="G9" s="19" t="n">
        <v>5259.67</v>
      </c>
      <c r="H9" s="18" t="inlineStr">
        <is>
          <t>Potential Leader</t>
        </is>
      </c>
      <c r="J9" s="18" t="inlineStr">
        <is>
          <t>realty</t>
        </is>
      </c>
      <c r="K9" s="16" t="n">
        <v>75</v>
      </c>
      <c r="L9" s="16" t="n">
        <v>65</v>
      </c>
      <c r="M9" s="20" t="inlineStr">
        <is>
          <t>15.4%</t>
        </is>
      </c>
    </row>
    <row r="10">
      <c r="A10" s="16" t="n">
        <v>5</v>
      </c>
      <c r="B10" s="17" t="n">
        <v>426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56</v>
      </c>
      <c r="G10" s="19" t="n">
        <v>35945.47</v>
      </c>
      <c r="H10" s="18" t="inlineStr">
        <is>
          <t>Potential Leader</t>
        </is>
      </c>
      <c r="J10" s="18" t="inlineStr">
        <is>
          <t>power &amp; utilities</t>
        </is>
      </c>
      <c r="K10" s="16" t="n">
        <v>17</v>
      </c>
      <c r="L10" s="16" t="n">
        <v>15</v>
      </c>
      <c r="M10" s="20" t="inlineStr">
        <is>
          <t>13.3%</t>
        </is>
      </c>
    </row>
    <row r="11">
      <c r="A11" s="16" t="n">
        <v>6</v>
      </c>
      <c r="B11" s="17" t="n">
        <v>366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46</v>
      </c>
      <c r="G11" s="19" t="n">
        <v>5326.9</v>
      </c>
      <c r="H11" s="18" t="inlineStr">
        <is>
          <t>Potential Leader</t>
        </is>
      </c>
      <c r="J11" s="18" t="inlineStr">
        <is>
          <t>plastic products</t>
        </is>
      </c>
      <c r="K11" s="16" t="n">
        <v>30</v>
      </c>
      <c r="L11" s="16" t="n">
        <v>27</v>
      </c>
      <c r="M11" s="20" t="inlineStr">
        <is>
          <t>11.1%</t>
        </is>
      </c>
    </row>
    <row r="12">
      <c r="A12" s="16" t="n">
        <v>7</v>
      </c>
      <c r="B12" s="17" t="n">
        <v>348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43</v>
      </c>
      <c r="G12" s="19" t="n">
        <v>567.0599999999999</v>
      </c>
      <c r="H12" s="18" t="inlineStr">
        <is>
          <t>Potential Leader</t>
        </is>
      </c>
      <c r="J12" s="18" t="inlineStr">
        <is>
          <t>energy</t>
        </is>
      </c>
      <c r="K12" s="16" t="n">
        <v>62</v>
      </c>
      <c r="L12" s="16" t="n">
        <v>57</v>
      </c>
      <c r="M12" s="20" t="inlineStr">
        <is>
          <t>8.8%</t>
        </is>
      </c>
    </row>
    <row r="13">
      <c r="A13" s="16" t="n">
        <v>8</v>
      </c>
      <c r="B13" s="17" t="n">
        <v>318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38</v>
      </c>
      <c r="G13" s="19" t="n">
        <v>4864.73</v>
      </c>
      <c r="H13" s="18" t="inlineStr">
        <is>
          <t>Potential Leader</t>
        </is>
      </c>
      <c r="J13" s="18" t="inlineStr">
        <is>
          <t>industrials</t>
        </is>
      </c>
      <c r="K13" s="16" t="n">
        <v>304</v>
      </c>
      <c r="L13" s="16" t="n">
        <v>280</v>
      </c>
      <c r="M13" s="20" t="inlineStr">
        <is>
          <t>8.6%</t>
        </is>
      </c>
    </row>
    <row r="14">
      <c r="A14" s="16" t="n">
        <v>9</v>
      </c>
      <c r="B14" s="17" t="n">
        <v>300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35</v>
      </c>
      <c r="G14" s="19" t="n">
        <v>2654.45</v>
      </c>
      <c r="H14" s="18" t="inlineStr">
        <is>
          <t>Potential Leader</t>
        </is>
      </c>
      <c r="J14" s="18" t="inlineStr">
        <is>
          <t>fmcg</t>
        </is>
      </c>
      <c r="K14" s="16" t="n">
        <v>132</v>
      </c>
      <c r="L14" s="16" t="n">
        <v>127</v>
      </c>
      <c r="M14" s="20" t="inlineStr">
        <is>
          <t>3.9%</t>
        </is>
      </c>
    </row>
    <row r="15">
      <c r="A15" s="16" t="n">
        <v>10</v>
      </c>
      <c r="B15" s="17" t="n">
        <v>300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aerospace &amp; defence</t>
        </is>
      </c>
      <c r="F15" s="16" t="n">
        <v>35</v>
      </c>
      <c r="G15" s="19" t="n">
        <v>5854.13</v>
      </c>
      <c r="H15" s="18" t="inlineStr">
        <is>
          <t>Potential Leader</t>
        </is>
      </c>
      <c r="J15" s="18" t="inlineStr">
        <is>
          <t>healthcare</t>
        </is>
      </c>
      <c r="K15" s="16" t="n">
        <v>233</v>
      </c>
      <c r="L15" s="16" t="n">
        <v>233</v>
      </c>
      <c r="M15" s="20" t="inlineStr">
        <is>
          <t>0.0%</t>
        </is>
      </c>
    </row>
    <row r="16">
      <c r="A16" s="16" t="n">
        <v>11</v>
      </c>
      <c r="B16" s="17" t="n">
        <v>300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35</v>
      </c>
      <c r="G16" s="19" t="n">
        <v>1109.63</v>
      </c>
      <c r="H16" s="18" t="inlineStr">
        <is>
          <t>Potential Leader</t>
        </is>
      </c>
      <c r="J16" s="18" t="inlineStr">
        <is>
          <t>telecom</t>
        </is>
      </c>
      <c r="K16" s="16" t="n">
        <v>9</v>
      </c>
      <c r="L16" s="16" t="n">
        <v>9</v>
      </c>
      <c r="M16" s="20" t="inlineStr">
        <is>
          <t>0.0%</t>
        </is>
      </c>
    </row>
    <row r="17">
      <c r="A17" s="16" t="n">
        <v>12</v>
      </c>
      <c r="B17" s="17" t="n">
        <v>300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35</v>
      </c>
      <c r="G17" s="19" t="n">
        <v>62859.34</v>
      </c>
      <c r="H17" s="18" t="inlineStr">
        <is>
          <t>Potential Leader</t>
        </is>
      </c>
      <c r="J17" s="18" t="inlineStr">
        <is>
          <t>chemicals</t>
        </is>
      </c>
      <c r="K17" s="16" t="n">
        <v>163</v>
      </c>
      <c r="L17" s="16" t="n">
        <v>169</v>
      </c>
      <c r="M17" s="21" t="inlineStr">
        <is>
          <t>-3.6%</t>
        </is>
      </c>
    </row>
    <row r="18">
      <c r="A18" s="16" t="n">
        <v>13</v>
      </c>
      <c r="B18" s="17" t="n">
        <v>294</v>
      </c>
      <c r="C18" s="17" t="inlineStr">
        <is>
          <t>KAPSTON</t>
        </is>
      </c>
      <c r="D18" s="18" t="inlineStr">
        <is>
          <t>Kapston Services Ltd</t>
        </is>
      </c>
      <c r="E18" s="18" t="inlineStr">
        <is>
          <t>miscellaneous</t>
        </is>
      </c>
      <c r="F18" s="16" t="n">
        <v>34</v>
      </c>
      <c r="G18" s="19" t="n">
        <v>1590.69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71</v>
      </c>
      <c r="L18" s="16" t="n">
        <v>75</v>
      </c>
      <c r="M18" s="21" t="inlineStr">
        <is>
          <t>-5.3%</t>
        </is>
      </c>
    </row>
    <row r="19">
      <c r="A19" s="16" t="n">
        <v>14</v>
      </c>
      <c r="B19" s="17" t="n">
        <v>294</v>
      </c>
      <c r="C19" s="17" t="inlineStr">
        <is>
          <t>SETL</t>
        </is>
      </c>
      <c r="D19" s="18" t="inlineStr">
        <is>
          <t>Standard Enginnering Technology Ltd</t>
        </is>
      </c>
      <c r="E19" s="18" t="inlineStr">
        <is>
          <t>industrials</t>
        </is>
      </c>
      <c r="F19" s="16" t="n">
        <v>34</v>
      </c>
      <c r="G19" s="19" t="n">
        <v>6158.31</v>
      </c>
      <c r="H19" s="18" t="inlineStr">
        <is>
          <t>Potential Leader</t>
        </is>
      </c>
      <c r="J19" s="18" t="inlineStr">
        <is>
          <t>services</t>
        </is>
      </c>
      <c r="K19" s="16" t="n">
        <v>34</v>
      </c>
      <c r="L19" s="16" t="n">
        <v>39</v>
      </c>
      <c r="M19" s="21" t="inlineStr">
        <is>
          <t>-12.8%</t>
        </is>
      </c>
    </row>
    <row r="20">
      <c r="A20" s="16" t="n">
        <v>15</v>
      </c>
      <c r="B20" s="17" t="n">
        <v>282</v>
      </c>
      <c r="C20" s="17" t="inlineStr">
        <is>
          <t>HAPPYFORGE</t>
        </is>
      </c>
      <c r="D20" s="18" t="inlineStr">
        <is>
          <t>Happy Forgings Ltd</t>
        </is>
      </c>
      <c r="E20" s="18" t="inlineStr">
        <is>
          <t>industrials</t>
        </is>
      </c>
      <c r="F20" s="16" t="n">
        <v>32</v>
      </c>
      <c r="G20" s="19" t="n">
        <v>20745.39</v>
      </c>
      <c r="H20" s="18" t="inlineStr">
        <is>
          <t>Potential Leader</t>
        </is>
      </c>
      <c r="J20" s="18" t="inlineStr">
        <is>
          <t>auto</t>
        </is>
      </c>
      <c r="K20" s="16" t="n">
        <v>197</v>
      </c>
      <c r="L20" s="16" t="n">
        <v>229</v>
      </c>
      <c r="M20" s="21" t="inlineStr">
        <is>
          <t>-14.0%</t>
        </is>
      </c>
    </row>
    <row r="21">
      <c r="A21" s="16" t="n">
        <v>16</v>
      </c>
      <c r="B21" s="17" t="n">
        <v>276</v>
      </c>
      <c r="C21" s="17" t="inlineStr">
        <is>
          <t>SONACOMS</t>
        </is>
      </c>
      <c r="D21" s="18" t="inlineStr">
        <is>
          <t>Sona BLW Precision Forgings Ltd</t>
        </is>
      </c>
      <c r="E21" s="18" t="inlineStr">
        <is>
          <t>auto</t>
        </is>
      </c>
      <c r="F21" s="16" t="n">
        <v>31</v>
      </c>
      <c r="G21" s="19" t="n">
        <v>50080.02</v>
      </c>
      <c r="H21" s="18" t="inlineStr">
        <is>
          <t>Potential Leader</t>
        </is>
      </c>
    </row>
    <row r="22">
      <c r="A22" s="16" t="n">
        <v>17</v>
      </c>
      <c r="B22" s="17" t="n">
        <v>270</v>
      </c>
      <c r="C22" s="17" t="inlineStr">
        <is>
          <t>AETHER</t>
        </is>
      </c>
      <c r="D22" s="18" t="inlineStr">
        <is>
          <t>Aether Industries Ltd</t>
        </is>
      </c>
      <c r="E22" s="18" t="inlineStr">
        <is>
          <t>chemicals</t>
        </is>
      </c>
      <c r="F22" s="16" t="n">
        <v>30</v>
      </c>
      <c r="G22" s="19" t="n">
        <v>21309.66</v>
      </c>
      <c r="H22" s="18" t="inlineStr">
        <is>
          <t>Potential Leader</t>
        </is>
      </c>
    </row>
    <row r="23">
      <c r="A23" s="16" t="n">
        <v>18</v>
      </c>
      <c r="B23" s="17" t="n">
        <v>249</v>
      </c>
      <c r="C23" s="17" t="inlineStr">
        <is>
          <t>DIACABS</t>
        </is>
      </c>
      <c r="D23" s="18" t="inlineStr">
        <is>
          <t>Diamond Power Infrastructure Ltd</t>
        </is>
      </c>
      <c r="E23" s="18" t="inlineStr">
        <is>
          <t>industrials</t>
        </is>
      </c>
      <c r="F23" s="16" t="n">
        <v>27</v>
      </c>
      <c r="G23" s="19" t="n">
        <v>18965.69</v>
      </c>
      <c r="H23" s="18" t="inlineStr">
        <is>
          <t>Potential Leader</t>
        </is>
      </c>
    </row>
    <row r="24">
      <c r="A24" s="16" t="n">
        <v>19</v>
      </c>
      <c r="B24" s="17" t="n">
        <v>243</v>
      </c>
      <c r="C24" s="17" t="inlineStr">
        <is>
          <t>SUNDRMFAST</t>
        </is>
      </c>
      <c r="D24" s="18" t="inlineStr">
        <is>
          <t>Sundram Fasteners Limited</t>
        </is>
      </c>
      <c r="E24" s="18" t="inlineStr">
        <is>
          <t>auto</t>
        </is>
      </c>
      <c r="F24" s="16" t="n">
        <v>27</v>
      </c>
      <c r="G24" s="19" t="n">
        <v>25525.34</v>
      </c>
      <c r="H24" s="18" t="inlineStr">
        <is>
          <t>Potential Leader</t>
        </is>
      </c>
    </row>
    <row r="25">
      <c r="A25" s="16" t="n">
        <v>20</v>
      </c>
      <c r="B25" s="17" t="n">
        <v>219</v>
      </c>
      <c r="C25" s="17" t="inlineStr">
        <is>
          <t>UNITDSPR</t>
        </is>
      </c>
      <c r="D25" s="18" t="inlineStr">
        <is>
          <t>United Spirits Ltd</t>
        </is>
      </c>
      <c r="E25" s="18" t="inlineStr">
        <is>
          <t>fmcg</t>
        </is>
      </c>
      <c r="F25" s="16" t="n">
        <v>23</v>
      </c>
      <c r="G25" s="19" t="n">
        <v>112375.71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TTKHLTCARE</t>
        </is>
      </c>
      <c r="B30" s="18" t="inlineStr">
        <is>
          <t>Ttk Healthcare Limited</t>
        </is>
      </c>
      <c r="C30" s="18" t="inlineStr">
        <is>
          <t>miscellaneous</t>
        </is>
      </c>
      <c r="D30" s="16" t="n">
        <v>10</v>
      </c>
      <c r="E30" s="16" t="n">
        <v>1</v>
      </c>
      <c r="F30" s="19" t="n">
        <v>1608.6</v>
      </c>
      <c r="J30" s="17" t="inlineStr">
        <is>
          <t>VADILALIND</t>
        </is>
      </c>
      <c r="K30" s="18" t="inlineStr">
        <is>
          <t>fmcg</t>
        </is>
      </c>
      <c r="L30" s="19" t="n">
        <v>302</v>
      </c>
      <c r="M30" s="19" t="n">
        <v>5326.9</v>
      </c>
      <c r="N30" s="16" t="n">
        <v>30</v>
      </c>
    </row>
    <row r="31">
      <c r="A31" s="17" t="inlineStr">
        <is>
          <t>3IINFOLTD</t>
        </is>
      </c>
      <c r="B31" s="18" t="inlineStr">
        <is>
          <t>3i Infotech Ltd</t>
        </is>
      </c>
      <c r="C31" s="18" t="inlineStr">
        <is>
          <t>i.t</t>
        </is>
      </c>
      <c r="D31" s="16" t="n">
        <v>10</v>
      </c>
      <c r="E31" s="16" t="n">
        <v>1</v>
      </c>
      <c r="F31" s="19" t="n">
        <v>531.78</v>
      </c>
      <c r="J31" s="17" t="inlineStr">
        <is>
          <t>SCPL</t>
        </is>
      </c>
      <c r="K31" s="18" t="inlineStr">
        <is>
          <t>fmcg</t>
        </is>
      </c>
      <c r="L31" s="19" t="n">
        <v>300</v>
      </c>
      <c r="M31" s="19" t="n">
        <v>690.85</v>
      </c>
      <c r="N31" s="16" t="n">
        <v>28</v>
      </c>
    </row>
    <row r="32">
      <c r="A32" s="17" t="inlineStr">
        <is>
          <t>BOSCH-HCIL</t>
        </is>
      </c>
      <c r="B32" s="18" t="inlineStr">
        <is>
          <t>Bosch Home Comfort India Ltd</t>
        </is>
      </c>
      <c r="C32" s="18" t="inlineStr">
        <is>
          <t>consumer discretionary</t>
        </is>
      </c>
      <c r="D32" s="16" t="n">
        <v>10</v>
      </c>
      <c r="E32" s="16" t="n">
        <v>1</v>
      </c>
      <c r="F32" s="19" t="n">
        <v>4623.54</v>
      </c>
      <c r="J32" s="17" t="inlineStr">
        <is>
          <t>RPTECH</t>
        </is>
      </c>
      <c r="K32" s="18" t="inlineStr">
        <is>
          <t>services</t>
        </is>
      </c>
      <c r="L32" s="19" t="n">
        <v>300</v>
      </c>
      <c r="M32" s="19" t="n">
        <v>5745.46</v>
      </c>
      <c r="N32" s="16" t="n">
        <v>29</v>
      </c>
    </row>
    <row r="33">
      <c r="A33" s="17" t="inlineStr">
        <is>
          <t>UTTAMSUGAR</t>
        </is>
      </c>
      <c r="B33" s="18" t="inlineStr">
        <is>
          <t>Uttam Sugar Mills Limited</t>
        </is>
      </c>
      <c r="C33" s="18" t="inlineStr">
        <is>
          <t>fmcg</t>
        </is>
      </c>
      <c r="D33" s="16" t="n">
        <v>10</v>
      </c>
      <c r="E33" s="16" t="n">
        <v>2</v>
      </c>
      <c r="F33" s="19" t="n">
        <v>1079.31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11591.93</v>
      </c>
      <c r="N33" s="16" t="n">
        <v>24</v>
      </c>
    </row>
    <row r="34">
      <c r="A34" s="17" t="inlineStr">
        <is>
          <t>SHALPAINTS</t>
        </is>
      </c>
      <c r="B34" s="18" t="inlineStr">
        <is>
          <t>Shalimar Paints Limited</t>
        </is>
      </c>
      <c r="C34" s="18" t="inlineStr">
        <is>
          <t>building materials</t>
        </is>
      </c>
      <c r="D34" s="16" t="n">
        <v>10</v>
      </c>
      <c r="E34" s="16" t="n">
        <v>2</v>
      </c>
      <c r="F34" s="19" t="n">
        <v>765.54</v>
      </c>
      <c r="J34" s="17" t="inlineStr">
        <is>
          <t>PREMIERPOL</t>
        </is>
      </c>
      <c r="K34" s="18" t="inlineStr">
        <is>
          <t>plastic products</t>
        </is>
      </c>
      <c r="L34" s="19" t="n">
        <v>293</v>
      </c>
      <c r="M34" s="19" t="n">
        <v>875.54</v>
      </c>
      <c r="N34" s="16" t="n">
        <v>21</v>
      </c>
    </row>
    <row r="35">
      <c r="A35" s="17" t="inlineStr">
        <is>
          <t>EMIL</t>
        </is>
      </c>
      <c r="B35" s="18" t="inlineStr">
        <is>
          <t>Electronics Mart India Ltd</t>
        </is>
      </c>
      <c r="C35" s="18" t="inlineStr">
        <is>
          <t>consumer discretionary</t>
        </is>
      </c>
      <c r="D35" s="16" t="n">
        <v>10</v>
      </c>
      <c r="E35" s="16" t="n">
        <v>0</v>
      </c>
      <c r="F35" s="19" t="n">
        <v>7403.34</v>
      </c>
      <c r="J35" s="17" t="inlineStr">
        <is>
          <t>PGIL</t>
        </is>
      </c>
      <c r="K35" s="18" t="inlineStr">
        <is>
          <t>consumer discretionary</t>
        </is>
      </c>
      <c r="L35" s="19" t="n">
        <v>290</v>
      </c>
      <c r="M35" s="19" t="n">
        <v>10982.58</v>
      </c>
      <c r="N35" s="16" t="n">
        <v>27</v>
      </c>
    </row>
    <row r="36">
      <c r="A36" s="17" t="inlineStr">
        <is>
          <t>DOLPHIN</t>
        </is>
      </c>
      <c r="B36" s="18" t="inlineStr">
        <is>
          <t>Dolphin Offshore Enterprises (India) Ltd</t>
        </is>
      </c>
      <c r="C36" s="18" t="inlineStr">
        <is>
          <t>energy</t>
        </is>
      </c>
      <c r="D36" s="16" t="n">
        <v>10</v>
      </c>
      <c r="E36" s="16" t="n">
        <v>2</v>
      </c>
      <c r="F36" s="19" t="n">
        <v>2307.66</v>
      </c>
      <c r="J36" s="17" t="inlineStr">
        <is>
          <t>INDOTECH</t>
        </is>
      </c>
      <c r="K36" s="18" t="inlineStr">
        <is>
          <t>industrials</t>
        </is>
      </c>
      <c r="L36" s="19" t="n">
        <v>290</v>
      </c>
      <c r="M36" s="19" t="n">
        <v>3832.12</v>
      </c>
      <c r="N36" s="16" t="n">
        <v>29</v>
      </c>
    </row>
    <row r="37">
      <c r="A37" s="17" t="inlineStr">
        <is>
          <t>MANAKSTEEL</t>
        </is>
      </c>
      <c r="B37" s="18" t="inlineStr">
        <is>
          <t>Manaksia Steels Limited</t>
        </is>
      </c>
      <c r="C37" s="18" t="inlineStr">
        <is>
          <t>metals &amp; mining</t>
        </is>
      </c>
      <c r="D37" s="16" t="n">
        <v>10</v>
      </c>
      <c r="E37" s="16" t="n">
        <v>0</v>
      </c>
      <c r="F37" s="19" t="n">
        <v>557.24</v>
      </c>
      <c r="J37" s="17" t="inlineStr">
        <is>
          <t>PIXTRANS</t>
        </is>
      </c>
      <c r="K37" s="18" t="inlineStr">
        <is>
          <t>fmcg</t>
        </is>
      </c>
      <c r="L37" s="19" t="n">
        <v>290</v>
      </c>
      <c r="M37" s="19" t="n">
        <v>2641.65</v>
      </c>
      <c r="N37" s="16" t="n">
        <v>18</v>
      </c>
    </row>
    <row r="38">
      <c r="A38" s="17" t="inlineStr">
        <is>
          <t>SIRCA</t>
        </is>
      </c>
      <c r="B38" s="18" t="inlineStr">
        <is>
          <t>Sirca Paints India Ltd</t>
        </is>
      </c>
      <c r="C38" s="18" t="inlineStr">
        <is>
          <t>building materials</t>
        </is>
      </c>
      <c r="D38" s="16" t="n">
        <v>9</v>
      </c>
      <c r="E38" s="16" t="n">
        <v>1</v>
      </c>
      <c r="F38" s="19" t="n">
        <v>2495.76</v>
      </c>
      <c r="J38" s="17" t="inlineStr">
        <is>
          <t>MODISONLTD</t>
        </is>
      </c>
      <c r="K38" s="18" t="inlineStr">
        <is>
          <t>industrials</t>
        </is>
      </c>
      <c r="L38" s="19" t="n">
        <v>290</v>
      </c>
      <c r="M38" s="19" t="n">
        <v>1155.54</v>
      </c>
      <c r="N38" s="16" t="n">
        <v>14</v>
      </c>
    </row>
    <row r="39">
      <c r="A39" s="17" t="inlineStr">
        <is>
          <t>UFLEX</t>
        </is>
      </c>
      <c r="B39" s="18" t="inlineStr">
        <is>
          <t>Uflex Limited</t>
        </is>
      </c>
      <c r="C39" s="18" t="inlineStr">
        <is>
          <t>industrials</t>
        </is>
      </c>
      <c r="D39" s="16" t="n">
        <v>9</v>
      </c>
      <c r="E39" s="16" t="n">
        <v>1</v>
      </c>
      <c r="F39" s="19" t="n">
        <v>4231.95</v>
      </c>
      <c r="J39" s="17" t="inlineStr">
        <is>
          <t>VINDHYATEL</t>
        </is>
      </c>
      <c r="K39" s="18" t="inlineStr">
        <is>
          <t>realty</t>
        </is>
      </c>
      <c r="L39" s="19" t="n">
        <v>288</v>
      </c>
      <c r="M39" s="19" t="n">
        <v>2946.84</v>
      </c>
      <c r="N39" s="16" t="n">
        <v>18</v>
      </c>
    </row>
    <row r="40">
      <c r="A40" s="17" t="inlineStr">
        <is>
          <t>BHARATSE</t>
        </is>
      </c>
      <c r="B40" s="18" t="inlineStr">
        <is>
          <t>Bharat Seats Ltd</t>
        </is>
      </c>
      <c r="C40" s="18" t="inlineStr">
        <is>
          <t>auto</t>
        </is>
      </c>
      <c r="D40" s="16" t="n">
        <v>9</v>
      </c>
      <c r="E40" s="16" t="n">
        <v>2</v>
      </c>
      <c r="F40" s="19" t="n">
        <v>1497.4</v>
      </c>
      <c r="J40" s="17" t="inlineStr">
        <is>
          <t>TALBROAUTO</t>
        </is>
      </c>
      <c r="K40" s="18" t="inlineStr">
        <is>
          <t>auto</t>
        </is>
      </c>
      <c r="L40" s="19" t="n">
        <v>288</v>
      </c>
      <c r="M40" s="19" t="n">
        <v>2613.88</v>
      </c>
      <c r="N40" s="16" t="n">
        <v>23</v>
      </c>
    </row>
    <row r="41">
      <c r="A41" s="17" t="inlineStr">
        <is>
          <t>ASHOKLEY</t>
        </is>
      </c>
      <c r="B41" s="18" t="inlineStr">
        <is>
          <t>Ashok Leyland Limited</t>
        </is>
      </c>
      <c r="C41" s="18" t="inlineStr">
        <is>
          <t>auto</t>
        </is>
      </c>
      <c r="D41" s="16" t="n">
        <v>9</v>
      </c>
      <c r="E41" s="16" t="n">
        <v>1</v>
      </c>
      <c r="F41" s="19" t="n">
        <v>104025.96</v>
      </c>
      <c r="J41" s="17" t="inlineStr">
        <is>
          <t>CHEMBONDCH</t>
        </is>
      </c>
      <c r="K41" s="18" t="inlineStr">
        <is>
          <t>chemicals</t>
        </is>
      </c>
      <c r="L41" s="19" t="n">
        <v>288</v>
      </c>
      <c r="M41" s="19" t="n">
        <v>709.24</v>
      </c>
      <c r="N41" s="16" t="n">
        <v>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139.56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2939.84</v>
      </c>
    </row>
    <row r="48">
      <c r="A48" s="16" t="n">
        <v>2</v>
      </c>
      <c r="B48" s="27" t="n">
        <v>99</v>
      </c>
      <c r="C48" s="28" t="n">
        <v>94.51000000000001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35945.47</v>
      </c>
    </row>
    <row r="49">
      <c r="A49" s="16" t="n">
        <v>3</v>
      </c>
      <c r="B49" s="27" t="n">
        <v>98</v>
      </c>
      <c r="C49" s="28" t="n">
        <v>72.59999999999999</v>
      </c>
      <c r="D49" s="28" t="n">
        <v>277</v>
      </c>
      <c r="E49" s="17" t="inlineStr">
        <is>
          <t>INDSWFTLAB</t>
        </is>
      </c>
      <c r="F49" s="18" t="inlineStr">
        <is>
          <t>Ind-swift Laboratories Limited</t>
        </is>
      </c>
      <c r="G49" s="18" t="inlineStr">
        <is>
          <t>healthcare</t>
        </is>
      </c>
      <c r="H49" s="19" t="n">
        <v>2722.07</v>
      </c>
    </row>
    <row r="50">
      <c r="A50" s="16" t="n">
        <v>4</v>
      </c>
      <c r="B50" s="27" t="n">
        <v>98</v>
      </c>
      <c r="C50" s="28" t="n">
        <v>61.77</v>
      </c>
      <c r="D50" s="28" t="n">
        <v>260</v>
      </c>
      <c r="E50" s="17" t="inlineStr">
        <is>
          <t>YASHO</t>
        </is>
      </c>
      <c r="F50" s="18" t="inlineStr">
        <is>
          <t>Yasho Industries Ltd</t>
        </is>
      </c>
      <c r="G50" s="18" t="inlineStr">
        <is>
          <t>chemicals</t>
        </is>
      </c>
      <c r="H50" s="19" t="n">
        <v>5259.67</v>
      </c>
    </row>
    <row r="51">
      <c r="A51" s="16" t="n">
        <v>5</v>
      </c>
      <c r="B51" s="27" t="n">
        <v>98</v>
      </c>
      <c r="C51" s="28" t="n">
        <v>61.44</v>
      </c>
      <c r="D51" s="28" t="n">
        <v>253</v>
      </c>
      <c r="E51" s="17" t="inlineStr">
        <is>
          <t>SIGMAADV</t>
        </is>
      </c>
      <c r="F51" s="18" t="inlineStr">
        <is>
          <t>Sigma Advanced System Ltd</t>
        </is>
      </c>
      <c r="G51" s="18" t="inlineStr">
        <is>
          <t>aerospace &amp; defence</t>
        </is>
      </c>
      <c r="H51" s="19" t="n">
        <v>11883.31</v>
      </c>
    </row>
    <row r="52">
      <c r="A52" s="16" t="n">
        <v>6</v>
      </c>
      <c r="B52" s="27" t="n">
        <v>98</v>
      </c>
      <c r="C52" s="28" t="n">
        <v>52.04</v>
      </c>
      <c r="D52" s="28" t="n">
        <v>275</v>
      </c>
      <c r="E52" s="17" t="inlineStr">
        <is>
          <t>DIACABS</t>
        </is>
      </c>
      <c r="F52" s="18" t="inlineStr">
        <is>
          <t>Diamond Power Infrastructure Ltd</t>
        </is>
      </c>
      <c r="G52" s="18" t="inlineStr">
        <is>
          <t>industrials</t>
        </is>
      </c>
      <c r="H52" s="19" t="n">
        <v>18965.69</v>
      </c>
    </row>
    <row r="53">
      <c r="A53" s="16" t="n">
        <v>7</v>
      </c>
      <c r="B53" s="27" t="n">
        <v>97</v>
      </c>
      <c r="C53" s="28" t="n">
        <v>49.22</v>
      </c>
      <c r="D53" s="28" t="n">
        <v>290</v>
      </c>
      <c r="E53" s="17" t="inlineStr">
        <is>
          <t>MODISONLTD</t>
        </is>
      </c>
      <c r="F53" s="18" t="inlineStr">
        <is>
          <t>Modison Ltd</t>
        </is>
      </c>
      <c r="G53" s="18" t="inlineStr">
        <is>
          <t>industrials</t>
        </is>
      </c>
      <c r="H53" s="19" t="n">
        <v>1155.54</v>
      </c>
    </row>
    <row r="54">
      <c r="A54" s="16" t="n">
        <v>8</v>
      </c>
      <c r="B54" s="27" t="n">
        <v>97</v>
      </c>
      <c r="C54" s="28" t="n">
        <v>48</v>
      </c>
      <c r="D54" s="28" t="n">
        <v>280</v>
      </c>
      <c r="E54" s="17" t="inlineStr">
        <is>
          <t>UNIVCABLES</t>
        </is>
      </c>
      <c r="F54" s="18" t="inlineStr">
        <is>
          <t>Universal Cables Limited</t>
        </is>
      </c>
      <c r="G54" s="18" t="inlineStr">
        <is>
          <t>industrials</t>
        </is>
      </c>
      <c r="H54" s="19" t="n">
        <v>5983.57</v>
      </c>
    </row>
    <row r="55">
      <c r="A55" s="16" t="n">
        <v>9</v>
      </c>
      <c r="B55" s="27" t="n">
        <v>97</v>
      </c>
      <c r="C55" s="28" t="n">
        <v>47.65</v>
      </c>
      <c r="D55" s="28" t="n">
        <v>272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5520.23</v>
      </c>
    </row>
    <row r="56">
      <c r="A56" s="16" t="n">
        <v>10</v>
      </c>
      <c r="B56" s="27" t="n">
        <v>96</v>
      </c>
      <c r="C56" s="28" t="n">
        <v>47.63</v>
      </c>
      <c r="D56" s="28" t="n">
        <v>273</v>
      </c>
      <c r="E56" s="17" t="inlineStr">
        <is>
          <t>SETL</t>
        </is>
      </c>
      <c r="F56" s="18" t="inlineStr">
        <is>
          <t>Standard Enginnering Technology Ltd</t>
        </is>
      </c>
      <c r="G56" s="18" t="inlineStr">
        <is>
          <t>industrials</t>
        </is>
      </c>
      <c r="H56" s="19" t="n">
        <v>6158.31</v>
      </c>
    </row>
    <row r="57">
      <c r="A57" s="16" t="n">
        <v>11</v>
      </c>
      <c r="B57" s="27" t="n">
        <v>96</v>
      </c>
      <c r="C57" s="28" t="n">
        <v>46.75</v>
      </c>
      <c r="D57" s="28" t="n">
        <v>253</v>
      </c>
      <c r="E57" s="17" t="inlineStr">
        <is>
          <t>BHAGYANGR</t>
        </is>
      </c>
      <c r="F57" s="18" t="inlineStr">
        <is>
          <t>Bhagyanagar India</t>
        </is>
      </c>
      <c r="G57" s="18" t="inlineStr">
        <is>
          <t>power &amp; utilities</t>
        </is>
      </c>
      <c r="H57" s="19" t="n">
        <v>1223.81</v>
      </c>
    </row>
    <row r="58">
      <c r="A58" s="16" t="n">
        <v>12</v>
      </c>
      <c r="B58" s="27" t="n">
        <v>96</v>
      </c>
      <c r="C58" s="28" t="n">
        <v>46.63</v>
      </c>
      <c r="D58" s="28" t="n">
        <v>228</v>
      </c>
      <c r="E58" s="17" t="inlineStr">
        <is>
          <t>SALSTEEL</t>
        </is>
      </c>
      <c r="F58" s="18" t="inlineStr">
        <is>
          <t>SAL Steel</t>
        </is>
      </c>
      <c r="G58" s="18" t="inlineStr">
        <is>
          <t>metals &amp; mining</t>
        </is>
      </c>
      <c r="H58" s="19" t="n">
        <v>1040.44</v>
      </c>
    </row>
    <row r="59">
      <c r="A59" s="16" t="n">
        <v>13</v>
      </c>
      <c r="B59" s="27" t="n">
        <v>96</v>
      </c>
      <c r="C59" s="28" t="n">
        <v>45.35</v>
      </c>
      <c r="D59" s="28" t="n">
        <v>275</v>
      </c>
      <c r="E59" s="17" t="inlineStr">
        <is>
          <t>VENUSREM</t>
        </is>
      </c>
      <c r="F59" s="18" t="inlineStr">
        <is>
          <t>Venus Remedies Limited</t>
        </is>
      </c>
      <c r="G59" s="18" t="inlineStr">
        <is>
          <t>healthcare</t>
        </is>
      </c>
      <c r="H59" s="19" t="n">
        <v>2410.6</v>
      </c>
    </row>
    <row r="60">
      <c r="A60" s="16" t="n">
        <v>14</v>
      </c>
      <c r="B60" s="27" t="n">
        <v>95</v>
      </c>
      <c r="C60" s="28" t="n">
        <v>45.24</v>
      </c>
      <c r="D60" s="28" t="n">
        <v>278</v>
      </c>
      <c r="E60" s="17" t="inlineStr">
        <is>
          <t>UFBL</t>
        </is>
      </c>
      <c r="F60" s="18" t="inlineStr">
        <is>
          <t>United Foodbrands Ltd</t>
        </is>
      </c>
      <c r="G60" s="18" t="inlineStr">
        <is>
          <t>consumer discretionary</t>
        </is>
      </c>
      <c r="H60" s="19" t="n">
        <v>2980.73</v>
      </c>
    </row>
    <row r="61">
      <c r="A61" s="16" t="n">
        <v>15</v>
      </c>
      <c r="B61" s="27" t="n">
        <v>95</v>
      </c>
      <c r="C61" s="28" t="n">
        <v>44.87</v>
      </c>
      <c r="D61" s="28" t="n">
        <v>300</v>
      </c>
      <c r="E61" s="17" t="inlineStr">
        <is>
          <t>SCPL</t>
        </is>
      </c>
      <c r="F61" s="18" t="inlineStr">
        <is>
          <t>Sheetal Cool Products Ltd</t>
        </is>
      </c>
      <c r="G61" s="18" t="inlineStr">
        <is>
          <t>fmcg</t>
        </is>
      </c>
      <c r="H61" s="19" t="n">
        <v>690.85</v>
      </c>
    </row>
    <row r="62">
      <c r="A62" s="16" t="n">
        <v>16</v>
      </c>
      <c r="B62" s="27" t="n">
        <v>95</v>
      </c>
      <c r="C62" s="28" t="n">
        <v>44.83</v>
      </c>
      <c r="D62" s="28" t="n">
        <v>277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3661.92</v>
      </c>
    </row>
    <row r="63">
      <c r="A63" s="16" t="n">
        <v>17</v>
      </c>
      <c r="B63" s="27" t="n">
        <v>95</v>
      </c>
      <c r="C63" s="28" t="n">
        <v>43.52</v>
      </c>
      <c r="D63" s="28" t="n">
        <v>280</v>
      </c>
      <c r="E63" s="17" t="inlineStr">
        <is>
          <t>E2E</t>
        </is>
      </c>
      <c r="F63" s="18" t="inlineStr">
        <is>
          <t>E2E Networks Ltd</t>
        </is>
      </c>
      <c r="G63" s="18" t="inlineStr">
        <is>
          <t>i.t</t>
        </is>
      </c>
      <c r="H63" s="19" t="n">
        <v>14104.83</v>
      </c>
    </row>
    <row r="64">
      <c r="A64" s="16" t="n">
        <v>18</v>
      </c>
      <c r="B64" s="29" t="n">
        <v>94</v>
      </c>
      <c r="C64" s="28" t="n">
        <v>43.3</v>
      </c>
      <c r="D64" s="28" t="n">
        <v>273</v>
      </c>
      <c r="E64" s="17" t="inlineStr">
        <is>
          <t>NRL</t>
        </is>
      </c>
      <c r="F64" s="18" t="inlineStr">
        <is>
          <t>Nupur Recyclers Ltd</t>
        </is>
      </c>
      <c r="G64" s="18" t="inlineStr">
        <is>
          <t>services</t>
        </is>
      </c>
      <c r="H64" s="19" t="n">
        <v>801.2</v>
      </c>
    </row>
    <row r="65">
      <c r="A65" s="16" t="n">
        <v>19</v>
      </c>
      <c r="B65" s="29" t="n">
        <v>94</v>
      </c>
      <c r="C65" s="28" t="n">
        <v>41.83</v>
      </c>
      <c r="D65" s="28" t="n">
        <v>258</v>
      </c>
      <c r="E65" s="17" t="inlineStr">
        <is>
          <t>MTARTECH</t>
        </is>
      </c>
      <c r="F65" s="18" t="inlineStr">
        <is>
          <t>MTAR Technologies Ltd</t>
        </is>
      </c>
      <c r="G65" s="18" t="inlineStr">
        <is>
          <t>aerospace &amp; defence</t>
        </is>
      </c>
      <c r="H65" s="19" t="n">
        <v>21707.04</v>
      </c>
    </row>
    <row r="66">
      <c r="A66" s="16" t="n">
        <v>20</v>
      </c>
      <c r="B66" s="29" t="n">
        <v>94</v>
      </c>
      <c r="C66" s="28" t="n">
        <v>40.19</v>
      </c>
      <c r="D66" s="28" t="n">
        <v>258</v>
      </c>
      <c r="E66" s="17" t="inlineStr">
        <is>
          <t>AEROFLEX</t>
        </is>
      </c>
      <c r="F66" s="18" t="inlineStr">
        <is>
          <t>Aeroflex Industries Ltd</t>
        </is>
      </c>
      <c r="G66" s="18" t="inlineStr">
        <is>
          <t>metals &amp; mining</t>
        </is>
      </c>
      <c r="H66" s="19" t="n">
        <v>6032.3</v>
      </c>
    </row>
    <row r="67">
      <c r="A67" s="16" t="n">
        <v>21</v>
      </c>
      <c r="B67" s="29" t="n">
        <v>93</v>
      </c>
      <c r="C67" s="28" t="n">
        <v>40.18</v>
      </c>
      <c r="D67" s="28" t="n">
        <v>262</v>
      </c>
      <c r="E67" s="17" t="inlineStr">
        <is>
          <t>MOREPENLAB</t>
        </is>
      </c>
      <c r="F67" s="18" t="inlineStr">
        <is>
          <t>Morepen Laboratories Limited</t>
        </is>
      </c>
      <c r="G67" s="18" t="inlineStr">
        <is>
          <t>healthcare</t>
        </is>
      </c>
      <c r="H67" s="19" t="n">
        <v>4921.72</v>
      </c>
    </row>
    <row r="68">
      <c r="A68" s="16" t="n">
        <v>22</v>
      </c>
      <c r="B68" s="29" t="n">
        <v>93</v>
      </c>
      <c r="C68" s="28" t="n">
        <v>39.43</v>
      </c>
      <c r="D68" s="28" t="n">
        <v>285</v>
      </c>
      <c r="E68" s="17" t="inlineStr">
        <is>
          <t>PARAS</t>
        </is>
      </c>
      <c r="F68" s="18" t="inlineStr">
        <is>
          <t>Paras Defence and Space Technologies Ltd</t>
        </is>
      </c>
      <c r="G68" s="18" t="inlineStr">
        <is>
          <t>aerospace &amp; defence</t>
        </is>
      </c>
      <c r="H68" s="19" t="n">
        <v>11189.55</v>
      </c>
    </row>
    <row r="69">
      <c r="A69" s="16" t="n">
        <v>23</v>
      </c>
      <c r="B69" s="29" t="n">
        <v>93</v>
      </c>
      <c r="C69" s="28" t="n">
        <v>38.75</v>
      </c>
      <c r="D69" s="28" t="n">
        <v>300</v>
      </c>
      <c r="E69" s="17" t="inlineStr">
        <is>
          <t>RPTECH</t>
        </is>
      </c>
      <c r="F69" s="18" t="inlineStr">
        <is>
          <t>Rashi Peripherals Ltd</t>
        </is>
      </c>
      <c r="G69" s="18" t="inlineStr">
        <is>
          <t>services</t>
        </is>
      </c>
      <c r="H69" s="19" t="n">
        <v>5745.46</v>
      </c>
    </row>
    <row r="70">
      <c r="A70" s="16" t="n">
        <v>24</v>
      </c>
      <c r="B70" s="29" t="n">
        <v>93</v>
      </c>
      <c r="C70" s="28" t="n">
        <v>38.38</v>
      </c>
      <c r="D70" s="28" t="n">
        <v>268</v>
      </c>
      <c r="E70" s="17" t="inlineStr">
        <is>
          <t>RRKABEL</t>
        </is>
      </c>
      <c r="F70" s="18" t="inlineStr">
        <is>
          <t>R R Kabel Ltd</t>
        </is>
      </c>
      <c r="G70" s="18" t="inlineStr">
        <is>
          <t>industrials</t>
        </is>
      </c>
      <c r="H70" s="19" t="n">
        <v>31088.18</v>
      </c>
    </row>
    <row r="71">
      <c r="A71" s="16" t="n">
        <v>25</v>
      </c>
      <c r="B71" s="29" t="n">
        <v>92</v>
      </c>
      <c r="C71" s="28" t="n">
        <v>38.26</v>
      </c>
      <c r="D71" s="28" t="n">
        <v>273</v>
      </c>
      <c r="E71" s="17" t="inlineStr">
        <is>
          <t>FILATEX</t>
        </is>
      </c>
      <c r="F71" s="18" t="inlineStr">
        <is>
          <t>Filatex India Limited</t>
        </is>
      </c>
      <c r="G71" s="18" t="inlineStr">
        <is>
          <t>textiles</t>
        </is>
      </c>
      <c r="H71" s="19" t="n">
        <v>3673.25</v>
      </c>
    </row>
    <row r="72">
      <c r="A72" s="16" t="n">
        <v>26</v>
      </c>
      <c r="B72" s="29" t="n">
        <v>92</v>
      </c>
      <c r="C72" s="28" t="n">
        <v>37.56</v>
      </c>
      <c r="D72" s="28" t="n">
        <v>260</v>
      </c>
      <c r="E72" s="17" t="inlineStr">
        <is>
          <t>MACPOWER</t>
        </is>
      </c>
      <c r="F72" s="18" t="inlineStr">
        <is>
          <t>Macpower CNC Machines Ltd</t>
        </is>
      </c>
      <c r="G72" s="18" t="inlineStr">
        <is>
          <t>industrials</t>
        </is>
      </c>
      <c r="H72" s="19" t="n">
        <v>1782.14</v>
      </c>
    </row>
    <row r="73">
      <c r="A73" s="16" t="n">
        <v>27</v>
      </c>
      <c r="B73" s="29" t="n">
        <v>92</v>
      </c>
      <c r="C73" s="28" t="n">
        <v>37.3</v>
      </c>
      <c r="D73" s="28" t="n">
        <v>270</v>
      </c>
      <c r="E73" s="17" t="inlineStr">
        <is>
          <t>SKYGOLD</t>
        </is>
      </c>
      <c r="F73" s="18" t="inlineStr">
        <is>
          <t>Sky Gold Ltd</t>
        </is>
      </c>
      <c r="G73" s="18" t="inlineStr">
        <is>
          <t>consumer discretionary</t>
        </is>
      </c>
      <c r="H73" s="19" t="n">
        <v>12024.41</v>
      </c>
    </row>
    <row r="74">
      <c r="A74" s="16" t="n">
        <v>28</v>
      </c>
      <c r="B74" s="29" t="n">
        <v>91</v>
      </c>
      <c r="C74" s="28" t="n">
        <v>37.05</v>
      </c>
      <c r="D74" s="28" t="n">
        <v>245</v>
      </c>
      <c r="E74" s="17" t="inlineStr">
        <is>
          <t>SOTL</t>
        </is>
      </c>
      <c r="F74" s="18" t="inlineStr">
        <is>
          <t>Savita Oil Technologies Limited</t>
        </is>
      </c>
      <c r="G74" s="18" t="inlineStr">
        <is>
          <t>energy</t>
        </is>
      </c>
      <c r="H74" s="19" t="n">
        <v>4748.84</v>
      </c>
    </row>
    <row r="75">
      <c r="A75" s="16" t="n">
        <v>29</v>
      </c>
      <c r="B75" s="29" t="n">
        <v>91</v>
      </c>
      <c r="C75" s="28" t="n">
        <v>36.74</v>
      </c>
      <c r="D75" s="28" t="n">
        <v>268</v>
      </c>
      <c r="E75" s="17" t="inlineStr">
        <is>
          <t>COMSYN</t>
        </is>
      </c>
      <c r="F75" s="18" t="inlineStr">
        <is>
          <t>Commercial Syn Bags Ltd</t>
        </is>
      </c>
      <c r="G75" s="18" t="inlineStr">
        <is>
          <t>industrials</t>
        </is>
      </c>
      <c r="H75" s="19" t="n">
        <v>1136.31</v>
      </c>
    </row>
    <row r="76">
      <c r="A76" s="16" t="n">
        <v>30</v>
      </c>
      <c r="B76" s="29" t="n">
        <v>91</v>
      </c>
      <c r="C76" s="28" t="n">
        <v>35.76</v>
      </c>
      <c r="D76" s="28" t="n">
        <v>290</v>
      </c>
      <c r="E76" s="17" t="inlineStr">
        <is>
          <t>AEGISLOG</t>
        </is>
      </c>
      <c r="F76" s="18" t="inlineStr">
        <is>
          <t>Aegis Logistics Ltd</t>
        </is>
      </c>
      <c r="G76" s="18" t="inlineStr">
        <is>
          <t>services</t>
        </is>
      </c>
      <c r="H76" s="19" t="n">
        <v>45180.72</v>
      </c>
    </row>
    <row r="77">
      <c r="A77" s="16" t="n">
        <v>31</v>
      </c>
      <c r="B77" s="29" t="n">
        <v>91</v>
      </c>
      <c r="C77" s="28" t="n">
        <v>35.62</v>
      </c>
      <c r="D77" s="28" t="n">
        <v>268</v>
      </c>
      <c r="E77" s="17" t="inlineStr">
        <is>
          <t>HITECHCORP</t>
        </is>
      </c>
      <c r="F77" s="18" t="inlineStr">
        <is>
          <t>Hitech Corporation</t>
        </is>
      </c>
      <c r="G77" s="18" t="inlineStr">
        <is>
          <t>industrials</t>
        </is>
      </c>
      <c r="H77" s="19" t="n">
        <v>567.0599999999999</v>
      </c>
    </row>
    <row r="78">
      <c r="A78" s="16" t="n">
        <v>32</v>
      </c>
      <c r="B78" s="29" t="n">
        <v>90</v>
      </c>
      <c r="C78" s="28" t="n">
        <v>34.22</v>
      </c>
      <c r="D78" s="28" t="n">
        <v>233</v>
      </c>
      <c r="E78" s="17" t="inlineStr">
        <is>
          <t>MAHASTEEL</t>
        </is>
      </c>
      <c r="F78" s="18" t="inlineStr">
        <is>
          <t>Mahamaya Steel Industries Limited</t>
        </is>
      </c>
      <c r="G78" s="18" t="inlineStr">
        <is>
          <t>metals &amp; mining</t>
        </is>
      </c>
      <c r="H78" s="19" t="n">
        <v>1806.3</v>
      </c>
    </row>
    <row r="79">
      <c r="A79" s="16" t="n">
        <v>33</v>
      </c>
      <c r="B79" s="29" t="n">
        <v>90</v>
      </c>
      <c r="C79" s="28" t="n">
        <v>33.1</v>
      </c>
      <c r="D79" s="28" t="n">
        <v>273</v>
      </c>
      <c r="E79" s="17" t="inlineStr">
        <is>
          <t>WELCORP</t>
        </is>
      </c>
      <c r="F79" s="18" t="inlineStr">
        <is>
          <t>Welspun Corp Limited</t>
        </is>
      </c>
      <c r="G79" s="18" t="inlineStr">
        <is>
          <t>industrials</t>
        </is>
      </c>
      <c r="H79" s="19" t="n">
        <v>49645.4</v>
      </c>
    </row>
    <row r="80">
      <c r="A80" s="16" t="n">
        <v>34</v>
      </c>
      <c r="B80" s="29" t="n">
        <v>90</v>
      </c>
      <c r="C80" s="28" t="n">
        <v>32.97</v>
      </c>
      <c r="D80" s="28" t="n">
        <v>240</v>
      </c>
      <c r="E80" s="17" t="inlineStr">
        <is>
          <t>MARINE</t>
        </is>
      </c>
      <c r="F80" s="18" t="inlineStr">
        <is>
          <t>Marine Electricals (India) Ltd</t>
        </is>
      </c>
      <c r="G80" s="18" t="inlineStr">
        <is>
          <t>industrials</t>
        </is>
      </c>
      <c r="H80" s="19" t="n">
        <v>5137.36</v>
      </c>
    </row>
    <row r="81">
      <c r="A81" s="16" t="n">
        <v>35</v>
      </c>
      <c r="B81" s="29" t="n">
        <v>90</v>
      </c>
      <c r="C81" s="28" t="n">
        <v>32.93</v>
      </c>
      <c r="D81" s="28" t="n">
        <v>290</v>
      </c>
      <c r="E81" s="17" t="inlineStr">
        <is>
          <t>INDOTECH</t>
        </is>
      </c>
      <c r="F81" s="18" t="inlineStr">
        <is>
          <t>Indo Tech Transformers Limited</t>
        </is>
      </c>
      <c r="G81" s="18" t="inlineStr">
        <is>
          <t>industrials</t>
        </is>
      </c>
      <c r="H81" s="19" t="n">
        <v>3832.12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SUBEXLTD</t>
        </is>
      </c>
      <c r="B2" s="31" t="inlineStr">
        <is>
          <t>Subex Ltd</t>
        </is>
      </c>
      <c r="C2" s="31" t="inlineStr">
        <is>
          <t>i.t</t>
        </is>
      </c>
      <c r="D2" s="31" t="inlineStr">
        <is>
          <t>computers - software - medium / small</t>
        </is>
      </c>
      <c r="E2" s="31" t="inlineStr">
        <is>
          <t>smallcap</t>
        </is>
      </c>
      <c r="F2" s="31" t="n">
        <v>792.99</v>
      </c>
      <c r="G2" s="31" t="n">
        <v>16.49</v>
      </c>
      <c r="H2" s="31" t="n">
        <v>16.87</v>
      </c>
      <c r="I2" s="31" t="n">
        <v>44677416</v>
      </c>
      <c r="J2" s="31" t="inlineStr">
        <is>
          <t>532348</t>
        </is>
      </c>
    </row>
    <row r="3">
      <c r="A3" s="31" t="inlineStr">
        <is>
          <t>YASHO</t>
        </is>
      </c>
      <c r="B3" s="31" t="inlineStr">
        <is>
          <t>Yasho Industries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midcap</t>
        </is>
      </c>
      <c r="F3" s="31" t="n">
        <v>5259.67</v>
      </c>
      <c r="G3" s="31" t="n">
        <v>4915.8</v>
      </c>
      <c r="H3" s="31" t="n">
        <v>12.69</v>
      </c>
      <c r="I3" s="31" t="n">
        <v>240192</v>
      </c>
      <c r="J3" s="31" t="inlineStr">
        <is>
          <t>541167</t>
        </is>
      </c>
    </row>
    <row r="4">
      <c r="A4" s="31" t="inlineStr">
        <is>
          <t>ICIL</t>
        </is>
      </c>
      <c r="B4" s="31" t="inlineStr">
        <is>
          <t>Indo Count Industries Limited</t>
        </is>
      </c>
      <c r="C4" s="31" t="inlineStr">
        <is>
          <t>textiles</t>
        </is>
      </c>
      <c r="D4" s="31" t="inlineStr">
        <is>
          <t>textiles - cotton/blended</t>
        </is>
      </c>
      <c r="E4" s="31" t="inlineStr">
        <is>
          <t>midcap</t>
        </is>
      </c>
      <c r="F4" s="31" t="n">
        <v>7698.37</v>
      </c>
      <c r="G4" s="31" t="n">
        <v>437.7</v>
      </c>
      <c r="H4" s="31" t="n">
        <v>12.61</v>
      </c>
      <c r="I4" s="31" t="n">
        <v>25217573</v>
      </c>
      <c r="J4" s="31" t="inlineStr">
        <is>
          <t>521016</t>
        </is>
      </c>
    </row>
    <row r="5">
      <c r="A5" s="31" t="inlineStr">
        <is>
          <t>MACPOWER</t>
        </is>
      </c>
      <c r="B5" s="31" t="inlineStr">
        <is>
          <t>Macpower CNC Machines Ltd</t>
        </is>
      </c>
      <c r="C5" s="31" t="inlineStr">
        <is>
          <t>industrials</t>
        </is>
      </c>
      <c r="D5" s="31" t="inlineStr">
        <is>
          <t>engineering</t>
        </is>
      </c>
      <c r="E5" s="31" t="inlineStr">
        <is>
          <t>smallcap</t>
        </is>
      </c>
      <c r="F5" s="31" t="n">
        <v>1782.14</v>
      </c>
      <c r="G5" s="31" t="n">
        <v>1983.6</v>
      </c>
      <c r="H5" s="31" t="n">
        <v>11.35</v>
      </c>
      <c r="I5" s="31" t="n">
        <v>190859</v>
      </c>
      <c r="J5" s="31" t="inlineStr">
        <is>
          <t>535057</t>
        </is>
      </c>
    </row>
    <row r="6">
      <c r="A6" s="31" t="inlineStr">
        <is>
          <t>JINDRILL</t>
        </is>
      </c>
      <c r="B6" s="31" t="inlineStr">
        <is>
          <t>Jindal Drilling And Industries Limited</t>
        </is>
      </c>
      <c r="C6" s="31" t="inlineStr">
        <is>
          <t>energy</t>
        </is>
      </c>
      <c r="D6" s="31" t="inlineStr">
        <is>
          <t>oil drilling / allied services</t>
        </is>
      </c>
      <c r="E6" s="31" t="inlineStr">
        <is>
          <t>smallcap</t>
        </is>
      </c>
      <c r="F6" s="31" t="n">
        <v>1698.87</v>
      </c>
      <c r="G6" s="31" t="n">
        <v>651.15</v>
      </c>
      <c r="H6" s="31" t="n">
        <v>11.08</v>
      </c>
      <c r="I6" s="31" t="n">
        <v>17885822</v>
      </c>
      <c r="J6" s="31" t="inlineStr">
        <is>
          <t>511034</t>
        </is>
      </c>
    </row>
    <row r="7">
      <c r="A7" s="31" t="inlineStr">
        <is>
          <t>INDSWFTLAB</t>
        </is>
      </c>
      <c r="B7" s="31" t="inlineStr">
        <is>
          <t>Ind-swift Laboratories Limited</t>
        </is>
      </c>
      <c r="C7" s="31" t="inlineStr">
        <is>
          <t>healthcare</t>
        </is>
      </c>
      <c r="D7" s="31" t="inlineStr">
        <is>
          <t>pharmaceuticals - indian - bulk drugs &amp; formln</t>
        </is>
      </c>
      <c r="E7" s="31" t="inlineStr">
        <is>
          <t>smallcap</t>
        </is>
      </c>
      <c r="F7" s="31" t="n">
        <v>2722.07</v>
      </c>
      <c r="G7" s="31" t="n">
        <v>346.87</v>
      </c>
      <c r="H7" s="31" t="n">
        <v>10.81</v>
      </c>
      <c r="I7" s="31" t="n">
        <v>5070310</v>
      </c>
      <c r="J7" s="31" t="inlineStr">
        <is>
          <t>532305</t>
        </is>
      </c>
    </row>
    <row r="8">
      <c r="A8" s="31" t="inlineStr">
        <is>
          <t>PARAS</t>
        </is>
      </c>
      <c r="B8" s="31" t="inlineStr">
        <is>
          <t>Paras Defence and Space Technologies Ltd</t>
        </is>
      </c>
      <c r="C8" s="31" t="inlineStr">
        <is>
          <t>aerospace &amp; defence</t>
        </is>
      </c>
      <c r="D8" s="31" t="inlineStr">
        <is>
          <t>engineering</t>
        </is>
      </c>
      <c r="E8" s="31" t="inlineStr">
        <is>
          <t>midcap</t>
        </is>
      </c>
      <c r="F8" s="31" t="n">
        <v>11189.55</v>
      </c>
      <c r="G8" s="31" t="n">
        <v>1527.3</v>
      </c>
      <c r="H8" s="31" t="n">
        <v>10</v>
      </c>
      <c r="I8" s="31" t="n">
        <v>5405217</v>
      </c>
      <c r="J8" s="31" t="inlineStr">
        <is>
          <t>543367</t>
        </is>
      </c>
    </row>
    <row r="9">
      <c r="A9" s="31" t="inlineStr">
        <is>
          <t>NITINSPIN</t>
        </is>
      </c>
      <c r="B9" s="31" t="inlineStr">
        <is>
          <t>Nitin Spinners Limited</t>
        </is>
      </c>
      <c r="C9" s="31" t="inlineStr">
        <is>
          <t>textiles</t>
        </is>
      </c>
      <c r="D9" s="31" t="inlineStr">
        <is>
          <t>textiles - cotton/blended</t>
        </is>
      </c>
      <c r="E9" s="31" t="inlineStr">
        <is>
          <t>smallcap</t>
        </is>
      </c>
      <c r="F9" s="31" t="n">
        <v>3113.18</v>
      </c>
      <c r="G9" s="31" t="n">
        <v>606.9</v>
      </c>
      <c r="H9" s="31" t="n">
        <v>9.6</v>
      </c>
      <c r="I9" s="31" t="n">
        <v>3703991</v>
      </c>
      <c r="J9" s="31" t="inlineStr">
        <is>
          <t>532698</t>
        </is>
      </c>
    </row>
    <row r="10">
      <c r="A10" s="31" t="inlineStr">
        <is>
          <t>ASIANENE</t>
        </is>
      </c>
      <c r="B10" s="31" t="inlineStr">
        <is>
          <t>Asian Energy Services Ltd</t>
        </is>
      </c>
      <c r="C10" s="31" t="inlineStr">
        <is>
          <t>energy</t>
        </is>
      </c>
      <c r="D10" s="31" t="inlineStr">
        <is>
          <t>oil drilling / allied services</t>
        </is>
      </c>
      <c r="E10" s="31" t="inlineStr">
        <is>
          <t>smallcap</t>
        </is>
      </c>
      <c r="F10" s="31" t="n">
        <v>2067.98</v>
      </c>
      <c r="G10" s="31" t="n">
        <v>463.05</v>
      </c>
      <c r="H10" s="31" t="n">
        <v>8.890000000000001</v>
      </c>
      <c r="I10" s="31" t="n">
        <v>3647876</v>
      </c>
      <c r="J10" s="31" t="inlineStr">
        <is>
          <t>530355</t>
        </is>
      </c>
    </row>
    <row r="11">
      <c r="A11" s="31" t="inlineStr">
        <is>
          <t>PVP</t>
        </is>
      </c>
      <c r="B11" s="31" t="inlineStr">
        <is>
          <t>Pvp Ventures Limited</t>
        </is>
      </c>
      <c r="C11" s="31" t="inlineStr">
        <is>
          <t>realty</t>
        </is>
      </c>
      <c r="D11" s="31" t="inlineStr">
        <is>
          <t>construction</t>
        </is>
      </c>
      <c r="E11" s="31" t="inlineStr">
        <is>
          <t>smallcap</t>
        </is>
      </c>
      <c r="F11" s="31" t="n">
        <v>963.75</v>
      </c>
      <c r="G11" s="31" t="n">
        <v>40.2</v>
      </c>
      <c r="H11" s="31" t="n">
        <v>8.619999999999999</v>
      </c>
      <c r="I11" s="31" t="n">
        <v>3330520</v>
      </c>
      <c r="J11" s="31" t="inlineStr">
        <is>
          <t>517556</t>
        </is>
      </c>
    </row>
    <row r="12">
      <c r="A12" s="31" t="inlineStr">
        <is>
          <t>MMP</t>
        </is>
      </c>
      <c r="B12" s="31" t="inlineStr">
        <is>
          <t>MMP Industries Ltd</t>
        </is>
      </c>
      <c r="C12" s="31" t="inlineStr">
        <is>
          <t>metals &amp; mining</t>
        </is>
      </c>
      <c r="D12" s="31" t="inlineStr">
        <is>
          <t>aluminium and aluminium products</t>
        </is>
      </c>
      <c r="E12" s="31" t="inlineStr">
        <is>
          <t>smallcap</t>
        </is>
      </c>
      <c r="F12" s="31" t="n">
        <v>662.23</v>
      </c>
      <c r="G12" s="31" t="n">
        <v>379.8</v>
      </c>
      <c r="H12" s="31" t="n">
        <v>8.51</v>
      </c>
      <c r="I12" s="31" t="n">
        <v>191409</v>
      </c>
      <c r="J12" s="31" t="inlineStr">
        <is>
          <t>535071</t>
        </is>
      </c>
    </row>
    <row r="13">
      <c r="A13" s="31" t="inlineStr">
        <is>
          <t>JYOTICNC</t>
        </is>
      </c>
      <c r="B13" s="31" t="inlineStr">
        <is>
          <t>Jyoti CNC Automation Ltd</t>
        </is>
      </c>
      <c r="C13" s="31" t="inlineStr">
        <is>
          <t>industrials</t>
        </is>
      </c>
      <c r="D13" s="31" t="inlineStr">
        <is>
          <t>engineering</t>
        </is>
      </c>
      <c r="E13" s="31" t="inlineStr">
        <is>
          <t>midcap</t>
        </is>
      </c>
      <c r="F13" s="31" t="n">
        <v>19511.76</v>
      </c>
      <c r="G13" s="31" t="n">
        <v>929.2</v>
      </c>
      <c r="H13" s="31" t="n">
        <v>8.300000000000001</v>
      </c>
      <c r="I13" s="31" t="n">
        <v>5438972</v>
      </c>
      <c r="J13" s="31" t="inlineStr">
        <is>
          <t>544081</t>
        </is>
      </c>
    </row>
    <row r="14">
      <c r="A14" s="31" t="inlineStr">
        <is>
          <t>TIINDIA</t>
        </is>
      </c>
      <c r="B14" s="31" t="inlineStr">
        <is>
          <t>Tube Investments of India Ltd</t>
        </is>
      </c>
      <c r="C14" s="31" t="inlineStr">
        <is>
          <t>industrials</t>
        </is>
      </c>
      <c r="D14" s="31" t="inlineStr">
        <is>
          <t>steel - large</t>
        </is>
      </c>
      <c r="E14" s="31" t="inlineStr">
        <is>
          <t>largecap</t>
        </is>
      </c>
      <c r="F14" s="31" t="n">
        <v>53064.82</v>
      </c>
      <c r="G14" s="31" t="n">
        <v>2959</v>
      </c>
      <c r="H14" s="31" t="n">
        <v>7.94</v>
      </c>
      <c r="I14" s="31" t="n">
        <v>8348347</v>
      </c>
      <c r="J14" s="31" t="inlineStr">
        <is>
          <t>540762</t>
        </is>
      </c>
    </row>
    <row r="15">
      <c r="A15" s="31" t="inlineStr">
        <is>
          <t>ANTELOPUS</t>
        </is>
      </c>
      <c r="B15" s="31" t="inlineStr">
        <is>
          <t>Antelopus Selan Energy Ltd</t>
        </is>
      </c>
      <c r="C15" s="31" t="inlineStr">
        <is>
          <t>energy</t>
        </is>
      </c>
      <c r="D15" s="31" t="inlineStr">
        <is>
          <t>oil drilling / allied services</t>
        </is>
      </c>
      <c r="E15" s="31" t="inlineStr">
        <is>
          <t>smallcap</t>
        </is>
      </c>
      <c r="F15" s="31" t="n">
        <v>2816.15</v>
      </c>
      <c r="G15" s="31" t="n">
        <v>862.5</v>
      </c>
      <c r="H15" s="31" t="n">
        <v>7.69</v>
      </c>
      <c r="I15" s="31" t="n">
        <v>386388</v>
      </c>
      <c r="J15" s="31" t="inlineStr">
        <is>
          <t>530075</t>
        </is>
      </c>
    </row>
    <row r="16">
      <c r="A16" s="31" t="inlineStr">
        <is>
          <t>MMFL</t>
        </is>
      </c>
      <c r="B16" s="31" t="inlineStr">
        <is>
          <t>Mm Forgings Limited</t>
        </is>
      </c>
      <c r="C16" s="31" t="inlineStr">
        <is>
          <t>industrials</t>
        </is>
      </c>
      <c r="D16" s="31" t="inlineStr">
        <is>
          <t>castings &amp; forgings</t>
        </is>
      </c>
      <c r="E16" s="31" t="inlineStr">
        <is>
          <t>smallcap</t>
        </is>
      </c>
      <c r="F16" s="31" t="n">
        <v>3052.85</v>
      </c>
      <c r="G16" s="31" t="n">
        <v>680.2</v>
      </c>
      <c r="H16" s="31" t="n">
        <v>7.58</v>
      </c>
      <c r="I16" s="31" t="n">
        <v>935497</v>
      </c>
      <c r="J16" s="31" t="inlineStr">
        <is>
          <t>522241</t>
        </is>
      </c>
    </row>
    <row r="17">
      <c r="A17" s="31" t="inlineStr">
        <is>
          <t>JGCHEM</t>
        </is>
      </c>
      <c r="B17" s="31" t="inlineStr">
        <is>
          <t>J.G.Chemicals Ltd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smallcap</t>
        </is>
      </c>
      <c r="F17" s="31" t="n">
        <v>2354.3</v>
      </c>
      <c r="G17" s="31" t="n">
        <v>645.85</v>
      </c>
      <c r="H17" s="31" t="n">
        <v>7.5</v>
      </c>
      <c r="I17" s="31" t="n">
        <v>873029</v>
      </c>
      <c r="J17" s="31" t="n"/>
    </row>
    <row r="18">
      <c r="A18" s="31" t="inlineStr">
        <is>
          <t>MSTCLTD</t>
        </is>
      </c>
      <c r="B18" s="31" t="inlineStr">
        <is>
          <t>MSTC Ltd</t>
        </is>
      </c>
      <c r="C18" s="31" t="inlineStr">
        <is>
          <t>i.t</t>
        </is>
      </c>
      <c r="D18" s="31" t="inlineStr">
        <is>
          <t>trading</t>
        </is>
      </c>
      <c r="E18" s="31" t="inlineStr">
        <is>
          <t>smallcap</t>
        </is>
      </c>
      <c r="F18" s="31" t="n">
        <v>4598.53</v>
      </c>
      <c r="G18" s="31" t="n">
        <v>701.55</v>
      </c>
      <c r="H18" s="31" t="n">
        <v>7.4</v>
      </c>
      <c r="I18" s="31" t="n">
        <v>1266456</v>
      </c>
      <c r="J18" s="31" t="inlineStr">
        <is>
          <t>542597</t>
        </is>
      </c>
    </row>
    <row r="19">
      <c r="A19" s="31" t="inlineStr">
        <is>
          <t>DOLPHIN</t>
        </is>
      </c>
      <c r="B19" s="31" t="inlineStr">
        <is>
          <t>Dolphin Offshore Enterprises (India) Ltd</t>
        </is>
      </c>
      <c r="C19" s="31" t="inlineStr">
        <is>
          <t>energy</t>
        </is>
      </c>
      <c r="D19" s="31" t="inlineStr">
        <is>
          <t>oil drilling / allied services</t>
        </is>
      </c>
      <c r="E19" s="31" t="inlineStr">
        <is>
          <t>smallcap</t>
        </is>
      </c>
      <c r="F19" s="31" t="n">
        <v>2307.66</v>
      </c>
      <c r="G19" s="31" t="n">
        <v>619.4</v>
      </c>
      <c r="H19" s="31" t="n">
        <v>7.38</v>
      </c>
      <c r="I19" s="31" t="n">
        <v>553661</v>
      </c>
      <c r="J19" s="31" t="inlineStr">
        <is>
          <t>522261</t>
        </is>
      </c>
    </row>
    <row r="20">
      <c r="A20" s="31" t="inlineStr">
        <is>
          <t>YUKEN</t>
        </is>
      </c>
      <c r="B20" s="31" t="inlineStr">
        <is>
          <t>Yuken India Ltd</t>
        </is>
      </c>
      <c r="C20" s="31" t="inlineStr">
        <is>
          <t>industrials</t>
        </is>
      </c>
      <c r="D20" s="31" t="inlineStr">
        <is>
          <t>engineering</t>
        </is>
      </c>
      <c r="E20" s="31" t="inlineStr">
        <is>
          <t>smallcap</t>
        </is>
      </c>
      <c r="F20" s="31" t="n">
        <v>1116.54</v>
      </c>
      <c r="G20" s="31" t="n">
        <v>880</v>
      </c>
      <c r="H20" s="31" t="n">
        <v>7.06</v>
      </c>
      <c r="I20" s="31" t="n">
        <v>23830</v>
      </c>
      <c r="J20" s="31" t="inlineStr">
        <is>
          <t>522108</t>
        </is>
      </c>
    </row>
    <row r="21">
      <c r="A21" s="31" t="inlineStr">
        <is>
          <t>RITCO</t>
        </is>
      </c>
      <c r="B21" s="31" t="inlineStr">
        <is>
          <t>Ritco Logistics Ltd</t>
        </is>
      </c>
      <c r="C21" s="31" t="inlineStr">
        <is>
          <t>transportation</t>
        </is>
      </c>
      <c r="D21" s="31" t="inlineStr">
        <is>
          <t>miscellaneous</t>
        </is>
      </c>
      <c r="E21" s="31" t="inlineStr">
        <is>
          <t>smallcap</t>
        </is>
      </c>
      <c r="F21" s="31" t="n">
        <v>837.22</v>
      </c>
      <c r="G21" s="31" t="n">
        <v>313</v>
      </c>
      <c r="H21" s="31" t="n">
        <v>7.01</v>
      </c>
      <c r="I21" s="31" t="n">
        <v>381642</v>
      </c>
      <c r="J21" s="31" t="inlineStr">
        <is>
          <t>542383</t>
        </is>
      </c>
    </row>
    <row r="22">
      <c r="A22" s="31" t="inlineStr">
        <is>
          <t>RBA</t>
        </is>
      </c>
      <c r="B22" s="31" t="inlineStr">
        <is>
          <t>Restaurant Brands Asia Ltd</t>
        </is>
      </c>
      <c r="C22" s="31" t="inlineStr">
        <is>
          <t>consumer discretionary</t>
        </is>
      </c>
      <c r="D22" s="31" t="inlineStr">
        <is>
          <t>hotels</t>
        </is>
      </c>
      <c r="E22" s="31" t="inlineStr">
        <is>
          <t>midcap</t>
        </is>
      </c>
      <c r="F22" s="31" t="n">
        <v>7088.01</v>
      </c>
      <c r="G22" s="31" t="n">
        <v>106.34</v>
      </c>
      <c r="H22" s="31" t="n">
        <v>6.78</v>
      </c>
      <c r="I22" s="31" t="n">
        <v>17134006</v>
      </c>
      <c r="J22" s="31" t="inlineStr">
        <is>
          <t>543248</t>
        </is>
      </c>
    </row>
    <row r="23">
      <c r="A23" s="31" t="inlineStr">
        <is>
          <t>AVALON</t>
        </is>
      </c>
      <c r="B23" s="31" t="inlineStr">
        <is>
          <t>Avalon Technologies Ltd</t>
        </is>
      </c>
      <c r="C23" s="31" t="inlineStr">
        <is>
          <t>consumer discretionary</t>
        </is>
      </c>
      <c r="D23" s="31" t="inlineStr">
        <is>
          <t>electronics - components</t>
        </is>
      </c>
      <c r="E23" s="31" t="inlineStr">
        <is>
          <t>midcap</t>
        </is>
      </c>
      <c r="F23" s="31" t="n">
        <v>13759.21</v>
      </c>
      <c r="G23" s="31" t="n">
        <v>2197.3</v>
      </c>
      <c r="H23" s="31" t="n">
        <v>6.7</v>
      </c>
      <c r="I23" s="31" t="n">
        <v>1136151</v>
      </c>
      <c r="J23" s="31" t="inlineStr">
        <is>
          <t>543896</t>
        </is>
      </c>
    </row>
    <row r="24">
      <c r="A24" s="31" t="inlineStr">
        <is>
          <t>AEROFLEX</t>
        </is>
      </c>
      <c r="B24" s="31" t="inlineStr">
        <is>
          <t>Aeroflex Industries Ltd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midcap</t>
        </is>
      </c>
      <c r="F24" s="31" t="n">
        <v>6032.3</v>
      </c>
      <c r="G24" s="31" t="n">
        <v>485.85</v>
      </c>
      <c r="H24" s="31" t="n">
        <v>6.58</v>
      </c>
      <c r="I24" s="31" t="n">
        <v>3213334</v>
      </c>
      <c r="J24" s="31" t="inlineStr">
        <is>
          <t>543972</t>
        </is>
      </c>
    </row>
    <row r="25">
      <c r="A25" s="31" t="inlineStr">
        <is>
          <t>GHCLTEXTIL</t>
        </is>
      </c>
      <c r="B25" s="31" t="inlineStr">
        <is>
          <t>GHCL Textiles Ltd</t>
        </is>
      </c>
      <c r="C25" s="31" t="inlineStr">
        <is>
          <t>textiles</t>
        </is>
      </c>
      <c r="D25" s="31" t="inlineStr">
        <is>
          <t>textiles - spinning - synthetic / blended</t>
        </is>
      </c>
      <c r="E25" s="31" t="inlineStr">
        <is>
          <t>smallcap</t>
        </is>
      </c>
      <c r="F25" s="31" t="n">
        <v>1147.79</v>
      </c>
      <c r="G25" s="31" t="n">
        <v>127.94</v>
      </c>
      <c r="H25" s="31" t="n">
        <v>6.55</v>
      </c>
      <c r="I25" s="31" t="n">
        <v>2134661</v>
      </c>
      <c r="J25" s="31" t="inlineStr">
        <is>
          <t>543918</t>
        </is>
      </c>
    </row>
    <row r="26">
      <c r="A26" s="31" t="inlineStr">
        <is>
          <t>GLAXO</t>
        </is>
      </c>
      <c r="B26" s="31" t="inlineStr">
        <is>
          <t>Glaxosmithkline Pharmaceuticals Limited</t>
        </is>
      </c>
      <c r="C26" s="31" t="inlineStr">
        <is>
          <t>healthcare</t>
        </is>
      </c>
      <c r="D26" s="31" t="inlineStr">
        <is>
          <t>pharmaceuticals - multinational</t>
        </is>
      </c>
      <c r="E26" s="31" t="inlineStr">
        <is>
          <t>largecap</t>
        </is>
      </c>
      <c r="F26" s="31" t="n">
        <v>45788.76</v>
      </c>
      <c r="G26" s="31" t="n">
        <v>2877.4</v>
      </c>
      <c r="H26" s="31" t="n">
        <v>6.46</v>
      </c>
      <c r="I26" s="31" t="n">
        <v>477841</v>
      </c>
      <c r="J26" s="31" t="inlineStr">
        <is>
          <t>500660</t>
        </is>
      </c>
    </row>
    <row r="27">
      <c r="A27" s="31" t="inlineStr">
        <is>
          <t>INDIAGLYCO</t>
        </is>
      </c>
      <c r="B27" s="31" t="inlineStr">
        <is>
          <t>India Glycols Limited</t>
        </is>
      </c>
      <c r="C27" s="31" t="inlineStr">
        <is>
          <t>fmcg</t>
        </is>
      </c>
      <c r="D27" s="31" t="inlineStr">
        <is>
          <t>breweries &amp; distilleries</t>
        </is>
      </c>
      <c r="E27" s="31" t="inlineStr">
        <is>
          <t>midcap</t>
        </is>
      </c>
      <c r="F27" s="31" t="n">
        <v>7177.9</v>
      </c>
      <c r="G27" s="31" t="n">
        <v>1139.2</v>
      </c>
      <c r="H27" s="31" t="n">
        <v>6.38</v>
      </c>
      <c r="I27" s="31" t="n">
        <v>2053627</v>
      </c>
      <c r="J27" s="31" t="inlineStr">
        <is>
          <t>500201</t>
        </is>
      </c>
    </row>
    <row r="28">
      <c r="A28" s="31" t="inlineStr">
        <is>
          <t>ACE</t>
        </is>
      </c>
      <c r="B28" s="31" t="inlineStr">
        <is>
          <t>Action Construction Equipment Limited</t>
        </is>
      </c>
      <c r="C28" s="31" t="inlineStr">
        <is>
          <t>industrials</t>
        </is>
      </c>
      <c r="D28" s="31" t="inlineStr">
        <is>
          <t>engineering</t>
        </is>
      </c>
      <c r="E28" s="31" t="inlineStr">
        <is>
          <t>midcap</t>
        </is>
      </c>
      <c r="F28" s="31" t="n">
        <v>13262.3</v>
      </c>
      <c r="G28" s="31" t="n">
        <v>1184.8</v>
      </c>
      <c r="H28" s="31" t="n">
        <v>6.38</v>
      </c>
      <c r="I28" s="31" t="n">
        <v>1694611</v>
      </c>
      <c r="J28" s="31" t="inlineStr">
        <is>
          <t>532762</t>
        </is>
      </c>
    </row>
    <row r="29">
      <c r="A29" s="31" t="inlineStr">
        <is>
          <t>ZENTEC</t>
        </is>
      </c>
      <c r="B29" s="31" t="inlineStr">
        <is>
          <t>Zen Technologies Limited</t>
        </is>
      </c>
      <c r="C29" s="31" t="inlineStr">
        <is>
          <t>aerospace &amp; defence</t>
        </is>
      </c>
      <c r="D29" s="31" t="inlineStr">
        <is>
          <t>miscellaneous</t>
        </is>
      </c>
      <c r="E29" s="31" t="inlineStr">
        <is>
          <t>midcap</t>
        </is>
      </c>
      <c r="F29" s="31" t="n">
        <v>16834.64</v>
      </c>
      <c r="G29" s="31" t="n">
        <v>1982.4</v>
      </c>
      <c r="H29" s="31" t="n">
        <v>6.32</v>
      </c>
      <c r="I29" s="31" t="n">
        <v>2742695</v>
      </c>
      <c r="J29" s="31" t="inlineStr">
        <is>
          <t>533339</t>
        </is>
      </c>
    </row>
    <row r="30">
      <c r="A30" s="31" t="inlineStr">
        <is>
          <t>AEGISLOG</t>
        </is>
      </c>
      <c r="B30" s="31" t="inlineStr">
        <is>
          <t>Aegis Logistics Ltd</t>
        </is>
      </c>
      <c r="C30" s="31" t="inlineStr">
        <is>
          <t>services</t>
        </is>
      </c>
      <c r="D30" s="31" t="inlineStr">
        <is>
          <t>trading</t>
        </is>
      </c>
      <c r="E30" s="31" t="inlineStr">
        <is>
          <t>largecap</t>
        </is>
      </c>
      <c r="F30" s="31" t="n">
        <v>45180.72</v>
      </c>
      <c r="G30" s="31" t="n">
        <v>1367.7</v>
      </c>
      <c r="H30" s="31" t="n">
        <v>6.25</v>
      </c>
      <c r="I30" s="31" t="n">
        <v>3097867</v>
      </c>
      <c r="J30" s="31" t="inlineStr">
        <is>
          <t>500003</t>
        </is>
      </c>
    </row>
    <row r="31">
      <c r="A31" s="31" t="inlineStr">
        <is>
          <t>CUPID</t>
        </is>
      </c>
      <c r="B31" s="31" t="inlineStr">
        <is>
          <t>Cupid Limited</t>
        </is>
      </c>
      <c r="C31" s="31" t="inlineStr">
        <is>
          <t>fmcg</t>
        </is>
      </c>
      <c r="D31" s="31" t="inlineStr">
        <is>
          <t>personal care - indian</t>
        </is>
      </c>
      <c r="E31" s="31" t="inlineStr">
        <is>
          <t>largecap</t>
        </is>
      </c>
      <c r="F31" s="31" t="n">
        <v>35945.47</v>
      </c>
      <c r="G31" s="31" t="n">
        <v>284.03</v>
      </c>
      <c r="H31" s="31" t="n">
        <v>6.25</v>
      </c>
      <c r="I31" s="31" t="n">
        <v>68917290</v>
      </c>
      <c r="J31" s="31" t="inlineStr">
        <is>
          <t>530843</t>
        </is>
      </c>
    </row>
    <row r="32">
      <c r="A32" s="31" t="inlineStr">
        <is>
          <t>WINDMACHIN</t>
        </is>
      </c>
      <c r="B32" s="31" t="inlineStr">
        <is>
          <t>Windsor Machines Limited</t>
        </is>
      </c>
      <c r="C32" s="31" t="inlineStr">
        <is>
          <t>industrials</t>
        </is>
      </c>
      <c r="D32" s="31" t="inlineStr">
        <is>
          <t>engineering</t>
        </is>
      </c>
      <c r="E32" s="31" t="inlineStr">
        <is>
          <t>smallcap</t>
        </is>
      </c>
      <c r="F32" s="31" t="n">
        <v>3055.88</v>
      </c>
      <c r="G32" s="31" t="n">
        <v>318.9</v>
      </c>
      <c r="H32" s="31" t="n">
        <v>6.16</v>
      </c>
      <c r="I32" s="31" t="n">
        <v>1516455</v>
      </c>
      <c r="J32" s="31" t="inlineStr">
        <is>
          <t>522029</t>
        </is>
      </c>
    </row>
    <row r="33">
      <c r="A33" s="31" t="inlineStr">
        <is>
          <t>ACUTAAS</t>
        </is>
      </c>
      <c r="B33" s="31" t="inlineStr">
        <is>
          <t>Acutaas Chemicals Ltd</t>
        </is>
      </c>
      <c r="C33" s="31" t="inlineStr">
        <is>
          <t>healthcare</t>
        </is>
      </c>
      <c r="D33" s="31" t="inlineStr">
        <is>
          <t>pharmaceuticals - indian - bulk drugs</t>
        </is>
      </c>
      <c r="E33" s="31" t="inlineStr">
        <is>
          <t>largecap</t>
        </is>
      </c>
      <c r="F33" s="31" t="n">
        <v>26184.02</v>
      </c>
      <c r="G33" s="31" t="n">
        <v>3391.4</v>
      </c>
      <c r="H33" s="31" t="n">
        <v>6.04</v>
      </c>
      <c r="I33" s="31" t="n">
        <v>423377</v>
      </c>
      <c r="J33" s="31" t="inlineStr">
        <is>
          <t>543349</t>
        </is>
      </c>
    </row>
    <row r="34">
      <c r="A34" s="31" t="inlineStr">
        <is>
          <t>TIIL</t>
        </is>
      </c>
      <c r="B34" s="31" t="inlineStr">
        <is>
          <t>Technocraft Industries (india) Limited</t>
        </is>
      </c>
      <c r="C34" s="31" t="inlineStr">
        <is>
          <t>metals &amp; mining</t>
        </is>
      </c>
      <c r="D34" s="31" t="inlineStr">
        <is>
          <t>steel - medium / small</t>
        </is>
      </c>
      <c r="E34" s="31" t="inlineStr">
        <is>
          <t>midcap</t>
        </is>
      </c>
      <c r="F34" s="31" t="n">
        <v>7022.22</v>
      </c>
      <c r="G34" s="31" t="n">
        <v>3279.9</v>
      </c>
      <c r="H34" s="31" t="n">
        <v>5.9</v>
      </c>
      <c r="I34" s="31" t="n">
        <v>190168</v>
      </c>
      <c r="J34" s="31" t="inlineStr">
        <is>
          <t>532804</t>
        </is>
      </c>
    </row>
    <row r="35">
      <c r="A35" s="31" t="inlineStr">
        <is>
          <t>HEG</t>
        </is>
      </c>
      <c r="B35" s="31" t="inlineStr">
        <is>
          <t>Heg Limited</t>
        </is>
      </c>
      <c r="C35" s="31" t="inlineStr">
        <is>
          <t>industrials</t>
        </is>
      </c>
      <c r="D35" s="31" t="inlineStr">
        <is>
          <t>electrodes - graphites</t>
        </is>
      </c>
      <c r="E35" s="31" t="inlineStr">
        <is>
          <t>midcap</t>
        </is>
      </c>
      <c r="F35" s="31" t="n">
        <v>13475.62</v>
      </c>
      <c r="G35" s="31" t="n">
        <v>739.25</v>
      </c>
      <c r="H35" s="31" t="n">
        <v>5.86</v>
      </c>
      <c r="I35" s="31" t="n">
        <v>5430733</v>
      </c>
      <c r="J35" s="31" t="inlineStr">
        <is>
          <t>509631</t>
        </is>
      </c>
    </row>
    <row r="36">
      <c r="A36" s="31" t="inlineStr">
        <is>
          <t>DYNAMATECH</t>
        </is>
      </c>
      <c r="B36" s="31" t="inlineStr">
        <is>
          <t>Dynamatic Technologies Limited</t>
        </is>
      </c>
      <c r="C36" s="31" t="inlineStr">
        <is>
          <t>industrials</t>
        </is>
      </c>
      <c r="D36" s="31" t="inlineStr">
        <is>
          <t>engineering</t>
        </is>
      </c>
      <c r="E36" s="31" t="inlineStr">
        <is>
          <t>midcap</t>
        </is>
      </c>
      <c r="F36" s="31" t="n">
        <v>7554.12</v>
      </c>
      <c r="G36" s="31" t="n">
        <v>11770</v>
      </c>
      <c r="H36" s="31" t="n">
        <v>5.82</v>
      </c>
      <c r="I36" s="31" t="n">
        <v>33740</v>
      </c>
      <c r="J36" s="31" t="inlineStr">
        <is>
          <t>505242</t>
        </is>
      </c>
    </row>
    <row r="37">
      <c r="A37" s="31" t="inlineStr">
        <is>
          <t>WELSPUNLIV</t>
        </is>
      </c>
      <c r="B37" s="31" t="inlineStr">
        <is>
          <t>Welspun Living Ltd</t>
        </is>
      </c>
      <c r="C37" s="31" t="inlineStr">
        <is>
          <t>textiles</t>
        </is>
      </c>
      <c r="D37" s="31" t="inlineStr">
        <is>
          <t>textiles - products</t>
        </is>
      </c>
      <c r="E37" s="31" t="inlineStr">
        <is>
          <t>midcap</t>
        </is>
      </c>
      <c r="F37" s="31" t="n">
        <v>15886.01</v>
      </c>
      <c r="G37" s="31" t="n">
        <v>177.79</v>
      </c>
      <c r="H37" s="31" t="n">
        <v>5.73</v>
      </c>
      <c r="I37" s="31" t="n">
        <v>53708881</v>
      </c>
      <c r="J37" s="31" t="inlineStr">
        <is>
          <t>514162</t>
        </is>
      </c>
    </row>
    <row r="38">
      <c r="A38" s="31" t="inlineStr">
        <is>
          <t>DEEPINDS</t>
        </is>
      </c>
      <c r="B38" s="31" t="inlineStr">
        <is>
          <t>Deep Industries Ltd</t>
        </is>
      </c>
      <c r="C38" s="31" t="inlineStr">
        <is>
          <t>energy</t>
        </is>
      </c>
      <c r="D38" s="31" t="inlineStr">
        <is>
          <t>oil drilling / allied services</t>
        </is>
      </c>
      <c r="E38" s="31" t="inlineStr">
        <is>
          <t>smallcap</t>
        </is>
      </c>
      <c r="F38" s="31" t="n">
        <v>4356.48</v>
      </c>
      <c r="G38" s="31" t="n">
        <v>717.95</v>
      </c>
      <c r="H38" s="31" t="n">
        <v>5.47</v>
      </c>
      <c r="I38" s="31" t="n">
        <v>721273</v>
      </c>
      <c r="J38" s="31" t="inlineStr">
        <is>
          <t>543288</t>
        </is>
      </c>
    </row>
    <row r="39">
      <c r="A39" s="31" t="inlineStr">
        <is>
          <t>MANALIPETC</t>
        </is>
      </c>
      <c r="B39" s="31" t="inlineStr">
        <is>
          <t>Manali Petrochemicals Limited</t>
        </is>
      </c>
      <c r="C39" s="31" t="inlineStr">
        <is>
          <t>energy</t>
        </is>
      </c>
      <c r="D39" s="31" t="inlineStr">
        <is>
          <t>petrochemicals</t>
        </is>
      </c>
      <c r="E39" s="31" t="inlineStr">
        <is>
          <t>smallcap</t>
        </is>
      </c>
      <c r="F39" s="31" t="n">
        <v>1163.4</v>
      </c>
      <c r="G39" s="31" t="n">
        <v>71.06</v>
      </c>
      <c r="H39" s="31" t="n">
        <v>5.06</v>
      </c>
      <c r="I39" s="31" t="n">
        <v>2000257</v>
      </c>
      <c r="J39" s="31" t="inlineStr">
        <is>
          <t>500268</t>
        </is>
      </c>
    </row>
    <row r="40">
      <c r="A40" s="31" t="inlineStr">
        <is>
          <t>BLISSGVS</t>
        </is>
      </c>
      <c r="B40" s="31" t="inlineStr">
        <is>
          <t>Bliss Gvs Pharma Limited</t>
        </is>
      </c>
      <c r="C40" s="31" t="inlineStr">
        <is>
          <t>healthcare</t>
        </is>
      </c>
      <c r="D40" s="31" t="inlineStr">
        <is>
          <t>pharmaceuticals - indian - formulations</t>
        </is>
      </c>
      <c r="E40" s="31" t="inlineStr">
        <is>
          <t>midcap</t>
        </is>
      </c>
      <c r="F40" s="31" t="n">
        <v>5520.23</v>
      </c>
      <c r="G40" s="31" t="n">
        <v>546.5</v>
      </c>
      <c r="H40" s="31" t="n">
        <v>5</v>
      </c>
      <c r="I40" s="31" t="n">
        <v>957967</v>
      </c>
      <c r="J40" s="31" t="inlineStr">
        <is>
          <t>506197</t>
        </is>
      </c>
    </row>
    <row r="41">
      <c r="A41" s="31" t="inlineStr">
        <is>
          <t>MODISONLTD</t>
        </is>
      </c>
      <c r="B41" s="31" t="inlineStr">
        <is>
          <t>Modison Ltd</t>
        </is>
      </c>
      <c r="C41" s="31" t="inlineStr">
        <is>
          <t>industrials</t>
        </is>
      </c>
      <c r="D41" s="31" t="inlineStr">
        <is>
          <t>electric equipment</t>
        </is>
      </c>
      <c r="E41" s="31" t="inlineStr">
        <is>
          <t>smallcap</t>
        </is>
      </c>
      <c r="F41" s="31" t="n">
        <v>1155.54</v>
      </c>
      <c r="G41" s="31" t="n">
        <v>373.9</v>
      </c>
      <c r="H41" s="31" t="n">
        <v>5</v>
      </c>
      <c r="I41" s="31" t="n">
        <v>439962</v>
      </c>
      <c r="J41" s="31" t="inlineStr">
        <is>
          <t>506261</t>
        </is>
      </c>
    </row>
    <row r="42">
      <c r="A42" s="31" t="inlineStr">
        <is>
          <t>BIRLACABLE</t>
        </is>
      </c>
      <c r="B42" s="31" t="inlineStr">
        <is>
          <t>Birla Cable Limited</t>
        </is>
      </c>
      <c r="C42" s="31" t="inlineStr">
        <is>
          <t>industrials</t>
        </is>
      </c>
      <c r="D42" s="31" t="inlineStr">
        <is>
          <t>cables - telephone</t>
        </is>
      </c>
      <c r="E42" s="31" t="inlineStr">
        <is>
          <t>smallcap</t>
        </is>
      </c>
      <c r="F42" s="31" t="n">
        <v>837.42</v>
      </c>
      <c r="G42" s="31" t="n">
        <v>293.09</v>
      </c>
      <c r="H42" s="31" t="n">
        <v>5</v>
      </c>
      <c r="I42" s="31" t="n">
        <v>162560</v>
      </c>
      <c r="J42" s="31" t="inlineStr">
        <is>
          <t>500060</t>
        </is>
      </c>
    </row>
    <row r="43">
      <c r="A43" s="31" t="inlineStr">
        <is>
          <t>SIGMAADV</t>
        </is>
      </c>
      <c r="B43" s="31" t="inlineStr">
        <is>
          <t>Sigma Advanced System Ltd</t>
        </is>
      </c>
      <c r="C43" s="31" t="inlineStr">
        <is>
          <t>aerospace &amp; defence</t>
        </is>
      </c>
      <c r="D43" s="31" t="inlineStr">
        <is>
          <t>electronics - components</t>
        </is>
      </c>
      <c r="E43" s="31" t="inlineStr">
        <is>
          <t>midcap</t>
        </is>
      </c>
      <c r="F43" s="31" t="n">
        <v>11883.31</v>
      </c>
      <c r="G43" s="31" t="n">
        <v>658.45</v>
      </c>
      <c r="H43" s="31" t="n">
        <v>5</v>
      </c>
      <c r="I43" s="31" t="n">
        <v>190568</v>
      </c>
      <c r="J43" s="31" t="inlineStr">
        <is>
          <t>532408</t>
        </is>
      </c>
    </row>
    <row r="44">
      <c r="A44" s="31" t="inlineStr">
        <is>
          <t>MENONBE</t>
        </is>
      </c>
      <c r="B44" s="31" t="inlineStr">
        <is>
          <t>Menon Bearings Limited</t>
        </is>
      </c>
      <c r="C44" s="31" t="inlineStr">
        <is>
          <t>auto</t>
        </is>
      </c>
      <c r="D44" s="31" t="inlineStr">
        <is>
          <t>auto ancillaries</t>
        </is>
      </c>
      <c r="E44" s="31" t="inlineStr">
        <is>
          <t>smallcap</t>
        </is>
      </c>
      <c r="F44" s="31" t="n">
        <v>1351.46</v>
      </c>
      <c r="G44" s="31" t="n">
        <v>253.21</v>
      </c>
      <c r="H44" s="31" t="n">
        <v>5</v>
      </c>
      <c r="I44" s="31" t="n">
        <v>34069</v>
      </c>
      <c r="J44" s="31" t="inlineStr">
        <is>
          <t>523828</t>
        </is>
      </c>
    </row>
    <row r="45">
      <c r="A45" s="31" t="inlineStr">
        <is>
          <t>INDOTECH</t>
        </is>
      </c>
      <c r="B45" s="31" t="inlineStr">
        <is>
          <t>Indo Tech Transformers Limited</t>
        </is>
      </c>
      <c r="C45" s="31" t="inlineStr">
        <is>
          <t>industrials</t>
        </is>
      </c>
      <c r="D45" s="31" t="inlineStr">
        <is>
          <t>electric equipment</t>
        </is>
      </c>
      <c r="E45" s="31" t="inlineStr">
        <is>
          <t>smallcap</t>
        </is>
      </c>
      <c r="F45" s="31" t="n">
        <v>3832.12</v>
      </c>
      <c r="G45" s="31" t="n">
        <v>3788.8</v>
      </c>
      <c r="H45" s="31" t="n">
        <v>5</v>
      </c>
      <c r="I45" s="31" t="n">
        <v>25080</v>
      </c>
      <c r="J45" s="31" t="inlineStr">
        <is>
          <t>532717</t>
        </is>
      </c>
    </row>
    <row r="46">
      <c r="A46" s="31" t="inlineStr">
        <is>
          <t>RUBYMILLS</t>
        </is>
      </c>
      <c r="B46" s="31" t="inlineStr">
        <is>
          <t>The Ruby Mills Limited</t>
        </is>
      </c>
      <c r="C46" s="31" t="inlineStr">
        <is>
          <t>textiles</t>
        </is>
      </c>
      <c r="D46" s="31" t="inlineStr">
        <is>
          <t>textiles - composite</t>
        </is>
      </c>
      <c r="E46" s="31" t="inlineStr">
        <is>
          <t>smallcap</t>
        </is>
      </c>
      <c r="F46" s="31" t="n">
        <v>1278.91</v>
      </c>
      <c r="G46" s="31" t="n">
        <v>401.55</v>
      </c>
      <c r="H46" s="31" t="n">
        <v>4.99</v>
      </c>
      <c r="I46" s="31" t="n">
        <v>15496</v>
      </c>
      <c r="J46" s="31" t="inlineStr">
        <is>
          <t>503169</t>
        </is>
      </c>
    </row>
    <row r="47">
      <c r="A47" s="31" t="inlineStr">
        <is>
          <t>STYLEBAAZA</t>
        </is>
      </c>
      <c r="B47" s="31" t="inlineStr">
        <is>
          <t>Baazar Style Retail Ltd</t>
        </is>
      </c>
      <c r="C47" s="31" t="inlineStr">
        <is>
          <t>consumer discretionary</t>
        </is>
      </c>
      <c r="D47" s="31" t="inlineStr">
        <is>
          <t>trading</t>
        </is>
      </c>
      <c r="E47" s="31" t="inlineStr">
        <is>
          <t>smallcap</t>
        </is>
      </c>
      <c r="F47" s="31" t="n">
        <v>2919.1</v>
      </c>
      <c r="G47" s="31" t="n">
        <v>402.65</v>
      </c>
      <c r="H47" s="31" t="n">
        <v>4.99</v>
      </c>
      <c r="I47" s="31" t="n">
        <v>4855079</v>
      </c>
      <c r="J47" s="31" t="inlineStr">
        <is>
          <t>544243</t>
        </is>
      </c>
    </row>
    <row r="48">
      <c r="A48" s="31" t="inlineStr">
        <is>
          <t>OCCLLTD</t>
        </is>
      </c>
      <c r="B48" s="31" t="inlineStr">
        <is>
          <t>OCCL Ltd</t>
        </is>
      </c>
      <c r="C48" s="31" t="inlineStr">
        <is>
          <t>chemicals</t>
        </is>
      </c>
      <c r="D48" s="31" t="inlineStr">
        <is>
          <t>chemicals</t>
        </is>
      </c>
      <c r="E48" s="31" t="inlineStr">
        <is>
          <t>smallcap</t>
        </is>
      </c>
      <c r="F48" s="31" t="n">
        <v>784.0700000000001</v>
      </c>
      <c r="G48" s="31" t="n">
        <v>164.81</v>
      </c>
      <c r="H48" s="31" t="n">
        <v>4.99</v>
      </c>
      <c r="I48" s="31" t="n">
        <v>79469</v>
      </c>
      <c r="J48" s="31" t="inlineStr">
        <is>
          <t>544278</t>
        </is>
      </c>
    </row>
    <row r="49">
      <c r="A49" s="31" t="inlineStr">
        <is>
          <t>TCPLPACK</t>
        </is>
      </c>
      <c r="B49" s="31" t="inlineStr">
        <is>
          <t>TCPL Packaging Ltd</t>
        </is>
      </c>
      <c r="C49" s="31" t="inlineStr">
        <is>
          <t>industrials</t>
        </is>
      </c>
      <c r="D49" s="31" t="inlineStr">
        <is>
          <t>packaging</t>
        </is>
      </c>
      <c r="E49" s="31" t="inlineStr">
        <is>
          <t>smallcap</t>
        </is>
      </c>
      <c r="F49" s="31" t="n">
        <v>3674.22</v>
      </c>
      <c r="G49" s="31" t="n">
        <v>4234.8</v>
      </c>
      <c r="H49" s="31" t="n">
        <v>4.88</v>
      </c>
      <c r="I49" s="31" t="n">
        <v>42484</v>
      </c>
      <c r="J49" s="31" t="inlineStr">
        <is>
          <t>523301</t>
        </is>
      </c>
    </row>
    <row r="50">
      <c r="A50" s="31" t="inlineStr">
        <is>
          <t>FILATEX</t>
        </is>
      </c>
      <c r="B50" s="31" t="inlineStr">
        <is>
          <t>Filatex India Limited</t>
        </is>
      </c>
      <c r="C50" s="31" t="inlineStr">
        <is>
          <t>textiles</t>
        </is>
      </c>
      <c r="D50" s="31" t="inlineStr">
        <is>
          <t>textiles - manmade</t>
        </is>
      </c>
      <c r="E50" s="31" t="inlineStr">
        <is>
          <t>smallcap</t>
        </is>
      </c>
      <c r="F50" s="31" t="n">
        <v>3673.25</v>
      </c>
      <c r="G50" s="31" t="n">
        <v>86.75</v>
      </c>
      <c r="H50" s="31" t="n">
        <v>4.87</v>
      </c>
      <c r="I50" s="31" t="n">
        <v>5428534</v>
      </c>
      <c r="J50" s="31" t="inlineStr">
        <is>
          <t>526227</t>
        </is>
      </c>
    </row>
    <row r="51">
      <c r="A51" s="31" t="inlineStr">
        <is>
          <t>BHAGYANGR</t>
        </is>
      </c>
      <c r="B51" s="31" t="inlineStr">
        <is>
          <t>Bhagyanagar India</t>
        </is>
      </c>
      <c r="C51" s="31" t="inlineStr">
        <is>
          <t>power &amp; utilities</t>
        </is>
      </c>
      <c r="D51" s="31" t="inlineStr">
        <is>
          <t>power generation and supply</t>
        </is>
      </c>
      <c r="E51" s="31" t="inlineStr">
        <is>
          <t>smallcap</t>
        </is>
      </c>
      <c r="F51" s="31" t="n">
        <v>1223.81</v>
      </c>
      <c r="G51" s="31" t="n">
        <v>401.05</v>
      </c>
      <c r="H51" s="31" t="n">
        <v>4.85</v>
      </c>
      <c r="I51" s="31" t="n">
        <v>553312</v>
      </c>
      <c r="J51" s="31" t="inlineStr">
        <is>
          <t>512296</t>
        </is>
      </c>
    </row>
    <row r="52">
      <c r="A52" s="31" t="inlineStr">
        <is>
          <t>UNIVASTU</t>
        </is>
      </c>
      <c r="B52" s="31" t="inlineStr">
        <is>
          <t>Univastu India Ltd</t>
        </is>
      </c>
      <c r="C52" s="31" t="inlineStr">
        <is>
          <t>realty</t>
        </is>
      </c>
      <c r="D52" s="31" t="inlineStr">
        <is>
          <t>construction</t>
        </is>
      </c>
      <c r="E52" s="31" t="inlineStr">
        <is>
          <t>smallcap</t>
        </is>
      </c>
      <c r="F52" s="31" t="n">
        <v>637.52</v>
      </c>
      <c r="G52" s="31" t="n">
        <v>176.89</v>
      </c>
      <c r="H52" s="31" t="n">
        <v>4.85</v>
      </c>
      <c r="I52" s="31" t="n">
        <v>223661</v>
      </c>
      <c r="J52" s="31" t="inlineStr">
        <is>
          <t>538442</t>
        </is>
      </c>
    </row>
    <row r="53">
      <c r="A53" s="31" t="inlineStr">
        <is>
          <t>HFCL</t>
        </is>
      </c>
      <c r="B53" s="31" t="inlineStr">
        <is>
          <t>HFCL Ltd</t>
        </is>
      </c>
      <c r="C53" s="31" t="inlineStr">
        <is>
          <t>telecom</t>
        </is>
      </c>
      <c r="D53" s="31" t="inlineStr">
        <is>
          <t>cables - telephone</t>
        </is>
      </c>
      <c r="E53" s="31" t="inlineStr">
        <is>
          <t>largecap</t>
        </is>
      </c>
      <c r="F53" s="31" t="n">
        <v>33596.72</v>
      </c>
      <c r="G53" s="31" t="n">
        <v>230.03</v>
      </c>
      <c r="H53" s="31" t="n">
        <v>4.8</v>
      </c>
      <c r="I53" s="31" t="n">
        <v>35739524</v>
      </c>
      <c r="J53" s="31" t="inlineStr">
        <is>
          <t>500183</t>
        </is>
      </c>
    </row>
    <row r="54">
      <c r="A54" s="31" t="inlineStr">
        <is>
          <t>INGERRAND</t>
        </is>
      </c>
      <c r="B54" s="31" t="inlineStr">
        <is>
          <t>Ingersoll Rand (india) Limited</t>
        </is>
      </c>
      <c r="C54" s="31" t="inlineStr">
        <is>
          <t>industrials</t>
        </is>
      </c>
      <c r="D54" s="31" t="inlineStr">
        <is>
          <t>compressors / drilling equipment</t>
        </is>
      </c>
      <c r="E54" s="31" t="inlineStr">
        <is>
          <t>midcap</t>
        </is>
      </c>
      <c r="F54" s="31" t="n">
        <v>14133.63</v>
      </c>
      <c r="G54" s="31" t="n">
        <v>4691</v>
      </c>
      <c r="H54" s="31" t="n">
        <v>4.78</v>
      </c>
      <c r="I54" s="31" t="n">
        <v>47477</v>
      </c>
      <c r="J54" s="31" t="inlineStr">
        <is>
          <t>500210</t>
        </is>
      </c>
    </row>
    <row r="55">
      <c r="A55" s="31" t="inlineStr">
        <is>
          <t>JSFB</t>
        </is>
      </c>
      <c r="B55" s="31" t="inlineStr">
        <is>
          <t>Jana Small Finance Bank Ltd</t>
        </is>
      </c>
      <c r="C55" s="31" t="inlineStr">
        <is>
          <t>bank</t>
        </is>
      </c>
      <c r="D55" s="31" t="inlineStr">
        <is>
          <t>banks - private sector</t>
        </is>
      </c>
      <c r="E55" s="31" t="inlineStr">
        <is>
          <t>midcap</t>
        </is>
      </c>
      <c r="F55" s="31" t="n">
        <v>5781.64</v>
      </c>
      <c r="G55" s="31" t="n">
        <v>575</v>
      </c>
      <c r="H55" s="31" t="n">
        <v>4.76</v>
      </c>
      <c r="I55" s="31" t="n">
        <v>899345</v>
      </c>
      <c r="J55" s="31" t="n"/>
    </row>
    <row r="56">
      <c r="A56" s="31" t="inlineStr">
        <is>
          <t>UFLEX</t>
        </is>
      </c>
      <c r="B56" s="31" t="inlineStr">
        <is>
          <t>Uflex Limited</t>
        </is>
      </c>
      <c r="C56" s="31" t="inlineStr">
        <is>
          <t>industrials</t>
        </is>
      </c>
      <c r="D56" s="31" t="inlineStr">
        <is>
          <t>packaging</t>
        </is>
      </c>
      <c r="E56" s="31" t="inlineStr">
        <is>
          <t>smallcap</t>
        </is>
      </c>
      <c r="F56" s="31" t="n">
        <v>4231.95</v>
      </c>
      <c r="G56" s="31" t="n">
        <v>613.3</v>
      </c>
      <c r="H56" s="31" t="n">
        <v>4.65</v>
      </c>
      <c r="I56" s="31" t="n">
        <v>6025632</v>
      </c>
      <c r="J56" s="31" t="inlineStr">
        <is>
          <t>500148</t>
        </is>
      </c>
    </row>
    <row r="57">
      <c r="A57" s="31" t="inlineStr">
        <is>
          <t>DATAPATTNS</t>
        </is>
      </c>
      <c r="B57" s="31" t="inlineStr">
        <is>
          <t>Data Patterns (India) Ltd</t>
        </is>
      </c>
      <c r="C57" s="31" t="inlineStr">
        <is>
          <t>aerospace &amp; defence</t>
        </is>
      </c>
      <c r="D57" s="31" t="inlineStr">
        <is>
          <t>electronics - components</t>
        </is>
      </c>
      <c r="E57" s="31" t="inlineStr">
        <is>
          <t>largecap</t>
        </is>
      </c>
      <c r="F57" s="31" t="n">
        <v>25353.46</v>
      </c>
      <c r="G57" s="31" t="n">
        <v>4737.2</v>
      </c>
      <c r="H57" s="31" t="n">
        <v>4.6</v>
      </c>
      <c r="I57" s="31" t="n">
        <v>1385637</v>
      </c>
      <c r="J57" s="31" t="inlineStr">
        <is>
          <t>543428</t>
        </is>
      </c>
    </row>
    <row r="58">
      <c r="A58" s="31" t="inlineStr">
        <is>
          <t>RPEL</t>
        </is>
      </c>
      <c r="B58" s="31" t="inlineStr">
        <is>
          <t>Raghav Productivity Enhancers Ltd</t>
        </is>
      </c>
      <c r="C58" s="31" t="inlineStr">
        <is>
          <t>building materials</t>
        </is>
      </c>
      <c r="D58" s="31" t="inlineStr">
        <is>
          <t>refractories / intermediates</t>
        </is>
      </c>
      <c r="E58" s="31" t="inlineStr">
        <is>
          <t>midcap</t>
        </is>
      </c>
      <c r="F58" s="31" t="n">
        <v>6567.3</v>
      </c>
      <c r="G58" s="31" t="n">
        <v>1495.2</v>
      </c>
      <c r="H58" s="31" t="n">
        <v>4.55</v>
      </c>
      <c r="I58" s="31" t="n">
        <v>116007</v>
      </c>
      <c r="J58" s="31" t="inlineStr">
        <is>
          <t>539837</t>
        </is>
      </c>
    </row>
    <row r="59">
      <c r="A59" s="31" t="inlineStr">
        <is>
          <t>APCOTEXIND</t>
        </is>
      </c>
      <c r="B59" s="31" t="inlineStr">
        <is>
          <t>Apcotex Industries Limited</t>
        </is>
      </c>
      <c r="C59" s="31" t="inlineStr">
        <is>
          <t>chemicals</t>
        </is>
      </c>
      <c r="D59" s="31" t="inlineStr">
        <is>
          <t>miscellaneous</t>
        </is>
      </c>
      <c r="E59" s="31" t="inlineStr">
        <is>
          <t>smallcap</t>
        </is>
      </c>
      <c r="F59" s="31" t="n">
        <v>3138.95</v>
      </c>
      <c r="G59" s="31" t="n">
        <v>632.55</v>
      </c>
      <c r="H59" s="31" t="n">
        <v>4.48</v>
      </c>
      <c r="I59" s="31" t="n">
        <v>404224</v>
      </c>
      <c r="J59" s="31" t="inlineStr">
        <is>
          <t>523694</t>
        </is>
      </c>
    </row>
    <row r="60">
      <c r="A60" s="31" t="inlineStr">
        <is>
          <t>HNDFDS</t>
        </is>
      </c>
      <c r="B60" s="31" t="inlineStr">
        <is>
          <t>Hindustan Foods Ltd</t>
        </is>
      </c>
      <c r="C60" s="31" t="inlineStr">
        <is>
          <t>fmcg</t>
        </is>
      </c>
      <c r="D60" s="31" t="inlineStr">
        <is>
          <t>diversified - large</t>
        </is>
      </c>
      <c r="E60" s="31" t="inlineStr">
        <is>
          <t>midcap</t>
        </is>
      </c>
      <c r="F60" s="31" t="n">
        <v>7372.14</v>
      </c>
      <c r="G60" s="31" t="n">
        <v>635.55</v>
      </c>
      <c r="H60" s="31" t="n">
        <v>4.45</v>
      </c>
      <c r="I60" s="31" t="n">
        <v>265619</v>
      </c>
      <c r="J60" s="31" t="inlineStr">
        <is>
          <t>519126</t>
        </is>
      </c>
    </row>
    <row r="61">
      <c r="A61" s="31" t="inlineStr">
        <is>
          <t>STYLAMIND</t>
        </is>
      </c>
      <c r="B61" s="31" t="inlineStr">
        <is>
          <t>Stylam Industries Ltd</t>
        </is>
      </c>
      <c r="C61" s="31" t="inlineStr">
        <is>
          <t>building materials</t>
        </is>
      </c>
      <c r="D61" s="31" t="inlineStr">
        <is>
          <t>miscellaneous</t>
        </is>
      </c>
      <c r="E61" s="31" t="inlineStr">
        <is>
          <t>midcap</t>
        </is>
      </c>
      <c r="F61" s="31" t="n">
        <v>6071.47</v>
      </c>
      <c r="G61" s="31" t="n">
        <v>3736.4</v>
      </c>
      <c r="H61" s="31" t="n">
        <v>4.3</v>
      </c>
      <c r="I61" s="31" t="n">
        <v>97372</v>
      </c>
      <c r="J61" s="31" t="inlineStr">
        <is>
          <t>526951</t>
        </is>
      </c>
    </row>
    <row r="62">
      <c r="A62" s="31" t="inlineStr">
        <is>
          <t>APARINDS</t>
        </is>
      </c>
      <c r="B62" s="31" t="inlineStr">
        <is>
          <t>Apar Industries Limited</t>
        </is>
      </c>
      <c r="C62" s="31" t="inlineStr">
        <is>
          <t>industrials</t>
        </is>
      </c>
      <c r="D62" s="31" t="inlineStr">
        <is>
          <t>electric equipment</t>
        </is>
      </c>
      <c r="E62" s="31" t="inlineStr">
        <is>
          <t>largecap</t>
        </is>
      </c>
      <c r="F62" s="31" t="n">
        <v>66383.91</v>
      </c>
      <c r="G62" s="31" t="n">
        <v>17214</v>
      </c>
      <c r="H62" s="31" t="n">
        <v>4.18</v>
      </c>
      <c r="I62" s="31" t="n">
        <v>338500</v>
      </c>
      <c r="J62" s="31" t="inlineStr">
        <is>
          <t>532259</t>
        </is>
      </c>
    </row>
    <row r="63">
      <c r="A63" s="31" t="inlineStr">
        <is>
          <t>AEROENTER</t>
        </is>
      </c>
      <c r="B63" s="31" t="inlineStr">
        <is>
          <t>Aeroflex Enterprises Ltd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smallcap</t>
        </is>
      </c>
      <c r="F63" s="31" t="n">
        <v>1422.81</v>
      </c>
      <c r="G63" s="31" t="n">
        <v>130.89</v>
      </c>
      <c r="H63" s="31" t="n">
        <v>4.1</v>
      </c>
      <c r="I63" s="31" t="n">
        <v>1139299</v>
      </c>
      <c r="J63" s="31" t="inlineStr">
        <is>
          <t>511076</t>
        </is>
      </c>
    </row>
    <row r="64">
      <c r="A64" s="31" t="inlineStr">
        <is>
          <t>CRAFTSMAN</t>
        </is>
      </c>
      <c r="B64" s="31" t="inlineStr">
        <is>
          <t>Craftsman Automation Ltd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largecap</t>
        </is>
      </c>
      <c r="F64" s="31" t="n">
        <v>27409.85</v>
      </c>
      <c r="G64" s="31" t="n">
        <v>10900</v>
      </c>
      <c r="H64" s="31" t="n">
        <v>4.01</v>
      </c>
      <c r="I64" s="31" t="n">
        <v>58181</v>
      </c>
      <c r="J64" s="31" t="inlineStr">
        <is>
          <t>543276</t>
        </is>
      </c>
    </row>
    <row r="65">
      <c r="A65" s="31" t="inlineStr">
        <is>
          <t>HTMEDIA</t>
        </is>
      </c>
      <c r="B65" s="31" t="inlineStr">
        <is>
          <t>Ht Media Limited</t>
        </is>
      </c>
      <c r="C65" s="31" t="inlineStr">
        <is>
          <t>media</t>
        </is>
      </c>
      <c r="D65" s="31" t="inlineStr">
        <is>
          <t>entertainment / electronic media software</t>
        </is>
      </c>
      <c r="E65" s="31" t="inlineStr">
        <is>
          <t>smallcap</t>
        </is>
      </c>
      <c r="F65" s="31" t="n">
        <v>599.86</v>
      </c>
      <c r="G65" s="31" t="n">
        <v>26.78</v>
      </c>
      <c r="H65" s="31" t="n">
        <v>3.92</v>
      </c>
      <c r="I65" s="31" t="n">
        <v>124882</v>
      </c>
      <c r="J65" s="31" t="inlineStr">
        <is>
          <t>532662</t>
        </is>
      </c>
    </row>
    <row r="66">
      <c r="A66" s="31" t="inlineStr">
        <is>
          <t>SPORTKING</t>
        </is>
      </c>
      <c r="B66" s="31" t="inlineStr">
        <is>
          <t>Sportking India Ltd</t>
        </is>
      </c>
      <c r="C66" s="31" t="inlineStr">
        <is>
          <t>textiles</t>
        </is>
      </c>
      <c r="D66" s="31" t="inlineStr">
        <is>
          <t>textiles - spinning - synthetic / blended</t>
        </is>
      </c>
      <c r="E66" s="31" t="inlineStr">
        <is>
          <t>smallcap</t>
        </is>
      </c>
      <c r="F66" s="31" t="n">
        <v>2622.89</v>
      </c>
      <c r="G66" s="31" t="n">
        <v>214.34</v>
      </c>
      <c r="H66" s="31" t="n">
        <v>3.84</v>
      </c>
      <c r="I66" s="31" t="n">
        <v>599176</v>
      </c>
      <c r="J66" s="31" t="inlineStr">
        <is>
          <t>539221</t>
        </is>
      </c>
    </row>
    <row r="67">
      <c r="A67" s="31" t="inlineStr">
        <is>
          <t>VISAKAIND</t>
        </is>
      </c>
      <c r="B67" s="31" t="inlineStr">
        <is>
          <t>Visaka Industries Limited</t>
        </is>
      </c>
      <c r="C67" s="31" t="inlineStr">
        <is>
          <t>building materials</t>
        </is>
      </c>
      <c r="D67" s="31" t="inlineStr">
        <is>
          <t>cement products</t>
        </is>
      </c>
      <c r="E67" s="31" t="inlineStr">
        <is>
          <t>smallcap</t>
        </is>
      </c>
      <c r="F67" s="31" t="n">
        <v>794.92</v>
      </c>
      <c r="G67" s="31" t="n">
        <v>95.5</v>
      </c>
      <c r="H67" s="31" t="n">
        <v>3.8</v>
      </c>
      <c r="I67" s="31" t="n">
        <v>592817</v>
      </c>
      <c r="J67" s="31" t="inlineStr">
        <is>
          <t>509055</t>
        </is>
      </c>
    </row>
    <row r="68">
      <c r="A68" s="31" t="inlineStr">
        <is>
          <t>DPABHUSHAN</t>
        </is>
      </c>
      <c r="B68" s="31" t="inlineStr">
        <is>
          <t>D.P. Abhushan Ltd</t>
        </is>
      </c>
      <c r="C68" s="31" t="inlineStr">
        <is>
          <t>consumer discretionary</t>
        </is>
      </c>
      <c r="D68" s="31" t="inlineStr">
        <is>
          <t>diamond cutting / jewellery</t>
        </is>
      </c>
      <c r="E68" s="31" t="inlineStr">
        <is>
          <t>smallcap</t>
        </is>
      </c>
      <c r="F68" s="31" t="n">
        <v>3204.58</v>
      </c>
      <c r="G68" s="31" t="n">
        <v>1457.2</v>
      </c>
      <c r="H68" s="31" t="n">
        <v>3.8</v>
      </c>
      <c r="I68" s="31" t="n">
        <v>30351</v>
      </c>
      <c r="J68" s="31" t="inlineStr">
        <is>
          <t>535026</t>
        </is>
      </c>
    </row>
    <row r="69">
      <c r="A69" s="31" t="inlineStr">
        <is>
          <t>BOSCHLTD</t>
        </is>
      </c>
      <c r="B69" s="31" t="inlineStr">
        <is>
          <t>Bosch Limited</t>
        </is>
      </c>
      <c r="C69" s="31" t="inlineStr">
        <is>
          <t>auto</t>
        </is>
      </c>
      <c r="D69" s="31" t="inlineStr">
        <is>
          <t>auto ancillaries</t>
        </is>
      </c>
      <c r="E69" s="31" t="inlineStr">
        <is>
          <t>largecap</t>
        </is>
      </c>
      <c r="F69" s="31" t="n">
        <v>138543.18</v>
      </c>
      <c r="G69" s="31" t="n">
        <v>48730</v>
      </c>
      <c r="H69" s="31" t="n">
        <v>3.75</v>
      </c>
      <c r="I69" s="31" t="n">
        <v>280268</v>
      </c>
      <c r="J69" s="31" t="inlineStr">
        <is>
          <t>500530</t>
        </is>
      </c>
    </row>
    <row r="70">
      <c r="A70" s="31" t="inlineStr">
        <is>
          <t>SAMBHV</t>
        </is>
      </c>
      <c r="B70" s="31" t="inlineStr">
        <is>
          <t>Sambhv Steel Tubes Ltd</t>
        </is>
      </c>
      <c r="C70" s="31" t="inlineStr">
        <is>
          <t>metals &amp; mining</t>
        </is>
      </c>
      <c r="D70" s="31" t="inlineStr">
        <is>
          <t>steel - medium / small</t>
        </is>
      </c>
      <c r="E70" s="31" t="inlineStr">
        <is>
          <t>smallcap</t>
        </is>
      </c>
      <c r="F70" s="31" t="n">
        <v>3532.52</v>
      </c>
      <c r="G70" s="31" t="n">
        <v>124.34</v>
      </c>
      <c r="H70" s="31" t="n">
        <v>3.72</v>
      </c>
      <c r="I70" s="31" t="n">
        <v>1781158</v>
      </c>
      <c r="J70" s="31" t="inlineStr">
        <is>
          <t>544430</t>
        </is>
      </c>
    </row>
    <row r="71">
      <c r="A71" s="31" t="inlineStr">
        <is>
          <t>SOTL</t>
        </is>
      </c>
      <c r="B71" s="31" t="inlineStr">
        <is>
          <t>Savita Oil Technologies Limited</t>
        </is>
      </c>
      <c r="C71" s="31" t="inlineStr">
        <is>
          <t>energy</t>
        </is>
      </c>
      <c r="D71" s="31" t="inlineStr">
        <is>
          <t>petrochemicals</t>
        </is>
      </c>
      <c r="E71" s="31" t="inlineStr">
        <is>
          <t>smallcap</t>
        </is>
      </c>
      <c r="F71" s="31" t="n">
        <v>4748.84</v>
      </c>
      <c r="G71" s="31" t="n">
        <v>718.4</v>
      </c>
      <c r="H71" s="31" t="n">
        <v>3.72</v>
      </c>
      <c r="I71" s="31" t="n">
        <v>353823</v>
      </c>
      <c r="J71" s="31" t="inlineStr">
        <is>
          <t>524667</t>
        </is>
      </c>
    </row>
    <row r="72">
      <c r="A72" s="31" t="inlineStr">
        <is>
          <t>MCX</t>
        </is>
      </c>
      <c r="B72" s="31" t="inlineStr">
        <is>
          <t>Multi Commodity Exchange Of India Limited</t>
        </is>
      </c>
      <c r="C72" s="31" t="inlineStr">
        <is>
          <t>financials</t>
        </is>
      </c>
      <c r="D72" s="31" t="inlineStr">
        <is>
          <t>miscellaneous</t>
        </is>
      </c>
      <c r="E72" s="31" t="inlineStr">
        <is>
          <t>largecap</t>
        </is>
      </c>
      <c r="F72" s="31" t="n">
        <v>74791.66</v>
      </c>
      <c r="G72" s="31" t="n">
        <v>3040</v>
      </c>
      <c r="H72" s="31" t="n">
        <v>3.64</v>
      </c>
      <c r="I72" s="31" t="n">
        <v>9502744</v>
      </c>
      <c r="J72" s="31" t="inlineStr">
        <is>
          <t>534091</t>
        </is>
      </c>
    </row>
    <row r="73">
      <c r="A73" s="31" t="inlineStr">
        <is>
          <t>GNA</t>
        </is>
      </c>
      <c r="B73" s="31" t="inlineStr">
        <is>
          <t>Gna Axles Limited</t>
        </is>
      </c>
      <c r="C73" s="31" t="inlineStr">
        <is>
          <t>auto</t>
        </is>
      </c>
      <c r="D73" s="31" t="inlineStr">
        <is>
          <t>auto ancillaries</t>
        </is>
      </c>
      <c r="E73" s="31" t="inlineStr">
        <is>
          <t>smallcap</t>
        </is>
      </c>
      <c r="F73" s="31" t="n">
        <v>2410.78</v>
      </c>
      <c r="G73" s="31" t="n">
        <v>581.5</v>
      </c>
      <c r="H73" s="31" t="n">
        <v>3.55</v>
      </c>
      <c r="I73" s="31" t="n">
        <v>692844</v>
      </c>
      <c r="J73" s="31" t="inlineStr">
        <is>
          <t>540124</t>
        </is>
      </c>
    </row>
    <row r="74">
      <c r="A74" s="31" t="inlineStr">
        <is>
          <t>GANDHAR</t>
        </is>
      </c>
      <c r="B74" s="31" t="inlineStr">
        <is>
          <t>Gandhar Oil Refinery (India) Ltd</t>
        </is>
      </c>
      <c r="C74" s="31" t="inlineStr">
        <is>
          <t>energy</t>
        </is>
      </c>
      <c r="D74" s="31" t="inlineStr">
        <is>
          <t>refineries</t>
        </is>
      </c>
      <c r="E74" s="31" t="inlineStr">
        <is>
          <t>smallcap</t>
        </is>
      </c>
      <c r="F74" s="31" t="n">
        <v>2414.59</v>
      </c>
      <c r="G74" s="31" t="n">
        <v>255.1</v>
      </c>
      <c r="H74" s="31" t="n">
        <v>3.41</v>
      </c>
      <c r="I74" s="31" t="n">
        <v>2220855</v>
      </c>
      <c r="J74" s="31" t="inlineStr">
        <is>
          <t>544029</t>
        </is>
      </c>
    </row>
    <row r="75">
      <c r="A75" s="31" t="inlineStr">
        <is>
          <t>ASAHIINDIA</t>
        </is>
      </c>
      <c r="B75" s="31" t="inlineStr">
        <is>
          <t>Asahi India Glass Limited</t>
        </is>
      </c>
      <c r="C75" s="31" t="inlineStr">
        <is>
          <t>building materials</t>
        </is>
      </c>
      <c r="D75" s="31" t="inlineStr">
        <is>
          <t>glass &amp; glass products</t>
        </is>
      </c>
      <c r="E75" s="31" t="inlineStr">
        <is>
          <t>largecap</t>
        </is>
      </c>
      <c r="F75" s="31" t="n">
        <v>23738.82</v>
      </c>
      <c r="G75" s="31" t="n">
        <v>962.8</v>
      </c>
      <c r="H75" s="31" t="n">
        <v>3.39</v>
      </c>
      <c r="I75" s="31" t="n">
        <v>736560</v>
      </c>
      <c r="J75" s="31" t="inlineStr">
        <is>
          <t>515030</t>
        </is>
      </c>
    </row>
    <row r="76">
      <c r="A76" s="31" t="inlineStr">
        <is>
          <t>CONCORDBIO</t>
        </is>
      </c>
      <c r="B76" s="31" t="inlineStr">
        <is>
          <t>Concord Biotech Ltd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midcap</t>
        </is>
      </c>
      <c r="F76" s="31" t="n">
        <v>15849.35</v>
      </c>
      <c r="G76" s="31" t="n">
        <v>1565.7</v>
      </c>
      <c r="H76" s="31" t="n">
        <v>3.35</v>
      </c>
      <c r="I76" s="31" t="n">
        <v>489172</v>
      </c>
      <c r="J76" s="31" t="inlineStr">
        <is>
          <t>543960</t>
        </is>
      </c>
    </row>
    <row r="77">
      <c r="A77" s="31" t="inlineStr">
        <is>
          <t>PREMIERPOL</t>
        </is>
      </c>
      <c r="B77" s="31" t="inlineStr">
        <is>
          <t>Premier Polyfilm Limited</t>
        </is>
      </c>
      <c r="C77" s="31" t="inlineStr">
        <is>
          <t>plastic products</t>
        </is>
      </c>
      <c r="D77" s="31" t="inlineStr">
        <is>
          <t>plastics products</t>
        </is>
      </c>
      <c r="E77" s="31" t="inlineStr">
        <is>
          <t>smallcap</t>
        </is>
      </c>
      <c r="F77" s="31" t="n">
        <v>875.54</v>
      </c>
      <c r="G77" s="31" t="n">
        <v>86.37</v>
      </c>
      <c r="H77" s="31" t="n">
        <v>3.33</v>
      </c>
      <c r="I77" s="31" t="n">
        <v>2453055</v>
      </c>
      <c r="J77" s="31" t="inlineStr">
        <is>
          <t>514354</t>
        </is>
      </c>
    </row>
    <row r="78">
      <c r="A78" s="31" t="inlineStr">
        <is>
          <t>CUB</t>
        </is>
      </c>
      <c r="B78" s="31" t="inlineStr">
        <is>
          <t>City Union Bank Limited</t>
        </is>
      </c>
      <c r="C78" s="31" t="inlineStr">
        <is>
          <t>bank</t>
        </is>
      </c>
      <c r="D78" s="31" t="inlineStr">
        <is>
          <t>banks - private sector</t>
        </is>
      </c>
      <c r="E78" s="31" t="inlineStr">
        <is>
          <t>largecap</t>
        </is>
      </c>
      <c r="F78" s="31" t="n">
        <v>21321.74</v>
      </c>
      <c r="G78" s="31" t="n">
        <v>222.18</v>
      </c>
      <c r="H78" s="31" t="n">
        <v>3.24</v>
      </c>
      <c r="I78" s="31" t="n">
        <v>3912795</v>
      </c>
      <c r="J78" s="31" t="inlineStr">
        <is>
          <t>532210</t>
        </is>
      </c>
    </row>
    <row r="79">
      <c r="A79" s="31" t="inlineStr">
        <is>
          <t>THELEELA</t>
        </is>
      </c>
      <c r="B79" s="31" t="inlineStr">
        <is>
          <t>Leela Palaces Hotels &amp; Resorts Ltd</t>
        </is>
      </c>
      <c r="C79" s="31" t="inlineStr">
        <is>
          <t>services</t>
        </is>
      </c>
      <c r="D79" s="31" t="inlineStr">
        <is>
          <t>hotels</t>
        </is>
      </c>
      <c r="E79" s="31" t="inlineStr">
        <is>
          <t>midcap</t>
        </is>
      </c>
      <c r="F79" s="31" t="n">
        <v>16798.08</v>
      </c>
      <c r="G79" s="31" t="n">
        <v>519.15</v>
      </c>
      <c r="H79" s="31" t="n">
        <v>3.21</v>
      </c>
      <c r="I79" s="31" t="n">
        <v>412429</v>
      </c>
      <c r="J79" s="31" t="inlineStr">
        <is>
          <t>544408</t>
        </is>
      </c>
    </row>
    <row r="80">
      <c r="A80" s="31" t="inlineStr">
        <is>
          <t>LTF</t>
        </is>
      </c>
      <c r="B80" s="31" t="inlineStr">
        <is>
          <t>L&amp;T Finance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largecap</t>
        </is>
      </c>
      <c r="F80" s="31" t="n">
        <v>78923.45</v>
      </c>
      <c r="G80" s="31" t="n">
        <v>325.1</v>
      </c>
      <c r="H80" s="31" t="n">
        <v>3.21</v>
      </c>
      <c r="I80" s="31" t="n">
        <v>30240108</v>
      </c>
      <c r="J80" s="31" t="inlineStr">
        <is>
          <t>533519</t>
        </is>
      </c>
    </row>
    <row r="81">
      <c r="A81" s="31" t="inlineStr">
        <is>
          <t>SURAKSHA</t>
        </is>
      </c>
      <c r="B81" s="31" t="inlineStr">
        <is>
          <t>Suraksha Diagnostic Ltd</t>
        </is>
      </c>
      <c r="C81" s="31" t="inlineStr">
        <is>
          <t>healthcare</t>
        </is>
      </c>
      <c r="D81" s="31" t="inlineStr">
        <is>
          <t>healthcare</t>
        </is>
      </c>
      <c r="E81" s="31" t="inlineStr">
        <is>
          <t>smallcap</t>
        </is>
      </c>
      <c r="F81" s="31" t="n">
        <v>1606.43</v>
      </c>
      <c r="G81" s="31" t="n">
        <v>318.3</v>
      </c>
      <c r="H81" s="31" t="n">
        <v>3.19</v>
      </c>
      <c r="I81" s="31" t="n">
        <v>239783</v>
      </c>
      <c r="J81" s="31" t="inlineStr">
        <is>
          <t>544293</t>
        </is>
      </c>
    </row>
    <row r="82">
      <c r="A82" s="31" t="inlineStr">
        <is>
          <t>PANAMAPET</t>
        </is>
      </c>
      <c r="B82" s="31" t="inlineStr">
        <is>
          <t>Panama Petrochem Limited</t>
        </is>
      </c>
      <c r="C82" s="31" t="inlineStr">
        <is>
          <t>energy</t>
        </is>
      </c>
      <c r="D82" s="31" t="inlineStr">
        <is>
          <t>petrochemicals</t>
        </is>
      </c>
      <c r="E82" s="31" t="inlineStr">
        <is>
          <t>smallcap</t>
        </is>
      </c>
      <c r="F82" s="31" t="n">
        <v>2946.64</v>
      </c>
      <c r="G82" s="31" t="n">
        <v>502.65</v>
      </c>
      <c r="H82" s="31" t="n">
        <v>3.19</v>
      </c>
      <c r="I82" s="31" t="n">
        <v>850465</v>
      </c>
      <c r="J82" s="31" t="inlineStr">
        <is>
          <t>524820</t>
        </is>
      </c>
    </row>
    <row r="83">
      <c r="A83" s="31" t="inlineStr">
        <is>
          <t>VISHNU</t>
        </is>
      </c>
      <c r="B83" s="31" t="inlineStr">
        <is>
          <t>Vishnu Chemicals Limited</t>
        </is>
      </c>
      <c r="C83" s="31" t="inlineStr">
        <is>
          <t>chemicals</t>
        </is>
      </c>
      <c r="D83" s="31" t="inlineStr">
        <is>
          <t>chemicals</t>
        </is>
      </c>
      <c r="E83" s="31" t="inlineStr">
        <is>
          <t>smallcap</t>
        </is>
      </c>
      <c r="F83" s="31" t="n">
        <v>4161.77</v>
      </c>
      <c r="G83" s="31" t="n">
        <v>637.5</v>
      </c>
      <c r="H83" s="31" t="n">
        <v>3.11</v>
      </c>
      <c r="I83" s="31" t="n">
        <v>577546</v>
      </c>
      <c r="J83" s="31" t="inlineStr">
        <is>
          <t>516072</t>
        </is>
      </c>
    </row>
    <row r="84">
      <c r="A84" s="31" t="inlineStr">
        <is>
          <t>IFCI</t>
        </is>
      </c>
      <c r="B84" s="31" t="inlineStr">
        <is>
          <t>Ifci Limited</t>
        </is>
      </c>
      <c r="C84" s="31" t="inlineStr">
        <is>
          <t>financials</t>
        </is>
      </c>
      <c r="D84" s="31" t="inlineStr">
        <is>
          <t>finance - term-lending institutions</t>
        </is>
      </c>
      <c r="E84" s="31" t="inlineStr">
        <is>
          <t>largecap</t>
        </is>
      </c>
      <c r="F84" s="31" t="n">
        <v>21266.22</v>
      </c>
      <c r="G84" s="31" t="n">
        <v>81.36</v>
      </c>
      <c r="H84" s="31" t="n">
        <v>3.08</v>
      </c>
      <c r="I84" s="31" t="n">
        <v>49975029</v>
      </c>
      <c r="J84" s="31" t="inlineStr">
        <is>
          <t>500106</t>
        </is>
      </c>
    </row>
    <row r="85">
      <c r="A85" s="31" t="inlineStr">
        <is>
          <t>UNIPARTS</t>
        </is>
      </c>
      <c r="B85" s="31" t="inlineStr">
        <is>
          <t>Uniparts India Ltd</t>
        </is>
      </c>
      <c r="C85" s="31" t="inlineStr">
        <is>
          <t>industrials</t>
        </is>
      </c>
      <c r="D85" s="31" t="inlineStr">
        <is>
          <t>engineering</t>
        </is>
      </c>
      <c r="E85" s="31" t="inlineStr">
        <is>
          <t>smallcap</t>
        </is>
      </c>
      <c r="F85" s="31" t="n">
        <v>3616.64</v>
      </c>
      <c r="G85" s="31" t="n">
        <v>825.85</v>
      </c>
      <c r="H85" s="31" t="n">
        <v>3.08</v>
      </c>
      <c r="I85" s="31" t="n">
        <v>223644</v>
      </c>
      <c r="J85" s="31" t="inlineStr">
        <is>
          <t>543689</t>
        </is>
      </c>
    </row>
    <row r="86">
      <c r="A86" s="31" t="inlineStr">
        <is>
          <t>HAPPYFORGE</t>
        </is>
      </c>
      <c r="B86" s="31" t="inlineStr">
        <is>
          <t>Happy Forgings Ltd</t>
        </is>
      </c>
      <c r="C86" s="31" t="inlineStr">
        <is>
          <t>industrials</t>
        </is>
      </c>
      <c r="D86" s="31" t="inlineStr">
        <is>
          <t>castings &amp; forgings</t>
        </is>
      </c>
      <c r="E86" s="31" t="inlineStr">
        <is>
          <t>largecap</t>
        </is>
      </c>
      <c r="F86" s="31" t="n">
        <v>20745.39</v>
      </c>
      <c r="G86" s="31" t="n">
        <v>2265</v>
      </c>
      <c r="H86" s="31" t="n">
        <v>3.04</v>
      </c>
      <c r="I86" s="31" t="n">
        <v>175749</v>
      </c>
      <c r="J86" s="31" t="inlineStr">
        <is>
          <t>544057</t>
        </is>
      </c>
    </row>
    <row r="87">
      <c r="A87" s="31" t="inlineStr">
        <is>
          <t>BEML</t>
        </is>
      </c>
      <c r="B87" s="31" t="inlineStr">
        <is>
          <t>Beml Limited</t>
        </is>
      </c>
      <c r="C87" s="31" t="inlineStr">
        <is>
          <t>aerospace &amp; defence</t>
        </is>
      </c>
      <c r="D87" s="31" t="inlineStr">
        <is>
          <t>engineering</t>
        </is>
      </c>
      <c r="E87" s="31" t="inlineStr">
        <is>
          <t>midcap</t>
        </is>
      </c>
      <c r="F87" s="31" t="n">
        <v>15895.71</v>
      </c>
      <c r="G87" s="31" t="n">
        <v>1965.5</v>
      </c>
      <c r="H87" s="31" t="n">
        <v>2.99</v>
      </c>
      <c r="I87" s="31" t="n">
        <v>724005</v>
      </c>
      <c r="J87" s="31" t="inlineStr">
        <is>
          <t>500048</t>
        </is>
      </c>
    </row>
    <row r="88">
      <c r="A88" s="31" t="inlineStr">
        <is>
          <t>RATNAVEER</t>
        </is>
      </c>
      <c r="B88" s="31" t="inlineStr">
        <is>
          <t>Ratnaveer Precision Engineering Ltd</t>
        </is>
      </c>
      <c r="C88" s="31" t="inlineStr">
        <is>
          <t>metals &amp; mining</t>
        </is>
      </c>
      <c r="D88" s="31" t="inlineStr">
        <is>
          <t>steel - medium / small</t>
        </is>
      </c>
      <c r="E88" s="31" t="inlineStr">
        <is>
          <t>smallcap</t>
        </is>
      </c>
      <c r="F88" s="31" t="n">
        <v>1749.03</v>
      </c>
      <c r="G88" s="31" t="n">
        <v>252.19</v>
      </c>
      <c r="H88" s="31" t="n">
        <v>2.99</v>
      </c>
      <c r="I88" s="31" t="n">
        <v>11984494</v>
      </c>
      <c r="J88" s="31" t="inlineStr">
        <is>
          <t>543978</t>
        </is>
      </c>
    </row>
    <row r="89">
      <c r="A89" s="31" t="inlineStr">
        <is>
          <t>IDEA</t>
        </is>
      </c>
      <c r="B89" s="31" t="inlineStr">
        <is>
          <t>Vodafone Idea Ltd</t>
        </is>
      </c>
      <c r="C89" s="31" t="inlineStr">
        <is>
          <t>telecom-service</t>
        </is>
      </c>
      <c r="D89" s="31" t="inlineStr">
        <is>
          <t>telecommunications - service provider</t>
        </is>
      </c>
      <c r="E89" s="31" t="inlineStr">
        <is>
          <t>largecap</t>
        </is>
      </c>
      <c r="F89" s="31" t="n">
        <v>148538.3</v>
      </c>
      <c r="G89" s="31" t="n">
        <v>14.12</v>
      </c>
      <c r="H89" s="31" t="n">
        <v>2.99</v>
      </c>
      <c r="I89" s="31" t="n">
        <v>1631325050</v>
      </c>
      <c r="J89" s="31" t="inlineStr">
        <is>
          <t>532822</t>
        </is>
      </c>
    </row>
    <row r="90">
      <c r="A90" s="31" t="inlineStr">
        <is>
          <t>GRSE</t>
        </is>
      </c>
      <c r="B90" s="31" t="inlineStr">
        <is>
          <t>Garden Reach Shipbuilders &amp; Engineers Ltd</t>
        </is>
      </c>
      <c r="C90" s="31" t="inlineStr">
        <is>
          <t>aerospace &amp; defence</t>
        </is>
      </c>
      <c r="D90" s="31" t="inlineStr">
        <is>
          <t>miscellaneous</t>
        </is>
      </c>
      <c r="E90" s="31" t="inlineStr">
        <is>
          <t>largecap</t>
        </is>
      </c>
      <c r="F90" s="31" t="n">
        <v>29784.67</v>
      </c>
      <c r="G90" s="31" t="n">
        <v>2677</v>
      </c>
      <c r="H90" s="31" t="n">
        <v>2.96</v>
      </c>
      <c r="I90" s="31" t="n">
        <v>1266390</v>
      </c>
      <c r="J90" s="31" t="inlineStr">
        <is>
          <t>542011</t>
        </is>
      </c>
    </row>
    <row r="91">
      <c r="A91" s="31" t="inlineStr">
        <is>
          <t>POLYMED</t>
        </is>
      </c>
      <c r="B91" s="31" t="inlineStr">
        <is>
          <t>Poly Medicure Limited</t>
        </is>
      </c>
      <c r="C91" s="31" t="inlineStr">
        <is>
          <t>healthcare</t>
        </is>
      </c>
      <c r="D91" s="31" t="inlineStr">
        <is>
          <t>healthcare</t>
        </is>
      </c>
      <c r="E91" s="31" t="inlineStr">
        <is>
          <t>midcap</t>
        </is>
      </c>
      <c r="F91" s="31" t="n">
        <v>17571.68</v>
      </c>
      <c r="G91" s="31" t="n">
        <v>1784.7</v>
      </c>
      <c r="H91" s="31" t="n">
        <v>2.95</v>
      </c>
      <c r="I91" s="31" t="n">
        <v>224900</v>
      </c>
      <c r="J91" s="31" t="inlineStr">
        <is>
          <t>531768</t>
        </is>
      </c>
    </row>
    <row r="92">
      <c r="A92" s="31" t="inlineStr">
        <is>
          <t>ESAFSFB</t>
        </is>
      </c>
      <c r="B92" s="31" t="inlineStr">
        <is>
          <t>ESAF Small Finance Bank Ltd</t>
        </is>
      </c>
      <c r="C92" s="31" t="inlineStr">
        <is>
          <t>bank</t>
        </is>
      </c>
      <c r="D92" s="31" t="inlineStr">
        <is>
          <t>banks - private sector</t>
        </is>
      </c>
      <c r="E92" s="31" t="inlineStr">
        <is>
          <t>smallcap</t>
        </is>
      </c>
      <c r="F92" s="31" t="n">
        <v>2025.63</v>
      </c>
      <c r="G92" s="31" t="n">
        <v>40.41</v>
      </c>
      <c r="H92" s="31" t="n">
        <v>2.93</v>
      </c>
      <c r="I92" s="31" t="n">
        <v>1072727</v>
      </c>
      <c r="J92" s="31" t="inlineStr">
        <is>
          <t>544020</t>
        </is>
      </c>
    </row>
    <row r="93">
      <c r="A93" s="31" t="inlineStr">
        <is>
          <t>ETHOSLTD</t>
        </is>
      </c>
      <c r="B93" s="31" t="inlineStr">
        <is>
          <t>Ethos Ltd</t>
        </is>
      </c>
      <c r="C93" s="31" t="inlineStr">
        <is>
          <t>consumer discretionary</t>
        </is>
      </c>
      <c r="D93" s="31" t="inlineStr">
        <is>
          <t>trading</t>
        </is>
      </c>
      <c r="E93" s="31" t="inlineStr">
        <is>
          <t>midcap</t>
        </is>
      </c>
      <c r="F93" s="31" t="n">
        <v>7461.65</v>
      </c>
      <c r="G93" s="31" t="n">
        <v>2870</v>
      </c>
      <c r="H93" s="31" t="n">
        <v>2.92</v>
      </c>
      <c r="I93" s="31" t="n">
        <v>961244</v>
      </c>
      <c r="J93" s="31" t="inlineStr">
        <is>
          <t>543532</t>
        </is>
      </c>
    </row>
    <row r="94">
      <c r="A94" s="31" t="inlineStr">
        <is>
          <t>GAEL</t>
        </is>
      </c>
      <c r="B94" s="31" t="inlineStr">
        <is>
          <t>Gujarat Ambuja Exports Limited</t>
        </is>
      </c>
      <c r="C94" s="31" t="inlineStr">
        <is>
          <t>fmcg</t>
        </is>
      </c>
      <c r="D94" s="31" t="inlineStr">
        <is>
          <t>miscellaneous</t>
        </is>
      </c>
      <c r="E94" s="31" t="inlineStr">
        <is>
          <t>midcap</t>
        </is>
      </c>
      <c r="F94" s="31" t="n">
        <v>7923.54</v>
      </c>
      <c r="G94" s="31" t="n">
        <v>177.76</v>
      </c>
      <c r="H94" s="31" t="n">
        <v>2.9</v>
      </c>
      <c r="I94" s="31" t="n">
        <v>1908213</v>
      </c>
      <c r="J94" s="31" t="inlineStr">
        <is>
          <t>524226</t>
        </is>
      </c>
    </row>
    <row r="95">
      <c r="A95" s="31" t="inlineStr">
        <is>
          <t>TFCILTD</t>
        </is>
      </c>
      <c r="B95" s="31" t="inlineStr">
        <is>
          <t>Tourism Finance Corporation Of India Limited</t>
        </is>
      </c>
      <c r="C95" s="31" t="inlineStr">
        <is>
          <t>financials</t>
        </is>
      </c>
      <c r="D95" s="31" t="inlineStr">
        <is>
          <t>finance - term-lending institutions</t>
        </is>
      </c>
      <c r="E95" s="31" t="inlineStr">
        <is>
          <t>midcap</t>
        </is>
      </c>
      <c r="F95" s="31" t="n">
        <v>5568.69</v>
      </c>
      <c r="G95" s="31" t="n">
        <v>123.7</v>
      </c>
      <c r="H95" s="31" t="n">
        <v>2.84</v>
      </c>
      <c r="I95" s="31" t="n">
        <v>17194399</v>
      </c>
      <c r="J95" s="31" t="inlineStr">
        <is>
          <t>526650</t>
        </is>
      </c>
    </row>
    <row r="96">
      <c r="A96" s="31" t="inlineStr">
        <is>
          <t>PPLPHARMA</t>
        </is>
      </c>
      <c r="B96" s="31" t="inlineStr">
        <is>
          <t>Piramal Pharma Ltd</t>
        </is>
      </c>
      <c r="C96" s="31" t="inlineStr">
        <is>
          <t>healthcare</t>
        </is>
      </c>
      <c r="D96" s="31" t="inlineStr">
        <is>
          <t>pharmaceuticals - indian - bulk drugs &amp; formln</t>
        </is>
      </c>
      <c r="E96" s="31" t="inlineStr">
        <is>
          <t>largecap</t>
        </is>
      </c>
      <c r="F96" s="31" t="n">
        <v>27256.69</v>
      </c>
      <c r="G96" s="31" t="n">
        <v>210.53</v>
      </c>
      <c r="H96" s="31" t="n">
        <v>2.83</v>
      </c>
      <c r="I96" s="31" t="n">
        <v>5337954</v>
      </c>
      <c r="J96" s="31" t="inlineStr">
        <is>
          <t>543635</t>
        </is>
      </c>
    </row>
    <row r="97">
      <c r="A97" s="31" t="inlineStr">
        <is>
          <t>NAHARSPING</t>
        </is>
      </c>
      <c r="B97" s="31" t="inlineStr">
        <is>
          <t>Nahar Spinning Mills Limited</t>
        </is>
      </c>
      <c r="C97" s="31" t="inlineStr">
        <is>
          <t>textiles</t>
        </is>
      </c>
      <c r="D97" s="31" t="inlineStr">
        <is>
          <t>textiles - cotton/blended</t>
        </is>
      </c>
      <c r="E97" s="31" t="inlineStr">
        <is>
          <t>smallcap</t>
        </is>
      </c>
      <c r="F97" s="31" t="n">
        <v>1070.06</v>
      </c>
      <c r="G97" s="31" t="n">
        <v>305</v>
      </c>
      <c r="H97" s="31" t="n">
        <v>2.8</v>
      </c>
      <c r="I97" s="31" t="n">
        <v>83233</v>
      </c>
      <c r="J97" s="31" t="inlineStr">
        <is>
          <t>500296</t>
        </is>
      </c>
    </row>
    <row r="98">
      <c r="A98" s="31" t="inlineStr">
        <is>
          <t>MINDACORP</t>
        </is>
      </c>
      <c r="B98" s="31" t="inlineStr">
        <is>
          <t>Minda Corporation Limited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midcap</t>
        </is>
      </c>
      <c r="F98" s="31" t="n">
        <v>17336.84</v>
      </c>
      <c r="G98" s="31" t="n">
        <v>745.25</v>
      </c>
      <c r="H98" s="31" t="n">
        <v>2.77</v>
      </c>
      <c r="I98" s="31" t="n">
        <v>1637223</v>
      </c>
      <c r="J98" s="31" t="inlineStr">
        <is>
          <t>538962</t>
        </is>
      </c>
    </row>
    <row r="99">
      <c r="A99" s="31" t="inlineStr">
        <is>
          <t>NETWEB</t>
        </is>
      </c>
      <c r="B99" s="31" t="inlineStr">
        <is>
          <t>Netweb Technologies India Ltd</t>
        </is>
      </c>
      <c r="C99" s="31" t="inlineStr">
        <is>
          <t>i.t</t>
        </is>
      </c>
      <c r="D99" s="31" t="inlineStr">
        <is>
          <t>computers - hardware</t>
        </is>
      </c>
      <c r="E99" s="31" t="inlineStr">
        <is>
          <t>largecap</t>
        </is>
      </c>
      <c r="F99" s="31" t="n">
        <v>29679.76</v>
      </c>
      <c r="G99" s="31" t="n">
        <v>5354.5</v>
      </c>
      <c r="H99" s="31" t="n">
        <v>2.73</v>
      </c>
      <c r="I99" s="31" t="n">
        <v>2395703</v>
      </c>
      <c r="J99" s="31" t="inlineStr">
        <is>
          <t>543945</t>
        </is>
      </c>
    </row>
    <row r="100">
      <c r="A100" s="31" t="inlineStr">
        <is>
          <t>SANGHVIMOV</t>
        </is>
      </c>
      <c r="B100" s="31" t="inlineStr">
        <is>
          <t>Sanghvi Movers Limited</t>
        </is>
      </c>
      <c r="C100" s="31" t="inlineStr">
        <is>
          <t>miscellaneous</t>
        </is>
      </c>
      <c r="D100" s="31" t="inlineStr">
        <is>
          <t>miscellaneous</t>
        </is>
      </c>
      <c r="E100" s="31" t="inlineStr">
        <is>
          <t>smallcap</t>
        </is>
      </c>
      <c r="F100" s="31" t="n">
        <v>4388.97</v>
      </c>
      <c r="G100" s="31" t="n">
        <v>520.75</v>
      </c>
      <c r="H100" s="31" t="n">
        <v>2.72</v>
      </c>
      <c r="I100" s="31" t="n">
        <v>312176</v>
      </c>
      <c r="J100" s="31" t="inlineStr">
        <is>
          <t>530073</t>
        </is>
      </c>
    </row>
    <row r="101">
      <c r="A101" s="31" t="inlineStr">
        <is>
          <t>LLOYDSENGG</t>
        </is>
      </c>
      <c r="B101" s="31" t="inlineStr">
        <is>
          <t>Lloyds Engineering Works Ltd</t>
        </is>
      </c>
      <c r="C101" s="31" t="inlineStr">
        <is>
          <t>industrials</t>
        </is>
      </c>
      <c r="D101" s="31" t="inlineStr">
        <is>
          <t>engineering</t>
        </is>
      </c>
      <c r="E101" s="31" t="inlineStr">
        <is>
          <t>midcap</t>
        </is>
      </c>
      <c r="F101" s="31" t="n">
        <v>13501.78</v>
      </c>
      <c r="G101" s="31" t="n">
        <v>93.66</v>
      </c>
      <c r="H101" s="31" t="n">
        <v>2.69</v>
      </c>
      <c r="I101" s="31" t="n">
        <v>10766493</v>
      </c>
      <c r="J101" s="31" t="inlineStr">
        <is>
          <t>539992</t>
        </is>
      </c>
    </row>
    <row r="102">
      <c r="A102" s="31" t="inlineStr">
        <is>
          <t>MARINE</t>
        </is>
      </c>
      <c r="B102" s="31" t="inlineStr">
        <is>
          <t>Marine Electricals (India) Ltd</t>
        </is>
      </c>
      <c r="C102" s="31" t="inlineStr">
        <is>
          <t>industrials</t>
        </is>
      </c>
      <c r="D102" s="31" t="inlineStr">
        <is>
          <t>electric equipment</t>
        </is>
      </c>
      <c r="E102" s="31" t="inlineStr">
        <is>
          <t>midcap</t>
        </is>
      </c>
      <c r="F102" s="31" t="n">
        <v>5137.36</v>
      </c>
      <c r="G102" s="31" t="n">
        <v>376.8</v>
      </c>
      <c r="H102" s="31" t="n">
        <v>2.64</v>
      </c>
      <c r="I102" s="31" t="n">
        <v>813579</v>
      </c>
      <c r="J102" s="31" t="inlineStr">
        <is>
          <t>535119</t>
        </is>
      </c>
    </row>
    <row r="103">
      <c r="A103" s="31" t="inlineStr">
        <is>
          <t>SMARTWORKS</t>
        </is>
      </c>
      <c r="B103" s="31" t="inlineStr">
        <is>
          <t>Smartworks Coworking Spaces Ltd</t>
        </is>
      </c>
      <c r="C103" s="31" t="inlineStr">
        <is>
          <t>co-working</t>
        </is>
      </c>
      <c r="D103" s="31" t="inlineStr">
        <is>
          <t>miscellaneous</t>
        </is>
      </c>
      <c r="E103" s="31" t="inlineStr">
        <is>
          <t>midcap</t>
        </is>
      </c>
      <c r="F103" s="31" t="n">
        <v>5655.4</v>
      </c>
      <c r="G103" s="31" t="n">
        <v>507.75</v>
      </c>
      <c r="H103" s="31" t="n">
        <v>2.59</v>
      </c>
      <c r="I103" s="31" t="n">
        <v>140042</v>
      </c>
      <c r="J103" s="31" t="inlineStr">
        <is>
          <t>544447</t>
        </is>
      </c>
    </row>
    <row r="104">
      <c r="A104" s="31" t="inlineStr">
        <is>
          <t>UTTAMSUGAR</t>
        </is>
      </c>
      <c r="B104" s="31" t="inlineStr">
        <is>
          <t>Uttam Sugar Mills Limited</t>
        </is>
      </c>
      <c r="C104" s="31" t="inlineStr">
        <is>
          <t>fmcg</t>
        </is>
      </c>
      <c r="D104" s="31" t="inlineStr">
        <is>
          <t>sugar</t>
        </is>
      </c>
      <c r="E104" s="31" t="inlineStr">
        <is>
          <t>smallcap</t>
        </is>
      </c>
      <c r="F104" s="31" t="n">
        <v>1079.31</v>
      </c>
      <c r="G104" s="31" t="n">
        <v>290.32</v>
      </c>
      <c r="H104" s="31" t="n">
        <v>2.59</v>
      </c>
      <c r="I104" s="31" t="n">
        <v>559831</v>
      </c>
      <c r="J104" s="31" t="inlineStr">
        <is>
          <t>532729</t>
        </is>
      </c>
    </row>
    <row r="105">
      <c r="A105" s="31" t="inlineStr">
        <is>
          <t>NEOGEN</t>
        </is>
      </c>
      <c r="B105" s="31" t="inlineStr">
        <is>
          <t>Neogen Chemicals Ltd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midcap</t>
        </is>
      </c>
      <c r="F105" s="31" t="n">
        <v>6215.91</v>
      </c>
      <c r="G105" s="31" t="n">
        <v>2328.5</v>
      </c>
      <c r="H105" s="31" t="n">
        <v>2.57</v>
      </c>
      <c r="I105" s="31" t="n">
        <v>1415053</v>
      </c>
      <c r="J105" s="31" t="inlineStr">
        <is>
          <t>542665</t>
        </is>
      </c>
    </row>
    <row r="106">
      <c r="A106" s="31" t="inlineStr">
        <is>
          <t>HARSHA</t>
        </is>
      </c>
      <c r="B106" s="31" t="inlineStr">
        <is>
          <t>Harsha Engineers International Ltd</t>
        </is>
      </c>
      <c r="C106" s="31" t="inlineStr">
        <is>
          <t>industrials</t>
        </is>
      </c>
      <c r="D106" s="31" t="inlineStr">
        <is>
          <t>engineering</t>
        </is>
      </c>
      <c r="E106" s="31" t="inlineStr">
        <is>
          <t>smallcap</t>
        </is>
      </c>
      <c r="F106" s="31" t="n">
        <v>3874.84</v>
      </c>
      <c r="G106" s="31" t="n">
        <v>436.4</v>
      </c>
      <c r="H106" s="31" t="n">
        <v>2.54</v>
      </c>
      <c r="I106" s="31" t="n">
        <v>224480</v>
      </c>
      <c r="J106" s="31" t="inlineStr">
        <is>
          <t>543600</t>
        </is>
      </c>
    </row>
    <row r="107">
      <c r="A107" s="31" t="inlineStr">
        <is>
          <t>UFBL</t>
        </is>
      </c>
      <c r="B107" s="31" t="inlineStr">
        <is>
          <t>United Foodbrands Ltd</t>
        </is>
      </c>
      <c r="C107" s="31" t="inlineStr">
        <is>
          <t>consumer discretionary</t>
        </is>
      </c>
      <c r="D107" s="31" t="inlineStr">
        <is>
          <t>hotels</t>
        </is>
      </c>
      <c r="E107" s="31" t="inlineStr">
        <is>
          <t>smallcap</t>
        </is>
      </c>
      <c r="F107" s="31" t="n">
        <v>2980.73</v>
      </c>
      <c r="G107" s="31" t="n">
        <v>782</v>
      </c>
      <c r="H107" s="31" t="n">
        <v>2.54</v>
      </c>
      <c r="I107" s="31" t="n">
        <v>34475</v>
      </c>
      <c r="J107" s="31" t="inlineStr">
        <is>
          <t>543283</t>
        </is>
      </c>
    </row>
    <row r="108">
      <c r="A108" s="31" t="inlineStr">
        <is>
          <t>RGL</t>
        </is>
      </c>
      <c r="B108" s="31" t="inlineStr">
        <is>
          <t>Renaissance Global Ltd</t>
        </is>
      </c>
      <c r="C108" s="31" t="inlineStr">
        <is>
          <t>consumer discretionary</t>
        </is>
      </c>
      <c r="D108" s="31" t="inlineStr">
        <is>
          <t>diamond cutting / jewellery</t>
        </is>
      </c>
      <c r="E108" s="31" t="inlineStr">
        <is>
          <t>smallcap</t>
        </is>
      </c>
      <c r="F108" s="31" t="n">
        <v>1308.82</v>
      </c>
      <c r="G108" s="31" t="n">
        <v>124.9</v>
      </c>
      <c r="H108" s="31" t="n">
        <v>2.46</v>
      </c>
      <c r="I108" s="31" t="n">
        <v>434403</v>
      </c>
      <c r="J108" s="31" t="inlineStr">
        <is>
          <t>532923</t>
        </is>
      </c>
    </row>
    <row r="109">
      <c r="A109" s="31" t="inlineStr">
        <is>
          <t>TDPOWERSYS</t>
        </is>
      </c>
      <c r="B109" s="31" t="inlineStr">
        <is>
          <t>Td Power Systems Limited</t>
        </is>
      </c>
      <c r="C109" s="31" t="inlineStr">
        <is>
          <t>industrials</t>
        </is>
      </c>
      <c r="D109" s="31" t="inlineStr">
        <is>
          <t>electric equipment</t>
        </is>
      </c>
      <c r="E109" s="31" t="inlineStr">
        <is>
          <t>largecap</t>
        </is>
      </c>
      <c r="F109" s="31" t="n">
        <v>24196.66</v>
      </c>
      <c r="G109" s="31" t="n">
        <v>1586.6</v>
      </c>
      <c r="H109" s="31" t="n">
        <v>2.44</v>
      </c>
      <c r="I109" s="31" t="n">
        <v>1797899</v>
      </c>
      <c r="J109" s="31" t="inlineStr">
        <is>
          <t>533553</t>
        </is>
      </c>
    </row>
    <row r="110">
      <c r="A110" s="31" t="inlineStr">
        <is>
          <t>SKYGOLD</t>
        </is>
      </c>
      <c r="B110" s="31" t="inlineStr">
        <is>
          <t>Sky Gold Ltd</t>
        </is>
      </c>
      <c r="C110" s="31" t="inlineStr">
        <is>
          <t>consumer discretionary</t>
        </is>
      </c>
      <c r="D110" s="31" t="inlineStr">
        <is>
          <t>diamond cutting / jewellery</t>
        </is>
      </c>
      <c r="E110" s="31" t="inlineStr">
        <is>
          <t>midcap</t>
        </is>
      </c>
      <c r="F110" s="31" t="n">
        <v>12024.41</v>
      </c>
      <c r="G110" s="31" t="n">
        <v>795.05</v>
      </c>
      <c r="H110" s="31" t="n">
        <v>2.4</v>
      </c>
      <c r="I110" s="31" t="n">
        <v>703295</v>
      </c>
      <c r="J110" s="31" t="inlineStr">
        <is>
          <t>541967</t>
        </is>
      </c>
    </row>
    <row r="111">
      <c r="A111" s="31" t="inlineStr">
        <is>
          <t>KAPSTON</t>
        </is>
      </c>
      <c r="B111" s="31" t="inlineStr">
        <is>
          <t>Kapston Services Ltd</t>
        </is>
      </c>
      <c r="C111" s="31" t="inlineStr">
        <is>
          <t>miscellaneous</t>
        </is>
      </c>
      <c r="D111" s="31" t="inlineStr">
        <is>
          <t>miscellaneous</t>
        </is>
      </c>
      <c r="E111" s="31" t="inlineStr">
        <is>
          <t>smallcap</t>
        </is>
      </c>
      <c r="F111" s="31" t="n">
        <v>1590.69</v>
      </c>
      <c r="G111" s="31" t="n">
        <v>535</v>
      </c>
      <c r="H111" s="31" t="n">
        <v>2.35</v>
      </c>
      <c r="I111" s="31" t="n">
        <v>93251</v>
      </c>
      <c r="J111" s="31" t="inlineStr">
        <is>
          <t>535064</t>
        </is>
      </c>
    </row>
    <row r="112">
      <c r="A112" s="31" t="inlineStr">
        <is>
          <t>SONACOMS</t>
        </is>
      </c>
      <c r="B112" s="31" t="inlineStr">
        <is>
          <t>Sona BLW Precision Forgings Ltd</t>
        </is>
      </c>
      <c r="C112" s="31" t="inlineStr">
        <is>
          <t>auto</t>
        </is>
      </c>
      <c r="D112" s="31" t="inlineStr">
        <is>
          <t>auto ancillaries</t>
        </is>
      </c>
      <c r="E112" s="31" t="inlineStr">
        <is>
          <t>largecap</t>
        </is>
      </c>
      <c r="F112" s="31" t="n">
        <v>50080.02</v>
      </c>
      <c r="G112" s="31" t="n">
        <v>824</v>
      </c>
      <c r="H112" s="31" t="n">
        <v>2.35</v>
      </c>
      <c r="I112" s="31" t="n">
        <v>5674095</v>
      </c>
      <c r="J112" s="31" t="inlineStr">
        <is>
          <t>543300</t>
        </is>
      </c>
    </row>
    <row r="113">
      <c r="A113" s="31" t="inlineStr">
        <is>
          <t>MANINDS</t>
        </is>
      </c>
      <c r="B113" s="31" t="inlineStr">
        <is>
          <t>Man Industries (india) Limited</t>
        </is>
      </c>
      <c r="C113" s="31" t="inlineStr">
        <is>
          <t>metals &amp; mining</t>
        </is>
      </c>
      <c r="D113" s="31" t="inlineStr">
        <is>
          <t>steel - medium / small</t>
        </is>
      </c>
      <c r="E113" s="31" t="inlineStr">
        <is>
          <t>smallcap</t>
        </is>
      </c>
      <c r="F113" s="31" t="n">
        <v>4728.23</v>
      </c>
      <c r="G113" s="31" t="n">
        <v>645.15</v>
      </c>
      <c r="H113" s="31" t="n">
        <v>2.35</v>
      </c>
      <c r="I113" s="31" t="n">
        <v>768808</v>
      </c>
      <c r="J113" s="31" t="inlineStr">
        <is>
          <t>513269</t>
        </is>
      </c>
    </row>
    <row r="114">
      <c r="A114" s="31" t="inlineStr">
        <is>
          <t>MANAKSTEEL</t>
        </is>
      </c>
      <c r="B114" s="31" t="inlineStr">
        <is>
          <t>Manaksia Steels Limited</t>
        </is>
      </c>
      <c r="C114" s="31" t="inlineStr">
        <is>
          <t>metals &amp; mining</t>
        </is>
      </c>
      <c r="D114" s="31" t="inlineStr">
        <is>
          <t>steel - medium / small</t>
        </is>
      </c>
      <c r="E114" s="31" t="inlineStr">
        <is>
          <t>smallcap</t>
        </is>
      </c>
      <c r="F114" s="31" t="n">
        <v>557.24</v>
      </c>
      <c r="G114" s="31" t="n">
        <v>87</v>
      </c>
      <c r="H114" s="31" t="n">
        <v>2.32</v>
      </c>
      <c r="I114" s="31" t="n">
        <v>51526</v>
      </c>
      <c r="J114" s="31" t="inlineStr">
        <is>
          <t>539044</t>
        </is>
      </c>
    </row>
    <row r="115">
      <c r="A115" s="31" t="inlineStr">
        <is>
          <t>SICALLOG</t>
        </is>
      </c>
      <c r="B115" s="31" t="inlineStr">
        <is>
          <t>Sical Logistics Ltd</t>
        </is>
      </c>
      <c r="C115" s="31" t="inlineStr">
        <is>
          <t>transportation</t>
        </is>
      </c>
      <c r="D115" s="31" t="inlineStr">
        <is>
          <t>miscellaneous</t>
        </is>
      </c>
      <c r="E115" s="31" t="inlineStr">
        <is>
          <t>smallcap</t>
        </is>
      </c>
      <c r="F115" s="31" t="n">
        <v>877.23</v>
      </c>
      <c r="G115" s="31" t="n">
        <v>112.49</v>
      </c>
      <c r="H115" s="31" t="n">
        <v>2.31</v>
      </c>
      <c r="I115" s="31" t="n">
        <v>21547</v>
      </c>
      <c r="J115" s="31" t="inlineStr">
        <is>
          <t>520086</t>
        </is>
      </c>
    </row>
    <row r="116">
      <c r="A116" s="31" t="inlineStr">
        <is>
          <t>SYNCOMF</t>
        </is>
      </c>
      <c r="B116" s="31" t="inlineStr">
        <is>
          <t>Syncom Formulations (India) Ltd</t>
        </is>
      </c>
      <c r="C116" s="31" t="inlineStr">
        <is>
          <t>healthcare</t>
        </is>
      </c>
      <c r="D116" s="31" t="inlineStr">
        <is>
          <t>pharmaceuticals - indian - bulk drugs &amp; formln</t>
        </is>
      </c>
      <c r="E116" s="31" t="inlineStr">
        <is>
          <t>smallcap</t>
        </is>
      </c>
      <c r="F116" s="31" t="n">
        <v>1430.68</v>
      </c>
      <c r="G116" s="31" t="n">
        <v>15.57</v>
      </c>
      <c r="H116" s="31" t="n">
        <v>2.3</v>
      </c>
      <c r="I116" s="31" t="n">
        <v>5350211</v>
      </c>
      <c r="J116" s="31" t="inlineStr">
        <is>
          <t>524470</t>
        </is>
      </c>
    </row>
    <row r="117">
      <c r="A117" s="31" t="inlineStr">
        <is>
          <t>GOKULAGRO</t>
        </is>
      </c>
      <c r="B117" s="31" t="inlineStr">
        <is>
          <t>Gokul Agro Resources Limited</t>
        </is>
      </c>
      <c r="C117" s="31" t="inlineStr">
        <is>
          <t>fmcg</t>
        </is>
      </c>
      <c r="D117" s="31" t="inlineStr">
        <is>
          <t>solvent extraction</t>
        </is>
      </c>
      <c r="E117" s="31" t="inlineStr">
        <is>
          <t>midcap</t>
        </is>
      </c>
      <c r="F117" s="31" t="n">
        <v>6835.98</v>
      </c>
      <c r="G117" s="31" t="n">
        <v>236.92</v>
      </c>
      <c r="H117" s="31" t="n">
        <v>2.27</v>
      </c>
      <c r="I117" s="31" t="n">
        <v>319717</v>
      </c>
      <c r="J117" s="31" t="inlineStr">
        <is>
          <t>539725</t>
        </is>
      </c>
    </row>
    <row r="118">
      <c r="A118" s="31" t="inlineStr">
        <is>
          <t>WSTCSTPAPR</t>
        </is>
      </c>
      <c r="B118" s="31" t="inlineStr">
        <is>
          <t>West Coast Paper Mills Limited</t>
        </is>
      </c>
      <c r="C118" s="31" t="inlineStr">
        <is>
          <t>building materials</t>
        </is>
      </c>
      <c r="D118" s="31" t="inlineStr">
        <is>
          <t>paper</t>
        </is>
      </c>
      <c r="E118" s="31" t="inlineStr">
        <is>
          <t>smallcap</t>
        </is>
      </c>
      <c r="F118" s="31" t="n">
        <v>3999.26</v>
      </c>
      <c r="G118" s="31" t="n">
        <v>619.2</v>
      </c>
      <c r="H118" s="31" t="n">
        <v>2.26</v>
      </c>
      <c r="I118" s="31" t="n">
        <v>365686</v>
      </c>
      <c r="J118" s="31" t="inlineStr">
        <is>
          <t>500444</t>
        </is>
      </c>
    </row>
    <row r="119">
      <c r="A119" s="31" t="inlineStr">
        <is>
          <t>DIACABS</t>
        </is>
      </c>
      <c r="B119" s="31" t="inlineStr">
        <is>
          <t>Diamond Power Infrastructure Ltd</t>
        </is>
      </c>
      <c r="C119" s="31" t="inlineStr">
        <is>
          <t>industrials</t>
        </is>
      </c>
      <c r="D119" s="31" t="inlineStr">
        <is>
          <t>cables - power</t>
        </is>
      </c>
      <c r="E119" s="31" t="inlineStr">
        <is>
          <t>midcap</t>
        </is>
      </c>
      <c r="F119" s="31" t="n">
        <v>18965.69</v>
      </c>
      <c r="G119" s="31" t="n">
        <v>367.95</v>
      </c>
      <c r="H119" s="31" t="n">
        <v>2.24</v>
      </c>
      <c r="I119" s="31" t="n">
        <v>1175490</v>
      </c>
      <c r="J119" s="31" t="inlineStr">
        <is>
          <t>522163</t>
        </is>
      </c>
    </row>
    <row r="120">
      <c r="A120" s="31" t="inlineStr">
        <is>
          <t>BECTORFOOD</t>
        </is>
      </c>
      <c r="B120" s="31" t="inlineStr">
        <is>
          <t>Mrs Bectors Food Specialities Ltd</t>
        </is>
      </c>
      <c r="C120" s="31" t="inlineStr">
        <is>
          <t>fmcg</t>
        </is>
      </c>
      <c r="D120" s="31" t="inlineStr">
        <is>
          <t>food - processing - indian</t>
        </is>
      </c>
      <c r="E120" s="31" t="inlineStr">
        <is>
          <t>midcap</t>
        </is>
      </c>
      <c r="F120" s="31" t="n">
        <v>7837.47</v>
      </c>
      <c r="G120" s="31" t="n">
        <v>260.92</v>
      </c>
      <c r="H120" s="31" t="n">
        <v>2.2</v>
      </c>
      <c r="I120" s="31" t="n">
        <v>2984615</v>
      </c>
      <c r="J120" s="31" t="inlineStr">
        <is>
          <t>543253</t>
        </is>
      </c>
    </row>
    <row r="121">
      <c r="A121" s="31" t="inlineStr">
        <is>
          <t>LTFOODS</t>
        </is>
      </c>
      <c r="B121" s="31" t="inlineStr">
        <is>
          <t>L T Foods Ltd</t>
        </is>
      </c>
      <c r="C121" s="31" t="inlineStr">
        <is>
          <t>fmcg</t>
        </is>
      </c>
      <c r="D121" s="31" t="inlineStr">
        <is>
          <t>food - processing - indian</t>
        </is>
      </c>
      <c r="E121" s="31" t="inlineStr">
        <is>
          <t>midcap</t>
        </is>
      </c>
      <c r="F121" s="31" t="n">
        <v>14485.66</v>
      </c>
      <c r="G121" s="31" t="n">
        <v>426.3</v>
      </c>
      <c r="H121" s="31" t="n">
        <v>2.19</v>
      </c>
      <c r="I121" s="31" t="n">
        <v>512273</v>
      </c>
      <c r="J121" s="31" t="inlineStr">
        <is>
          <t>532783</t>
        </is>
      </c>
    </row>
    <row r="122">
      <c r="A122" s="31" t="inlineStr">
        <is>
          <t>SYRMA</t>
        </is>
      </c>
      <c r="B122" s="31" t="inlineStr">
        <is>
          <t>Syrma SGS Technology Ltd</t>
        </is>
      </c>
      <c r="C122" s="31" t="inlineStr">
        <is>
          <t>consumer discretionary</t>
        </is>
      </c>
      <c r="D122" s="31" t="inlineStr">
        <is>
          <t>electronics - components</t>
        </is>
      </c>
      <c r="E122" s="31" t="inlineStr">
        <is>
          <t>largecap</t>
        </is>
      </c>
      <c r="F122" s="31" t="n">
        <v>28305.59</v>
      </c>
      <c r="G122" s="31" t="n">
        <v>1500.1</v>
      </c>
      <c r="H122" s="31" t="n">
        <v>2.19</v>
      </c>
      <c r="I122" s="31" t="n">
        <v>2323890</v>
      </c>
      <c r="J122" s="31" t="inlineStr">
        <is>
          <t>543573</t>
        </is>
      </c>
    </row>
    <row r="123">
      <c r="A123" s="31" t="inlineStr">
        <is>
          <t>MIDHANI</t>
        </is>
      </c>
      <c r="B123" s="31" t="inlineStr">
        <is>
          <t>Mishra Dhatu Nigam Ltd</t>
        </is>
      </c>
      <c r="C123" s="31" t="inlineStr">
        <is>
          <t>aerospace &amp; defence</t>
        </is>
      </c>
      <c r="D123" s="31" t="inlineStr">
        <is>
          <t>steel - medium / small</t>
        </is>
      </c>
      <c r="E123" s="31" t="inlineStr">
        <is>
          <t>midcap</t>
        </is>
      </c>
      <c r="F123" s="31" t="n">
        <v>8029.39</v>
      </c>
      <c r="G123" s="31" t="n">
        <v>437.5</v>
      </c>
      <c r="H123" s="31" t="n">
        <v>2.08</v>
      </c>
      <c r="I123" s="31" t="n">
        <v>1545292</v>
      </c>
      <c r="J123" s="31" t="inlineStr">
        <is>
          <t>541195</t>
        </is>
      </c>
    </row>
    <row r="124">
      <c r="A124" s="31" t="inlineStr">
        <is>
          <t>PANACHE</t>
        </is>
      </c>
      <c r="B124" s="31" t="inlineStr">
        <is>
          <t>Panache Digilife Ltd</t>
        </is>
      </c>
      <c r="C124" s="31" t="inlineStr">
        <is>
          <t>i.t</t>
        </is>
      </c>
      <c r="D124" s="31" t="inlineStr">
        <is>
          <t>computers - hardware</t>
        </is>
      </c>
      <c r="E124" s="31" t="inlineStr">
        <is>
          <t>smallcap</t>
        </is>
      </c>
      <c r="F124" s="31" t="n">
        <v>865.8</v>
      </c>
      <c r="G124" s="31" t="n">
        <v>551.8</v>
      </c>
      <c r="H124" s="31" t="n">
        <v>2.06</v>
      </c>
      <c r="I124" s="31" t="n">
        <v>8922</v>
      </c>
      <c r="J124" s="31" t="inlineStr">
        <is>
          <t>538424</t>
        </is>
      </c>
    </row>
    <row r="125">
      <c r="A125" s="31" t="inlineStr">
        <is>
          <t>SUVEN</t>
        </is>
      </c>
      <c r="B125" s="31" t="inlineStr">
        <is>
          <t>Suven Life Sciences Limited</t>
        </is>
      </c>
      <c r="C125" s="31" t="inlineStr">
        <is>
          <t>healthcare</t>
        </is>
      </c>
      <c r="D125" s="31" t="inlineStr">
        <is>
          <t>miscellaneous</t>
        </is>
      </c>
      <c r="E125" s="31" t="inlineStr">
        <is>
          <t>smallcap</t>
        </is>
      </c>
      <c r="F125" s="31" t="n">
        <v>643.41</v>
      </c>
      <c r="G125" s="31" t="n">
        <v>339.9</v>
      </c>
      <c r="H125" s="31" t="n">
        <v>2.06</v>
      </c>
      <c r="I125" s="31" t="n">
        <v>572993</v>
      </c>
      <c r="J125" s="31" t="inlineStr">
        <is>
          <t>530239</t>
        </is>
      </c>
    </row>
    <row r="126">
      <c r="A126" s="31" t="inlineStr">
        <is>
          <t>NILKAMAL</t>
        </is>
      </c>
      <c r="B126" s="31" t="inlineStr">
        <is>
          <t>Nilkamal Limited</t>
        </is>
      </c>
      <c r="C126" s="31" t="inlineStr">
        <is>
          <t>plastic products</t>
        </is>
      </c>
      <c r="D126" s="31" t="inlineStr">
        <is>
          <t>plastics products</t>
        </is>
      </c>
      <c r="E126" s="31" t="inlineStr">
        <is>
          <t>smallcap</t>
        </is>
      </c>
      <c r="F126" s="31" t="n">
        <v>2700.98</v>
      </c>
      <c r="G126" s="31" t="n">
        <v>1846.7</v>
      </c>
      <c r="H126" s="31" t="n">
        <v>2.03</v>
      </c>
      <c r="I126" s="31" t="n">
        <v>37403</v>
      </c>
      <c r="J126" s="31" t="inlineStr">
        <is>
          <t>523385</t>
        </is>
      </c>
    </row>
    <row r="127">
      <c r="A127" s="31" t="inlineStr">
        <is>
          <t>MEDANTA</t>
        </is>
      </c>
      <c r="B127" s="31" t="inlineStr">
        <is>
          <t>Global Health Ltd</t>
        </is>
      </c>
      <c r="C127" s="31" t="inlineStr">
        <is>
          <t>healthcare</t>
        </is>
      </c>
      <c r="D127" s="31" t="inlineStr">
        <is>
          <t>healthcare</t>
        </is>
      </c>
      <c r="E127" s="31" t="inlineStr">
        <is>
          <t>largecap</t>
        </is>
      </c>
      <c r="F127" s="31" t="n">
        <v>38048.05</v>
      </c>
      <c r="G127" s="31" t="n">
        <v>1442.7</v>
      </c>
      <c r="H127" s="31" t="n">
        <v>1.95</v>
      </c>
      <c r="I127" s="31" t="n">
        <v>309148</v>
      </c>
      <c r="J127" s="31" t="inlineStr">
        <is>
          <t>543654</t>
        </is>
      </c>
    </row>
    <row r="128">
      <c r="A128" s="31" t="inlineStr">
        <is>
          <t>PRINCEPIPE</t>
        </is>
      </c>
      <c r="B128" s="31" t="inlineStr">
        <is>
          <t>Prince Pipes &amp; Fittings Ltd</t>
        </is>
      </c>
      <c r="C128" s="31" t="inlineStr">
        <is>
          <t>plastic products</t>
        </is>
      </c>
      <c r="D128" s="31" t="inlineStr">
        <is>
          <t>plastics products</t>
        </is>
      </c>
      <c r="E128" s="31" t="inlineStr">
        <is>
          <t>smallcap</t>
        </is>
      </c>
      <c r="F128" s="31" t="n">
        <v>3142.7</v>
      </c>
      <c r="G128" s="31" t="n">
        <v>289.75</v>
      </c>
      <c r="H128" s="31" t="n">
        <v>1.93</v>
      </c>
      <c r="I128" s="31" t="n">
        <v>278635</v>
      </c>
      <c r="J128" s="31" t="inlineStr">
        <is>
          <t>542907</t>
        </is>
      </c>
    </row>
    <row r="129">
      <c r="A129" s="31" t="inlineStr">
        <is>
          <t>ENGINERSIN</t>
        </is>
      </c>
      <c r="B129" s="31" t="inlineStr">
        <is>
          <t>Engineers India Limited</t>
        </is>
      </c>
      <c r="C129" s="31" t="inlineStr">
        <is>
          <t>realty</t>
        </is>
      </c>
      <c r="D129" s="31" t="inlineStr">
        <is>
          <t>engineering - turnkey services</t>
        </is>
      </c>
      <c r="E129" s="31" t="inlineStr">
        <is>
          <t>midcap</t>
        </is>
      </c>
      <c r="F129" s="31" t="n">
        <v>13499.13</v>
      </c>
      <c r="G129" s="31" t="n">
        <v>244.78</v>
      </c>
      <c r="H129" s="31" t="n">
        <v>1.92</v>
      </c>
      <c r="I129" s="31" t="n">
        <v>2435817</v>
      </c>
      <c r="J129" s="31" t="inlineStr">
        <is>
          <t>532178</t>
        </is>
      </c>
    </row>
    <row r="130">
      <c r="A130" s="31" t="inlineStr">
        <is>
          <t>SAILIFE</t>
        </is>
      </c>
      <c r="B130" s="31" t="inlineStr">
        <is>
          <t>Sai Life Sciences Ltd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30068.19</v>
      </c>
      <c r="G130" s="31" t="n">
        <v>1443.4</v>
      </c>
      <c r="H130" s="31" t="n">
        <v>1.91</v>
      </c>
      <c r="I130" s="31" t="n">
        <v>450788</v>
      </c>
      <c r="J130" s="31" t="inlineStr">
        <is>
          <t>544306</t>
        </is>
      </c>
    </row>
    <row r="131">
      <c r="A131" s="31" t="inlineStr">
        <is>
          <t>WELCORP</t>
        </is>
      </c>
      <c r="B131" s="31" t="inlineStr">
        <is>
          <t>Welspun Corp Limited</t>
        </is>
      </c>
      <c r="C131" s="31" t="inlineStr">
        <is>
          <t>industrials</t>
        </is>
      </c>
      <c r="D131" s="31" t="inlineStr">
        <is>
          <t>steel - large</t>
        </is>
      </c>
      <c r="E131" s="31" t="inlineStr">
        <is>
          <t>largecap</t>
        </is>
      </c>
      <c r="F131" s="31" t="n">
        <v>49645.4</v>
      </c>
      <c r="G131" s="31" t="n">
        <v>1917.1</v>
      </c>
      <c r="H131" s="31" t="n">
        <v>1.87</v>
      </c>
      <c r="I131" s="31" t="n">
        <v>712596</v>
      </c>
      <c r="J131" s="31" t="inlineStr">
        <is>
          <t>532144</t>
        </is>
      </c>
    </row>
    <row r="132">
      <c r="A132" s="31" t="inlineStr">
        <is>
          <t>SSWL</t>
        </is>
      </c>
      <c r="B132" s="31" t="inlineStr">
        <is>
          <t>Steel Strips Wheels Limited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smallcap</t>
        </is>
      </c>
      <c r="F132" s="31" t="n">
        <v>4864.73</v>
      </c>
      <c r="G132" s="31" t="n">
        <v>315.25</v>
      </c>
      <c r="H132" s="31" t="n">
        <v>1.86</v>
      </c>
      <c r="I132" s="31" t="n">
        <v>504291</v>
      </c>
      <c r="J132" s="31" t="inlineStr">
        <is>
          <t>513262</t>
        </is>
      </c>
    </row>
    <row r="133">
      <c r="A133" s="31" t="inlineStr">
        <is>
          <t>BOSCH-HCIL</t>
        </is>
      </c>
      <c r="B133" s="31" t="inlineStr">
        <is>
          <t>Bosch Home Comfort India Ltd</t>
        </is>
      </c>
      <c r="C133" s="31" t="inlineStr">
        <is>
          <t>consumer discretionary</t>
        </is>
      </c>
      <c r="D133" s="31" t="inlineStr">
        <is>
          <t>air-conditioners</t>
        </is>
      </c>
      <c r="E133" s="31" t="inlineStr">
        <is>
          <t>smallcap</t>
        </is>
      </c>
      <c r="F133" s="31" t="n">
        <v>4623.54</v>
      </c>
      <c r="G133" s="31" t="n">
        <v>1732</v>
      </c>
      <c r="H133" s="31" t="n">
        <v>1.86</v>
      </c>
      <c r="I133" s="31" t="n">
        <v>77451</v>
      </c>
      <c r="J133" s="31" t="inlineStr">
        <is>
          <t>523398</t>
        </is>
      </c>
    </row>
    <row r="134">
      <c r="A134" s="31" t="inlineStr">
        <is>
          <t>ARIES</t>
        </is>
      </c>
      <c r="B134" s="31" t="inlineStr">
        <is>
          <t>Aries Agro Limited</t>
        </is>
      </c>
      <c r="C134" s="31" t="inlineStr">
        <is>
          <t>chemicals</t>
        </is>
      </c>
      <c r="D134" s="31" t="inlineStr">
        <is>
          <t>fertilizers</t>
        </is>
      </c>
      <c r="E134" s="31" t="inlineStr">
        <is>
          <t>smallcap</t>
        </is>
      </c>
      <c r="F134" s="31" t="n">
        <v>565.23</v>
      </c>
      <c r="G134" s="31" t="n">
        <v>442.7</v>
      </c>
      <c r="H134" s="31" t="n">
        <v>1.85</v>
      </c>
      <c r="I134" s="31" t="n">
        <v>175439</v>
      </c>
      <c r="J134" s="31" t="inlineStr">
        <is>
          <t>532935</t>
        </is>
      </c>
    </row>
    <row r="135">
      <c r="A135" s="31" t="inlineStr">
        <is>
          <t>EMAMIPAP</t>
        </is>
      </c>
      <c r="B135" s="31" t="inlineStr">
        <is>
          <t>Emami Paper Mills Ltd</t>
        </is>
      </c>
      <c r="C135" s="31" t="inlineStr">
        <is>
          <t>building materials</t>
        </is>
      </c>
      <c r="D135" s="31" t="inlineStr">
        <is>
          <t>paper</t>
        </is>
      </c>
      <c r="E135" s="31" t="inlineStr">
        <is>
          <t>smallcap</t>
        </is>
      </c>
      <c r="F135" s="31" t="n">
        <v>689.14</v>
      </c>
      <c r="G135" s="31" t="n">
        <v>116</v>
      </c>
      <c r="H135" s="31" t="n">
        <v>1.83</v>
      </c>
      <c r="I135" s="31" t="n">
        <v>59060</v>
      </c>
      <c r="J135" s="31" t="inlineStr">
        <is>
          <t>533208</t>
        </is>
      </c>
    </row>
    <row r="136">
      <c r="A136" s="31" t="inlineStr">
        <is>
          <t>AETHER</t>
        </is>
      </c>
      <c r="B136" s="31" t="inlineStr">
        <is>
          <t>Aether Industries Ltd</t>
        </is>
      </c>
      <c r="C136" s="31" t="inlineStr">
        <is>
          <t>chemicals</t>
        </is>
      </c>
      <c r="D136" s="31" t="inlineStr">
        <is>
          <t>chemicals</t>
        </is>
      </c>
      <c r="E136" s="31" t="inlineStr">
        <is>
          <t>largecap</t>
        </is>
      </c>
      <c r="F136" s="31" t="n">
        <v>21309.66</v>
      </c>
      <c r="G136" s="31" t="n">
        <v>1635</v>
      </c>
      <c r="H136" s="31" t="n">
        <v>1.82</v>
      </c>
      <c r="I136" s="31" t="n">
        <v>308474</v>
      </c>
      <c r="J136" s="31" t="inlineStr">
        <is>
          <t>543534</t>
        </is>
      </c>
    </row>
    <row r="137">
      <c r="A137" s="31" t="inlineStr">
        <is>
          <t>IKS</t>
        </is>
      </c>
      <c r="B137" s="31" t="inlineStr">
        <is>
          <t>Inventurus Knowledge Solutions Ltd</t>
        </is>
      </c>
      <c r="C137" s="31" t="inlineStr">
        <is>
          <t>i.t</t>
        </is>
      </c>
      <c r="D137" s="31" t="inlineStr">
        <is>
          <t>computers - software - medium / small</t>
        </is>
      </c>
      <c r="E137" s="31" t="inlineStr">
        <is>
          <t>largecap</t>
        </is>
      </c>
      <c r="F137" s="31" t="n">
        <v>31401.32</v>
      </c>
      <c r="G137" s="31" t="n">
        <v>1863</v>
      </c>
      <c r="H137" s="31" t="n">
        <v>1.79</v>
      </c>
      <c r="I137" s="31" t="n">
        <v>129336</v>
      </c>
      <c r="J137" s="31" t="inlineStr">
        <is>
          <t>544309</t>
        </is>
      </c>
    </row>
    <row r="138">
      <c r="A138" s="31" t="inlineStr">
        <is>
          <t>VMART</t>
        </is>
      </c>
      <c r="B138" s="31" t="inlineStr">
        <is>
          <t>V-mart Retail Limited</t>
        </is>
      </c>
      <c r="C138" s="31" t="inlineStr">
        <is>
          <t>consumer discretionary</t>
        </is>
      </c>
      <c r="D138" s="31" t="inlineStr">
        <is>
          <t>trading</t>
        </is>
      </c>
      <c r="E138" s="31" t="inlineStr">
        <is>
          <t>midcap</t>
        </is>
      </c>
      <c r="F138" s="31" t="n">
        <v>6302.59</v>
      </c>
      <c r="G138" s="31" t="n">
        <v>806.45</v>
      </c>
      <c r="H138" s="31" t="n">
        <v>1.79</v>
      </c>
      <c r="I138" s="31" t="n">
        <v>70947</v>
      </c>
      <c r="J138" s="31" t="inlineStr">
        <is>
          <t>534976</t>
        </is>
      </c>
    </row>
    <row r="139">
      <c r="A139" s="31" t="inlineStr">
        <is>
          <t>RAMRAT</t>
        </is>
      </c>
      <c r="B139" s="31" t="inlineStr">
        <is>
          <t>Ram Ratna Wires Ltd</t>
        </is>
      </c>
      <c r="C139" s="31" t="inlineStr">
        <is>
          <t>metals &amp; mining</t>
        </is>
      </c>
      <c r="D139" s="31" t="inlineStr">
        <is>
          <t>mining / minerals / metals</t>
        </is>
      </c>
      <c r="E139" s="31" t="inlineStr">
        <is>
          <t>smallcap</t>
        </is>
      </c>
      <c r="F139" s="31" t="n">
        <v>4364.07</v>
      </c>
      <c r="G139" s="31" t="n">
        <v>475.8</v>
      </c>
      <c r="H139" s="31" t="n">
        <v>1.78</v>
      </c>
      <c r="I139" s="31" t="n">
        <v>158032</v>
      </c>
      <c r="J139" s="31" t="inlineStr">
        <is>
          <t>522281</t>
        </is>
      </c>
    </row>
    <row r="140">
      <c r="A140" s="31" t="inlineStr">
        <is>
          <t>SHAREINDIA</t>
        </is>
      </c>
      <c r="B140" s="31" t="inlineStr">
        <is>
          <t>Share India Securities Ltd</t>
        </is>
      </c>
      <c r="C140" s="31" t="inlineStr">
        <is>
          <t>financials</t>
        </is>
      </c>
      <c r="D140" s="31" t="inlineStr">
        <is>
          <t>finance &amp; investments</t>
        </is>
      </c>
      <c r="E140" s="31" t="inlineStr">
        <is>
          <t>smallcap</t>
        </is>
      </c>
      <c r="F140" s="31" t="n">
        <v>3828.57</v>
      </c>
      <c r="G140" s="31" t="n">
        <v>178.08</v>
      </c>
      <c r="H140" s="31" t="n">
        <v>1.78</v>
      </c>
      <c r="I140" s="31" t="n">
        <v>753662</v>
      </c>
      <c r="J140" s="31" t="inlineStr">
        <is>
          <t>540725</t>
        </is>
      </c>
    </row>
    <row r="141">
      <c r="A141" s="31" t="inlineStr">
        <is>
          <t>STEELCAS</t>
        </is>
      </c>
      <c r="B141" s="31" t="inlineStr">
        <is>
          <t>Steelcast Ltd</t>
        </is>
      </c>
      <c r="C141" s="31" t="inlineStr">
        <is>
          <t>industrials</t>
        </is>
      </c>
      <c r="D141" s="31" t="inlineStr">
        <is>
          <t>castings &amp; forgings</t>
        </is>
      </c>
      <c r="E141" s="31" t="inlineStr">
        <is>
          <t>smallcap</t>
        </is>
      </c>
      <c r="F141" s="31" t="n">
        <v>3563.25</v>
      </c>
      <c r="G141" s="31" t="n">
        <v>358.3</v>
      </c>
      <c r="H141" s="31" t="n">
        <v>1.76</v>
      </c>
      <c r="I141" s="31" t="n">
        <v>105528</v>
      </c>
      <c r="J141" s="31" t="inlineStr">
        <is>
          <t>513517</t>
        </is>
      </c>
    </row>
    <row r="142">
      <c r="A142" s="31" t="inlineStr">
        <is>
          <t>GABRIEL</t>
        </is>
      </c>
      <c r="B142" s="31" t="inlineStr">
        <is>
          <t>Gabriel India Limited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largecap</t>
        </is>
      </c>
      <c r="F142" s="31" t="n">
        <v>25565.43</v>
      </c>
      <c r="G142" s="31" t="n">
        <v>1467.6</v>
      </c>
      <c r="H142" s="31" t="n">
        <v>1.74</v>
      </c>
      <c r="I142" s="31" t="n">
        <v>203545</v>
      </c>
      <c r="J142" s="31" t="inlineStr">
        <is>
          <t>505714</t>
        </is>
      </c>
    </row>
    <row r="143">
      <c r="A143" s="31" t="inlineStr">
        <is>
          <t>QPOWER</t>
        </is>
      </c>
      <c r="B143" s="31" t="inlineStr">
        <is>
          <t>Quality Power Electrical Equipments Ltd</t>
        </is>
      </c>
      <c r="C143" s="31" t="inlineStr">
        <is>
          <t>industrials</t>
        </is>
      </c>
      <c r="D143" s="31" t="inlineStr">
        <is>
          <t>electric equipment</t>
        </is>
      </c>
      <c r="E143" s="31" t="inlineStr">
        <is>
          <t>midcap</t>
        </is>
      </c>
      <c r="F143" s="31" t="n">
        <v>10087.87</v>
      </c>
      <c r="G143" s="31" t="n">
        <v>1325.1</v>
      </c>
      <c r="H143" s="31" t="n">
        <v>1.73</v>
      </c>
      <c r="I143" s="31" t="n">
        <v>369802</v>
      </c>
      <c r="J143" s="31" t="inlineStr">
        <is>
          <t>544367</t>
        </is>
      </c>
    </row>
    <row r="144">
      <c r="A144" s="31" t="inlineStr">
        <is>
          <t>HATSUN</t>
        </is>
      </c>
      <c r="B144" s="31" t="inlineStr">
        <is>
          <t>Hatsun Agro Product Limited</t>
        </is>
      </c>
      <c r="C144" s="31" t="inlineStr">
        <is>
          <t>fmcg</t>
        </is>
      </c>
      <c r="D144" s="31" t="inlineStr">
        <is>
          <t>food - processing - indian</t>
        </is>
      </c>
      <c r="E144" s="31" t="inlineStr">
        <is>
          <t>largecap</t>
        </is>
      </c>
      <c r="F144" s="31" t="n">
        <v>21579.85</v>
      </c>
      <c r="G144" s="31" t="n">
        <v>985.35</v>
      </c>
      <c r="H144" s="31" t="n">
        <v>1.71</v>
      </c>
      <c r="I144" s="31" t="n">
        <v>59772</v>
      </c>
      <c r="J144" s="31" t="inlineStr">
        <is>
          <t>531531</t>
        </is>
      </c>
    </row>
    <row r="145">
      <c r="A145" s="31" t="inlineStr">
        <is>
          <t>ADOR</t>
        </is>
      </c>
      <c r="B145" s="31" t="inlineStr">
        <is>
          <t>Ador Welding Ltd</t>
        </is>
      </c>
      <c r="C145" s="31" t="inlineStr">
        <is>
          <t>industrials</t>
        </is>
      </c>
      <c r="D145" s="31" t="inlineStr">
        <is>
          <t>electrodes - welding equipment</t>
        </is>
      </c>
      <c r="E145" s="31" t="inlineStr">
        <is>
          <t>smallcap</t>
        </is>
      </c>
      <c r="F145" s="31" t="n">
        <v>2654.45</v>
      </c>
      <c r="G145" s="31" t="n">
        <v>1551.3</v>
      </c>
      <c r="H145" s="31" t="n">
        <v>1.7</v>
      </c>
      <c r="I145" s="31" t="n">
        <v>35829</v>
      </c>
      <c r="J145" s="31" t="inlineStr">
        <is>
          <t>517041</t>
        </is>
      </c>
    </row>
    <row r="146">
      <c r="A146" s="31" t="inlineStr">
        <is>
          <t>GLOBAL</t>
        </is>
      </c>
      <c r="B146" s="31" t="inlineStr">
        <is>
          <t>Global Education Ltd</t>
        </is>
      </c>
      <c r="C146" s="31" t="inlineStr">
        <is>
          <t>services</t>
        </is>
      </c>
      <c r="D146" s="31" t="inlineStr">
        <is>
          <t>miscellaneous</t>
        </is>
      </c>
      <c r="E146" s="31" t="inlineStr">
        <is>
          <t>smallcap</t>
        </is>
      </c>
      <c r="F146" s="31" t="n">
        <v>547.04</v>
      </c>
      <c r="G146" s="31" t="n">
        <v>109.25</v>
      </c>
      <c r="H146" s="31" t="n">
        <v>1.66</v>
      </c>
      <c r="I146" s="31" t="n">
        <v>160551</v>
      </c>
      <c r="J146" s="31" t="inlineStr">
        <is>
          <t>538406</t>
        </is>
      </c>
    </row>
    <row r="147">
      <c r="A147" s="31" t="inlineStr">
        <is>
          <t>APLAPOLLO</t>
        </is>
      </c>
      <c r="B147" s="31" t="inlineStr">
        <is>
          <t>Apl Apollo Tubes Limited</t>
        </is>
      </c>
      <c r="C147" s="31" t="inlineStr">
        <is>
          <t>industrials</t>
        </is>
      </c>
      <c r="D147" s="31" t="inlineStr">
        <is>
          <t>steel - large</t>
        </is>
      </c>
      <c r="E147" s="31" t="inlineStr">
        <is>
          <t>largecap</t>
        </is>
      </c>
      <c r="F147" s="31" t="n">
        <v>57789.04</v>
      </c>
      <c r="G147" s="31" t="n">
        <v>2115</v>
      </c>
      <c r="H147" s="31" t="n">
        <v>1.62</v>
      </c>
      <c r="I147" s="31" t="n">
        <v>1229441</v>
      </c>
      <c r="J147" s="31" t="inlineStr">
        <is>
          <t>533758</t>
        </is>
      </c>
    </row>
    <row r="148">
      <c r="A148" s="31" t="inlineStr">
        <is>
          <t>PETRONET</t>
        </is>
      </c>
      <c r="B148" s="31" t="inlineStr">
        <is>
          <t>Petronet Lng Limited</t>
        </is>
      </c>
      <c r="C148" s="31" t="inlineStr">
        <is>
          <t>energy</t>
        </is>
      </c>
      <c r="D148" s="31" t="inlineStr">
        <is>
          <t>miscellaneous</t>
        </is>
      </c>
      <c r="E148" s="31" t="inlineStr">
        <is>
          <t>largecap</t>
        </is>
      </c>
      <c r="F148" s="31" t="n">
        <v>42270</v>
      </c>
      <c r="G148" s="31" t="n">
        <v>286.25</v>
      </c>
      <c r="H148" s="31" t="n">
        <v>1.58</v>
      </c>
      <c r="I148" s="31" t="n">
        <v>8597775</v>
      </c>
      <c r="J148" s="31" t="inlineStr">
        <is>
          <t>532522</t>
        </is>
      </c>
    </row>
    <row r="149">
      <c r="A149" s="31" t="inlineStr">
        <is>
          <t>NAZARA</t>
        </is>
      </c>
      <c r="B149" s="31" t="inlineStr">
        <is>
          <t>Nazara Technologies Ltd</t>
        </is>
      </c>
      <c r="C149" s="31" t="inlineStr">
        <is>
          <t>i.t</t>
        </is>
      </c>
      <c r="D149" s="31" t="inlineStr">
        <is>
          <t>telecommunications - service provider</t>
        </is>
      </c>
      <c r="E149" s="31" t="inlineStr">
        <is>
          <t>midcap</t>
        </is>
      </c>
      <c r="F149" s="31" t="n">
        <v>13436.7</v>
      </c>
      <c r="G149" s="31" t="n">
        <v>355.55</v>
      </c>
      <c r="H149" s="31" t="n">
        <v>1.56</v>
      </c>
      <c r="I149" s="31" t="n">
        <v>1287389</v>
      </c>
      <c r="J149" s="31" t="inlineStr">
        <is>
          <t>543280</t>
        </is>
      </c>
    </row>
    <row r="150">
      <c r="A150" s="31" t="inlineStr">
        <is>
          <t>CHENNPETRO</t>
        </is>
      </c>
      <c r="B150" s="31" t="inlineStr">
        <is>
          <t>Chennai Petroleum Corporation Limited</t>
        </is>
      </c>
      <c r="C150" s="31" t="inlineStr">
        <is>
          <t>energy</t>
        </is>
      </c>
      <c r="D150" s="31" t="inlineStr">
        <is>
          <t>refineries</t>
        </is>
      </c>
      <c r="E150" s="31" t="inlineStr">
        <is>
          <t>largecap</t>
        </is>
      </c>
      <c r="F150" s="31" t="n">
        <v>20585.51</v>
      </c>
      <c r="G150" s="31" t="n">
        <v>1404</v>
      </c>
      <c r="H150" s="31" t="n">
        <v>1.56</v>
      </c>
      <c r="I150" s="31" t="n">
        <v>3584947</v>
      </c>
      <c r="J150" s="31" t="inlineStr">
        <is>
          <t>500110</t>
        </is>
      </c>
    </row>
    <row r="151">
      <c r="A151" s="31" t="inlineStr">
        <is>
          <t>VENUSREM</t>
        </is>
      </c>
      <c r="B151" s="31" t="inlineStr">
        <is>
          <t>Venus Remedies Limited</t>
        </is>
      </c>
      <c r="C151" s="31" t="inlineStr">
        <is>
          <t>healthcare</t>
        </is>
      </c>
      <c r="D151" s="31" t="inlineStr">
        <is>
          <t>pharmaceuticals - indian - formulations</t>
        </is>
      </c>
      <c r="E151" s="31" t="inlineStr">
        <is>
          <t>smallcap</t>
        </is>
      </c>
      <c r="F151" s="31" t="n">
        <v>2410.6</v>
      </c>
      <c r="G151" s="31" t="n">
        <v>1831</v>
      </c>
      <c r="H151" s="31" t="n">
        <v>1.53</v>
      </c>
      <c r="I151" s="31" t="n">
        <v>26974</v>
      </c>
      <c r="J151" s="31" t="inlineStr">
        <is>
          <t>526953</t>
        </is>
      </c>
    </row>
    <row r="152">
      <c r="A152" s="31" t="inlineStr">
        <is>
          <t>GNFC</t>
        </is>
      </c>
      <c r="B152" s="31" t="inlineStr">
        <is>
          <t>Gujarat Narmada Valley Fertilizers And Chemicals Limited</t>
        </is>
      </c>
      <c r="C152" s="31" t="inlineStr">
        <is>
          <t>chemicals</t>
        </is>
      </c>
      <c r="D152" s="31" t="inlineStr">
        <is>
          <t>chemicals</t>
        </is>
      </c>
      <c r="E152" s="31" t="inlineStr">
        <is>
          <t>midcap</t>
        </is>
      </c>
      <c r="F152" s="31" t="n">
        <v>8825.99</v>
      </c>
      <c r="G152" s="31" t="n">
        <v>609.75</v>
      </c>
      <c r="H152" s="31" t="n">
        <v>1.52</v>
      </c>
      <c r="I152" s="31" t="n">
        <v>1478157</v>
      </c>
      <c r="J152" s="31" t="inlineStr">
        <is>
          <t>500670</t>
        </is>
      </c>
    </row>
    <row r="153">
      <c r="A153" s="31" t="inlineStr">
        <is>
          <t>IGPL</t>
        </is>
      </c>
      <c r="B153" s="31" t="inlineStr">
        <is>
          <t>Ig Petrochemicals Limited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smallcap</t>
        </is>
      </c>
      <c r="F153" s="31" t="n">
        <v>1455.98</v>
      </c>
      <c r="G153" s="31" t="n">
        <v>479.95</v>
      </c>
      <c r="H153" s="31" t="n">
        <v>1.51</v>
      </c>
      <c r="I153" s="31" t="n">
        <v>134317</v>
      </c>
      <c r="J153" s="31" t="inlineStr">
        <is>
          <t>500199</t>
        </is>
      </c>
    </row>
    <row r="154">
      <c r="A154" s="31" t="inlineStr">
        <is>
          <t>GEOJITFSL</t>
        </is>
      </c>
      <c r="B154" s="31" t="inlineStr">
        <is>
          <t>Geojit Financial Services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smallcap</t>
        </is>
      </c>
      <c r="F154" s="31" t="n">
        <v>2213.72</v>
      </c>
      <c r="G154" s="31" t="n">
        <v>80.5</v>
      </c>
      <c r="H154" s="31" t="n">
        <v>1.5</v>
      </c>
      <c r="I154" s="31" t="n">
        <v>250678</v>
      </c>
      <c r="J154" s="31" t="inlineStr">
        <is>
          <t>532285</t>
        </is>
      </c>
    </row>
    <row r="155">
      <c r="A155" s="31" t="inlineStr">
        <is>
          <t>IRISDOREME</t>
        </is>
      </c>
      <c r="B155" s="31" t="inlineStr">
        <is>
          <t>Iris Clothings Ltd</t>
        </is>
      </c>
      <c r="C155" s="31" t="inlineStr">
        <is>
          <t>consumer discretionary</t>
        </is>
      </c>
      <c r="D155" s="31" t="inlineStr">
        <is>
          <t>textiles - products</t>
        </is>
      </c>
      <c r="E155" s="31" t="inlineStr">
        <is>
          <t>smallcap</t>
        </is>
      </c>
      <c r="F155" s="31" t="n">
        <v>1109.63</v>
      </c>
      <c r="G155" s="31" t="n">
        <v>59.16</v>
      </c>
      <c r="H155" s="31" t="n">
        <v>1.48</v>
      </c>
      <c r="I155" s="31" t="n">
        <v>1097894</v>
      </c>
      <c r="J155" s="31" t="inlineStr">
        <is>
          <t>535123</t>
        </is>
      </c>
    </row>
    <row r="156">
      <c r="A156" s="31" t="inlineStr">
        <is>
          <t>KRISHANA</t>
        </is>
      </c>
      <c r="B156" s="31" t="inlineStr">
        <is>
          <t>Krishana Phoschem Ltd</t>
        </is>
      </c>
      <c r="C156" s="31" t="inlineStr">
        <is>
          <t>chemicals</t>
        </is>
      </c>
      <c r="D156" s="31" t="inlineStr">
        <is>
          <t>fertilizers</t>
        </is>
      </c>
      <c r="E156" s="31" t="inlineStr">
        <is>
          <t>smallcap</t>
        </is>
      </c>
      <c r="F156" s="31" t="n">
        <v>1157.85</v>
      </c>
      <c r="G156" s="31" t="n">
        <v>190.04</v>
      </c>
      <c r="H156" s="31" t="n">
        <v>1.48</v>
      </c>
      <c r="I156" s="31" t="n">
        <v>696096</v>
      </c>
      <c r="J156" s="31" t="inlineStr">
        <is>
          <t>538405</t>
        </is>
      </c>
    </row>
    <row r="157">
      <c r="A157" s="31" t="inlineStr">
        <is>
          <t>AARTIPHARM</t>
        </is>
      </c>
      <c r="B157" s="31" t="inlineStr">
        <is>
          <t>Aarti Pharmalabs Ltd</t>
        </is>
      </c>
      <c r="C157" s="31" t="inlineStr">
        <is>
          <t>healthcare</t>
        </is>
      </c>
      <c r="D157" s="31" t="inlineStr">
        <is>
          <t>pharmaceuticals - indian - bulk drugs &amp; formln</t>
        </is>
      </c>
      <c r="E157" s="31" t="inlineStr">
        <is>
          <t>midcap</t>
        </is>
      </c>
      <c r="F157" s="31" t="n">
        <v>7816.15</v>
      </c>
      <c r="G157" s="31" t="n">
        <v>874.55</v>
      </c>
      <c r="H157" s="31" t="n">
        <v>1.46</v>
      </c>
      <c r="I157" s="31" t="n">
        <v>316830</v>
      </c>
      <c r="J157" s="31" t="inlineStr">
        <is>
          <t>543748</t>
        </is>
      </c>
    </row>
    <row r="158">
      <c r="A158" s="31" t="inlineStr">
        <is>
          <t>MOTISONS</t>
        </is>
      </c>
      <c r="B158" s="31" t="inlineStr">
        <is>
          <t>Motisons Jewellers Ltd</t>
        </is>
      </c>
      <c r="C158" s="31" t="inlineStr">
        <is>
          <t>consumer discretionary</t>
        </is>
      </c>
      <c r="D158" s="31" t="inlineStr">
        <is>
          <t>diamond cutting / jewellery</t>
        </is>
      </c>
      <c r="E158" s="31" t="inlineStr">
        <is>
          <t>smallcap</t>
        </is>
      </c>
      <c r="F158" s="31" t="n">
        <v>1881.44</v>
      </c>
      <c r="G158" s="31" t="n">
        <v>16.78</v>
      </c>
      <c r="H158" s="31" t="n">
        <v>1.45</v>
      </c>
      <c r="I158" s="31" t="n">
        <v>134374269</v>
      </c>
      <c r="J158" s="31" t="inlineStr">
        <is>
          <t>544053</t>
        </is>
      </c>
    </row>
    <row r="159">
      <c r="A159" s="31" t="inlineStr">
        <is>
          <t>SHRIPISTON</t>
        </is>
      </c>
      <c r="B159" s="31" t="inlineStr">
        <is>
          <t>Shriram Pistons &amp; Rings Limited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midcap</t>
        </is>
      </c>
      <c r="F159" s="31" t="n">
        <v>19543.14</v>
      </c>
      <c r="G159" s="31" t="n">
        <v>4500</v>
      </c>
      <c r="H159" s="31" t="n">
        <v>1.43</v>
      </c>
      <c r="I159" s="31" t="n">
        <v>130497</v>
      </c>
      <c r="J159" s="31" t="n"/>
    </row>
    <row r="160">
      <c r="A160" s="31" t="inlineStr">
        <is>
          <t>SOLARINDS</t>
        </is>
      </c>
      <c r="B160" s="31" t="inlineStr">
        <is>
          <t>Solar Industries India Limited</t>
        </is>
      </c>
      <c r="C160" s="31" t="inlineStr">
        <is>
          <t>aerospace &amp; defence</t>
        </is>
      </c>
      <c r="D160" s="31" t="inlineStr">
        <is>
          <t>chemicals</t>
        </is>
      </c>
      <c r="E160" s="31" t="inlineStr">
        <is>
          <t>largecap</t>
        </is>
      </c>
      <c r="F160" s="31" t="n">
        <v>180980.11</v>
      </c>
      <c r="G160" s="31" t="n">
        <v>20280</v>
      </c>
      <c r="H160" s="31" t="n">
        <v>1.4</v>
      </c>
      <c r="I160" s="31" t="n">
        <v>347711</v>
      </c>
      <c r="J160" s="31" t="inlineStr">
        <is>
          <t>532725</t>
        </is>
      </c>
    </row>
    <row r="161">
      <c r="A161" s="31" t="inlineStr">
        <is>
          <t>TASTYBITE</t>
        </is>
      </c>
      <c r="B161" s="31" t="inlineStr">
        <is>
          <t>Tasty Bite Eatables Ltd</t>
        </is>
      </c>
      <c r="C161" s="31" t="inlineStr">
        <is>
          <t>fmcg</t>
        </is>
      </c>
      <c r="D161" s="31" t="inlineStr">
        <is>
          <t>food - processing - indian</t>
        </is>
      </c>
      <c r="E161" s="31" t="inlineStr">
        <is>
          <t>smallcap</t>
        </is>
      </c>
      <c r="F161" s="31" t="n">
        <v>2569.72</v>
      </c>
      <c r="G161" s="31" t="n">
        <v>10155</v>
      </c>
      <c r="H161" s="31" t="n">
        <v>1.4</v>
      </c>
      <c r="I161" s="31" t="n">
        <v>24438</v>
      </c>
      <c r="J161" s="31" t="inlineStr">
        <is>
          <t>519091</t>
        </is>
      </c>
    </row>
    <row r="162">
      <c r="A162" s="31" t="inlineStr">
        <is>
          <t>MOTHERSON</t>
        </is>
      </c>
      <c r="B162" s="31" t="inlineStr">
        <is>
          <t>Samvardhana Motherson International Ltd</t>
        </is>
      </c>
      <c r="C162" s="31" t="inlineStr">
        <is>
          <t>auto</t>
        </is>
      </c>
      <c r="D162" s="31" t="inlineStr">
        <is>
          <t>auto ancillaries</t>
        </is>
      </c>
      <c r="E162" s="31" t="inlineStr">
        <is>
          <t>largecap</t>
        </is>
      </c>
      <c r="F162" s="31" t="n">
        <v>177377.96</v>
      </c>
      <c r="G162" s="31" t="n">
        <v>170.4</v>
      </c>
      <c r="H162" s="31" t="n">
        <v>1.39</v>
      </c>
      <c r="I162" s="31" t="n">
        <v>36841473</v>
      </c>
      <c r="J162" s="31" t="inlineStr">
        <is>
          <t>517334</t>
        </is>
      </c>
    </row>
    <row r="163">
      <c r="A163" s="31" t="inlineStr">
        <is>
          <t>KTKBANK</t>
        </is>
      </c>
      <c r="B163" s="31" t="inlineStr">
        <is>
          <t>The Karnataka Bank Limited</t>
        </is>
      </c>
      <c r="C163" s="31" t="inlineStr">
        <is>
          <t>bank</t>
        </is>
      </c>
      <c r="D163" s="31" t="inlineStr">
        <is>
          <t>banks - private sector</t>
        </is>
      </c>
      <c r="E163" s="31" t="inlineStr">
        <is>
          <t>midcap</t>
        </is>
      </c>
      <c r="F163" s="31" t="n">
        <v>11591.93</v>
      </c>
      <c r="G163" s="31" t="n">
        <v>310.75</v>
      </c>
      <c r="H163" s="31" t="n">
        <v>1.39</v>
      </c>
      <c r="I163" s="31" t="n">
        <v>2278078</v>
      </c>
      <c r="J163" s="31" t="inlineStr">
        <is>
          <t>532652</t>
        </is>
      </c>
    </row>
    <row r="164">
      <c r="A164" s="31" t="inlineStr">
        <is>
          <t>SUPRAJIT</t>
        </is>
      </c>
      <c r="B164" s="31" t="inlineStr">
        <is>
          <t>Suprajit Engineering Limited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midcap</t>
        </is>
      </c>
      <c r="F164" s="31" t="n">
        <v>7143.19</v>
      </c>
      <c r="G164" s="31" t="n">
        <v>527.95</v>
      </c>
      <c r="H164" s="31" t="n">
        <v>1.38</v>
      </c>
      <c r="I164" s="31" t="n">
        <v>69957</v>
      </c>
      <c r="J164" s="31" t="inlineStr">
        <is>
          <t>532509</t>
        </is>
      </c>
    </row>
    <row r="165">
      <c r="A165" s="31" t="inlineStr">
        <is>
          <t>ENDURANCE</t>
        </is>
      </c>
      <c r="B165" s="31" t="inlineStr">
        <is>
          <t>Endurance Technologies Limited</t>
        </is>
      </c>
      <c r="C165" s="31" t="inlineStr">
        <is>
          <t>auto</t>
        </is>
      </c>
      <c r="D165" s="31" t="inlineStr">
        <is>
          <t>auto ancillaries</t>
        </is>
      </c>
      <c r="E165" s="31" t="inlineStr">
        <is>
          <t>largecap</t>
        </is>
      </c>
      <c r="F165" s="31" t="n">
        <v>41892.21</v>
      </c>
      <c r="G165" s="31" t="n">
        <v>3018.3</v>
      </c>
      <c r="H165" s="31" t="n">
        <v>1.35</v>
      </c>
      <c r="I165" s="31" t="n">
        <v>130419</v>
      </c>
      <c r="J165" s="31" t="inlineStr">
        <is>
          <t>540153</t>
        </is>
      </c>
    </row>
    <row r="166">
      <c r="A166" s="31" t="inlineStr">
        <is>
          <t>RRKABEL</t>
        </is>
      </c>
      <c r="B166" s="31" t="inlineStr">
        <is>
          <t>R R Kabel Ltd</t>
        </is>
      </c>
      <c r="C166" s="31" t="inlineStr">
        <is>
          <t>industrials</t>
        </is>
      </c>
      <c r="D166" s="31" t="inlineStr">
        <is>
          <t>cables - power</t>
        </is>
      </c>
      <c r="E166" s="31" t="inlineStr">
        <is>
          <t>largecap</t>
        </is>
      </c>
      <c r="F166" s="31" t="n">
        <v>31088.18</v>
      </c>
      <c r="G166" s="31" t="n">
        <v>2784.9</v>
      </c>
      <c r="H166" s="31" t="n">
        <v>1.32</v>
      </c>
      <c r="I166" s="31" t="n">
        <v>698009</v>
      </c>
      <c r="J166" s="31" t="inlineStr">
        <is>
          <t>543981</t>
        </is>
      </c>
    </row>
    <row r="167">
      <c r="A167" s="31" t="inlineStr">
        <is>
          <t>NAVINFLUOR</t>
        </is>
      </c>
      <c r="B167" s="31" t="inlineStr">
        <is>
          <t>Navin Fluorine International Limited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largecap</t>
        </is>
      </c>
      <c r="F167" s="31" t="n">
        <v>41807.42</v>
      </c>
      <c r="G167" s="31" t="n">
        <v>8255</v>
      </c>
      <c r="H167" s="31" t="n">
        <v>1.28</v>
      </c>
      <c r="I167" s="31" t="n">
        <v>107263</v>
      </c>
      <c r="J167" s="31" t="inlineStr">
        <is>
          <t>532504</t>
        </is>
      </c>
    </row>
    <row r="168">
      <c r="A168" s="31" t="inlineStr">
        <is>
          <t>DIVISLAB</t>
        </is>
      </c>
      <c r="B168" s="31" t="inlineStr">
        <is>
          <t>Divi's Laboratories Limited</t>
        </is>
      </c>
      <c r="C168" s="31" t="inlineStr">
        <is>
          <t>healthcare</t>
        </is>
      </c>
      <c r="D168" s="31" t="inlineStr">
        <is>
          <t>pharmaceuticals - indian - bulk drugs</t>
        </is>
      </c>
      <c r="E168" s="31" t="inlineStr">
        <is>
          <t>largecap</t>
        </is>
      </c>
      <c r="F168" s="31" t="n">
        <v>225157.18</v>
      </c>
      <c r="G168" s="31" t="n">
        <v>8588</v>
      </c>
      <c r="H168" s="31" t="n">
        <v>1.26</v>
      </c>
      <c r="I168" s="31" t="n">
        <v>798004</v>
      </c>
      <c r="J168" s="31" t="inlineStr">
        <is>
          <t>532488</t>
        </is>
      </c>
    </row>
    <row r="169">
      <c r="A169" s="31" t="inlineStr">
        <is>
          <t>GALAXYSURF</t>
        </is>
      </c>
      <c r="B169" s="31" t="inlineStr">
        <is>
          <t>Galaxy Surfactants Ltd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midcap</t>
        </is>
      </c>
      <c r="F169" s="31" t="n">
        <v>8522.26</v>
      </c>
      <c r="G169" s="31" t="n">
        <v>2433.9</v>
      </c>
      <c r="H169" s="31" t="n">
        <v>1.26</v>
      </c>
      <c r="I169" s="31" t="n">
        <v>131965</v>
      </c>
      <c r="J169" s="31" t="inlineStr">
        <is>
          <t>540935</t>
        </is>
      </c>
    </row>
    <row r="170">
      <c r="A170" s="31" t="inlineStr">
        <is>
          <t>EPL</t>
        </is>
      </c>
      <c r="B170" s="31" t="inlineStr">
        <is>
          <t>EPL Ltd</t>
        </is>
      </c>
      <c r="C170" s="31" t="inlineStr">
        <is>
          <t>industrials</t>
        </is>
      </c>
      <c r="D170" s="31" t="inlineStr">
        <is>
          <t>packaging</t>
        </is>
      </c>
      <c r="E170" s="31" t="inlineStr">
        <is>
          <t>midcap</t>
        </is>
      </c>
      <c r="F170" s="31" t="n">
        <v>7782.48</v>
      </c>
      <c r="G170" s="31" t="n">
        <v>246</v>
      </c>
      <c r="H170" s="31" t="n">
        <v>1.24</v>
      </c>
      <c r="I170" s="31" t="n">
        <v>823343</v>
      </c>
      <c r="J170" s="31" t="inlineStr">
        <is>
          <t>500135</t>
        </is>
      </c>
    </row>
    <row r="171">
      <c r="A171" s="31" t="inlineStr">
        <is>
          <t>OIL</t>
        </is>
      </c>
      <c r="B171" s="31" t="inlineStr">
        <is>
          <t>Oil India Limited</t>
        </is>
      </c>
      <c r="C171" s="31" t="inlineStr">
        <is>
          <t>energy</t>
        </is>
      </c>
      <c r="D171" s="31" t="inlineStr">
        <is>
          <t>oil drilling / allied services</t>
        </is>
      </c>
      <c r="E171" s="31" t="inlineStr">
        <is>
          <t>largecap</t>
        </is>
      </c>
      <c r="F171" s="31" t="n">
        <v>77206.94</v>
      </c>
      <c r="G171" s="31" t="n">
        <v>480.5</v>
      </c>
      <c r="H171" s="31" t="n">
        <v>1.23</v>
      </c>
      <c r="I171" s="31" t="n">
        <v>9883285</v>
      </c>
      <c r="J171" s="31" t="inlineStr">
        <is>
          <t>533106</t>
        </is>
      </c>
    </row>
    <row r="172">
      <c r="A172" s="31" t="inlineStr">
        <is>
          <t>MPSLTD</t>
        </is>
      </c>
      <c r="B172" s="31" t="inlineStr">
        <is>
          <t>Mps Limited</t>
        </is>
      </c>
      <c r="C172" s="31" t="inlineStr">
        <is>
          <t>i.t</t>
        </is>
      </c>
      <c r="D172" s="31" t="inlineStr">
        <is>
          <t>computers - software - medium / small</t>
        </is>
      </c>
      <c r="E172" s="31" t="inlineStr">
        <is>
          <t>smallcap</t>
        </is>
      </c>
      <c r="F172" s="31" t="n">
        <v>4814.95</v>
      </c>
      <c r="G172" s="31" t="n">
        <v>2849</v>
      </c>
      <c r="H172" s="31" t="n">
        <v>1.22</v>
      </c>
      <c r="I172" s="31" t="n">
        <v>21487</v>
      </c>
      <c r="J172" s="31" t="inlineStr">
        <is>
          <t>532440</t>
        </is>
      </c>
    </row>
    <row r="173">
      <c r="A173" s="31" t="inlineStr">
        <is>
          <t>MAHASTEEL</t>
        </is>
      </c>
      <c r="B173" s="31" t="inlineStr">
        <is>
          <t>Mahamaya Steel Industries Limited</t>
        </is>
      </c>
      <c r="C173" s="31" t="inlineStr">
        <is>
          <t>metals &amp; mining</t>
        </is>
      </c>
      <c r="D173" s="31" t="inlineStr">
        <is>
          <t>steel - medium / small</t>
        </is>
      </c>
      <c r="E173" s="31" t="inlineStr">
        <is>
          <t>smallcap</t>
        </is>
      </c>
      <c r="F173" s="31" t="n">
        <v>1806.3</v>
      </c>
      <c r="G173" s="31" t="n">
        <v>1112</v>
      </c>
      <c r="H173" s="31" t="n">
        <v>1.17</v>
      </c>
      <c r="I173" s="31" t="n">
        <v>41352</v>
      </c>
      <c r="J173" s="31" t="inlineStr">
        <is>
          <t>513554</t>
        </is>
      </c>
    </row>
    <row r="174">
      <c r="A174" s="31" t="inlineStr">
        <is>
          <t>SCPL</t>
        </is>
      </c>
      <c r="B174" s="31" t="inlineStr">
        <is>
          <t>Sheetal Cool Products Ltd</t>
        </is>
      </c>
      <c r="C174" s="31" t="inlineStr">
        <is>
          <t>fmcg</t>
        </is>
      </c>
      <c r="D174" s="31" t="inlineStr">
        <is>
          <t>food - processing - indian</t>
        </is>
      </c>
      <c r="E174" s="31" t="inlineStr">
        <is>
          <t>smallcap</t>
        </is>
      </c>
      <c r="F174" s="31" t="n">
        <v>690.85</v>
      </c>
      <c r="G174" s="31" t="n">
        <v>665.5</v>
      </c>
      <c r="H174" s="31" t="n">
        <v>1.15</v>
      </c>
      <c r="I174" s="31" t="n">
        <v>63625</v>
      </c>
      <c r="J174" s="31" t="inlineStr">
        <is>
          <t>540757</t>
        </is>
      </c>
    </row>
    <row r="175">
      <c r="A175" s="31" t="inlineStr">
        <is>
          <t>SUNDRMFAST</t>
        </is>
      </c>
      <c r="B175" s="31" t="inlineStr">
        <is>
          <t>Sundram Fasteners Limited</t>
        </is>
      </c>
      <c r="C175" s="31" t="inlineStr">
        <is>
          <t>auto</t>
        </is>
      </c>
      <c r="D175" s="31" t="inlineStr">
        <is>
          <t>auto ancillaries</t>
        </is>
      </c>
      <c r="E175" s="31" t="inlineStr">
        <is>
          <t>largecap</t>
        </is>
      </c>
      <c r="F175" s="31" t="n">
        <v>25525.34</v>
      </c>
      <c r="G175" s="31" t="n">
        <v>1228.3</v>
      </c>
      <c r="H175" s="31" t="n">
        <v>1.12</v>
      </c>
      <c r="I175" s="31" t="n">
        <v>334446</v>
      </c>
      <c r="J175" s="31" t="inlineStr">
        <is>
          <t>500403</t>
        </is>
      </c>
    </row>
    <row r="176">
      <c r="A176" s="31" t="inlineStr">
        <is>
          <t>5PAISA</t>
        </is>
      </c>
      <c r="B176" s="31" t="inlineStr">
        <is>
          <t>5Paisa Capital Ltd</t>
        </is>
      </c>
      <c r="C176" s="31" t="inlineStr">
        <is>
          <t>financials</t>
        </is>
      </c>
      <c r="D176" s="31" t="inlineStr">
        <is>
          <t>finance &amp; investments</t>
        </is>
      </c>
      <c r="E176" s="31" t="inlineStr">
        <is>
          <t>smallcap</t>
        </is>
      </c>
      <c r="F176" s="31" t="n">
        <v>1785.28</v>
      </c>
      <c r="G176" s="31" t="n">
        <v>385</v>
      </c>
      <c r="H176" s="31" t="n">
        <v>1.1</v>
      </c>
      <c r="I176" s="31" t="n">
        <v>191663</v>
      </c>
      <c r="J176" s="31" t="inlineStr">
        <is>
          <t>540776</t>
        </is>
      </c>
    </row>
    <row r="177">
      <c r="A177" s="31" t="inlineStr">
        <is>
          <t>APOLLOPIPE</t>
        </is>
      </c>
      <c r="B177" s="31" t="inlineStr">
        <is>
          <t>Apollo Pipes Ltd</t>
        </is>
      </c>
      <c r="C177" s="31" t="inlineStr">
        <is>
          <t>plastic products</t>
        </is>
      </c>
      <c r="D177" s="31" t="inlineStr">
        <is>
          <t>plastics products</t>
        </is>
      </c>
      <c r="E177" s="31" t="inlineStr">
        <is>
          <t>smallcap</t>
        </is>
      </c>
      <c r="F177" s="31" t="n">
        <v>2401.95</v>
      </c>
      <c r="G177" s="31" t="n">
        <v>551.3</v>
      </c>
      <c r="H177" s="31" t="n">
        <v>1.1</v>
      </c>
      <c r="I177" s="31" t="n">
        <v>368155</v>
      </c>
      <c r="J177" s="31" t="inlineStr">
        <is>
          <t>531761</t>
        </is>
      </c>
    </row>
    <row r="178">
      <c r="A178" s="31" t="inlineStr">
        <is>
          <t>AUROPHARMA</t>
        </is>
      </c>
      <c r="B178" s="31" t="inlineStr">
        <is>
          <t>Aurobindo Pharma Limited</t>
        </is>
      </c>
      <c r="C178" s="31" t="inlineStr">
        <is>
          <t>healthcare</t>
        </is>
      </c>
      <c r="D178" s="31" t="inlineStr">
        <is>
          <t>pharmaceuticals - indian - bulk drugs &amp; formln</t>
        </is>
      </c>
      <c r="E178" s="31" t="inlineStr">
        <is>
          <t>largecap</t>
        </is>
      </c>
      <c r="F178" s="31" t="n">
        <v>93625.49000000001</v>
      </c>
      <c r="G178" s="31" t="n">
        <v>1645</v>
      </c>
      <c r="H178" s="31" t="n">
        <v>1.09</v>
      </c>
      <c r="I178" s="31" t="n">
        <v>1673284</v>
      </c>
      <c r="J178" s="31" t="inlineStr">
        <is>
          <t>524804</t>
        </is>
      </c>
    </row>
    <row r="179">
      <c r="A179" s="31" t="inlineStr">
        <is>
          <t>POLICYBZR</t>
        </is>
      </c>
      <c r="B179" s="31" t="inlineStr">
        <is>
          <t>PB Fintech Ltd</t>
        </is>
      </c>
      <c r="C179" s="31" t="inlineStr">
        <is>
          <t>i.t</t>
        </is>
      </c>
      <c r="D179" s="31" t="inlineStr">
        <is>
          <t>miscellaneous</t>
        </is>
      </c>
      <c r="E179" s="31" t="inlineStr">
        <is>
          <t>largecap</t>
        </is>
      </c>
      <c r="F179" s="31" t="n">
        <v>79958.3</v>
      </c>
      <c r="G179" s="31" t="n">
        <v>1747</v>
      </c>
      <c r="H179" s="31" t="n">
        <v>1.09</v>
      </c>
      <c r="I179" s="31" t="n">
        <v>2503985</v>
      </c>
      <c r="J179" s="31" t="inlineStr">
        <is>
          <t>543390</t>
        </is>
      </c>
    </row>
    <row r="180">
      <c r="A180" s="31" t="inlineStr">
        <is>
          <t>OMAXE</t>
        </is>
      </c>
      <c r="B180" s="31" t="inlineStr">
        <is>
          <t>Omaxe Limited</t>
        </is>
      </c>
      <c r="C180" s="31" t="inlineStr">
        <is>
          <t>realty</t>
        </is>
      </c>
      <c r="D180" s="31" t="inlineStr">
        <is>
          <t>construction</t>
        </is>
      </c>
      <c r="E180" s="31" t="inlineStr">
        <is>
          <t>smallcap</t>
        </is>
      </c>
      <c r="F180" s="31" t="n">
        <v>1844.19</v>
      </c>
      <c r="G180" s="31" t="n">
        <v>101.93</v>
      </c>
      <c r="H180" s="31" t="n">
        <v>1.09</v>
      </c>
      <c r="I180" s="31" t="n">
        <v>2278565</v>
      </c>
      <c r="J180" s="31" t="inlineStr">
        <is>
          <t>532880</t>
        </is>
      </c>
    </row>
    <row r="181">
      <c r="A181" s="31" t="inlineStr">
        <is>
          <t>MTARTECH</t>
        </is>
      </c>
      <c r="B181" s="31" t="inlineStr">
        <is>
          <t>MTAR Technologies Ltd</t>
        </is>
      </c>
      <c r="C181" s="31" t="inlineStr">
        <is>
          <t>aerospace &amp; defence</t>
        </is>
      </c>
      <c r="D181" s="31" t="inlineStr">
        <is>
          <t>engineering</t>
        </is>
      </c>
      <c r="E181" s="31" t="inlineStr">
        <is>
          <t>largecap</t>
        </is>
      </c>
      <c r="F181" s="31" t="n">
        <v>21707.04</v>
      </c>
      <c r="G181" s="31" t="n">
        <v>7132</v>
      </c>
      <c r="H181" s="31" t="n">
        <v>1.06</v>
      </c>
      <c r="I181" s="31" t="n">
        <v>116916</v>
      </c>
      <c r="J181" s="31" t="inlineStr">
        <is>
          <t>543270</t>
        </is>
      </c>
    </row>
    <row r="182">
      <c r="A182" s="31" t="inlineStr">
        <is>
          <t>INDGN</t>
        </is>
      </c>
      <c r="B182" s="31" t="inlineStr">
        <is>
          <t>Indegene Ltd</t>
        </is>
      </c>
      <c r="C182" s="31" t="inlineStr">
        <is>
          <t>healthcare</t>
        </is>
      </c>
      <c r="D182" s="31" t="inlineStr">
        <is>
          <t>miscellaneous</t>
        </is>
      </c>
      <c r="E182" s="31" t="inlineStr">
        <is>
          <t>midcap</t>
        </is>
      </c>
      <c r="F182" s="31" t="n">
        <v>13535.61</v>
      </c>
      <c r="G182" s="31" t="n">
        <v>567.7</v>
      </c>
      <c r="H182" s="31" t="n">
        <v>1.06</v>
      </c>
      <c r="I182" s="31" t="n">
        <v>161898</v>
      </c>
      <c r="J182" s="31" t="inlineStr">
        <is>
          <t>544172</t>
        </is>
      </c>
    </row>
    <row r="183">
      <c r="A183" s="31" t="inlineStr">
        <is>
          <t>GRAPHITE</t>
        </is>
      </c>
      <c r="B183" s="31" t="inlineStr">
        <is>
          <t>Graphite India Limited</t>
        </is>
      </c>
      <c r="C183" s="31" t="inlineStr">
        <is>
          <t>industrials</t>
        </is>
      </c>
      <c r="D183" s="31" t="inlineStr">
        <is>
          <t>electrodes - graphites</t>
        </is>
      </c>
      <c r="E183" s="31" t="inlineStr">
        <is>
          <t>midcap</t>
        </is>
      </c>
      <c r="F183" s="31" t="n">
        <v>14252.65</v>
      </c>
      <c r="G183" s="31" t="n">
        <v>737.15</v>
      </c>
      <c r="H183" s="31" t="n">
        <v>1.05</v>
      </c>
      <c r="I183" s="31" t="n">
        <v>943997</v>
      </c>
      <c r="J183" s="31" t="inlineStr">
        <is>
          <t>509488</t>
        </is>
      </c>
    </row>
    <row r="184">
      <c r="A184" s="31" t="inlineStr">
        <is>
          <t>FEDERALBNK</t>
        </is>
      </c>
      <c r="B184" s="31" t="inlineStr">
        <is>
          <t>The Federal Bank  Limited</t>
        </is>
      </c>
      <c r="C184" s="31" t="inlineStr">
        <is>
          <t>bank</t>
        </is>
      </c>
      <c r="D184" s="31" t="inlineStr">
        <is>
          <t>banks - private sector</t>
        </is>
      </c>
      <c r="E184" s="31" t="inlineStr">
        <is>
          <t>largecap</t>
        </is>
      </c>
      <c r="F184" s="31" t="n">
        <v>87393.25999999999</v>
      </c>
      <c r="G184" s="31" t="n">
        <v>357.8</v>
      </c>
      <c r="H184" s="31" t="n">
        <v>1.04</v>
      </c>
      <c r="I184" s="31" t="n">
        <v>8210252</v>
      </c>
      <c r="J184" s="31" t="inlineStr">
        <is>
          <t>500469</t>
        </is>
      </c>
    </row>
    <row r="185">
      <c r="A185" s="31" t="inlineStr">
        <is>
          <t>BHARATSE</t>
        </is>
      </c>
      <c r="B185" s="31" t="inlineStr">
        <is>
          <t>Bharat Seats Ltd</t>
        </is>
      </c>
      <c r="C185" s="31" t="inlineStr">
        <is>
          <t>auto</t>
        </is>
      </c>
      <c r="D185" s="31" t="inlineStr">
        <is>
          <t>auto ancillaries</t>
        </is>
      </c>
      <c r="E185" s="31" t="inlineStr">
        <is>
          <t>smallcap</t>
        </is>
      </c>
      <c r="F185" s="31" t="n">
        <v>1497.4</v>
      </c>
      <c r="G185" s="31" t="n">
        <v>240.91</v>
      </c>
      <c r="H185" s="31" t="n">
        <v>1.04</v>
      </c>
      <c r="I185" s="31" t="n">
        <v>309638</v>
      </c>
      <c r="J185" s="31" t="inlineStr">
        <is>
          <t>523229</t>
        </is>
      </c>
    </row>
    <row r="186">
      <c r="A186" s="31" t="inlineStr">
        <is>
          <t>GANESHHOU</t>
        </is>
      </c>
      <c r="B186" s="31" t="inlineStr">
        <is>
          <t>Ganesh Housing Ltd</t>
        </is>
      </c>
      <c r="C186" s="31" t="inlineStr">
        <is>
          <t>realty</t>
        </is>
      </c>
      <c r="D186" s="31" t="inlineStr">
        <is>
          <t>construction</t>
        </is>
      </c>
      <c r="E186" s="31" t="inlineStr">
        <is>
          <t>midcap</t>
        </is>
      </c>
      <c r="F186" s="31" t="n">
        <v>6987.84</v>
      </c>
      <c r="G186" s="31" t="n">
        <v>846</v>
      </c>
      <c r="H186" s="31" t="n">
        <v>0.95</v>
      </c>
      <c r="I186" s="31" t="n">
        <v>38097</v>
      </c>
      <c r="J186" s="31" t="inlineStr">
        <is>
          <t>526367</t>
        </is>
      </c>
    </row>
    <row r="187">
      <c r="A187" s="31" t="inlineStr">
        <is>
          <t>BDL</t>
        </is>
      </c>
      <c r="B187" s="31" t="inlineStr">
        <is>
          <t>Bharat Dynamics Ltd</t>
        </is>
      </c>
      <c r="C187" s="31" t="inlineStr">
        <is>
          <t>aerospace &amp; defence</t>
        </is>
      </c>
      <c r="D187" s="31" t="inlineStr">
        <is>
          <t>engineering</t>
        </is>
      </c>
      <c r="E187" s="31" t="inlineStr">
        <is>
          <t>largecap</t>
        </is>
      </c>
      <c r="F187" s="31" t="n">
        <v>50585.63</v>
      </c>
      <c r="G187" s="31" t="n">
        <v>1393</v>
      </c>
      <c r="H187" s="31" t="n">
        <v>0.9399999999999999</v>
      </c>
      <c r="I187" s="31" t="n">
        <v>7785438</v>
      </c>
      <c r="J187" s="31" t="inlineStr">
        <is>
          <t>541143</t>
        </is>
      </c>
    </row>
    <row r="188">
      <c r="A188" s="31" t="inlineStr">
        <is>
          <t>M&amp;M</t>
        </is>
      </c>
      <c r="B188" s="31" t="inlineStr">
        <is>
          <t>Mahindra &amp; Mahindra Limited</t>
        </is>
      </c>
      <c r="C188" s="31" t="inlineStr">
        <is>
          <t>auto</t>
        </is>
      </c>
      <c r="D188" s="31" t="inlineStr">
        <is>
          <t>automobiles - passenger cars</t>
        </is>
      </c>
      <c r="E188" s="31" t="inlineStr">
        <is>
          <t>largecap</t>
        </is>
      </c>
      <c r="F188" s="31" t="n">
        <v>421606.01</v>
      </c>
      <c r="G188" s="31" t="n">
        <v>3421.5</v>
      </c>
      <c r="H188" s="31" t="n">
        <v>0.92</v>
      </c>
      <c r="I188" s="31" t="n">
        <v>3886133</v>
      </c>
      <c r="J188" s="31" t="inlineStr">
        <is>
          <t>500520</t>
        </is>
      </c>
    </row>
    <row r="189">
      <c r="A189" s="31" t="inlineStr">
        <is>
          <t>FCL</t>
        </is>
      </c>
      <c r="B189" s="31" t="inlineStr">
        <is>
          <t>Fineotex Chemical Limited</t>
        </is>
      </c>
      <c r="C189" s="31" t="inlineStr">
        <is>
          <t>chemicals</t>
        </is>
      </c>
      <c r="D189" s="31" t="inlineStr">
        <is>
          <t>chemicals</t>
        </is>
      </c>
      <c r="E189" s="31" t="inlineStr">
        <is>
          <t>midcap</t>
        </is>
      </c>
      <c r="F189" s="31" t="n">
        <v>5055.1</v>
      </c>
      <c r="G189" s="31" t="n">
        <v>43.81</v>
      </c>
      <c r="H189" s="31" t="n">
        <v>0.92</v>
      </c>
      <c r="I189" s="31" t="n">
        <v>9742413</v>
      </c>
      <c r="J189" s="31" t="inlineStr">
        <is>
          <t>533333</t>
        </is>
      </c>
    </row>
    <row r="190">
      <c r="A190" s="31" t="inlineStr">
        <is>
          <t>LALPATHLAB</t>
        </is>
      </c>
      <c r="B190" s="31" t="inlineStr">
        <is>
          <t>Dr. Lal Path Labs Ltd.</t>
        </is>
      </c>
      <c r="C190" s="31" t="inlineStr">
        <is>
          <t>healthcare</t>
        </is>
      </c>
      <c r="D190" s="31" t="inlineStr">
        <is>
          <t>healthcare</t>
        </is>
      </c>
      <c r="E190" s="31" t="inlineStr">
        <is>
          <t>largecap</t>
        </is>
      </c>
      <c r="F190" s="31" t="n">
        <v>31470.64</v>
      </c>
      <c r="G190" s="31" t="n">
        <v>1894</v>
      </c>
      <c r="H190" s="31" t="n">
        <v>0.89</v>
      </c>
      <c r="I190" s="31" t="n">
        <v>211640</v>
      </c>
      <c r="J190" s="31" t="inlineStr">
        <is>
          <t>539524</t>
        </is>
      </c>
    </row>
    <row r="191">
      <c r="A191" s="31" t="inlineStr">
        <is>
          <t>SEAMECLTD</t>
        </is>
      </c>
      <c r="B191" s="31" t="inlineStr">
        <is>
          <t>Seamec Limited</t>
        </is>
      </c>
      <c r="C191" s="31" t="inlineStr">
        <is>
          <t>miscellaneous</t>
        </is>
      </c>
      <c r="D191" s="31" t="inlineStr">
        <is>
          <t>miscellaneous</t>
        </is>
      </c>
      <c r="E191" s="31" t="inlineStr">
        <is>
          <t>smallcap</t>
        </is>
      </c>
      <c r="F191" s="31" t="n">
        <v>3969.1</v>
      </c>
      <c r="G191" s="31" t="n">
        <v>1574.7</v>
      </c>
      <c r="H191" s="31" t="n">
        <v>0.87</v>
      </c>
      <c r="I191" s="31" t="n">
        <v>60589</v>
      </c>
      <c r="J191" s="31" t="inlineStr">
        <is>
          <t>526807</t>
        </is>
      </c>
    </row>
    <row r="192">
      <c r="A192" s="31" t="inlineStr">
        <is>
          <t>GRASIM</t>
        </is>
      </c>
      <c r="B192" s="31" t="inlineStr">
        <is>
          <t>Grasim Industries Limited</t>
        </is>
      </c>
      <c r="C192" s="31" t="inlineStr">
        <is>
          <t>textiles</t>
        </is>
      </c>
      <c r="D192" s="31" t="inlineStr">
        <is>
          <t>textiles - manmade</t>
        </is>
      </c>
      <c r="E192" s="31" t="inlineStr">
        <is>
          <t>largecap</t>
        </is>
      </c>
      <c r="F192" s="31" t="n">
        <v>221222.72</v>
      </c>
      <c r="G192" s="31" t="n">
        <v>3278.7</v>
      </c>
      <c r="H192" s="31" t="n">
        <v>0.87</v>
      </c>
      <c r="I192" s="31" t="n">
        <v>4419786</v>
      </c>
      <c r="J192" s="31" t="inlineStr">
        <is>
          <t>500300</t>
        </is>
      </c>
    </row>
    <row r="193">
      <c r="A193" s="31" t="inlineStr">
        <is>
          <t>ANANDRATHI</t>
        </is>
      </c>
      <c r="B193" s="31" t="inlineStr">
        <is>
          <t>Anand Rathi Wealth Ltd</t>
        </is>
      </c>
      <c r="C193" s="31" t="inlineStr">
        <is>
          <t>financials</t>
        </is>
      </c>
      <c r="D193" s="31" t="inlineStr">
        <is>
          <t>finance &amp; investments</t>
        </is>
      </c>
      <c r="E193" s="31" t="inlineStr">
        <is>
          <t>largecap</t>
        </is>
      </c>
      <c r="F193" s="31" t="n">
        <v>36130.58</v>
      </c>
      <c r="G193" s="31" t="n">
        <v>2194.8</v>
      </c>
      <c r="H193" s="31" t="n">
        <v>0.86</v>
      </c>
      <c r="I193" s="31" t="n">
        <v>132304</v>
      </c>
      <c r="J193" s="31" t="inlineStr">
        <is>
          <t>543415</t>
        </is>
      </c>
    </row>
    <row r="194">
      <c r="A194" s="31" t="inlineStr">
        <is>
          <t>RADICO</t>
        </is>
      </c>
      <c r="B194" s="31" t="inlineStr">
        <is>
          <t>Radico Khaitan Limited</t>
        </is>
      </c>
      <c r="C194" s="31" t="inlineStr">
        <is>
          <t>fmcg</t>
        </is>
      </c>
      <c r="D194" s="31" t="inlineStr">
        <is>
          <t>breweries &amp; distilleries</t>
        </is>
      </c>
      <c r="E194" s="31" t="inlineStr">
        <is>
          <t>largecap</t>
        </is>
      </c>
      <c r="F194" s="31" t="n">
        <v>62859.34</v>
      </c>
      <c r="G194" s="31" t="n">
        <v>4732.9</v>
      </c>
      <c r="H194" s="31" t="n">
        <v>0.84</v>
      </c>
      <c r="I194" s="31" t="n">
        <v>810934</v>
      </c>
      <c r="J194" s="31" t="inlineStr">
        <is>
          <t>532497</t>
        </is>
      </c>
    </row>
    <row r="195">
      <c r="A195" s="31" t="inlineStr">
        <is>
          <t>TALBROAUTO</t>
        </is>
      </c>
      <c r="B195" s="31" t="inlineStr">
        <is>
          <t>Talbros Automotive Components Limited</t>
        </is>
      </c>
      <c r="C195" s="31" t="inlineStr">
        <is>
          <t>auto</t>
        </is>
      </c>
      <c r="D195" s="31" t="inlineStr">
        <is>
          <t>auto ancillaries</t>
        </is>
      </c>
      <c r="E195" s="31" t="inlineStr">
        <is>
          <t>smallcap</t>
        </is>
      </c>
      <c r="F195" s="31" t="n">
        <v>2613.88</v>
      </c>
      <c r="G195" s="31" t="n">
        <v>426.95</v>
      </c>
      <c r="H195" s="31" t="n">
        <v>0.83</v>
      </c>
      <c r="I195" s="31" t="n">
        <v>77394</v>
      </c>
      <c r="J195" s="31" t="inlineStr">
        <is>
          <t>505160</t>
        </is>
      </c>
    </row>
    <row r="196">
      <c r="A196" s="31" t="inlineStr">
        <is>
          <t>PRUDENT</t>
        </is>
      </c>
      <c r="B196" s="31" t="inlineStr">
        <is>
          <t>Prudent Corporate Advisory Services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midcap</t>
        </is>
      </c>
      <c r="F196" s="31" t="n">
        <v>13821.55</v>
      </c>
      <c r="G196" s="31" t="n">
        <v>3365</v>
      </c>
      <c r="H196" s="31" t="n">
        <v>0.8100000000000001</v>
      </c>
      <c r="I196" s="31" t="n">
        <v>16403</v>
      </c>
      <c r="J196" s="31" t="inlineStr">
        <is>
          <t>543527</t>
        </is>
      </c>
    </row>
    <row r="197">
      <c r="A197" s="31" t="inlineStr">
        <is>
          <t>HAL</t>
        </is>
      </c>
      <c r="B197" s="31" t="inlineStr">
        <is>
          <t>Hindustan Aeronautics Ltd</t>
        </is>
      </c>
      <c r="C197" s="31" t="inlineStr">
        <is>
          <t>aerospace &amp; defence</t>
        </is>
      </c>
      <c r="D197" s="31" t="inlineStr">
        <is>
          <t>engineering</t>
        </is>
      </c>
      <c r="E197" s="31" t="inlineStr">
        <is>
          <t>largecap</t>
        </is>
      </c>
      <c r="F197" s="31" t="n">
        <v>338333.27</v>
      </c>
      <c r="G197" s="31" t="n">
        <v>5099</v>
      </c>
      <c r="H197" s="31" t="n">
        <v>0.79</v>
      </c>
      <c r="I197" s="31" t="n">
        <v>3648533</v>
      </c>
      <c r="J197" s="31" t="inlineStr">
        <is>
          <t>541154</t>
        </is>
      </c>
    </row>
    <row r="198">
      <c r="A198" s="31" t="inlineStr">
        <is>
          <t>DBOL</t>
        </is>
      </c>
      <c r="B198" s="31" t="inlineStr">
        <is>
          <t>Dhampur Bio Organics Ltd</t>
        </is>
      </c>
      <c r="C198" s="31" t="inlineStr">
        <is>
          <t>fmcg</t>
        </is>
      </c>
      <c r="D198" s="31" t="inlineStr">
        <is>
          <t>sugar</t>
        </is>
      </c>
      <c r="E198" s="31" t="inlineStr">
        <is>
          <t>smallcap</t>
        </is>
      </c>
      <c r="F198" s="31" t="n">
        <v>803.8200000000001</v>
      </c>
      <c r="G198" s="31" t="n">
        <v>121.99</v>
      </c>
      <c r="H198" s="31" t="n">
        <v>0.75</v>
      </c>
      <c r="I198" s="31" t="n">
        <v>1117878</v>
      </c>
      <c r="J198" s="31" t="inlineStr">
        <is>
          <t>543593</t>
        </is>
      </c>
    </row>
    <row r="199">
      <c r="A199" s="31" t="inlineStr">
        <is>
          <t>SIRCA</t>
        </is>
      </c>
      <c r="B199" s="31" t="inlineStr">
        <is>
          <t>Sirca Paints India Ltd</t>
        </is>
      </c>
      <c r="C199" s="31" t="inlineStr">
        <is>
          <t>building materials</t>
        </is>
      </c>
      <c r="D199" s="31" t="inlineStr">
        <is>
          <t>paints / varnishes</t>
        </is>
      </c>
      <c r="E199" s="31" t="inlineStr">
        <is>
          <t>smallcap</t>
        </is>
      </c>
      <c r="F199" s="31" t="n">
        <v>2495.76</v>
      </c>
      <c r="G199" s="31" t="n">
        <v>442.7</v>
      </c>
      <c r="H199" s="31" t="n">
        <v>0.74</v>
      </c>
      <c r="I199" s="31" t="n">
        <v>920331</v>
      </c>
      <c r="J199" s="31" t="inlineStr">
        <is>
          <t>535083</t>
        </is>
      </c>
    </row>
    <row r="200">
      <c r="A200" s="31" t="inlineStr">
        <is>
          <t>CHEMBONDCH</t>
        </is>
      </c>
      <c r="B200" s="31" t="inlineStr">
        <is>
          <t>Chembond Chemicals Ltd</t>
        </is>
      </c>
      <c r="C200" s="31" t="inlineStr">
        <is>
          <t>chemicals</t>
        </is>
      </c>
      <c r="D200" s="31" t="inlineStr">
        <is>
          <t>chemicals</t>
        </is>
      </c>
      <c r="E200" s="31" t="inlineStr">
        <is>
          <t>smallcap</t>
        </is>
      </c>
      <c r="F200" s="31" t="n">
        <v>709.24</v>
      </c>
      <c r="G200" s="31" t="n">
        <v>265.5</v>
      </c>
      <c r="H200" s="31" t="n">
        <v>0.6899999999999999</v>
      </c>
      <c r="I200" s="31" t="n">
        <v>10554</v>
      </c>
      <c r="J200" s="31" t="inlineStr">
        <is>
          <t>544450</t>
        </is>
      </c>
    </row>
    <row r="201">
      <c r="A201" s="31" t="inlineStr">
        <is>
          <t>MAZDOCK</t>
        </is>
      </c>
      <c r="B201" s="31" t="inlineStr">
        <is>
          <t>Mazagon Dock Shipbuilders Ltd</t>
        </is>
      </c>
      <c r="C201" s="31" t="inlineStr">
        <is>
          <t>aerospace &amp; defence</t>
        </is>
      </c>
      <c r="D201" s="31" t="inlineStr">
        <is>
          <t>miscellaneous</t>
        </is>
      </c>
      <c r="E201" s="31" t="inlineStr">
        <is>
          <t>largecap</t>
        </is>
      </c>
      <c r="F201" s="31" t="n">
        <v>103656.56</v>
      </c>
      <c r="G201" s="31" t="n">
        <v>2587</v>
      </c>
      <c r="H201" s="31" t="n">
        <v>0.67</v>
      </c>
      <c r="I201" s="31" t="n">
        <v>3670755</v>
      </c>
      <c r="J201" s="31" t="inlineStr">
        <is>
          <t>543237</t>
        </is>
      </c>
    </row>
    <row r="202">
      <c r="A202" s="31" t="inlineStr">
        <is>
          <t>AARTIIND</t>
        </is>
      </c>
      <c r="B202" s="31" t="inlineStr">
        <is>
          <t>Aarti Industries Limited</t>
        </is>
      </c>
      <c r="C202" s="31" t="inlineStr">
        <is>
          <t>chemicals</t>
        </is>
      </c>
      <c r="D202" s="31" t="inlineStr">
        <is>
          <t>chemicals</t>
        </is>
      </c>
      <c r="E202" s="31" t="inlineStr">
        <is>
          <t>midcap</t>
        </is>
      </c>
      <c r="F202" s="31" t="n">
        <v>19104.82</v>
      </c>
      <c r="G202" s="31" t="n">
        <v>530.1</v>
      </c>
      <c r="H202" s="31" t="n">
        <v>0.65</v>
      </c>
      <c r="I202" s="31" t="n">
        <v>830442</v>
      </c>
      <c r="J202" s="31" t="inlineStr">
        <is>
          <t>524208</t>
        </is>
      </c>
    </row>
    <row r="203">
      <c r="A203" s="31" t="inlineStr">
        <is>
          <t>FINCABLES</t>
        </is>
      </c>
      <c r="B203" s="31" t="inlineStr">
        <is>
          <t>Finolex Cables Limited</t>
        </is>
      </c>
      <c r="C203" s="31" t="inlineStr">
        <is>
          <t>industrials</t>
        </is>
      </c>
      <c r="D203" s="31" t="inlineStr">
        <is>
          <t>cables - power</t>
        </is>
      </c>
      <c r="E203" s="31" t="inlineStr">
        <is>
          <t>largecap</t>
        </is>
      </c>
      <c r="F203" s="31" t="n">
        <v>20200.99</v>
      </c>
      <c r="G203" s="31" t="n">
        <v>1329.35</v>
      </c>
      <c r="H203" s="31" t="n">
        <v>0.64</v>
      </c>
      <c r="I203" s="31" t="n">
        <v>885223</v>
      </c>
      <c r="J203" s="31" t="inlineStr">
        <is>
          <t>500144</t>
        </is>
      </c>
    </row>
    <row r="204">
      <c r="A204" s="31" t="inlineStr">
        <is>
          <t>GPPL</t>
        </is>
      </c>
      <c r="B204" s="31" t="inlineStr">
        <is>
          <t>Gujarat Pipavav Port Limited</t>
        </is>
      </c>
      <c r="C204" s="31" t="inlineStr">
        <is>
          <t>transportation</t>
        </is>
      </c>
      <c r="D204" s="31" t="inlineStr">
        <is>
          <t>miscellaneous</t>
        </is>
      </c>
      <c r="E204" s="31" t="inlineStr">
        <is>
          <t>midcap</t>
        </is>
      </c>
      <c r="F204" s="31" t="n">
        <v>7714.25</v>
      </c>
      <c r="G204" s="31" t="n">
        <v>160.48</v>
      </c>
      <c r="H204" s="31" t="n">
        <v>0.57</v>
      </c>
      <c r="I204" s="31" t="n">
        <v>1891030</v>
      </c>
      <c r="J204" s="31" t="inlineStr">
        <is>
          <t>533248</t>
        </is>
      </c>
    </row>
    <row r="205">
      <c r="A205" s="31" t="inlineStr">
        <is>
          <t>ORIENTBELL</t>
        </is>
      </c>
      <c r="B205" s="31" t="inlineStr">
        <is>
          <t>Orient Bell Limited</t>
        </is>
      </c>
      <c r="C205" s="31" t="inlineStr">
        <is>
          <t>building materials</t>
        </is>
      </c>
      <c r="D205" s="31" t="inlineStr">
        <is>
          <t>ceramics - tiles / sanitaryware</t>
        </is>
      </c>
      <c r="E205" s="31" t="inlineStr">
        <is>
          <t>smallcap</t>
        </is>
      </c>
      <c r="F205" s="31" t="n">
        <v>513.47</v>
      </c>
      <c r="G205" s="31" t="n">
        <v>351</v>
      </c>
      <c r="H205" s="31" t="n">
        <v>0.5600000000000001</v>
      </c>
      <c r="I205" s="31" t="n">
        <v>31209</v>
      </c>
      <c r="J205" s="31" t="inlineStr">
        <is>
          <t>530365</t>
        </is>
      </c>
    </row>
    <row r="206">
      <c r="A206" s="31" t="inlineStr">
        <is>
          <t>STLTECH</t>
        </is>
      </c>
      <c r="B206" s="31" t="inlineStr">
        <is>
          <t>Sterlite Technologies Limited</t>
        </is>
      </c>
      <c r="C206" s="31" t="inlineStr">
        <is>
          <t>industrials</t>
        </is>
      </c>
      <c r="D206" s="31" t="inlineStr">
        <is>
          <t>cables - telephone</t>
        </is>
      </c>
      <c r="E206" s="31" t="inlineStr">
        <is>
          <t>largecap</t>
        </is>
      </c>
      <c r="F206" s="31" t="n">
        <v>33015.26</v>
      </c>
      <c r="G206" s="31" t="n">
        <v>646</v>
      </c>
      <c r="H206" s="31" t="n">
        <v>0.55</v>
      </c>
      <c r="I206" s="31" t="n">
        <v>1569305</v>
      </c>
      <c r="J206" s="31" t="inlineStr">
        <is>
          <t>532374</t>
        </is>
      </c>
    </row>
    <row r="207">
      <c r="A207" s="31" t="inlineStr">
        <is>
          <t>PVRINOX</t>
        </is>
      </c>
      <c r="B207" s="31" t="inlineStr">
        <is>
          <t>PVR Inox Ltd</t>
        </is>
      </c>
      <c r="C207" s="31" t="inlineStr">
        <is>
          <t>media</t>
        </is>
      </c>
      <c r="D207" s="31" t="inlineStr">
        <is>
          <t>entertainment / electronic media software</t>
        </is>
      </c>
      <c r="E207" s="31" t="inlineStr">
        <is>
          <t>midcap</t>
        </is>
      </c>
      <c r="F207" s="31" t="n">
        <v>11705.44</v>
      </c>
      <c r="G207" s="31" t="n">
        <v>1198.1</v>
      </c>
      <c r="H207" s="31" t="n">
        <v>0.51</v>
      </c>
      <c r="I207" s="31" t="n">
        <v>463276</v>
      </c>
      <c r="J207" s="31" t="inlineStr">
        <is>
          <t>532689</t>
        </is>
      </c>
    </row>
    <row r="208">
      <c r="A208" s="31" t="inlineStr">
        <is>
          <t>KOLTEPATIL</t>
        </is>
      </c>
      <c r="B208" s="31" t="inlineStr">
        <is>
          <t>Kolte - Patil Developers Limited</t>
        </is>
      </c>
      <c r="C208" s="31" t="inlineStr">
        <is>
          <t>realty</t>
        </is>
      </c>
      <c r="D208" s="31" t="inlineStr">
        <is>
          <t>construction</t>
        </is>
      </c>
      <c r="E208" s="31" t="inlineStr">
        <is>
          <t>smallcap</t>
        </is>
      </c>
      <c r="F208" s="31" t="n">
        <v>4182.6</v>
      </c>
      <c r="G208" s="31" t="n">
        <v>473.95</v>
      </c>
      <c r="H208" s="31" t="n">
        <v>0.49</v>
      </c>
      <c r="I208" s="31" t="n">
        <v>89988</v>
      </c>
      <c r="J208" s="31" t="inlineStr">
        <is>
          <t>532924</t>
        </is>
      </c>
    </row>
    <row r="209">
      <c r="A209" s="31" t="inlineStr">
        <is>
          <t>TBOTEK</t>
        </is>
      </c>
      <c r="B209" s="31" t="inlineStr">
        <is>
          <t>TBO Tek Ltd</t>
        </is>
      </c>
      <c r="C209" s="31" t="inlineStr">
        <is>
          <t>i.t</t>
        </is>
      </c>
      <c r="D209" s="31" t="inlineStr">
        <is>
          <t>travel agencies</t>
        </is>
      </c>
      <c r="E209" s="31" t="inlineStr">
        <is>
          <t>midcap</t>
        </is>
      </c>
      <c r="F209" s="31" t="n">
        <v>18459.92</v>
      </c>
      <c r="G209" s="31" t="n">
        <v>1708.2</v>
      </c>
      <c r="H209" s="31" t="n">
        <v>0.48</v>
      </c>
      <c r="I209" s="31" t="n">
        <v>371186</v>
      </c>
      <c r="J209" s="31" t="inlineStr">
        <is>
          <t>544174</t>
        </is>
      </c>
    </row>
    <row r="210">
      <c r="A210" s="31" t="inlineStr">
        <is>
          <t>ENTERO</t>
        </is>
      </c>
      <c r="B210" s="31" t="inlineStr">
        <is>
          <t>Entero Healthcare Solutions Ltd</t>
        </is>
      </c>
      <c r="C210" s="31" t="inlineStr">
        <is>
          <t>healthcare</t>
        </is>
      </c>
      <c r="D210" s="31" t="inlineStr">
        <is>
          <t>trading</t>
        </is>
      </c>
      <c r="E210" s="31" t="inlineStr">
        <is>
          <t>midcap</t>
        </is>
      </c>
      <c r="F210" s="31" t="n">
        <v>6100.19</v>
      </c>
      <c r="G210" s="31" t="n">
        <v>1408.2</v>
      </c>
      <c r="H210" s="31" t="n">
        <v>0.47</v>
      </c>
      <c r="I210" s="31" t="n">
        <v>113746</v>
      </c>
      <c r="J210" s="31" t="inlineStr">
        <is>
          <t>544122</t>
        </is>
      </c>
    </row>
    <row r="211">
      <c r="A211" s="31" t="inlineStr">
        <is>
          <t>BAJFINANCE</t>
        </is>
      </c>
      <c r="B211" s="31" t="inlineStr">
        <is>
          <t>Bajaj Finance Limited</t>
        </is>
      </c>
      <c r="C211" s="31" t="inlineStr">
        <is>
          <t>financials</t>
        </is>
      </c>
      <c r="D211" s="31" t="inlineStr">
        <is>
          <t>finance &amp; investments</t>
        </is>
      </c>
      <c r="E211" s="31" t="inlineStr">
        <is>
          <t>largecap</t>
        </is>
      </c>
      <c r="F211" s="31" t="n">
        <v>678193.2</v>
      </c>
      <c r="G211" s="31" t="n">
        <v>1094.3</v>
      </c>
      <c r="H211" s="31" t="n">
        <v>0.46</v>
      </c>
      <c r="I211" s="31" t="n">
        <v>9448095</v>
      </c>
      <c r="J211" s="31" t="inlineStr">
        <is>
          <t>500034</t>
        </is>
      </c>
    </row>
    <row r="212">
      <c r="A212" s="31" t="inlineStr">
        <is>
          <t>GUJALKALI</t>
        </is>
      </c>
      <c r="B212" s="31" t="inlineStr">
        <is>
          <t>Gujarat Alkalies And Chemicals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smallcap</t>
        </is>
      </c>
      <c r="F212" s="31" t="n">
        <v>4997.02</v>
      </c>
      <c r="G212" s="31" t="n">
        <v>683.5</v>
      </c>
      <c r="H212" s="31" t="n">
        <v>0.45</v>
      </c>
      <c r="I212" s="31" t="n">
        <v>48455</v>
      </c>
      <c r="J212" s="31" t="inlineStr">
        <is>
          <t>530001</t>
        </is>
      </c>
    </row>
    <row r="213">
      <c r="A213" s="31" t="inlineStr">
        <is>
          <t>INNOVACAP</t>
        </is>
      </c>
      <c r="B213" s="31" t="inlineStr">
        <is>
          <t>Innova Captab Ltd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midcap</t>
        </is>
      </c>
      <c r="F213" s="31" t="n">
        <v>5942.52</v>
      </c>
      <c r="G213" s="31" t="n">
        <v>1043</v>
      </c>
      <c r="H213" s="31" t="n">
        <v>0.44</v>
      </c>
      <c r="I213" s="31" t="n">
        <v>27162</v>
      </c>
      <c r="J213" s="31" t="inlineStr">
        <is>
          <t>544067</t>
        </is>
      </c>
    </row>
    <row r="214">
      <c r="A214" s="31" t="inlineStr">
        <is>
          <t>GUFICBIO</t>
        </is>
      </c>
      <c r="B214" s="31" t="inlineStr">
        <is>
          <t>Gufic Biosciences Limited</t>
        </is>
      </c>
      <c r="C214" s="31" t="inlineStr">
        <is>
          <t>healthcare</t>
        </is>
      </c>
      <c r="D214" s="31" t="inlineStr">
        <is>
          <t>pharmaceuticals - indian - bulk drugs &amp; formln</t>
        </is>
      </c>
      <c r="E214" s="31" t="inlineStr">
        <is>
          <t>smallcap</t>
        </is>
      </c>
      <c r="F214" s="31" t="n">
        <v>4193.81</v>
      </c>
      <c r="G214" s="31" t="n">
        <v>420.05</v>
      </c>
      <c r="H214" s="31" t="n">
        <v>0.44</v>
      </c>
      <c r="I214" s="31" t="n">
        <v>120133</v>
      </c>
      <c r="J214" s="31" t="inlineStr">
        <is>
          <t>509079</t>
        </is>
      </c>
    </row>
    <row r="215">
      <c r="A215" s="31" t="inlineStr">
        <is>
          <t>SMCGLOBAL</t>
        </is>
      </c>
      <c r="B215" s="31" t="inlineStr">
        <is>
          <t>SMC Global Securities Ltd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1683.79</v>
      </c>
      <c r="G215" s="31" t="n">
        <v>80.75</v>
      </c>
      <c r="H215" s="31" t="n">
        <v>0.42</v>
      </c>
      <c r="I215" s="31" t="n">
        <v>433331</v>
      </c>
      <c r="J215" s="31" t="inlineStr">
        <is>
          <t>543263</t>
        </is>
      </c>
    </row>
    <row r="216">
      <c r="A216" s="31" t="inlineStr">
        <is>
          <t>AYMSYNTEX</t>
        </is>
      </c>
      <c r="B216" s="31" t="inlineStr">
        <is>
          <t>Aym Syntex Limited</t>
        </is>
      </c>
      <c r="C216" s="31" t="inlineStr">
        <is>
          <t>textiles</t>
        </is>
      </c>
      <c r="D216" s="31" t="inlineStr">
        <is>
          <t>textiles - processing</t>
        </is>
      </c>
      <c r="E216" s="31" t="inlineStr">
        <is>
          <t>smallcap</t>
        </is>
      </c>
      <c r="F216" s="31" t="n">
        <v>1596.98</v>
      </c>
      <c r="G216" s="31" t="n">
        <v>273</v>
      </c>
      <c r="H216" s="31" t="n">
        <v>0.4</v>
      </c>
      <c r="I216" s="31" t="n">
        <v>26619</v>
      </c>
      <c r="J216" s="31" t="inlineStr">
        <is>
          <t>508933</t>
        </is>
      </c>
    </row>
    <row r="217">
      <c r="A217" s="31" t="inlineStr">
        <is>
          <t>ALIVUS</t>
        </is>
      </c>
      <c r="B217" s="31" t="inlineStr">
        <is>
          <t>Alivus Life Sciences Ltd</t>
        </is>
      </c>
      <c r="C217" s="31" t="inlineStr">
        <is>
          <t>healthcare</t>
        </is>
      </c>
      <c r="D217" s="31" t="inlineStr">
        <is>
          <t>pharmaceuticals - indian - bulk drugs &amp; formln</t>
        </is>
      </c>
      <c r="E217" s="31" t="inlineStr">
        <is>
          <t>midcap</t>
        </is>
      </c>
      <c r="F217" s="31" t="n">
        <v>17114.36</v>
      </c>
      <c r="G217" s="31" t="n">
        <v>1400</v>
      </c>
      <c r="H217" s="31" t="n">
        <v>0.4</v>
      </c>
      <c r="I217" s="31" t="n">
        <v>141640</v>
      </c>
      <c r="J217" s="31" t="inlineStr">
        <is>
          <t>543322</t>
        </is>
      </c>
    </row>
    <row r="218">
      <c r="A218" s="31" t="inlineStr">
        <is>
          <t>UNIMECH</t>
        </is>
      </c>
      <c r="B218" s="31" t="inlineStr">
        <is>
          <t>Unimech Aerospace and Manufacturing Ltd</t>
        </is>
      </c>
      <c r="C218" s="31" t="inlineStr">
        <is>
          <t>aerospace &amp; defence</t>
        </is>
      </c>
      <c r="D218" s="31" t="inlineStr">
        <is>
          <t>engineering</t>
        </is>
      </c>
      <c r="E218" s="31" t="inlineStr">
        <is>
          <t>midcap</t>
        </is>
      </c>
      <c r="F218" s="31" t="n">
        <v>7686</v>
      </c>
      <c r="G218" s="31" t="n">
        <v>1517.4</v>
      </c>
      <c r="H218" s="31" t="n">
        <v>0.4</v>
      </c>
      <c r="I218" s="31" t="n">
        <v>194130</v>
      </c>
      <c r="J218" s="31" t="inlineStr">
        <is>
          <t>544322</t>
        </is>
      </c>
    </row>
    <row r="219">
      <c r="A219" s="31" t="inlineStr">
        <is>
          <t>TI</t>
        </is>
      </c>
      <c r="B219" s="31" t="inlineStr">
        <is>
          <t>Tilaknagar Industries Limited</t>
        </is>
      </c>
      <c r="C219" s="31" t="inlineStr">
        <is>
          <t>fmcg</t>
        </is>
      </c>
      <c r="D219" s="31" t="inlineStr">
        <is>
          <t>breweries &amp; distilleries</t>
        </is>
      </c>
      <c r="E219" s="31" t="inlineStr">
        <is>
          <t>midcap</t>
        </is>
      </c>
      <c r="F219" s="31" t="n">
        <v>14367.1</v>
      </c>
      <c r="G219" s="31" t="n">
        <v>582.8</v>
      </c>
      <c r="H219" s="31" t="n">
        <v>0.39</v>
      </c>
      <c r="I219" s="31" t="n">
        <v>917349</v>
      </c>
      <c r="J219" s="31" t="inlineStr">
        <is>
          <t>507205</t>
        </is>
      </c>
    </row>
    <row r="220">
      <c r="A220" s="31" t="inlineStr">
        <is>
          <t>RBLBANK</t>
        </is>
      </c>
      <c r="B220" s="31" t="inlineStr">
        <is>
          <t>Rbl Bank Limited</t>
        </is>
      </c>
      <c r="C220" s="31" t="inlineStr">
        <is>
          <t>bank</t>
        </is>
      </c>
      <c r="D220" s="31" t="inlineStr">
        <is>
          <t>banks - private sector</t>
        </is>
      </c>
      <c r="E220" s="31" t="inlineStr">
        <is>
          <t>largecap</t>
        </is>
      </c>
      <c r="F220" s="31" t="n">
        <v>59077.49</v>
      </c>
      <c r="G220" s="31" t="n">
        <v>383</v>
      </c>
      <c r="H220" s="31" t="n">
        <v>0.39</v>
      </c>
      <c r="I220" s="31" t="n">
        <v>4634407</v>
      </c>
      <c r="J220" s="31" t="inlineStr">
        <is>
          <t>540065</t>
        </is>
      </c>
    </row>
    <row r="221">
      <c r="A221" s="31" t="inlineStr">
        <is>
          <t>SUMICHEM</t>
        </is>
      </c>
      <c r="B221" s="31" t="inlineStr">
        <is>
          <t>Sumitomo Chemical India Ltd</t>
        </is>
      </c>
      <c r="C221" s="31" t="inlineStr">
        <is>
          <t>chemicals</t>
        </is>
      </c>
      <c r="D221" s="31" t="inlineStr">
        <is>
          <t>pesticides / agrochemicals - indian</t>
        </is>
      </c>
      <c r="E221" s="31" t="inlineStr">
        <is>
          <t>largecap</t>
        </is>
      </c>
      <c r="F221" s="31" t="n">
        <v>27942.18</v>
      </c>
      <c r="G221" s="31" t="n">
        <v>561.9</v>
      </c>
      <c r="H221" s="31" t="n">
        <v>0.38</v>
      </c>
      <c r="I221" s="31" t="n">
        <v>359927</v>
      </c>
      <c r="J221" s="31" t="inlineStr">
        <is>
          <t>542920</t>
        </is>
      </c>
    </row>
    <row r="222">
      <c r="A222" s="31" t="inlineStr">
        <is>
          <t>SIEMENS</t>
        </is>
      </c>
      <c r="B222" s="31" t="inlineStr">
        <is>
          <t>Siemens Limited</t>
        </is>
      </c>
      <c r="C222" s="31" t="inlineStr">
        <is>
          <t>industrials</t>
        </is>
      </c>
      <c r="D222" s="31" t="inlineStr">
        <is>
          <t>electric equipment</t>
        </is>
      </c>
      <c r="E222" s="31" t="inlineStr">
        <is>
          <t>largecap</t>
        </is>
      </c>
      <c r="F222" s="31" t="n">
        <v>140418.32</v>
      </c>
      <c r="G222" s="31" t="n">
        <v>3957</v>
      </c>
      <c r="H222" s="31" t="n">
        <v>0.36</v>
      </c>
      <c r="I222" s="31" t="n">
        <v>234820</v>
      </c>
      <c r="J222" s="31" t="inlineStr">
        <is>
          <t>500550</t>
        </is>
      </c>
    </row>
    <row r="223">
      <c r="A223" s="31" t="inlineStr">
        <is>
          <t>AUBANK</t>
        </is>
      </c>
      <c r="B223" s="31" t="inlineStr">
        <is>
          <t>AU Small Finance Bank Ltd</t>
        </is>
      </c>
      <c r="C223" s="31" t="inlineStr">
        <is>
          <t>bank</t>
        </is>
      </c>
      <c r="D223" s="31" t="inlineStr">
        <is>
          <t>banks - private sector</t>
        </is>
      </c>
      <c r="E223" s="31" t="inlineStr">
        <is>
          <t>largecap</t>
        </is>
      </c>
      <c r="F223" s="31" t="n">
        <v>80304.77</v>
      </c>
      <c r="G223" s="31" t="n">
        <v>1075.7</v>
      </c>
      <c r="H223" s="31" t="n">
        <v>0.33</v>
      </c>
      <c r="I223" s="31" t="n">
        <v>879847</v>
      </c>
      <c r="J223" s="31" t="inlineStr">
        <is>
          <t>540611</t>
        </is>
      </c>
    </row>
    <row r="224">
      <c r="A224" s="31" t="inlineStr">
        <is>
          <t>NRBBEARING</t>
        </is>
      </c>
      <c r="B224" s="31" t="inlineStr">
        <is>
          <t>Nrb Bearing Limited</t>
        </is>
      </c>
      <c r="C224" s="31" t="inlineStr">
        <is>
          <t>industrials</t>
        </is>
      </c>
      <c r="D224" s="31" t="inlineStr">
        <is>
          <t>bearings</t>
        </is>
      </c>
      <c r="E224" s="31" t="inlineStr">
        <is>
          <t>smallcap</t>
        </is>
      </c>
      <c r="F224" s="31" t="n">
        <v>4691.54</v>
      </c>
      <c r="G224" s="31" t="n">
        <v>485.6</v>
      </c>
      <c r="H224" s="31" t="n">
        <v>0.32</v>
      </c>
      <c r="I224" s="31" t="n">
        <v>507018</v>
      </c>
      <c r="J224" s="31" t="inlineStr">
        <is>
          <t>530367</t>
        </is>
      </c>
    </row>
    <row r="225">
      <c r="A225" s="31" t="inlineStr">
        <is>
          <t>VRLLOG</t>
        </is>
      </c>
      <c r="B225" s="31" t="inlineStr">
        <is>
          <t>Vrl Logistics Limited</t>
        </is>
      </c>
      <c r="C225" s="31" t="inlineStr">
        <is>
          <t>transportation</t>
        </is>
      </c>
      <c r="D225" s="31" t="inlineStr">
        <is>
          <t>miscellaneous</t>
        </is>
      </c>
      <c r="E225" s="31" t="inlineStr">
        <is>
          <t>midcap</t>
        </is>
      </c>
      <c r="F225" s="31" t="n">
        <v>5181.63</v>
      </c>
      <c r="G225" s="31" t="n">
        <v>297.15</v>
      </c>
      <c r="H225" s="31" t="n">
        <v>0.32</v>
      </c>
      <c r="I225" s="31" t="n">
        <v>128724</v>
      </c>
      <c r="J225" s="31" t="inlineStr">
        <is>
          <t>539118</t>
        </is>
      </c>
    </row>
    <row r="226">
      <c r="A226" s="31" t="inlineStr">
        <is>
          <t>UNIVCABLES</t>
        </is>
      </c>
      <c r="B226" s="31" t="inlineStr">
        <is>
          <t>Universal Cables Limited</t>
        </is>
      </c>
      <c r="C226" s="31" t="inlineStr">
        <is>
          <t>industrials</t>
        </is>
      </c>
      <c r="D226" s="31" t="inlineStr">
        <is>
          <t>cables - power</t>
        </is>
      </c>
      <c r="E226" s="31" t="inlineStr">
        <is>
          <t>midcap</t>
        </is>
      </c>
      <c r="F226" s="31" t="n">
        <v>5983.57</v>
      </c>
      <c r="G226" s="31" t="n">
        <v>1730</v>
      </c>
      <c r="H226" s="31" t="n">
        <v>0.31</v>
      </c>
      <c r="I226" s="31" t="n">
        <v>125726</v>
      </c>
      <c r="J226" s="31" t="inlineStr">
        <is>
          <t>504212</t>
        </is>
      </c>
    </row>
    <row r="227">
      <c r="A227" s="31" t="inlineStr">
        <is>
          <t>BAJAJFINSV</t>
        </is>
      </c>
      <c r="B227" s="31" t="inlineStr">
        <is>
          <t>Bajaj Finserv Limited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320910.27</v>
      </c>
      <c r="G227" s="31" t="n">
        <v>2011.2</v>
      </c>
      <c r="H227" s="31" t="n">
        <v>0.31</v>
      </c>
      <c r="I227" s="31" t="n">
        <v>1172273</v>
      </c>
      <c r="J227" s="31" t="inlineStr">
        <is>
          <t>532978</t>
        </is>
      </c>
    </row>
    <row r="228">
      <c r="A228" s="31" t="inlineStr">
        <is>
          <t>PIDILITIND</t>
        </is>
      </c>
      <c r="B228" s="31" t="inlineStr">
        <is>
          <t>Pidilite Industries Limited</t>
        </is>
      </c>
      <c r="C228" s="31" t="inlineStr">
        <is>
          <t>chemicals</t>
        </is>
      </c>
      <c r="D228" s="31" t="inlineStr">
        <is>
          <t>chemicals</t>
        </is>
      </c>
      <c r="E228" s="31" t="inlineStr">
        <is>
          <t>largecap</t>
        </is>
      </c>
      <c r="F228" s="31" t="n">
        <v>169866.71</v>
      </c>
      <c r="G228" s="31" t="n">
        <v>1674</v>
      </c>
      <c r="H228" s="31" t="n">
        <v>0.3</v>
      </c>
      <c r="I228" s="31" t="n">
        <v>1268789</v>
      </c>
      <c r="J228" s="31" t="inlineStr">
        <is>
          <t>500331</t>
        </is>
      </c>
    </row>
    <row r="229">
      <c r="A229" s="31" t="inlineStr">
        <is>
          <t>HITECHCORP</t>
        </is>
      </c>
      <c r="B229" s="31" t="inlineStr">
        <is>
          <t>Hitech Corporation</t>
        </is>
      </c>
      <c r="C229" s="31" t="inlineStr">
        <is>
          <t>industrials</t>
        </is>
      </c>
      <c r="D229" s="31" t="inlineStr">
        <is>
          <t>packaging</t>
        </is>
      </c>
      <c r="E229" s="31" t="inlineStr">
        <is>
          <t>smallcap</t>
        </is>
      </c>
      <c r="F229" s="31" t="n">
        <v>567.0599999999999</v>
      </c>
      <c r="G229" s="31" t="n">
        <v>331.05</v>
      </c>
      <c r="H229" s="31" t="n">
        <v>0.27</v>
      </c>
      <c r="I229" s="31" t="n">
        <v>8174</v>
      </c>
      <c r="J229" s="31" t="inlineStr">
        <is>
          <t>526217</t>
        </is>
      </c>
    </row>
    <row r="230">
      <c r="A230" s="31" t="inlineStr">
        <is>
          <t>NIACL</t>
        </is>
      </c>
      <c r="B230" s="31" t="inlineStr">
        <is>
          <t>New India Assurance Company Ltd</t>
        </is>
      </c>
      <c r="C230" s="31" t="inlineStr">
        <is>
          <t>financials</t>
        </is>
      </c>
      <c r="D230" s="31" t="inlineStr">
        <is>
          <t>finance &amp; investments</t>
        </is>
      </c>
      <c r="E230" s="31" t="inlineStr">
        <is>
          <t>largecap</t>
        </is>
      </c>
      <c r="F230" s="31" t="n">
        <v>30263.87</v>
      </c>
      <c r="G230" s="31" t="n">
        <v>184.08</v>
      </c>
      <c r="H230" s="31" t="n">
        <v>0.24</v>
      </c>
      <c r="I230" s="31" t="n">
        <v>1033947</v>
      </c>
      <c r="J230" s="31" t="inlineStr">
        <is>
          <t>540769</t>
        </is>
      </c>
    </row>
    <row r="231">
      <c r="A231" s="31" t="inlineStr">
        <is>
          <t>LAURUSLABS</t>
        </is>
      </c>
      <c r="B231" s="31" t="inlineStr">
        <is>
          <t>Laurus Labs Limited</t>
        </is>
      </c>
      <c r="C231" s="31" t="inlineStr">
        <is>
          <t>healthcare</t>
        </is>
      </c>
      <c r="D231" s="31" t="inlineStr">
        <is>
          <t>pharmaceuticals - indian - bulk drugs &amp; formln</t>
        </is>
      </c>
      <c r="E231" s="31" t="inlineStr">
        <is>
          <t>largecap</t>
        </is>
      </c>
      <c r="F231" s="31" t="n">
        <v>97768.97</v>
      </c>
      <c r="G231" s="31" t="n">
        <v>1814</v>
      </c>
      <c r="H231" s="31" t="n">
        <v>0.24</v>
      </c>
      <c r="I231" s="31" t="n">
        <v>3803574</v>
      </c>
      <c r="J231" s="31" t="inlineStr">
        <is>
          <t>540222</t>
        </is>
      </c>
    </row>
    <row r="232">
      <c r="A232" s="31" t="inlineStr">
        <is>
          <t>UNOMINDA</t>
        </is>
      </c>
      <c r="B232" s="31" t="inlineStr">
        <is>
          <t>Uno Minda Ltd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largecap</t>
        </is>
      </c>
      <c r="F232" s="31" t="n">
        <v>73332.56</v>
      </c>
      <c r="G232" s="31" t="n">
        <v>1273</v>
      </c>
      <c r="H232" s="31" t="n">
        <v>0.24</v>
      </c>
      <c r="I232" s="31" t="n">
        <v>887630</v>
      </c>
      <c r="J232" s="31" t="inlineStr">
        <is>
          <t>532539</t>
        </is>
      </c>
    </row>
    <row r="233">
      <c r="A233" s="31" t="inlineStr">
        <is>
          <t>SBCL</t>
        </is>
      </c>
      <c r="B233" s="31" t="inlineStr">
        <is>
          <t>Shivalik Bimetal Controls Ltd</t>
        </is>
      </c>
      <c r="C233" s="31" t="inlineStr">
        <is>
          <t>metals &amp; mining</t>
        </is>
      </c>
      <c r="D233" s="31" t="inlineStr">
        <is>
          <t>mining / minerals / metals</t>
        </is>
      </c>
      <c r="E233" s="31" t="inlineStr">
        <is>
          <t>midcap</t>
        </is>
      </c>
      <c r="F233" s="31" t="n">
        <v>5902.13</v>
      </c>
      <c r="G233" s="31" t="n">
        <v>1026.85</v>
      </c>
      <c r="H233" s="31" t="n">
        <v>0.22</v>
      </c>
      <c r="I233" s="31" t="n">
        <v>215379</v>
      </c>
      <c r="J233" s="31" t="inlineStr">
        <is>
          <t>513097</t>
        </is>
      </c>
    </row>
    <row r="234">
      <c r="A234" s="31" t="inlineStr">
        <is>
          <t>DIAMONDYD</t>
        </is>
      </c>
      <c r="B234" s="31" t="inlineStr">
        <is>
          <t>Prataap Snacks Ltd</t>
        </is>
      </c>
      <c r="C234" s="31" t="inlineStr">
        <is>
          <t>fmcg</t>
        </is>
      </c>
      <c r="D234" s="31" t="inlineStr">
        <is>
          <t>food - processing - indian</t>
        </is>
      </c>
      <c r="E234" s="31" t="inlineStr">
        <is>
          <t>smallcap</t>
        </is>
      </c>
      <c r="F234" s="31" t="n">
        <v>2846.31</v>
      </c>
      <c r="G234" s="31" t="n">
        <v>1193</v>
      </c>
      <c r="H234" s="31" t="n">
        <v>0.22</v>
      </c>
      <c r="I234" s="31" t="n">
        <v>11075</v>
      </c>
      <c r="J234" s="31" t="inlineStr">
        <is>
          <t>540724</t>
        </is>
      </c>
    </row>
    <row r="235">
      <c r="A235" s="31" t="inlineStr">
        <is>
          <t>KOPRAN</t>
        </is>
      </c>
      <c r="B235" s="31" t="inlineStr">
        <is>
          <t>Kopran Limited</t>
        </is>
      </c>
      <c r="C235" s="31" t="inlineStr">
        <is>
          <t>healthcare</t>
        </is>
      </c>
      <c r="D235" s="31" t="inlineStr">
        <is>
          <t>pharmaceuticals - indian - bulk drugs &amp; formln</t>
        </is>
      </c>
      <c r="E235" s="31" t="inlineStr">
        <is>
          <t>smallcap</t>
        </is>
      </c>
      <c r="F235" s="31" t="n">
        <v>964.3099999999999</v>
      </c>
      <c r="G235" s="31" t="n">
        <v>200.07</v>
      </c>
      <c r="H235" s="31" t="n">
        <v>0.18</v>
      </c>
      <c r="I235" s="31" t="n">
        <v>220450</v>
      </c>
      <c r="J235" s="31" t="inlineStr">
        <is>
          <t>524280</t>
        </is>
      </c>
    </row>
    <row r="236">
      <c r="A236" s="31" t="inlineStr">
        <is>
          <t>MAXESTATES</t>
        </is>
      </c>
      <c r="B236" s="31" t="inlineStr">
        <is>
          <t>Max Estates Ltd</t>
        </is>
      </c>
      <c r="C236" s="31" t="inlineStr">
        <is>
          <t>realty</t>
        </is>
      </c>
      <c r="D236" s="31" t="inlineStr">
        <is>
          <t>construction</t>
        </is>
      </c>
      <c r="E236" s="31" t="inlineStr">
        <is>
          <t>midcap</t>
        </is>
      </c>
      <c r="F236" s="31" t="n">
        <v>7755.49</v>
      </c>
      <c r="G236" s="31" t="n">
        <v>475.2</v>
      </c>
      <c r="H236" s="31" t="n">
        <v>0.18</v>
      </c>
      <c r="I236" s="31" t="n">
        <v>324616</v>
      </c>
      <c r="J236" s="31" t="inlineStr">
        <is>
          <t>544008</t>
        </is>
      </c>
    </row>
    <row r="237">
      <c r="A237" s="31" t="inlineStr">
        <is>
          <t>UJJIVANSFB</t>
        </is>
      </c>
      <c r="B237" s="31" t="inlineStr">
        <is>
          <t>Ujjivan Small Finance Bank Ltd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midcap</t>
        </is>
      </c>
      <c r="F237" s="31" t="n">
        <v>14046.69</v>
      </c>
      <c r="G237" s="31" t="n">
        <v>72.33</v>
      </c>
      <c r="H237" s="31" t="n">
        <v>0.17</v>
      </c>
      <c r="I237" s="31" t="n">
        <v>11368833</v>
      </c>
      <c r="J237" s="31" t="inlineStr">
        <is>
          <t>542904</t>
        </is>
      </c>
    </row>
    <row r="238">
      <c r="A238" s="31" t="inlineStr">
        <is>
          <t>MRPL</t>
        </is>
      </c>
      <c r="B238" s="31" t="inlineStr">
        <is>
          <t>Mangalore Refinery And Petrochemicals Limited</t>
        </is>
      </c>
      <c r="C238" s="31" t="inlineStr">
        <is>
          <t>energy</t>
        </is>
      </c>
      <c r="D238" s="31" t="inlineStr">
        <is>
          <t>refineries</t>
        </is>
      </c>
      <c r="E238" s="31" t="inlineStr">
        <is>
          <t>largecap</t>
        </is>
      </c>
      <c r="F238" s="31" t="n">
        <v>31047.29</v>
      </c>
      <c r="G238" s="31" t="n">
        <v>177.44</v>
      </c>
      <c r="H238" s="31" t="n">
        <v>0.16</v>
      </c>
      <c r="I238" s="31" t="n">
        <v>48280540</v>
      </c>
      <c r="J238" s="31" t="inlineStr">
        <is>
          <t>500109</t>
        </is>
      </c>
    </row>
    <row r="239">
      <c r="A239" s="31" t="inlineStr">
        <is>
          <t>VINDHYATEL</t>
        </is>
      </c>
      <c r="B239" s="31" t="inlineStr">
        <is>
          <t>Vindhya Telelinks Limited</t>
        </is>
      </c>
      <c r="C239" s="31" t="inlineStr">
        <is>
          <t>realty</t>
        </is>
      </c>
      <c r="D239" s="31" t="inlineStr">
        <is>
          <t>construction</t>
        </is>
      </c>
      <c r="E239" s="31" t="inlineStr">
        <is>
          <t>smallcap</t>
        </is>
      </c>
      <c r="F239" s="31" t="n">
        <v>2946.84</v>
      </c>
      <c r="G239" s="31" t="n">
        <v>2490</v>
      </c>
      <c r="H239" s="31" t="n">
        <v>0.14</v>
      </c>
      <c r="I239" s="31" t="n">
        <v>36103</v>
      </c>
      <c r="J239" s="31" t="inlineStr">
        <is>
          <t>517015</t>
        </is>
      </c>
    </row>
    <row r="240">
      <c r="A240" s="31" t="inlineStr">
        <is>
          <t>NATIONALUM</t>
        </is>
      </c>
      <c r="B240" s="31" t="inlineStr">
        <is>
          <t>National Aluminium Company Limited</t>
        </is>
      </c>
      <c r="C240" s="31" t="inlineStr">
        <is>
          <t>metals &amp; mining</t>
        </is>
      </c>
      <c r="D240" s="31" t="inlineStr">
        <is>
          <t>aluminium and aluminium products</t>
        </is>
      </c>
      <c r="E240" s="31" t="inlineStr">
        <is>
          <t>largecap</t>
        </is>
      </c>
      <c r="F240" s="31" t="n">
        <v>71178.66</v>
      </c>
      <c r="G240" s="31" t="n">
        <v>388</v>
      </c>
      <c r="H240" s="31" t="n">
        <v>0.12</v>
      </c>
      <c r="I240" s="31" t="n">
        <v>8262664</v>
      </c>
      <c r="J240" s="31" t="inlineStr">
        <is>
          <t>532234</t>
        </is>
      </c>
    </row>
    <row r="241">
      <c r="A241" s="31" t="inlineStr">
        <is>
          <t>PRECWIRE</t>
        </is>
      </c>
      <c r="B241" s="31" t="inlineStr">
        <is>
          <t>Precision Wires India Limited</t>
        </is>
      </c>
      <c r="C241" s="31" t="inlineStr">
        <is>
          <t>metals &amp; mining</t>
        </is>
      </c>
      <c r="D241" s="31" t="inlineStr">
        <is>
          <t>mining / minerals / metals</t>
        </is>
      </c>
      <c r="E241" s="31" t="inlineStr">
        <is>
          <t>midcap</t>
        </is>
      </c>
      <c r="F241" s="31" t="n">
        <v>8368.040000000001</v>
      </c>
      <c r="G241" s="31" t="n">
        <v>458.2</v>
      </c>
      <c r="H241" s="31" t="n">
        <v>0.1</v>
      </c>
      <c r="I241" s="31" t="n">
        <v>383136</v>
      </c>
      <c r="J241" s="31" t="inlineStr">
        <is>
          <t>523539</t>
        </is>
      </c>
    </row>
    <row r="242">
      <c r="A242" s="31" t="inlineStr">
        <is>
          <t>POONAWALLA</t>
        </is>
      </c>
      <c r="B242" s="31" t="inlineStr">
        <is>
          <t>Poonawalla Fincorp Ltd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largecap</t>
        </is>
      </c>
      <c r="F242" s="31" t="n">
        <v>43800.41</v>
      </c>
      <c r="G242" s="31" t="n">
        <v>497.9</v>
      </c>
      <c r="H242" s="31" t="n">
        <v>0.09</v>
      </c>
      <c r="I242" s="31" t="n">
        <v>600609</v>
      </c>
      <c r="J242" s="31" t="inlineStr">
        <is>
          <t>524000</t>
        </is>
      </c>
    </row>
    <row r="243">
      <c r="A243" s="31" t="inlineStr">
        <is>
          <t>HCG</t>
        </is>
      </c>
      <c r="B243" s="31" t="inlineStr">
        <is>
          <t>Healthcare Global Enterprises Limited</t>
        </is>
      </c>
      <c r="C243" s="31" t="inlineStr">
        <is>
          <t>healthcare</t>
        </is>
      </c>
      <c r="D243" s="31" t="inlineStr">
        <is>
          <t>healthcare</t>
        </is>
      </c>
      <c r="E243" s="31" t="inlineStr">
        <is>
          <t>midcap</t>
        </is>
      </c>
      <c r="F243" s="31" t="n">
        <v>10635.54</v>
      </c>
      <c r="G243" s="31" t="n">
        <v>713</v>
      </c>
      <c r="H243" s="31" t="n">
        <v>0.09</v>
      </c>
      <c r="I243" s="31" t="n">
        <v>101694</v>
      </c>
      <c r="J243" s="31" t="inlineStr">
        <is>
          <t>539787</t>
        </is>
      </c>
    </row>
    <row r="244">
      <c r="A244" s="31" t="inlineStr">
        <is>
          <t>SHILPAMED</t>
        </is>
      </c>
      <c r="B244" s="31" t="inlineStr">
        <is>
          <t>Shilpa Medicare Limited</t>
        </is>
      </c>
      <c r="C244" s="31" t="inlineStr">
        <is>
          <t>healthcare</t>
        </is>
      </c>
      <c r="D244" s="31" t="inlineStr">
        <is>
          <t>pharmaceuticals - indian - formulations</t>
        </is>
      </c>
      <c r="E244" s="31" t="inlineStr">
        <is>
          <t>midcap</t>
        </is>
      </c>
      <c r="F244" s="31" t="n">
        <v>15828.44</v>
      </c>
      <c r="G244" s="31" t="n">
        <v>809.8</v>
      </c>
      <c r="H244" s="31" t="n">
        <v>0.06</v>
      </c>
      <c r="I244" s="31" t="n">
        <v>606333</v>
      </c>
      <c r="J244" s="31" t="inlineStr">
        <is>
          <t>530549</t>
        </is>
      </c>
    </row>
    <row r="245">
      <c r="A245" s="31" t="inlineStr">
        <is>
          <t>SETL</t>
        </is>
      </c>
      <c r="B245" s="31" t="inlineStr">
        <is>
          <t>Standard Enginnering Technology Ltd</t>
        </is>
      </c>
      <c r="C245" s="31" t="inlineStr">
        <is>
          <t>industrials</t>
        </is>
      </c>
      <c r="D245" s="31" t="inlineStr">
        <is>
          <t>engineering</t>
        </is>
      </c>
      <c r="E245" s="31" t="inlineStr">
        <is>
          <t>midcap</t>
        </is>
      </c>
      <c r="F245" s="31" t="n">
        <v>6158.31</v>
      </c>
      <c r="G245" s="31" t="n">
        <v>308.85</v>
      </c>
      <c r="H245" s="31" t="n">
        <v>0.05</v>
      </c>
      <c r="I245" s="31" t="n">
        <v>871096</v>
      </c>
      <c r="J245" s="31" t="inlineStr">
        <is>
          <t>544333</t>
        </is>
      </c>
    </row>
    <row r="246">
      <c r="A246" s="31" t="inlineStr">
        <is>
          <t>AKUMS</t>
        </is>
      </c>
      <c r="B246" s="31" t="inlineStr">
        <is>
          <t>Akums Drugs &amp; Pharmaceuticals Ltd</t>
        </is>
      </c>
      <c r="C246" s="31" t="inlineStr">
        <is>
          <t>healthcare</t>
        </is>
      </c>
      <c r="D246" s="31" t="inlineStr">
        <is>
          <t>pharmaceuticals - indian - bulk drugs &amp; formln</t>
        </is>
      </c>
      <c r="E246" s="31" t="inlineStr">
        <is>
          <t>midcap</t>
        </is>
      </c>
      <c r="F246" s="31" t="n">
        <v>11710.11</v>
      </c>
      <c r="G246" s="31" t="n">
        <v>744.15</v>
      </c>
      <c r="H246" s="31" t="n">
        <v>0.02</v>
      </c>
      <c r="I246" s="31" t="n">
        <v>263637</v>
      </c>
      <c r="J246" s="31" t="inlineStr">
        <is>
          <t>544222</t>
        </is>
      </c>
    </row>
    <row r="247">
      <c r="A247" s="31" t="inlineStr">
        <is>
          <t>HEROMOTOCO</t>
        </is>
      </c>
      <c r="B247" s="31" t="inlineStr">
        <is>
          <t>Hero Motocorp Limited</t>
        </is>
      </c>
      <c r="C247" s="31" t="inlineStr">
        <is>
          <t>auto</t>
        </is>
      </c>
      <c r="D247" s="31" t="inlineStr">
        <is>
          <t>automobiles - motorcycles / mopeds</t>
        </is>
      </c>
      <c r="E247" s="31" t="inlineStr">
        <is>
          <t>largecap</t>
        </is>
      </c>
      <c r="F247" s="31" t="n">
        <v>114953.39</v>
      </c>
      <c r="G247" s="31" t="n">
        <v>5745.5</v>
      </c>
      <c r="H247" s="31" t="n">
        <v>0.01</v>
      </c>
      <c r="I247" s="31" t="n">
        <v>1402925</v>
      </c>
      <c r="J247" s="31" t="inlineStr">
        <is>
          <t>500182</t>
        </is>
      </c>
    </row>
    <row r="248">
      <c r="A248" s="31" t="inlineStr">
        <is>
          <t>SVLL</t>
        </is>
      </c>
      <c r="B248" s="31" t="inlineStr">
        <is>
          <t>Shree Vasu Logistics Ltd</t>
        </is>
      </c>
      <c r="C248" s="31" t="inlineStr">
        <is>
          <t>transportation</t>
        </is>
      </c>
      <c r="D248" s="31" t="inlineStr">
        <is>
          <t>miscellaneous</t>
        </is>
      </c>
      <c r="E248" s="31" t="inlineStr">
        <is>
          <t>smallcap</t>
        </is>
      </c>
      <c r="F248" s="31" t="n">
        <v>868.98</v>
      </c>
      <c r="G248" s="31" t="n">
        <v>756.05</v>
      </c>
      <c r="H248" s="31" t="n">
        <v>-0.02</v>
      </c>
      <c r="I248" s="31" t="n">
        <v>159</v>
      </c>
      <c r="J248" s="31" t="inlineStr">
        <is>
          <t>535084</t>
        </is>
      </c>
    </row>
    <row r="249">
      <c r="A249" s="31" t="inlineStr">
        <is>
          <t>KARURVYSYA</t>
        </is>
      </c>
      <c r="B249" s="31" t="inlineStr">
        <is>
          <t>Karur Vysya Bank Limited</t>
        </is>
      </c>
      <c r="C249" s="31" t="inlineStr">
        <is>
          <t>bank</t>
        </is>
      </c>
      <c r="D249" s="31" t="inlineStr">
        <is>
          <t>banks - private sector</t>
        </is>
      </c>
      <c r="E249" s="31" t="inlineStr">
        <is>
          <t>largecap</t>
        </is>
      </c>
      <c r="F249" s="31" t="n">
        <v>32286.74</v>
      </c>
      <c r="G249" s="31" t="n">
        <v>333.9</v>
      </c>
      <c r="H249" s="31" t="n">
        <v>-0.03</v>
      </c>
      <c r="I249" s="31" t="n">
        <v>1036705</v>
      </c>
      <c r="J249" s="31" t="inlineStr">
        <is>
          <t>590003</t>
        </is>
      </c>
    </row>
    <row r="250">
      <c r="A250" s="31" t="inlineStr">
        <is>
          <t>MUFIN</t>
        </is>
      </c>
      <c r="B250" s="31" t="inlineStr">
        <is>
          <t>Mufin Green Finance Ltd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smallcap</t>
        </is>
      </c>
      <c r="F250" s="31" t="n">
        <v>2692.43</v>
      </c>
      <c r="G250" s="31" t="n">
        <v>135.82</v>
      </c>
      <c r="H250" s="31" t="n">
        <v>-0.04</v>
      </c>
      <c r="I250" s="31" t="n">
        <v>718967</v>
      </c>
      <c r="J250" s="31" t="inlineStr">
        <is>
          <t>542774</t>
        </is>
      </c>
    </row>
    <row r="251">
      <c r="A251" s="31" t="inlineStr">
        <is>
          <t>KPIL</t>
        </is>
      </c>
      <c r="B251" s="31" t="inlineStr">
        <is>
          <t>Kalpataru Projects International Ltd</t>
        </is>
      </c>
      <c r="C251" s="31" t="inlineStr">
        <is>
          <t>realty</t>
        </is>
      </c>
      <c r="D251" s="31" t="inlineStr">
        <is>
          <t>transmisson line towers / equipment</t>
        </is>
      </c>
      <c r="E251" s="31" t="inlineStr">
        <is>
          <t>largecap</t>
        </is>
      </c>
      <c r="F251" s="31" t="n">
        <v>23979.88</v>
      </c>
      <c r="G251" s="31" t="n">
        <v>1403.5</v>
      </c>
      <c r="H251" s="31" t="n">
        <v>-0.05</v>
      </c>
      <c r="I251" s="31" t="n">
        <v>132037</v>
      </c>
      <c r="J251" s="31" t="inlineStr">
        <is>
          <t>522287</t>
        </is>
      </c>
    </row>
    <row r="252">
      <c r="A252" s="31" t="inlineStr">
        <is>
          <t>KRYSTAL</t>
        </is>
      </c>
      <c r="B252" s="31" t="inlineStr">
        <is>
          <t>Krystal Integrated Services Ltd</t>
        </is>
      </c>
      <c r="C252" s="31" t="inlineStr">
        <is>
          <t>miscellaneous</t>
        </is>
      </c>
      <c r="D252" s="31" t="inlineStr">
        <is>
          <t>miscellaneous</t>
        </is>
      </c>
      <c r="E252" s="31" t="inlineStr">
        <is>
          <t>smallcap</t>
        </is>
      </c>
      <c r="F252" s="31" t="n">
        <v>866.8200000000001</v>
      </c>
      <c r="G252" s="31" t="n">
        <v>620</v>
      </c>
      <c r="H252" s="31" t="n">
        <v>-0.06</v>
      </c>
      <c r="I252" s="31" t="n">
        <v>5861</v>
      </c>
      <c r="J252" s="31" t="inlineStr">
        <is>
          <t>544149</t>
        </is>
      </c>
    </row>
    <row r="253">
      <c r="A253" s="31" t="inlineStr">
        <is>
          <t>VADILALIND</t>
        </is>
      </c>
      <c r="B253" s="31" t="inlineStr">
        <is>
          <t>Vadilal Industries Limited</t>
        </is>
      </c>
      <c r="C253" s="31" t="inlineStr">
        <is>
          <t>fmcg</t>
        </is>
      </c>
      <c r="D253" s="31" t="inlineStr">
        <is>
          <t>food - processing - indian</t>
        </is>
      </c>
      <c r="E253" s="31" t="inlineStr">
        <is>
          <t>midcap</t>
        </is>
      </c>
      <c r="F253" s="31" t="n">
        <v>5326.9</v>
      </c>
      <c r="G253" s="31" t="n">
        <v>7406</v>
      </c>
      <c r="H253" s="31" t="n">
        <v>-0.07000000000000001</v>
      </c>
      <c r="I253" s="31" t="n">
        <v>23467</v>
      </c>
      <c r="J253" s="31" t="inlineStr">
        <is>
          <t>519156</t>
        </is>
      </c>
    </row>
    <row r="254">
      <c r="A254" s="31" t="inlineStr">
        <is>
          <t>NAUKRI</t>
        </is>
      </c>
      <c r="B254" s="31" t="inlineStr">
        <is>
          <t>Info Edge (india) Limited</t>
        </is>
      </c>
      <c r="C254" s="31" t="inlineStr">
        <is>
          <t>i.t</t>
        </is>
      </c>
      <c r="D254" s="31" t="inlineStr">
        <is>
          <t>miscellaneous</t>
        </is>
      </c>
      <c r="E254" s="31" t="inlineStr">
        <is>
          <t>largecap</t>
        </is>
      </c>
      <c r="F254" s="31" t="n">
        <v>87912.86</v>
      </c>
      <c r="G254" s="31" t="n">
        <v>1354.9</v>
      </c>
      <c r="H254" s="31" t="n">
        <v>-0.07000000000000001</v>
      </c>
      <c r="I254" s="31" t="n">
        <v>3040128</v>
      </c>
      <c r="J254" s="31" t="inlineStr">
        <is>
          <t>532777</t>
        </is>
      </c>
    </row>
    <row r="255">
      <c r="A255" s="31" t="inlineStr">
        <is>
          <t>ANANTRAJ</t>
        </is>
      </c>
      <c r="B255" s="31" t="inlineStr">
        <is>
          <t>Anant Raj Limited</t>
        </is>
      </c>
      <c r="C255" s="31" t="inlineStr">
        <is>
          <t>realty</t>
        </is>
      </c>
      <c r="D255" s="31" t="inlineStr">
        <is>
          <t>construction</t>
        </is>
      </c>
      <c r="E255" s="31" t="inlineStr">
        <is>
          <t>largecap</t>
        </is>
      </c>
      <c r="F255" s="31" t="n">
        <v>22584.08</v>
      </c>
      <c r="G255" s="31" t="n">
        <v>627.05</v>
      </c>
      <c r="H255" s="31" t="n">
        <v>-0.08</v>
      </c>
      <c r="I255" s="31" t="n">
        <v>1119263</v>
      </c>
      <c r="J255" s="31" t="inlineStr">
        <is>
          <t>515055</t>
        </is>
      </c>
    </row>
    <row r="256">
      <c r="A256" s="31" t="inlineStr">
        <is>
          <t>RKFORGE</t>
        </is>
      </c>
      <c r="B256" s="31" t="inlineStr">
        <is>
          <t>Ramkrishna Forgings Limited</t>
        </is>
      </c>
      <c r="C256" s="31" t="inlineStr">
        <is>
          <t>industrials</t>
        </is>
      </c>
      <c r="D256" s="31" t="inlineStr">
        <is>
          <t>castings &amp; forgings</t>
        </is>
      </c>
      <c r="E256" s="31" t="inlineStr">
        <is>
          <t>midcap</t>
        </is>
      </c>
      <c r="F256" s="31" t="n">
        <v>13753.84</v>
      </c>
      <c r="G256" s="31" t="n">
        <v>754.35</v>
      </c>
      <c r="H256" s="31" t="n">
        <v>-0.09</v>
      </c>
      <c r="I256" s="31" t="n">
        <v>858534</v>
      </c>
      <c r="J256" s="31" t="inlineStr">
        <is>
          <t>532527</t>
        </is>
      </c>
    </row>
    <row r="257">
      <c r="A257" s="31" t="inlineStr">
        <is>
          <t>BEL</t>
        </is>
      </c>
      <c r="B257" s="31" t="inlineStr">
        <is>
          <t>Bharat Electronics Limited</t>
        </is>
      </c>
      <c r="C257" s="31" t="inlineStr">
        <is>
          <t>aerospace &amp; defence</t>
        </is>
      </c>
      <c r="D257" s="31" t="inlineStr">
        <is>
          <t>electronics - components</t>
        </is>
      </c>
      <c r="E257" s="31" t="inlineStr">
        <is>
          <t>largecap</t>
        </is>
      </c>
      <c r="F257" s="31" t="n">
        <v>301491.83</v>
      </c>
      <c r="G257" s="31" t="n">
        <v>412</v>
      </c>
      <c r="H257" s="31" t="n">
        <v>-0.11</v>
      </c>
      <c r="I257" s="31" t="n">
        <v>26537039</v>
      </c>
      <c r="J257" s="31" t="inlineStr">
        <is>
          <t>500049</t>
        </is>
      </c>
    </row>
    <row r="258">
      <c r="A258" s="31" t="inlineStr">
        <is>
          <t>AVTNPL</t>
        </is>
      </c>
      <c r="B258" s="31" t="inlineStr">
        <is>
          <t>Avt Natural Products Limited</t>
        </is>
      </c>
      <c r="C258" s="31" t="inlineStr">
        <is>
          <t>fmcg</t>
        </is>
      </c>
      <c r="D258" s="31" t="inlineStr">
        <is>
          <t>solvent extraction</t>
        </is>
      </c>
      <c r="E258" s="31" t="inlineStr">
        <is>
          <t>smallcap</t>
        </is>
      </c>
      <c r="F258" s="31" t="n">
        <v>1341.62</v>
      </c>
      <c r="G258" s="31" t="n">
        <v>88</v>
      </c>
      <c r="H258" s="31" t="n">
        <v>-0.11</v>
      </c>
      <c r="I258" s="31" t="n">
        <v>1327148</v>
      </c>
      <c r="J258" s="31" t="inlineStr">
        <is>
          <t>519105</t>
        </is>
      </c>
    </row>
    <row r="259">
      <c r="A259" s="31" t="inlineStr">
        <is>
          <t>IPCALAB</t>
        </is>
      </c>
      <c r="B259" s="31" t="inlineStr">
        <is>
          <t>Ipca Laboratories Limited</t>
        </is>
      </c>
      <c r="C259" s="31" t="inlineStr">
        <is>
          <t>healthcare</t>
        </is>
      </c>
      <c r="D259" s="31" t="inlineStr">
        <is>
          <t>pharmaceuticals - indian - bulk drugs &amp; formln</t>
        </is>
      </c>
      <c r="E259" s="31" t="inlineStr">
        <is>
          <t>largecap</t>
        </is>
      </c>
      <c r="F259" s="31" t="n">
        <v>47813.1</v>
      </c>
      <c r="G259" s="31" t="n">
        <v>1882.1</v>
      </c>
      <c r="H259" s="31" t="n">
        <v>-0.13</v>
      </c>
      <c r="I259" s="31" t="n">
        <v>804585</v>
      </c>
      <c r="J259" s="31" t="inlineStr">
        <is>
          <t>524494</t>
        </is>
      </c>
    </row>
    <row r="260">
      <c r="A260" s="31" t="inlineStr">
        <is>
          <t>MAHSEAMLES</t>
        </is>
      </c>
      <c r="B260" s="31" t="inlineStr">
        <is>
          <t>Maharashtra Seamless Limited</t>
        </is>
      </c>
      <c r="C260" s="31" t="inlineStr">
        <is>
          <t>industrials</t>
        </is>
      </c>
      <c r="D260" s="31" t="inlineStr">
        <is>
          <t>steel - large</t>
        </is>
      </c>
      <c r="E260" s="31" t="inlineStr">
        <is>
          <t>midcap</t>
        </is>
      </c>
      <c r="F260" s="31" t="n">
        <v>8334.75</v>
      </c>
      <c r="G260" s="31" t="n">
        <v>620.9</v>
      </c>
      <c r="H260" s="31" t="n">
        <v>-0.18</v>
      </c>
      <c r="I260" s="31" t="n">
        <v>127322</v>
      </c>
      <c r="J260" s="31" t="inlineStr">
        <is>
          <t>500265</t>
        </is>
      </c>
    </row>
    <row r="261">
      <c r="A261" s="31" t="inlineStr">
        <is>
          <t>CYIENTDLM</t>
        </is>
      </c>
      <c r="B261" s="31" t="inlineStr">
        <is>
          <t>Cyient DLM Ltd</t>
        </is>
      </c>
      <c r="C261" s="31" t="inlineStr">
        <is>
          <t>aerospace &amp; defence</t>
        </is>
      </c>
      <c r="D261" s="31" t="inlineStr">
        <is>
          <t>electronics - components</t>
        </is>
      </c>
      <c r="E261" s="31" t="inlineStr">
        <is>
          <t>midcap</t>
        </is>
      </c>
      <c r="F261" s="31" t="n">
        <v>5854.13</v>
      </c>
      <c r="G261" s="31" t="n">
        <v>736.1</v>
      </c>
      <c r="H261" s="31" t="n">
        <v>-0.18</v>
      </c>
      <c r="I261" s="31" t="n">
        <v>938059</v>
      </c>
      <c r="J261" s="31" t="inlineStr">
        <is>
          <t>543933</t>
        </is>
      </c>
    </row>
    <row r="262">
      <c r="A262" s="31" t="inlineStr">
        <is>
          <t>SMLMAH</t>
        </is>
      </c>
      <c r="B262" s="31" t="inlineStr">
        <is>
          <t>SML Mahindra Ltd</t>
        </is>
      </c>
      <c r="C262" s="31" t="inlineStr">
        <is>
          <t>auto</t>
        </is>
      </c>
      <c r="D262" s="31" t="inlineStr">
        <is>
          <t>automobiles - lcvs / hcvs</t>
        </is>
      </c>
      <c r="E262" s="31" t="inlineStr">
        <is>
          <t>midcap</t>
        </is>
      </c>
      <c r="F262" s="31" t="n">
        <v>7700.36</v>
      </c>
      <c r="G262" s="31" t="n">
        <v>5309.5</v>
      </c>
      <c r="H262" s="31" t="n">
        <v>-0.22</v>
      </c>
      <c r="I262" s="31" t="n">
        <v>90518</v>
      </c>
      <c r="J262" s="31" t="inlineStr">
        <is>
          <t>505192</t>
        </is>
      </c>
    </row>
    <row r="263">
      <c r="A263" s="31" t="inlineStr">
        <is>
          <t>SALSTEEL</t>
        </is>
      </c>
      <c r="B263" s="31" t="inlineStr">
        <is>
          <t>SAL Steel</t>
        </is>
      </c>
      <c r="C263" s="31" t="inlineStr">
        <is>
          <t>metals &amp; mining</t>
        </is>
      </c>
      <c r="D263" s="31" t="inlineStr">
        <is>
          <t>steel - sponge iron</t>
        </is>
      </c>
      <c r="E263" s="31" t="inlineStr">
        <is>
          <t>smallcap</t>
        </is>
      </c>
      <c r="F263" s="31" t="n">
        <v>1040.44</v>
      </c>
      <c r="G263" s="31" t="n">
        <v>71.7</v>
      </c>
      <c r="H263" s="31" t="n">
        <v>-0.24</v>
      </c>
      <c r="I263" s="31" t="n">
        <v>1744512</v>
      </c>
      <c r="J263" s="31" t="inlineStr">
        <is>
          <t>532604</t>
        </is>
      </c>
    </row>
    <row r="264">
      <c r="A264" s="31" t="inlineStr">
        <is>
          <t>BLSE</t>
        </is>
      </c>
      <c r="B264" s="31" t="inlineStr">
        <is>
          <t>BLS E-Services Ltd</t>
        </is>
      </c>
      <c r="C264" s="31" t="inlineStr">
        <is>
          <t>i.t</t>
        </is>
      </c>
      <c r="D264" s="31" t="inlineStr">
        <is>
          <t>computers - software - medium / small</t>
        </is>
      </c>
      <c r="E264" s="31" t="inlineStr">
        <is>
          <t>smallcap</t>
        </is>
      </c>
      <c r="F264" s="31" t="n">
        <v>2823.82</v>
      </c>
      <c r="G264" s="31" t="n">
        <v>310</v>
      </c>
      <c r="H264" s="31" t="n">
        <v>-0.26</v>
      </c>
      <c r="I264" s="31" t="n">
        <v>119027</v>
      </c>
      <c r="J264" s="31" t="inlineStr">
        <is>
          <t>544107</t>
        </is>
      </c>
    </row>
    <row r="265">
      <c r="A265" s="31" t="inlineStr">
        <is>
          <t>SANSERA</t>
        </is>
      </c>
      <c r="B265" s="31" t="inlineStr">
        <is>
          <t>Sansera Engineering Ltd</t>
        </is>
      </c>
      <c r="C265" s="31" t="inlineStr">
        <is>
          <t>auto</t>
        </is>
      </c>
      <c r="D265" s="31" t="inlineStr">
        <is>
          <t>auto ancillaries</t>
        </is>
      </c>
      <c r="E265" s="31" t="inlineStr">
        <is>
          <t>largecap</t>
        </is>
      </c>
      <c r="F265" s="31" t="n">
        <v>24973.91</v>
      </c>
      <c r="G265" s="31" t="n">
        <v>3990</v>
      </c>
      <c r="H265" s="31" t="n">
        <v>-0.3</v>
      </c>
      <c r="I265" s="31" t="n">
        <v>172483</v>
      </c>
      <c r="J265" s="31" t="inlineStr">
        <is>
          <t>543358</t>
        </is>
      </c>
    </row>
    <row r="266">
      <c r="A266" s="31" t="inlineStr">
        <is>
          <t>AJANTPHARM</t>
        </is>
      </c>
      <c r="B266" s="31" t="inlineStr">
        <is>
          <t>Ajanta Pharma Limited</t>
        </is>
      </c>
      <c r="C266" s="31" t="inlineStr">
        <is>
          <t>healthcare</t>
        </is>
      </c>
      <c r="D266" s="31" t="inlineStr">
        <is>
          <t>pharmaceuticals - indian - formulations</t>
        </is>
      </c>
      <c r="E266" s="31" t="inlineStr">
        <is>
          <t>largecap</t>
        </is>
      </c>
      <c r="F266" s="31" t="n">
        <v>46453.56</v>
      </c>
      <c r="G266" s="31" t="n">
        <v>3706.4</v>
      </c>
      <c r="H266" s="31" t="n">
        <v>-0.32</v>
      </c>
      <c r="I266" s="31" t="n">
        <v>145440</v>
      </c>
      <c r="J266" s="31" t="inlineStr">
        <is>
          <t>532331</t>
        </is>
      </c>
    </row>
    <row r="267">
      <c r="A267" s="31" t="inlineStr">
        <is>
          <t>GULFOILLUB</t>
        </is>
      </c>
      <c r="B267" s="31" t="inlineStr">
        <is>
          <t>Gulf Oil Lubricants India Limited</t>
        </is>
      </c>
      <c r="C267" s="31" t="inlineStr">
        <is>
          <t>chemicals</t>
        </is>
      </c>
      <c r="D267" s="31" t="inlineStr">
        <is>
          <t>chemicals</t>
        </is>
      </c>
      <c r="E267" s="31" t="inlineStr">
        <is>
          <t>midcap</t>
        </is>
      </c>
      <c r="F267" s="31" t="n">
        <v>5816.24</v>
      </c>
      <c r="G267" s="31" t="n">
        <v>1170.9</v>
      </c>
      <c r="H267" s="31" t="n">
        <v>-0.32</v>
      </c>
      <c r="I267" s="31" t="n">
        <v>48680</v>
      </c>
      <c r="J267" s="31" t="inlineStr">
        <is>
          <t>538567</t>
        </is>
      </c>
    </row>
    <row r="268">
      <c r="A268" s="31" t="inlineStr">
        <is>
          <t>IDFCFIRSTB</t>
        </is>
      </c>
      <c r="B268" s="31" t="inlineStr">
        <is>
          <t>IDFC First Bank Ltd</t>
        </is>
      </c>
      <c r="C268" s="31" t="inlineStr">
        <is>
          <t>bank</t>
        </is>
      </c>
      <c r="D268" s="31" t="inlineStr">
        <is>
          <t>banks - private sector</t>
        </is>
      </c>
      <c r="E268" s="31" t="inlineStr">
        <is>
          <t>largecap</t>
        </is>
      </c>
      <c r="F268" s="31" t="n">
        <v>73268.33</v>
      </c>
      <c r="G268" s="31" t="n">
        <v>84.76000000000001</v>
      </c>
      <c r="H268" s="31" t="n">
        <v>-0.34</v>
      </c>
      <c r="I268" s="31" t="n">
        <v>25611529</v>
      </c>
      <c r="J268" s="31" t="inlineStr">
        <is>
          <t>539437</t>
        </is>
      </c>
    </row>
    <row r="269">
      <c r="A269" s="31" t="inlineStr">
        <is>
          <t>ENRIN</t>
        </is>
      </c>
      <c r="B269" s="31" t="inlineStr">
        <is>
          <t>Siemens Energy India Ltd</t>
        </is>
      </c>
      <c r="C269" s="31" t="inlineStr">
        <is>
          <t>power &amp; utilities</t>
        </is>
      </c>
      <c r="D269" s="31" t="inlineStr">
        <is>
          <t>power generation and supply</t>
        </is>
      </c>
      <c r="E269" s="31" t="inlineStr">
        <is>
          <t>largecap</t>
        </is>
      </c>
      <c r="F269" s="31" t="n">
        <v>128406.37</v>
      </c>
      <c r="G269" s="31" t="n">
        <v>3593.2</v>
      </c>
      <c r="H269" s="31" t="n">
        <v>-0.35</v>
      </c>
      <c r="I269" s="31" t="n">
        <v>182373</v>
      </c>
      <c r="J269" s="31" t="n"/>
    </row>
    <row r="270">
      <c r="A270" s="31" t="inlineStr">
        <is>
          <t>COSMOFIRST</t>
        </is>
      </c>
      <c r="B270" s="31" t="inlineStr">
        <is>
          <t>Cosmo First Ltd</t>
        </is>
      </c>
      <c r="C270" s="31" t="inlineStr">
        <is>
          <t>industrials</t>
        </is>
      </c>
      <c r="D270" s="31" t="inlineStr">
        <is>
          <t>packaging</t>
        </is>
      </c>
      <c r="E270" s="31" t="inlineStr">
        <is>
          <t>smallcap</t>
        </is>
      </c>
      <c r="F270" s="31" t="n">
        <v>2532.7</v>
      </c>
      <c r="G270" s="31" t="n">
        <v>961.2</v>
      </c>
      <c r="H270" s="31" t="n">
        <v>-0.38</v>
      </c>
      <c r="I270" s="31" t="n">
        <v>94829</v>
      </c>
      <c r="J270" s="31" t="inlineStr">
        <is>
          <t>508814</t>
        </is>
      </c>
    </row>
    <row r="271">
      <c r="A271" s="31" t="inlineStr">
        <is>
          <t>BALRAMCHIN</t>
        </is>
      </c>
      <c r="B271" s="31" t="inlineStr">
        <is>
          <t>Balrampur Chini Mills Limited</t>
        </is>
      </c>
      <c r="C271" s="31" t="inlineStr">
        <is>
          <t>fmcg</t>
        </is>
      </c>
      <c r="D271" s="31" t="inlineStr">
        <is>
          <t>sugar</t>
        </is>
      </c>
      <c r="E271" s="31" t="inlineStr">
        <is>
          <t>midcap</t>
        </is>
      </c>
      <c r="F271" s="31" t="n">
        <v>13853.85</v>
      </c>
      <c r="G271" s="31" t="n">
        <v>653.25</v>
      </c>
      <c r="H271" s="31" t="n">
        <v>-0.38</v>
      </c>
      <c r="I271" s="31" t="n">
        <v>1122410</v>
      </c>
      <c r="J271" s="31" t="inlineStr">
        <is>
          <t>500038</t>
        </is>
      </c>
    </row>
    <row r="272">
      <c r="A272" s="31" t="inlineStr">
        <is>
          <t>EICHERMOT</t>
        </is>
      </c>
      <c r="B272" s="31" t="inlineStr">
        <is>
          <t>Eicher Motors Limited</t>
        </is>
      </c>
      <c r="C272" s="31" t="inlineStr">
        <is>
          <t>auto</t>
        </is>
      </c>
      <c r="D272" s="31" t="inlineStr">
        <is>
          <t>automobiles - motorcycles / mopeds</t>
        </is>
      </c>
      <c r="E272" s="31" t="inlineStr">
        <is>
          <t>largecap</t>
        </is>
      </c>
      <c r="F272" s="31" t="n">
        <v>220970.51</v>
      </c>
      <c r="G272" s="31" t="n">
        <v>8018.5</v>
      </c>
      <c r="H272" s="31" t="n">
        <v>-0.39</v>
      </c>
      <c r="I272" s="31" t="n">
        <v>508273</v>
      </c>
      <c r="J272" s="31" t="inlineStr">
        <is>
          <t>505200</t>
        </is>
      </c>
    </row>
    <row r="273">
      <c r="A273" s="31" t="inlineStr">
        <is>
          <t>DREDGECORP</t>
        </is>
      </c>
      <c r="B273" s="31" t="inlineStr">
        <is>
          <t>Dredging Corporation Of India Limited</t>
        </is>
      </c>
      <c r="C273" s="31" t="inlineStr">
        <is>
          <t>miscellaneous</t>
        </is>
      </c>
      <c r="D273" s="31" t="inlineStr">
        <is>
          <t>miscellaneous</t>
        </is>
      </c>
      <c r="E273" s="31" t="inlineStr">
        <is>
          <t>smallcap</t>
        </is>
      </c>
      <c r="F273" s="31" t="n">
        <v>3249.4</v>
      </c>
      <c r="G273" s="31" t="n">
        <v>1156</v>
      </c>
      <c r="H273" s="31" t="n">
        <v>-0.39</v>
      </c>
      <c r="I273" s="31" t="n">
        <v>98365</v>
      </c>
      <c r="J273" s="31" t="inlineStr">
        <is>
          <t>523618</t>
        </is>
      </c>
    </row>
    <row r="274">
      <c r="A274" s="31" t="inlineStr">
        <is>
          <t>TITAN</t>
        </is>
      </c>
      <c r="B274" s="31" t="inlineStr">
        <is>
          <t>Titan Company Limited</t>
        </is>
      </c>
      <c r="C274" s="31" t="inlineStr">
        <is>
          <t>consumer discretionary</t>
        </is>
      </c>
      <c r="D274" s="31" t="inlineStr">
        <is>
          <t>diamond cutting / jewellery</t>
        </is>
      </c>
      <c r="E274" s="31" t="inlineStr">
        <is>
          <t>largecap</t>
        </is>
      </c>
      <c r="F274" s="31" t="n">
        <v>449974.42</v>
      </c>
      <c r="G274" s="31" t="n">
        <v>5048.6</v>
      </c>
      <c r="H274" s="31" t="n">
        <v>-0.39</v>
      </c>
      <c r="I274" s="31" t="n">
        <v>661764</v>
      </c>
      <c r="J274" s="31" t="inlineStr">
        <is>
          <t>500114</t>
        </is>
      </c>
    </row>
    <row r="275">
      <c r="A275" s="31" t="inlineStr">
        <is>
          <t>ASHOKLEY</t>
        </is>
      </c>
      <c r="B275" s="31" t="inlineStr">
        <is>
          <t>Ashok Leyland Limited</t>
        </is>
      </c>
      <c r="C275" s="31" t="inlineStr">
        <is>
          <t>auto</t>
        </is>
      </c>
      <c r="D275" s="31" t="inlineStr">
        <is>
          <t>automobiles - lcvs / hcvs</t>
        </is>
      </c>
      <c r="E275" s="31" t="inlineStr">
        <is>
          <t>largecap</t>
        </is>
      </c>
      <c r="F275" s="31" t="n">
        <v>104025.96</v>
      </c>
      <c r="G275" s="31" t="n">
        <v>176.35</v>
      </c>
      <c r="H275" s="31" t="n">
        <v>-0.42</v>
      </c>
      <c r="I275" s="31" t="n">
        <v>41879185</v>
      </c>
      <c r="J275" s="31" t="inlineStr">
        <is>
          <t>500477</t>
        </is>
      </c>
    </row>
    <row r="276">
      <c r="A276" s="31" t="inlineStr">
        <is>
          <t>GRAVITA</t>
        </is>
      </c>
      <c r="B276" s="31" t="inlineStr">
        <is>
          <t>Gravita India Limited</t>
        </is>
      </c>
      <c r="C276" s="31" t="inlineStr">
        <is>
          <t>metals &amp; mining</t>
        </is>
      </c>
      <c r="D276" s="31" t="inlineStr">
        <is>
          <t>mining / minerals / metals</t>
        </is>
      </c>
      <c r="E276" s="31" t="inlineStr">
        <is>
          <t>midcap</t>
        </is>
      </c>
      <c r="F276" s="31" t="n">
        <v>13445.69</v>
      </c>
      <c r="G276" s="31" t="n">
        <v>1814.1</v>
      </c>
      <c r="H276" s="31" t="n">
        <v>-0.42</v>
      </c>
      <c r="I276" s="31" t="n">
        <v>138845</v>
      </c>
      <c r="J276" s="31" t="inlineStr">
        <is>
          <t>533282</t>
        </is>
      </c>
    </row>
    <row r="277">
      <c r="A277" s="31" t="inlineStr">
        <is>
          <t>PNBHOUSING</t>
        </is>
      </c>
      <c r="B277" s="31" t="inlineStr">
        <is>
          <t>Pnb Housing Finance Limited</t>
        </is>
      </c>
      <c r="C277" s="31" t="inlineStr">
        <is>
          <t>financials</t>
        </is>
      </c>
      <c r="D277" s="31" t="inlineStr">
        <is>
          <t>finance - housing</t>
        </is>
      </c>
      <c r="E277" s="31" t="inlineStr">
        <is>
          <t>largecap</t>
        </is>
      </c>
      <c r="F277" s="31" t="n">
        <v>29988.69</v>
      </c>
      <c r="G277" s="31" t="n">
        <v>1145.8</v>
      </c>
      <c r="H277" s="31" t="n">
        <v>-0.43</v>
      </c>
      <c r="I277" s="31" t="n">
        <v>2213551</v>
      </c>
      <c r="J277" s="31" t="inlineStr">
        <is>
          <t>540173</t>
        </is>
      </c>
    </row>
    <row r="278">
      <c r="A278" s="31" t="inlineStr">
        <is>
          <t>VSSL</t>
        </is>
      </c>
      <c r="B278" s="31" t="inlineStr">
        <is>
          <t>Vardhman Special Steels Limited</t>
        </is>
      </c>
      <c r="C278" s="31" t="inlineStr">
        <is>
          <t>metals &amp; mining</t>
        </is>
      </c>
      <c r="D278" s="31" t="inlineStr">
        <is>
          <t>steel - medium / small</t>
        </is>
      </c>
      <c r="E278" s="31" t="inlineStr">
        <is>
          <t>smallcap</t>
        </is>
      </c>
      <c r="F278" s="31" t="n">
        <v>3495.67</v>
      </c>
      <c r="G278" s="31" t="n">
        <v>359.95</v>
      </c>
      <c r="H278" s="31" t="n">
        <v>-0.44</v>
      </c>
      <c r="I278" s="31" t="n">
        <v>150777</v>
      </c>
      <c r="J278" s="31" t="inlineStr">
        <is>
          <t>534392</t>
        </is>
      </c>
    </row>
    <row r="279">
      <c r="A279" s="31" t="inlineStr">
        <is>
          <t>VARROC</t>
        </is>
      </c>
      <c r="B279" s="31" t="inlineStr">
        <is>
          <t>Varroc Engineering Ltd</t>
        </is>
      </c>
      <c r="C279" s="31" t="inlineStr">
        <is>
          <t>auto</t>
        </is>
      </c>
      <c r="D279" s="31" t="inlineStr">
        <is>
          <t>auto ancillaries</t>
        </is>
      </c>
      <c r="E279" s="31" t="inlineStr">
        <is>
          <t>midcap</t>
        </is>
      </c>
      <c r="F279" s="31" t="n">
        <v>12952.47</v>
      </c>
      <c r="G279" s="31" t="n">
        <v>843.9</v>
      </c>
      <c r="H279" s="31" t="n">
        <v>-0.45</v>
      </c>
      <c r="I279" s="31" t="n">
        <v>314966</v>
      </c>
      <c r="J279" s="31" t="inlineStr">
        <is>
          <t>541578</t>
        </is>
      </c>
    </row>
    <row r="280">
      <c r="A280" s="31" t="inlineStr">
        <is>
          <t>ROSSTECH</t>
        </is>
      </c>
      <c r="B280" s="31" t="inlineStr">
        <is>
          <t>Rossell Techsys Ltd</t>
        </is>
      </c>
      <c r="C280" s="31" t="inlineStr">
        <is>
          <t>aerospace &amp; defence</t>
        </is>
      </c>
      <c r="D280" s="31" t="inlineStr">
        <is>
          <t>engineering</t>
        </is>
      </c>
      <c r="E280" s="31" t="inlineStr">
        <is>
          <t>smallcap</t>
        </is>
      </c>
      <c r="F280" s="31" t="n">
        <v>4180.16</v>
      </c>
      <c r="G280" s="31" t="n">
        <v>1103.55</v>
      </c>
      <c r="H280" s="31" t="n">
        <v>-0.48</v>
      </c>
      <c r="I280" s="31" t="n">
        <v>899502</v>
      </c>
      <c r="J280" s="31" t="inlineStr">
        <is>
          <t>544294</t>
        </is>
      </c>
    </row>
    <row r="281">
      <c r="A281" s="31" t="inlineStr">
        <is>
          <t>BAJAJ-AUTO</t>
        </is>
      </c>
      <c r="B281" s="31" t="inlineStr">
        <is>
          <t>Bajaj Auto Limited</t>
        </is>
      </c>
      <c r="C281" s="31" t="inlineStr">
        <is>
          <t>auto</t>
        </is>
      </c>
      <c r="D281" s="31" t="inlineStr">
        <is>
          <t>automobiles - scooters and 3 - wheelers</t>
        </is>
      </c>
      <c r="E281" s="31" t="inlineStr">
        <is>
          <t>largecap</t>
        </is>
      </c>
      <c r="F281" s="31" t="n">
        <v>325978.33</v>
      </c>
      <c r="G281" s="31" t="n">
        <v>11607</v>
      </c>
      <c r="H281" s="31" t="n">
        <v>-0.48</v>
      </c>
      <c r="I281" s="31" t="n">
        <v>691080</v>
      </c>
      <c r="J281" s="31" t="inlineStr">
        <is>
          <t>532977</t>
        </is>
      </c>
    </row>
    <row r="282">
      <c r="A282" s="31" t="inlineStr">
        <is>
          <t>POWERINDIA</t>
        </is>
      </c>
      <c r="B282" s="31" t="inlineStr">
        <is>
          <t>Hitachi Energy India Ltd</t>
        </is>
      </c>
      <c r="C282" s="31" t="inlineStr">
        <is>
          <t>industrials</t>
        </is>
      </c>
      <c r="D282" s="31" t="inlineStr">
        <is>
          <t>electric equipment</t>
        </is>
      </c>
      <c r="E282" s="31" t="inlineStr">
        <is>
          <t>largecap</t>
        </is>
      </c>
      <c r="F282" s="31" t="n">
        <v>158009.03</v>
      </c>
      <c r="G282" s="31" t="n">
        <v>35275</v>
      </c>
      <c r="H282" s="31" t="n">
        <v>-0.49</v>
      </c>
      <c r="I282" s="31" t="n">
        <v>93678</v>
      </c>
      <c r="J282" s="31" t="inlineStr">
        <is>
          <t>543187</t>
        </is>
      </c>
    </row>
    <row r="283">
      <c r="A283" s="31" t="inlineStr">
        <is>
          <t>KDDL</t>
        </is>
      </c>
      <c r="B283" s="31" t="inlineStr">
        <is>
          <t>Kddl Limited</t>
        </is>
      </c>
      <c r="C283" s="31" t="inlineStr">
        <is>
          <t>consumer discretionary</t>
        </is>
      </c>
      <c r="D283" s="31" t="inlineStr">
        <is>
          <t>miscellaneous</t>
        </is>
      </c>
      <c r="E283" s="31" t="inlineStr">
        <is>
          <t>midcap</t>
        </is>
      </c>
      <c r="F283" s="31" t="n">
        <v>5023.76</v>
      </c>
      <c r="G283" s="31" t="n">
        <v>4064</v>
      </c>
      <c r="H283" s="31" t="n">
        <v>-0.5</v>
      </c>
      <c r="I283" s="31" t="n">
        <v>26917</v>
      </c>
      <c r="J283" s="31" t="inlineStr">
        <is>
          <t>532054</t>
        </is>
      </c>
    </row>
    <row r="284">
      <c r="A284" s="31" t="inlineStr">
        <is>
          <t>DEEPAKNTR</t>
        </is>
      </c>
      <c r="B284" s="31" t="inlineStr">
        <is>
          <t>Deepak Nitrite Limited</t>
        </is>
      </c>
      <c r="C284" s="31" t="inlineStr">
        <is>
          <t>chemicals</t>
        </is>
      </c>
      <c r="D284" s="31" t="inlineStr">
        <is>
          <t>chemicals</t>
        </is>
      </c>
      <c r="E284" s="31" t="inlineStr">
        <is>
          <t>largecap</t>
        </is>
      </c>
      <c r="F284" s="31" t="n">
        <v>24284.78</v>
      </c>
      <c r="G284" s="31" t="n">
        <v>1771</v>
      </c>
      <c r="H284" s="31" t="n">
        <v>-0.53</v>
      </c>
      <c r="I284" s="31" t="n">
        <v>229384</v>
      </c>
      <c r="J284" s="31" t="inlineStr">
        <is>
          <t>506401</t>
        </is>
      </c>
    </row>
    <row r="285">
      <c r="A285" s="31" t="inlineStr">
        <is>
          <t>LT</t>
        </is>
      </c>
      <c r="B285" s="31" t="inlineStr">
        <is>
          <t>Larsen &amp; Toubro Limited</t>
        </is>
      </c>
      <c r="C285" s="31" t="inlineStr">
        <is>
          <t>realty</t>
        </is>
      </c>
      <c r="D285" s="31" t="inlineStr">
        <is>
          <t>engineering - turnkey services</t>
        </is>
      </c>
      <c r="E285" s="31" t="inlineStr">
        <is>
          <t>largecap</t>
        </is>
      </c>
      <c r="F285" s="31" t="n">
        <v>562219.24</v>
      </c>
      <c r="G285" s="31" t="n">
        <v>4064.3</v>
      </c>
      <c r="H285" s="31" t="n">
        <v>-0.55</v>
      </c>
      <c r="I285" s="31" t="n">
        <v>3970780</v>
      </c>
      <c r="J285" s="31" t="inlineStr">
        <is>
          <t>500510</t>
        </is>
      </c>
    </row>
    <row r="286">
      <c r="A286" s="31" t="inlineStr">
        <is>
          <t>EMIL</t>
        </is>
      </c>
      <c r="B286" s="31" t="inlineStr">
        <is>
          <t>Electronics Mart India Ltd</t>
        </is>
      </c>
      <c r="C286" s="31" t="inlineStr">
        <is>
          <t>consumer discretionary</t>
        </is>
      </c>
      <c r="D286" s="31" t="inlineStr">
        <is>
          <t>trading</t>
        </is>
      </c>
      <c r="E286" s="31" t="inlineStr">
        <is>
          <t>midcap</t>
        </is>
      </c>
      <c r="F286" s="31" t="n">
        <v>7403.34</v>
      </c>
      <c r="G286" s="31" t="n">
        <v>191.35</v>
      </c>
      <c r="H286" s="31" t="n">
        <v>-0.5600000000000001</v>
      </c>
      <c r="I286" s="31" t="n">
        <v>2203530</v>
      </c>
      <c r="J286" s="31" t="inlineStr">
        <is>
          <t>543626</t>
        </is>
      </c>
    </row>
    <row r="287">
      <c r="A287" s="31" t="inlineStr">
        <is>
          <t>TEGA</t>
        </is>
      </c>
      <c r="B287" s="31" t="inlineStr">
        <is>
          <t>Tega Industries Ltd</t>
        </is>
      </c>
      <c r="C287" s="31" t="inlineStr">
        <is>
          <t>industrials</t>
        </is>
      </c>
      <c r="D287" s="31" t="inlineStr">
        <is>
          <t>engineering</t>
        </is>
      </c>
      <c r="E287" s="31" t="inlineStr">
        <is>
          <t>midcap</t>
        </is>
      </c>
      <c r="F287" s="31" t="n">
        <v>13102.27</v>
      </c>
      <c r="G287" s="31" t="n">
        <v>1733.9</v>
      </c>
      <c r="H287" s="31" t="n">
        <v>-0.58</v>
      </c>
      <c r="I287" s="31" t="n">
        <v>68894</v>
      </c>
      <c r="J287" s="31" t="inlineStr">
        <is>
          <t>543413</t>
        </is>
      </c>
    </row>
    <row r="288">
      <c r="A288" s="31" t="inlineStr">
        <is>
          <t>BEPL</t>
        </is>
      </c>
      <c r="B288" s="31" t="inlineStr">
        <is>
          <t>Bhansali Engineering Polymers Limited</t>
        </is>
      </c>
      <c r="C288" s="31" t="inlineStr">
        <is>
          <t>energy</t>
        </is>
      </c>
      <c r="D288" s="31" t="inlineStr">
        <is>
          <t>petrochemicals</t>
        </is>
      </c>
      <c r="E288" s="31" t="inlineStr">
        <is>
          <t>smallcap</t>
        </is>
      </c>
      <c r="F288" s="31" t="n">
        <v>3058.22</v>
      </c>
      <c r="G288" s="31" t="n">
        <v>122.17</v>
      </c>
      <c r="H288" s="31" t="n">
        <v>-0.59</v>
      </c>
      <c r="I288" s="31" t="n">
        <v>586505</v>
      </c>
      <c r="J288" s="31" t="inlineStr">
        <is>
          <t>500052</t>
        </is>
      </c>
    </row>
    <row r="289">
      <c r="A289" s="31" t="inlineStr">
        <is>
          <t>VIJAYA</t>
        </is>
      </c>
      <c r="B289" s="31" t="inlineStr">
        <is>
          <t>Vijaya Diagnostic Centre Ltd</t>
        </is>
      </c>
      <c r="C289" s="31" t="inlineStr">
        <is>
          <t>healthcare</t>
        </is>
      </c>
      <c r="D289" s="31" t="inlineStr">
        <is>
          <t>healthcare</t>
        </is>
      </c>
      <c r="E289" s="31" t="inlineStr">
        <is>
          <t>midcap</t>
        </is>
      </c>
      <c r="F289" s="31" t="n">
        <v>15502.42</v>
      </c>
      <c r="G289" s="31" t="n">
        <v>1497.3</v>
      </c>
      <c r="H289" s="31" t="n">
        <v>-0.62</v>
      </c>
      <c r="I289" s="31" t="n">
        <v>92775</v>
      </c>
      <c r="J289" s="31" t="inlineStr">
        <is>
          <t>543350</t>
        </is>
      </c>
    </row>
    <row r="290">
      <c r="A290" s="31" t="inlineStr">
        <is>
          <t>ETERNAL</t>
        </is>
      </c>
      <c r="B290" s="31" t="inlineStr">
        <is>
          <t>Eternal Ltd</t>
        </is>
      </c>
      <c r="C290" s="31" t="inlineStr">
        <is>
          <t>i.t</t>
        </is>
      </c>
      <c r="D290" s="31" t="inlineStr">
        <is>
          <t>miscellaneous</t>
        </is>
      </c>
      <c r="E290" s="31" t="inlineStr">
        <is>
          <t>largecap</t>
        </is>
      </c>
      <c r="F290" s="31" t="n">
        <v>306881.15</v>
      </c>
      <c r="G290" s="31" t="n">
        <v>315.9</v>
      </c>
      <c r="H290" s="31" t="n">
        <v>-0.66</v>
      </c>
      <c r="I290" s="31" t="n">
        <v>53356132</v>
      </c>
      <c r="J290" s="31" t="inlineStr">
        <is>
          <t>543320</t>
        </is>
      </c>
    </row>
    <row r="291">
      <c r="A291" s="31" t="inlineStr">
        <is>
          <t>TVSMOTOR</t>
        </is>
      </c>
      <c r="B291" s="31" t="inlineStr">
        <is>
          <t>Tvs Motor Company Limited</t>
        </is>
      </c>
      <c r="C291" s="31" t="inlineStr">
        <is>
          <t>auto</t>
        </is>
      </c>
      <c r="D291" s="31" t="inlineStr">
        <is>
          <t>automobiles - motorcycles / mopeds</t>
        </is>
      </c>
      <c r="E291" s="31" t="inlineStr">
        <is>
          <t>largecap</t>
        </is>
      </c>
      <c r="F291" s="31" t="n">
        <v>208368.46</v>
      </c>
      <c r="G291" s="31" t="n">
        <v>4356.8</v>
      </c>
      <c r="H291" s="31" t="n">
        <v>-0.66</v>
      </c>
      <c r="I291" s="31" t="n">
        <v>838093</v>
      </c>
      <c r="J291" s="31" t="inlineStr">
        <is>
          <t>532343</t>
        </is>
      </c>
    </row>
    <row r="292">
      <c r="A292" s="31" t="inlineStr">
        <is>
          <t>COMSYN</t>
        </is>
      </c>
      <c r="B292" s="31" t="inlineStr">
        <is>
          <t>Commercial Syn Bags Ltd</t>
        </is>
      </c>
      <c r="C292" s="31" t="inlineStr">
        <is>
          <t>industrials</t>
        </is>
      </c>
      <c r="D292" s="31" t="inlineStr">
        <is>
          <t>packaging</t>
        </is>
      </c>
      <c r="E292" s="31" t="inlineStr">
        <is>
          <t>smallcap</t>
        </is>
      </c>
      <c r="F292" s="31" t="n">
        <v>1136.31</v>
      </c>
      <c r="G292" s="31" t="n">
        <v>279.8</v>
      </c>
      <c r="H292" s="31" t="n">
        <v>-0.67</v>
      </c>
      <c r="I292" s="31" t="n">
        <v>49502</v>
      </c>
      <c r="J292" s="31" t="inlineStr">
        <is>
          <t>539986</t>
        </is>
      </c>
    </row>
    <row r="293">
      <c r="A293" s="31" t="inlineStr">
        <is>
          <t>SHAILY</t>
        </is>
      </c>
      <c r="B293" s="31" t="inlineStr">
        <is>
          <t>Shaily Engineering Plastics Ltd</t>
        </is>
      </c>
      <c r="C293" s="31" t="inlineStr">
        <is>
          <t>plastic products</t>
        </is>
      </c>
      <c r="D293" s="31" t="inlineStr">
        <is>
          <t>plastics products</t>
        </is>
      </c>
      <c r="E293" s="31" t="inlineStr">
        <is>
          <t>midcap</t>
        </is>
      </c>
      <c r="F293" s="31" t="n">
        <v>15621.37</v>
      </c>
      <c r="G293" s="31" t="n">
        <v>3373.7</v>
      </c>
      <c r="H293" s="31" t="n">
        <v>-0.67</v>
      </c>
      <c r="I293" s="31" t="n">
        <v>67126</v>
      </c>
      <c r="J293" s="31" t="inlineStr">
        <is>
          <t>501423</t>
        </is>
      </c>
    </row>
    <row r="294">
      <c r="A294" s="31" t="inlineStr">
        <is>
          <t>DWARKESH</t>
        </is>
      </c>
      <c r="B294" s="31" t="inlineStr">
        <is>
          <t>Dwarikesh Sugar Industries Limited</t>
        </is>
      </c>
      <c r="C294" s="31" t="inlineStr">
        <is>
          <t>fmcg</t>
        </is>
      </c>
      <c r="D294" s="31" t="inlineStr">
        <is>
          <t>sugar</t>
        </is>
      </c>
      <c r="E294" s="31" t="inlineStr">
        <is>
          <t>smallcap</t>
        </is>
      </c>
      <c r="F294" s="31" t="n">
        <v>832.74</v>
      </c>
      <c r="G294" s="31" t="n">
        <v>44.64</v>
      </c>
      <c r="H294" s="31" t="n">
        <v>-0.67</v>
      </c>
      <c r="I294" s="31" t="n">
        <v>3757490</v>
      </c>
      <c r="J294" s="31" t="inlineStr">
        <is>
          <t>532610</t>
        </is>
      </c>
    </row>
    <row r="295">
      <c r="A295" s="31" t="inlineStr">
        <is>
          <t>ANTHEM</t>
        </is>
      </c>
      <c r="B295" s="31" t="inlineStr">
        <is>
          <t>Anthem Biosciences Ltd</t>
        </is>
      </c>
      <c r="C295" s="31" t="inlineStr">
        <is>
          <t>healthcare</t>
        </is>
      </c>
      <c r="D295" s="31" t="inlineStr">
        <is>
          <t>pharmaceuticals - indian - bulk drugs &amp; formln</t>
        </is>
      </c>
      <c r="E295" s="31" t="inlineStr">
        <is>
          <t>largecap</t>
        </is>
      </c>
      <c r="F295" s="31" t="n">
        <v>50591.95</v>
      </c>
      <c r="G295" s="31" t="n">
        <v>892</v>
      </c>
      <c r="H295" s="31" t="n">
        <v>-0.67</v>
      </c>
      <c r="I295" s="31" t="n">
        <v>477452</v>
      </c>
      <c r="J295" s="31" t="inlineStr">
        <is>
          <t>544449</t>
        </is>
      </c>
    </row>
    <row r="296">
      <c r="A296" s="31" t="inlineStr">
        <is>
          <t>FLUOROCHEM</t>
        </is>
      </c>
      <c r="B296" s="31" t="inlineStr">
        <is>
          <t>Gujarat Fluorochemicals Ltd</t>
        </is>
      </c>
      <c r="C296" s="31" t="inlineStr">
        <is>
          <t>chemicals</t>
        </is>
      </c>
      <c r="D296" s="31" t="inlineStr">
        <is>
          <t>chemicals</t>
        </is>
      </c>
      <c r="E296" s="31" t="inlineStr">
        <is>
          <t>largecap</t>
        </is>
      </c>
      <c r="F296" s="31" t="n">
        <v>51711.89</v>
      </c>
      <c r="G296" s="31" t="n">
        <v>4674.8</v>
      </c>
      <c r="H296" s="31" t="n">
        <v>-0.6899999999999999</v>
      </c>
      <c r="I296" s="31" t="n">
        <v>123083</v>
      </c>
      <c r="J296" s="31" t="inlineStr">
        <is>
          <t>542812</t>
        </is>
      </c>
    </row>
    <row r="297">
      <c r="A297" s="31" t="inlineStr">
        <is>
          <t>INDIGOPNTS</t>
        </is>
      </c>
      <c r="B297" s="31" t="inlineStr">
        <is>
          <t>Indigo Paints Ltd</t>
        </is>
      </c>
      <c r="C297" s="31" t="inlineStr">
        <is>
          <t>building materials</t>
        </is>
      </c>
      <c r="D297" s="31" t="inlineStr">
        <is>
          <t>paints / varnishes</t>
        </is>
      </c>
      <c r="E297" s="31" t="inlineStr">
        <is>
          <t>midcap</t>
        </is>
      </c>
      <c r="F297" s="31" t="n">
        <v>5535.14</v>
      </c>
      <c r="G297" s="31" t="n">
        <v>1152.9</v>
      </c>
      <c r="H297" s="31" t="n">
        <v>-0.7</v>
      </c>
      <c r="I297" s="31" t="n">
        <v>121043</v>
      </c>
      <c r="J297" s="31" t="inlineStr">
        <is>
          <t>543258</t>
        </is>
      </c>
    </row>
    <row r="298">
      <c r="A298" s="31" t="inlineStr">
        <is>
          <t>INDIANB</t>
        </is>
      </c>
      <c r="B298" s="31" t="inlineStr">
        <is>
          <t>Indian Bank Ltd</t>
        </is>
      </c>
      <c r="C298" s="31" t="inlineStr">
        <is>
          <t>bank</t>
        </is>
      </c>
      <c r="D298" s="31" t="inlineStr">
        <is>
          <t>banks - public sector</t>
        </is>
      </c>
      <c r="E298" s="31" t="inlineStr">
        <is>
          <t>largecap</t>
        </is>
      </c>
      <c r="F298" s="31" t="n">
        <v>118694.47</v>
      </c>
      <c r="G298" s="31" t="n">
        <v>875</v>
      </c>
      <c r="H298" s="31" t="n">
        <v>-0.7</v>
      </c>
      <c r="I298" s="31" t="n">
        <v>1355064</v>
      </c>
      <c r="J298" s="31" t="inlineStr">
        <is>
          <t>532814</t>
        </is>
      </c>
    </row>
    <row r="299">
      <c r="A299" s="31" t="inlineStr">
        <is>
          <t>PNB</t>
        </is>
      </c>
      <c r="B299" s="31" t="inlineStr">
        <is>
          <t>Punjab National Bank Ltd</t>
        </is>
      </c>
      <c r="C299" s="31" t="inlineStr">
        <is>
          <t>bank</t>
        </is>
      </c>
      <c r="D299" s="31" t="inlineStr">
        <is>
          <t>banks - public sector</t>
        </is>
      </c>
      <c r="E299" s="31" t="inlineStr">
        <is>
          <t>largecap</t>
        </is>
      </c>
      <c r="F299" s="31" t="n">
        <v>134835.21</v>
      </c>
      <c r="G299" s="31" t="n">
        <v>116.5</v>
      </c>
      <c r="H299" s="31" t="n">
        <v>-0.7</v>
      </c>
      <c r="I299" s="31" t="n">
        <v>23117862</v>
      </c>
      <c r="J299" s="31" t="inlineStr">
        <is>
          <t>532461</t>
        </is>
      </c>
    </row>
    <row r="300">
      <c r="A300" s="31" t="inlineStr">
        <is>
          <t>TATATECH</t>
        </is>
      </c>
      <c r="B300" s="31" t="inlineStr">
        <is>
          <t>Tata Technologies Ltd</t>
        </is>
      </c>
      <c r="C300" s="31" t="inlineStr">
        <is>
          <t>i.t</t>
        </is>
      </c>
      <c r="D300" s="31" t="inlineStr">
        <is>
          <t>computers - software - medium / small</t>
        </is>
      </c>
      <c r="E300" s="31" t="inlineStr">
        <is>
          <t>largecap</t>
        </is>
      </c>
      <c r="F300" s="31" t="n">
        <v>34175.35</v>
      </c>
      <c r="G300" s="31" t="n">
        <v>835.8</v>
      </c>
      <c r="H300" s="31" t="n">
        <v>-0.7</v>
      </c>
      <c r="I300" s="31" t="n">
        <v>1516377</v>
      </c>
      <c r="J300" s="31" t="inlineStr">
        <is>
          <t>544028</t>
        </is>
      </c>
    </row>
    <row r="301">
      <c r="A301" s="31" t="inlineStr">
        <is>
          <t>HSCL</t>
        </is>
      </c>
      <c r="B301" s="31" t="inlineStr">
        <is>
          <t>Himadri Speciality Chemical Limited</t>
        </is>
      </c>
      <c r="C301" s="31" t="inlineStr">
        <is>
          <t>chemicals</t>
        </is>
      </c>
      <c r="D301" s="31" t="inlineStr">
        <is>
          <t>chemicals</t>
        </is>
      </c>
      <c r="E301" s="31" t="inlineStr">
        <is>
          <t>largecap</t>
        </is>
      </c>
      <c r="F301" s="31" t="n">
        <v>39727.61</v>
      </c>
      <c r="G301" s="31" t="n">
        <v>781.8</v>
      </c>
      <c r="H301" s="31" t="n">
        <v>-0.71</v>
      </c>
      <c r="I301" s="31" t="n">
        <v>3305286</v>
      </c>
      <c r="J301" s="31" t="inlineStr">
        <is>
          <t>500184</t>
        </is>
      </c>
    </row>
    <row r="302">
      <c r="A302" s="31" t="inlineStr">
        <is>
          <t>M&amp;MFIN</t>
        </is>
      </c>
      <c r="B302" s="31" t="inlineStr">
        <is>
          <t>Mahindra &amp; Mahindra Financial Services Limited</t>
        </is>
      </c>
      <c r="C302" s="31" t="inlineStr">
        <is>
          <t>financials</t>
        </is>
      </c>
      <c r="D302" s="31" t="inlineStr">
        <is>
          <t>finance &amp; investments</t>
        </is>
      </c>
      <c r="E302" s="31" t="inlineStr">
        <is>
          <t>largecap</t>
        </is>
      </c>
      <c r="F302" s="31" t="n">
        <v>54055.98</v>
      </c>
      <c r="G302" s="31" t="n">
        <v>386.1</v>
      </c>
      <c r="H302" s="31" t="n">
        <v>-0.72</v>
      </c>
      <c r="I302" s="31" t="n">
        <v>1441684</v>
      </c>
      <c r="J302" s="31" t="inlineStr">
        <is>
          <t>532720</t>
        </is>
      </c>
    </row>
    <row r="303">
      <c r="A303" s="31" t="inlineStr">
        <is>
          <t>ARTEMISMED</t>
        </is>
      </c>
      <c r="B303" s="31" t="inlineStr">
        <is>
          <t>Artemis Medicare Services Ltd</t>
        </is>
      </c>
      <c r="C303" s="31" t="inlineStr">
        <is>
          <t>healthcare</t>
        </is>
      </c>
      <c r="D303" s="31" t="inlineStr">
        <is>
          <t>healthcare</t>
        </is>
      </c>
      <c r="E303" s="31" t="inlineStr">
        <is>
          <t>smallcap</t>
        </is>
      </c>
      <c r="F303" s="31" t="n">
        <v>4977.15</v>
      </c>
      <c r="G303" s="31" t="n">
        <v>312.15</v>
      </c>
      <c r="H303" s="31" t="n">
        <v>-0.72</v>
      </c>
      <c r="I303" s="31" t="n">
        <v>224411</v>
      </c>
      <c r="J303" s="31" t="inlineStr">
        <is>
          <t>542919</t>
        </is>
      </c>
    </row>
    <row r="304">
      <c r="A304" s="31" t="inlineStr">
        <is>
          <t>PGIL</t>
        </is>
      </c>
      <c r="B304" s="31" t="inlineStr">
        <is>
          <t>Pearl Global Industries Limited</t>
        </is>
      </c>
      <c r="C304" s="31" t="inlineStr">
        <is>
          <t>consumer discretionary</t>
        </is>
      </c>
      <c r="D304" s="31" t="inlineStr">
        <is>
          <t>textiles - products</t>
        </is>
      </c>
      <c r="E304" s="31" t="inlineStr">
        <is>
          <t>midcap</t>
        </is>
      </c>
      <c r="F304" s="31" t="n">
        <v>10982.58</v>
      </c>
      <c r="G304" s="31" t="n">
        <v>2360.5</v>
      </c>
      <c r="H304" s="31" t="n">
        <v>-0.74</v>
      </c>
      <c r="I304" s="31" t="n">
        <v>37637</v>
      </c>
      <c r="J304" s="31" t="inlineStr">
        <is>
          <t>532808</t>
        </is>
      </c>
    </row>
    <row r="305">
      <c r="A305" s="31" t="inlineStr">
        <is>
          <t>HINDALCO</t>
        </is>
      </c>
      <c r="B305" s="31" t="inlineStr">
        <is>
          <t>Hindalco Industries Limited</t>
        </is>
      </c>
      <c r="C305" s="31" t="inlineStr">
        <is>
          <t>metals &amp; mining</t>
        </is>
      </c>
      <c r="D305" s="31" t="inlineStr">
        <is>
          <t>aluminium and aluminium products</t>
        </is>
      </c>
      <c r="E305" s="31" t="inlineStr">
        <is>
          <t>largecap</t>
        </is>
      </c>
      <c r="F305" s="31" t="n">
        <v>235936.31</v>
      </c>
      <c r="G305" s="31" t="n">
        <v>1041.6</v>
      </c>
      <c r="H305" s="31" t="n">
        <v>-0.79</v>
      </c>
      <c r="I305" s="31" t="n">
        <v>7290434</v>
      </c>
      <c r="J305" s="31" t="inlineStr">
        <is>
          <t>500440</t>
        </is>
      </c>
    </row>
    <row r="306">
      <c r="A306" s="31" t="inlineStr">
        <is>
          <t>PRICOLLTD</t>
        </is>
      </c>
      <c r="B306" s="31" t="inlineStr">
        <is>
          <t>Pricol Ltd.</t>
        </is>
      </c>
      <c r="C306" s="31" t="inlineStr">
        <is>
          <t>auto</t>
        </is>
      </c>
      <c r="D306" s="31" t="inlineStr">
        <is>
          <t>auto ancillaries</t>
        </is>
      </c>
      <c r="E306" s="31" t="inlineStr">
        <is>
          <t>midcap</t>
        </is>
      </c>
      <c r="F306" s="31" t="n">
        <v>9830.35</v>
      </c>
      <c r="G306" s="31" t="n">
        <v>800.05</v>
      </c>
      <c r="H306" s="31" t="n">
        <v>-0.8100000000000001</v>
      </c>
      <c r="I306" s="31" t="n">
        <v>323410</v>
      </c>
      <c r="J306" s="31" t="inlineStr">
        <is>
          <t>540293</t>
        </is>
      </c>
    </row>
    <row r="307">
      <c r="A307" s="31" t="inlineStr">
        <is>
          <t>NRL</t>
        </is>
      </c>
      <c r="B307" s="31" t="inlineStr">
        <is>
          <t>Nupur Recyclers Ltd</t>
        </is>
      </c>
      <c r="C307" s="31" t="inlineStr">
        <is>
          <t>services</t>
        </is>
      </c>
      <c r="D307" s="31" t="inlineStr">
        <is>
          <t>trading</t>
        </is>
      </c>
      <c r="E307" s="31" t="inlineStr">
        <is>
          <t>smallcap</t>
        </is>
      </c>
      <c r="F307" s="31" t="n">
        <v>801.2</v>
      </c>
      <c r="G307" s="31" t="n">
        <v>116</v>
      </c>
      <c r="H307" s="31" t="n">
        <v>-0.85</v>
      </c>
      <c r="I307" s="31" t="n">
        <v>29663</v>
      </c>
      <c r="J307" s="31" t="inlineStr">
        <is>
          <t>535413</t>
        </is>
      </c>
    </row>
    <row r="308">
      <c r="A308" s="31" t="inlineStr">
        <is>
          <t>MAGADSUGAR</t>
        </is>
      </c>
      <c r="B308" s="31" t="inlineStr">
        <is>
          <t>Magadh Sugar &amp; Energy Ltd</t>
        </is>
      </c>
      <c r="C308" s="31" t="inlineStr">
        <is>
          <t>fmcg</t>
        </is>
      </c>
      <c r="D308" s="31" t="inlineStr">
        <is>
          <t>sugar</t>
        </is>
      </c>
      <c r="E308" s="31" t="inlineStr">
        <is>
          <t>smallcap</t>
        </is>
      </c>
      <c r="F308" s="31" t="n">
        <v>804.14</v>
      </c>
      <c r="G308" s="31" t="n">
        <v>565.5</v>
      </c>
      <c r="H308" s="31" t="n">
        <v>-0.9</v>
      </c>
      <c r="I308" s="31" t="n">
        <v>64874</v>
      </c>
      <c r="J308" s="31" t="inlineStr">
        <is>
          <t>540650</t>
        </is>
      </c>
    </row>
    <row r="309">
      <c r="A309" s="31" t="inlineStr">
        <is>
          <t>MATRIMONY</t>
        </is>
      </c>
      <c r="B309" s="31" t="inlineStr">
        <is>
          <t>Matrimony.com Ltd</t>
        </is>
      </c>
      <c r="C309" s="31" t="inlineStr">
        <is>
          <t>miscellaneous</t>
        </is>
      </c>
      <c r="D309" s="31" t="inlineStr">
        <is>
          <t>miscellaneous</t>
        </is>
      </c>
      <c r="E309" s="31" t="inlineStr">
        <is>
          <t>smallcap</t>
        </is>
      </c>
      <c r="F309" s="31" t="n">
        <v>1122.67</v>
      </c>
      <c r="G309" s="31" t="n">
        <v>538</v>
      </c>
      <c r="H309" s="31" t="n">
        <v>-0.93</v>
      </c>
      <c r="I309" s="31" t="n">
        <v>10712</v>
      </c>
      <c r="J309" s="31" t="inlineStr">
        <is>
          <t>540704</t>
        </is>
      </c>
    </row>
    <row r="310">
      <c r="A310" s="31" t="inlineStr">
        <is>
          <t>BALKRISIND</t>
        </is>
      </c>
      <c r="B310" s="31" t="inlineStr">
        <is>
          <t>Balkrishna Industries Limited</t>
        </is>
      </c>
      <c r="C310" s="31" t="inlineStr">
        <is>
          <t>auto</t>
        </is>
      </c>
      <c r="D310" s="31" t="inlineStr">
        <is>
          <t>tyres</t>
        </is>
      </c>
      <c r="E310" s="31" t="inlineStr">
        <is>
          <t>largecap</t>
        </is>
      </c>
      <c r="F310" s="31" t="n">
        <v>46535.31</v>
      </c>
      <c r="G310" s="31" t="n">
        <v>2384.8</v>
      </c>
      <c r="H310" s="31" t="n">
        <v>-0.93</v>
      </c>
      <c r="I310" s="31" t="n">
        <v>54939</v>
      </c>
      <c r="J310" s="31" t="inlineStr">
        <is>
          <t>502355</t>
        </is>
      </c>
    </row>
    <row r="311">
      <c r="A311" s="31" t="inlineStr">
        <is>
          <t>LINCOLN</t>
        </is>
      </c>
      <c r="B311" s="31" t="inlineStr">
        <is>
          <t>Lincoln Pharmaceuticals Limited</t>
        </is>
      </c>
      <c r="C311" s="31" t="inlineStr">
        <is>
          <t>healthcare</t>
        </is>
      </c>
      <c r="D311" s="31" t="inlineStr">
        <is>
          <t>pharmaceuticals - indian - formulations</t>
        </is>
      </c>
      <c r="E311" s="31" t="inlineStr">
        <is>
          <t>smallcap</t>
        </is>
      </c>
      <c r="F311" s="31" t="n">
        <v>1248.55</v>
      </c>
      <c r="G311" s="31" t="n">
        <v>617.5</v>
      </c>
      <c r="H311" s="31" t="n">
        <v>-0.9399999999999999</v>
      </c>
      <c r="I311" s="31" t="n">
        <v>28720</v>
      </c>
      <c r="J311" s="31" t="inlineStr">
        <is>
          <t>531633</t>
        </is>
      </c>
    </row>
    <row r="312">
      <c r="A312" s="31" t="inlineStr">
        <is>
          <t>SENORES</t>
        </is>
      </c>
      <c r="B312" s="31" t="inlineStr">
        <is>
          <t>Senores Pharmaceuticals Ltd</t>
        </is>
      </c>
      <c r="C312" s="31" t="inlineStr">
        <is>
          <t>healthcare</t>
        </is>
      </c>
      <c r="D312" s="31" t="inlineStr">
        <is>
          <t>pharmaceuticals - indian - formulations</t>
        </is>
      </c>
      <c r="E312" s="31" t="inlineStr">
        <is>
          <t>midcap</t>
        </is>
      </c>
      <c r="F312" s="31" t="n">
        <v>7118.5</v>
      </c>
      <c r="G312" s="31" t="n">
        <v>1531</v>
      </c>
      <c r="H312" s="31" t="n">
        <v>-0.95</v>
      </c>
      <c r="I312" s="31" t="n">
        <v>238950</v>
      </c>
      <c r="J312" s="31" t="inlineStr">
        <is>
          <t>544319</t>
        </is>
      </c>
    </row>
    <row r="313">
      <c r="A313" s="31" t="inlineStr">
        <is>
          <t>ASKAUTOLTD</t>
        </is>
      </c>
      <c r="B313" s="31" t="inlineStr">
        <is>
          <t>ASK Automotive Ltd</t>
        </is>
      </c>
      <c r="C313" s="31" t="inlineStr">
        <is>
          <t>auto</t>
        </is>
      </c>
      <c r="D313" s="31" t="inlineStr">
        <is>
          <t>auto ancillaries</t>
        </is>
      </c>
      <c r="E313" s="31" t="inlineStr">
        <is>
          <t>midcap</t>
        </is>
      </c>
      <c r="F313" s="31" t="n">
        <v>12798.5</v>
      </c>
      <c r="G313" s="31" t="n">
        <v>643</v>
      </c>
      <c r="H313" s="31" t="n">
        <v>-0.96</v>
      </c>
      <c r="I313" s="31" t="n">
        <v>260655</v>
      </c>
      <c r="J313" s="31" t="inlineStr">
        <is>
          <t>544022</t>
        </is>
      </c>
    </row>
    <row r="314">
      <c r="A314" s="31" t="inlineStr">
        <is>
          <t>GEECEE</t>
        </is>
      </c>
      <c r="B314" s="31" t="inlineStr">
        <is>
          <t>Geecee Ventures Limited</t>
        </is>
      </c>
      <c r="C314" s="31" t="inlineStr">
        <is>
          <t>financials</t>
        </is>
      </c>
      <c r="D314" s="31" t="inlineStr">
        <is>
          <t>finance &amp; investments</t>
        </is>
      </c>
      <c r="E314" s="31" t="inlineStr">
        <is>
          <t>smallcap</t>
        </is>
      </c>
      <c r="F314" s="31" t="n">
        <v>771.22</v>
      </c>
      <c r="G314" s="31" t="n">
        <v>365.05</v>
      </c>
      <c r="H314" s="31" t="n">
        <v>-1.02</v>
      </c>
      <c r="I314" s="31" t="n">
        <v>214</v>
      </c>
      <c r="J314" s="31" t="inlineStr">
        <is>
          <t>532764</t>
        </is>
      </c>
    </row>
    <row r="315">
      <c r="A315" s="31" t="inlineStr">
        <is>
          <t>GLENMARK</t>
        </is>
      </c>
      <c r="B315" s="31" t="inlineStr">
        <is>
          <t>Glenmark Pharmaceuticals Limited</t>
        </is>
      </c>
      <c r="C315" s="31" t="inlineStr">
        <is>
          <t>healthcare</t>
        </is>
      </c>
      <c r="D315" s="31" t="inlineStr">
        <is>
          <t>pharmaceuticals - indian - bulk drugs &amp; formln</t>
        </is>
      </c>
      <c r="E315" s="31" t="inlineStr">
        <is>
          <t>largecap</t>
        </is>
      </c>
      <c r="F315" s="31" t="n">
        <v>65724.57000000001</v>
      </c>
      <c r="G315" s="31" t="n">
        <v>2305</v>
      </c>
      <c r="H315" s="31" t="n">
        <v>-1.03</v>
      </c>
      <c r="I315" s="31" t="n">
        <v>1116185</v>
      </c>
      <c r="J315" s="31" t="inlineStr">
        <is>
          <t>532296</t>
        </is>
      </c>
    </row>
    <row r="316">
      <c r="A316" s="31" t="inlineStr">
        <is>
          <t>KPRMILL</t>
        </is>
      </c>
      <c r="B316" s="31" t="inlineStr">
        <is>
          <t>K.p.r. Mill Limited</t>
        </is>
      </c>
      <c r="C316" s="31" t="inlineStr">
        <is>
          <t>consumer discretionary</t>
        </is>
      </c>
      <c r="D316" s="31" t="inlineStr">
        <is>
          <t>textiles - products</t>
        </is>
      </c>
      <c r="E316" s="31" t="inlineStr">
        <is>
          <t>largecap</t>
        </is>
      </c>
      <c r="F316" s="31" t="n">
        <v>38816.4</v>
      </c>
      <c r="G316" s="31" t="n">
        <v>1123.9</v>
      </c>
      <c r="H316" s="31" t="n">
        <v>-1.03</v>
      </c>
      <c r="I316" s="31" t="n">
        <v>110493</v>
      </c>
      <c r="J316" s="31" t="inlineStr">
        <is>
          <t>532889</t>
        </is>
      </c>
    </row>
    <row r="317">
      <c r="A317" s="31" t="inlineStr">
        <is>
          <t>PITTIENG</t>
        </is>
      </c>
      <c r="B317" s="31" t="inlineStr">
        <is>
          <t>Pitti Engineering Ltd</t>
        </is>
      </c>
      <c r="C317" s="31" t="inlineStr">
        <is>
          <t>industrials</t>
        </is>
      </c>
      <c r="D317" s="31" t="inlineStr">
        <is>
          <t>engineering</t>
        </is>
      </c>
      <c r="E317" s="31" t="inlineStr">
        <is>
          <t>smallcap</t>
        </is>
      </c>
      <c r="F317" s="31" t="n">
        <v>3940.64</v>
      </c>
      <c r="G317" s="31" t="n">
        <v>1035.8</v>
      </c>
      <c r="H317" s="31" t="n">
        <v>-1.03</v>
      </c>
      <c r="I317" s="31" t="n">
        <v>171313</v>
      </c>
      <c r="J317" s="31" t="inlineStr">
        <is>
          <t>513519</t>
        </is>
      </c>
    </row>
    <row r="318">
      <c r="A318" s="31" t="inlineStr">
        <is>
          <t>MONARCH</t>
        </is>
      </c>
      <c r="B318" s="31" t="inlineStr">
        <is>
          <t>Monarch Networth Capital Ltd</t>
        </is>
      </c>
      <c r="C318" s="31" t="inlineStr">
        <is>
          <t>financials</t>
        </is>
      </c>
      <c r="D318" s="31" t="inlineStr">
        <is>
          <t>finance &amp; investments</t>
        </is>
      </c>
      <c r="E318" s="31" t="inlineStr">
        <is>
          <t>smallcap</t>
        </is>
      </c>
      <c r="F318" s="31" t="n">
        <v>3085.49</v>
      </c>
      <c r="G318" s="31" t="n">
        <v>385.05</v>
      </c>
      <c r="H318" s="31" t="n">
        <v>-1.03</v>
      </c>
      <c r="I318" s="31" t="n">
        <v>118299</v>
      </c>
      <c r="J318" s="31" t="inlineStr">
        <is>
          <t>511551</t>
        </is>
      </c>
    </row>
    <row r="319">
      <c r="A319" s="31" t="inlineStr">
        <is>
          <t>ARE&amp;M</t>
        </is>
      </c>
      <c r="B319" s="31" t="inlineStr">
        <is>
          <t>Amara Raja Energy &amp; Mobility Ltd</t>
        </is>
      </c>
      <c r="C319" s="31" t="inlineStr">
        <is>
          <t>auto</t>
        </is>
      </c>
      <c r="D319" s="31" t="inlineStr">
        <is>
          <t>auto ancillaries</t>
        </is>
      </c>
      <c r="E319" s="31" t="inlineStr">
        <is>
          <t>midcap</t>
        </is>
      </c>
      <c r="F319" s="31" t="n">
        <v>17308.71</v>
      </c>
      <c r="G319" s="31" t="n">
        <v>935.8</v>
      </c>
      <c r="H319" s="31" t="n">
        <v>-1.05</v>
      </c>
      <c r="I319" s="31" t="n">
        <v>415661</v>
      </c>
      <c r="J319" s="31" t="inlineStr">
        <is>
          <t>500008</t>
        </is>
      </c>
    </row>
    <row r="320">
      <c r="A320" s="31" t="inlineStr">
        <is>
          <t>STEL</t>
        </is>
      </c>
      <c r="B320" s="31" t="inlineStr">
        <is>
          <t>Stel Holdings Limited</t>
        </is>
      </c>
      <c r="C320" s="31" t="inlineStr">
        <is>
          <t>financials</t>
        </is>
      </c>
      <c r="D320" s="31" t="inlineStr">
        <is>
          <t>finance &amp; investments</t>
        </is>
      </c>
      <c r="E320" s="31" t="inlineStr">
        <is>
          <t>smallcap</t>
        </is>
      </c>
      <c r="F320" s="31" t="n">
        <v>1091.45</v>
      </c>
      <c r="G320" s="31" t="n">
        <v>585</v>
      </c>
      <c r="H320" s="31" t="n">
        <v>-1.08</v>
      </c>
      <c r="I320" s="31" t="n">
        <v>6585</v>
      </c>
      <c r="J320" s="31" t="n"/>
    </row>
    <row r="321">
      <c r="A321" s="31" t="inlineStr">
        <is>
          <t>ARVSMART</t>
        </is>
      </c>
      <c r="B321" s="31" t="inlineStr">
        <is>
          <t>Arvind Smartspaces Limited</t>
        </is>
      </c>
      <c r="C321" s="31" t="inlineStr">
        <is>
          <t>realty</t>
        </is>
      </c>
      <c r="D321" s="31" t="inlineStr">
        <is>
          <t>construction</t>
        </is>
      </c>
      <c r="E321" s="31" t="inlineStr">
        <is>
          <t>smallcap</t>
        </is>
      </c>
      <c r="F321" s="31" t="n">
        <v>3074.69</v>
      </c>
      <c r="G321" s="31" t="n">
        <v>663</v>
      </c>
      <c r="H321" s="31" t="n">
        <v>-1.1</v>
      </c>
      <c r="I321" s="31" t="n">
        <v>84726</v>
      </c>
      <c r="J321" s="31" t="inlineStr">
        <is>
          <t>539301</t>
        </is>
      </c>
    </row>
    <row r="322">
      <c r="A322" s="31" t="inlineStr">
        <is>
          <t>NEULANDLAB</t>
        </is>
      </c>
      <c r="B322" s="31" t="inlineStr">
        <is>
          <t>Neuland Laboratories Limited</t>
        </is>
      </c>
      <c r="C322" s="31" t="inlineStr">
        <is>
          <t>healthcare</t>
        </is>
      </c>
      <c r="D322" s="31" t="inlineStr">
        <is>
          <t>pharmaceuticals - indian - bulk drugs</t>
        </is>
      </c>
      <c r="E322" s="31" t="inlineStr">
        <is>
          <t>largecap</t>
        </is>
      </c>
      <c r="F322" s="31" t="n">
        <v>30356.8</v>
      </c>
      <c r="G322" s="31" t="n">
        <v>23399</v>
      </c>
      <c r="H322" s="31" t="n">
        <v>-1.11</v>
      </c>
      <c r="I322" s="31" t="n">
        <v>55376</v>
      </c>
      <c r="J322" s="31" t="inlineStr">
        <is>
          <t>524558</t>
        </is>
      </c>
    </row>
    <row r="323">
      <c r="A323" s="31" t="inlineStr">
        <is>
          <t>MUNJALAU</t>
        </is>
      </c>
      <c r="B323" s="31" t="inlineStr">
        <is>
          <t>Munjal Auto Industries Limited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smallcap</t>
        </is>
      </c>
      <c r="F323" s="31" t="n">
        <v>1197.2</v>
      </c>
      <c r="G323" s="31" t="n">
        <v>118.39</v>
      </c>
      <c r="H323" s="31" t="n">
        <v>-1.11</v>
      </c>
      <c r="I323" s="31" t="n">
        <v>2916371</v>
      </c>
      <c r="J323" s="31" t="inlineStr">
        <is>
          <t>520059</t>
        </is>
      </c>
    </row>
    <row r="324">
      <c r="A324" s="31" t="inlineStr">
        <is>
          <t>KRN</t>
        </is>
      </c>
      <c r="B324" s="31" t="inlineStr">
        <is>
          <t>KRN Heat Exchanger and Refrigeration Ltd</t>
        </is>
      </c>
      <c r="C324" s="31" t="inlineStr">
        <is>
          <t>industrials</t>
        </is>
      </c>
      <c r="D324" s="31" t="inlineStr">
        <is>
          <t>engineering</t>
        </is>
      </c>
      <c r="E324" s="31" t="inlineStr">
        <is>
          <t>midcap</t>
        </is>
      </c>
      <c r="F324" s="31" t="n">
        <v>10078.64</v>
      </c>
      <c r="G324" s="31" t="n">
        <v>1522.1</v>
      </c>
      <c r="H324" s="31" t="n">
        <v>-1.14</v>
      </c>
      <c r="I324" s="31" t="n">
        <v>425531</v>
      </c>
      <c r="J324" s="31" t="inlineStr">
        <is>
          <t>544263</t>
        </is>
      </c>
    </row>
    <row r="325">
      <c r="A325" s="31" t="inlineStr">
        <is>
          <t>LUMAXIND</t>
        </is>
      </c>
      <c r="B325" s="31" t="inlineStr">
        <is>
          <t>Lumax Industries Limited</t>
        </is>
      </c>
      <c r="C325" s="31" t="inlineStr">
        <is>
          <t>auto</t>
        </is>
      </c>
      <c r="D325" s="31" t="inlineStr">
        <is>
          <t>auto ancillaries</t>
        </is>
      </c>
      <c r="E325" s="31" t="inlineStr">
        <is>
          <t>midcap</t>
        </is>
      </c>
      <c r="F325" s="31" t="n">
        <v>5414.21</v>
      </c>
      <c r="G325" s="31" t="n">
        <v>5726</v>
      </c>
      <c r="H325" s="31" t="n">
        <v>-1.14</v>
      </c>
      <c r="I325" s="31" t="n">
        <v>5666</v>
      </c>
      <c r="J325" s="31" t="inlineStr">
        <is>
          <t>517206</t>
        </is>
      </c>
    </row>
    <row r="326">
      <c r="A326" s="31" t="inlineStr">
        <is>
          <t>ASTRAL</t>
        </is>
      </c>
      <c r="B326" s="31" t="inlineStr">
        <is>
          <t>Astral Ltd</t>
        </is>
      </c>
      <c r="C326" s="31" t="inlineStr">
        <is>
          <t>plastic products</t>
        </is>
      </c>
      <c r="D326" s="31" t="inlineStr">
        <is>
          <t>plastics products</t>
        </is>
      </c>
      <c r="E326" s="31" t="inlineStr">
        <is>
          <t>largecap</t>
        </is>
      </c>
      <c r="F326" s="31" t="n">
        <v>41326.45</v>
      </c>
      <c r="G326" s="31" t="n">
        <v>1520</v>
      </c>
      <c r="H326" s="31" t="n">
        <v>-1.19</v>
      </c>
      <c r="I326" s="31" t="n">
        <v>508274</v>
      </c>
      <c r="J326" s="31" t="inlineStr">
        <is>
          <t>532830</t>
        </is>
      </c>
    </row>
    <row r="327">
      <c r="A327" s="31" t="inlineStr">
        <is>
          <t>CONCOR</t>
        </is>
      </c>
      <c r="B327" s="31" t="inlineStr">
        <is>
          <t>Container Corporation Of India Limited</t>
        </is>
      </c>
      <c r="C327" s="31" t="inlineStr">
        <is>
          <t>transportation</t>
        </is>
      </c>
      <c r="D327" s="31" t="inlineStr">
        <is>
          <t>miscellaneous</t>
        </is>
      </c>
      <c r="E327" s="31" t="inlineStr">
        <is>
          <t>largecap</t>
        </is>
      </c>
      <c r="F327" s="31" t="n">
        <v>39946.86</v>
      </c>
      <c r="G327" s="31" t="n">
        <v>518.25</v>
      </c>
      <c r="H327" s="31" t="n">
        <v>-1.19</v>
      </c>
      <c r="I327" s="31" t="n">
        <v>1200480</v>
      </c>
      <c r="J327" s="31" t="inlineStr">
        <is>
          <t>531344</t>
        </is>
      </c>
    </row>
    <row r="328">
      <c r="A328" s="31" t="inlineStr">
        <is>
          <t>SHRIRAMFIN</t>
        </is>
      </c>
      <c r="B328" s="31" t="inlineStr">
        <is>
          <t>Shriram Finance Ltd</t>
        </is>
      </c>
      <c r="C328" s="31" t="inlineStr">
        <is>
          <t>financials</t>
        </is>
      </c>
      <c r="D328" s="31" t="inlineStr">
        <is>
          <t>finance &amp; investments</t>
        </is>
      </c>
      <c r="E328" s="31" t="inlineStr">
        <is>
          <t>largecap</t>
        </is>
      </c>
      <c r="F328" s="31" t="n">
        <v>263997.08</v>
      </c>
      <c r="G328" s="31" t="n">
        <v>1108.4</v>
      </c>
      <c r="H328" s="31" t="n">
        <v>-1.21</v>
      </c>
      <c r="I328" s="31" t="n">
        <v>5203850</v>
      </c>
      <c r="J328" s="31" t="inlineStr">
        <is>
          <t>511218</t>
        </is>
      </c>
    </row>
    <row r="329">
      <c r="A329" s="31" t="inlineStr">
        <is>
          <t>IIFL</t>
        </is>
      </c>
      <c r="B329" s="31" t="inlineStr">
        <is>
          <t>IIFL Finance Ltd</t>
        </is>
      </c>
      <c r="C329" s="31" t="inlineStr">
        <is>
          <t>financials</t>
        </is>
      </c>
      <c r="D329" s="31" t="inlineStr">
        <is>
          <t>finance &amp; investments</t>
        </is>
      </c>
      <c r="E329" s="31" t="inlineStr">
        <is>
          <t>largecap</t>
        </is>
      </c>
      <c r="F329" s="31" t="n">
        <v>26797.6</v>
      </c>
      <c r="G329" s="31" t="n">
        <v>622.35</v>
      </c>
      <c r="H329" s="31" t="n">
        <v>-1.22</v>
      </c>
      <c r="I329" s="31" t="n">
        <v>1373767</v>
      </c>
      <c r="J329" s="31" t="inlineStr">
        <is>
          <t>532636</t>
        </is>
      </c>
    </row>
    <row r="330">
      <c r="A330" s="31" t="inlineStr">
        <is>
          <t>KOVAI</t>
        </is>
      </c>
      <c r="B330" s="31" t="inlineStr">
        <is>
          <t>Kovai Medical Center &amp; Hospital Ltd</t>
        </is>
      </c>
      <c r="C330" s="31" t="inlineStr">
        <is>
          <t>healthcare</t>
        </is>
      </c>
      <c r="D330" s="31" t="inlineStr">
        <is>
          <t>healthcare</t>
        </is>
      </c>
      <c r="E330" s="31" t="inlineStr">
        <is>
          <t>midcap</t>
        </is>
      </c>
      <c r="F330" s="31" t="n">
        <v>6698.85</v>
      </c>
      <c r="G330" s="31" t="n">
        <v>6045</v>
      </c>
      <c r="H330" s="31" t="n">
        <v>-1.26</v>
      </c>
      <c r="I330" s="31" t="n">
        <v>3166</v>
      </c>
      <c r="J330" s="31" t="inlineStr">
        <is>
          <t>523323</t>
        </is>
      </c>
    </row>
    <row r="331">
      <c r="A331" s="31" t="inlineStr">
        <is>
          <t>DHAMPURSUG</t>
        </is>
      </c>
      <c r="B331" s="31" t="inlineStr">
        <is>
          <t>Dhampur Sugar Mills Limited</t>
        </is>
      </c>
      <c r="C331" s="31" t="inlineStr">
        <is>
          <t>fmcg</t>
        </is>
      </c>
      <c r="D331" s="31" t="inlineStr">
        <is>
          <t>sugar</t>
        </is>
      </c>
      <c r="E331" s="31" t="inlineStr">
        <is>
          <t>smallcap</t>
        </is>
      </c>
      <c r="F331" s="31" t="n">
        <v>1098.81</v>
      </c>
      <c r="G331" s="31" t="n">
        <v>168.65</v>
      </c>
      <c r="H331" s="31" t="n">
        <v>-1.3</v>
      </c>
      <c r="I331" s="31" t="n">
        <v>1604098</v>
      </c>
      <c r="J331" s="31" t="inlineStr">
        <is>
          <t>500119</t>
        </is>
      </c>
    </row>
    <row r="332">
      <c r="A332" s="31" t="inlineStr">
        <is>
          <t>ATHERENERG</t>
        </is>
      </c>
      <c r="B332" s="31" t="inlineStr">
        <is>
          <t>Ather Energy Ltd</t>
        </is>
      </c>
      <c r="C332" s="31" t="inlineStr">
        <is>
          <t>auto</t>
        </is>
      </c>
      <c r="D332" s="31" t="inlineStr">
        <is>
          <t>automobiles - scooters and 3 - wheelers</t>
        </is>
      </c>
      <c r="E332" s="31" t="inlineStr">
        <is>
          <t>largecap</t>
        </is>
      </c>
      <c r="F332" s="31" t="n">
        <v>58535.49</v>
      </c>
      <c r="G332" s="31" t="n">
        <v>1465.8</v>
      </c>
      <c r="H332" s="31" t="n">
        <v>-1.31</v>
      </c>
      <c r="I332" s="31" t="n">
        <v>2760706</v>
      </c>
      <c r="J332" s="31" t="inlineStr">
        <is>
          <t>544397</t>
        </is>
      </c>
    </row>
    <row r="333">
      <c r="A333" s="31" t="inlineStr">
        <is>
          <t>CESC</t>
        </is>
      </c>
      <c r="B333" s="31" t="inlineStr">
        <is>
          <t>Cesc Limited</t>
        </is>
      </c>
      <c r="C333" s="31" t="inlineStr">
        <is>
          <t>power &amp; utilities</t>
        </is>
      </c>
      <c r="D333" s="31" t="inlineStr">
        <is>
          <t>power generation and supply</t>
        </is>
      </c>
      <c r="E333" s="31" t="inlineStr">
        <is>
          <t>largecap</t>
        </is>
      </c>
      <c r="F333" s="31" t="n">
        <v>22563.86</v>
      </c>
      <c r="G333" s="31" t="n">
        <v>167.98</v>
      </c>
      <c r="H333" s="31" t="n">
        <v>-1.32</v>
      </c>
      <c r="I333" s="31" t="n">
        <v>2560043</v>
      </c>
      <c r="J333" s="31" t="inlineStr">
        <is>
          <t>500084</t>
        </is>
      </c>
    </row>
    <row r="334">
      <c r="A334" s="31" t="inlineStr">
        <is>
          <t>ROLEXRINGS</t>
        </is>
      </c>
      <c r="B334" s="31" t="inlineStr">
        <is>
          <t>Rolex Rings Ltd</t>
        </is>
      </c>
      <c r="C334" s="31" t="inlineStr">
        <is>
          <t>auto</t>
        </is>
      </c>
      <c r="D334" s="31" t="inlineStr">
        <is>
          <t>auto ancillaries</t>
        </is>
      </c>
      <c r="E334" s="31" t="inlineStr">
        <is>
          <t>smallcap</t>
        </is>
      </c>
      <c r="F334" s="31" t="n">
        <v>4887.29</v>
      </c>
      <c r="G334" s="31" t="n">
        <v>177.06</v>
      </c>
      <c r="H334" s="31" t="n">
        <v>-1.34</v>
      </c>
      <c r="I334" s="31" t="n">
        <v>2031379</v>
      </c>
      <c r="J334" s="31" t="inlineStr">
        <is>
          <t>543325</t>
        </is>
      </c>
    </row>
    <row r="335">
      <c r="A335" s="31" t="inlineStr">
        <is>
          <t>SJS</t>
        </is>
      </c>
      <c r="B335" s="31" t="inlineStr">
        <is>
          <t>S J S Enterprises Ltd</t>
        </is>
      </c>
      <c r="C335" s="31" t="inlineStr">
        <is>
          <t>auto</t>
        </is>
      </c>
      <c r="D335" s="31" t="inlineStr">
        <is>
          <t>plastics products</t>
        </is>
      </c>
      <c r="E335" s="31" t="inlineStr">
        <is>
          <t>midcap</t>
        </is>
      </c>
      <c r="F335" s="31" t="n">
        <v>8111.71</v>
      </c>
      <c r="G335" s="31" t="n">
        <v>2500.2</v>
      </c>
      <c r="H335" s="31" t="n">
        <v>-1.35</v>
      </c>
      <c r="I335" s="31" t="n">
        <v>222731</v>
      </c>
      <c r="J335" s="31" t="inlineStr">
        <is>
          <t>543387</t>
        </is>
      </c>
    </row>
    <row r="336">
      <c r="A336" s="31" t="inlineStr">
        <is>
          <t>MBAPL</t>
        </is>
      </c>
      <c r="B336" s="31" t="inlineStr">
        <is>
          <t>Madhya Bharat Agro Products Ltd</t>
        </is>
      </c>
      <c r="C336" s="31" t="inlineStr">
        <is>
          <t>chemicals</t>
        </is>
      </c>
      <c r="D336" s="31" t="inlineStr">
        <is>
          <t>fertilizers</t>
        </is>
      </c>
      <c r="E336" s="31" t="inlineStr">
        <is>
          <t>smallcap</t>
        </is>
      </c>
      <c r="F336" s="31" t="n">
        <v>1443.48</v>
      </c>
      <c r="G336" s="31" t="n">
        <v>162.47</v>
      </c>
      <c r="H336" s="31" t="n">
        <v>-1.37</v>
      </c>
      <c r="I336" s="31" t="n">
        <v>378222</v>
      </c>
      <c r="J336" s="31" t="inlineStr">
        <is>
          <t>538370</t>
        </is>
      </c>
    </row>
    <row r="337">
      <c r="A337" s="31" t="inlineStr">
        <is>
          <t>GIPCL</t>
        </is>
      </c>
      <c r="B337" s="31" t="inlineStr">
        <is>
          <t>Gujarat Industries Power Company Limited</t>
        </is>
      </c>
      <c r="C337" s="31" t="inlineStr">
        <is>
          <t>power &amp; utilities</t>
        </is>
      </c>
      <c r="D337" s="31" t="inlineStr">
        <is>
          <t>power generation and supply</t>
        </is>
      </c>
      <c r="E337" s="31" t="inlineStr">
        <is>
          <t>smallcap</t>
        </is>
      </c>
      <c r="F337" s="31" t="n">
        <v>2707.59</v>
      </c>
      <c r="G337" s="31" t="n">
        <v>172.05</v>
      </c>
      <c r="H337" s="31" t="n">
        <v>-1.37</v>
      </c>
      <c r="I337" s="31" t="n">
        <v>442744</v>
      </c>
      <c r="J337" s="31" t="inlineStr">
        <is>
          <t>517300</t>
        </is>
      </c>
    </row>
    <row r="338">
      <c r="A338" s="31" t="inlineStr">
        <is>
          <t>KALYANKJIL</t>
        </is>
      </c>
      <c r="B338" s="31" t="inlineStr">
        <is>
          <t>Kalyan Jewellers India Ltd</t>
        </is>
      </c>
      <c r="C338" s="31" t="inlineStr">
        <is>
          <t>consumer discretionary</t>
        </is>
      </c>
      <c r="D338" s="31" t="inlineStr">
        <is>
          <t>diamond cutting / jewellery</t>
        </is>
      </c>
      <c r="E338" s="31" t="inlineStr">
        <is>
          <t>largecap</t>
        </is>
      </c>
      <c r="F338" s="31" t="n">
        <v>62997.15</v>
      </c>
      <c r="G338" s="31" t="n">
        <v>601.6</v>
      </c>
      <c r="H338" s="31" t="n">
        <v>-1.38</v>
      </c>
      <c r="I338" s="31" t="n">
        <v>18183221</v>
      </c>
      <c r="J338" s="31" t="inlineStr">
        <is>
          <t>543278</t>
        </is>
      </c>
    </row>
    <row r="339">
      <c r="A339" s="31" t="inlineStr">
        <is>
          <t>KENNAMET</t>
        </is>
      </c>
      <c r="B339" s="31" t="inlineStr">
        <is>
          <t>Kennametal India Ltd</t>
        </is>
      </c>
      <c r="C339" s="31" t="inlineStr">
        <is>
          <t>industrials</t>
        </is>
      </c>
      <c r="D339" s="31" t="inlineStr">
        <is>
          <t>castings &amp; forgings</t>
        </is>
      </c>
      <c r="E339" s="31" t="inlineStr">
        <is>
          <t>midcap</t>
        </is>
      </c>
      <c r="F339" s="31" t="n">
        <v>7806.01</v>
      </c>
      <c r="G339" s="31" t="n">
        <v>3502.2</v>
      </c>
      <c r="H339" s="31" t="n">
        <v>-1.39</v>
      </c>
      <c r="I339" s="31" t="n">
        <v>14828</v>
      </c>
      <c r="J339" s="31" t="inlineStr">
        <is>
          <t>505890</t>
        </is>
      </c>
    </row>
    <row r="340">
      <c r="A340" s="31" t="inlineStr">
        <is>
          <t>AZAD</t>
        </is>
      </c>
      <c r="B340" s="31" t="inlineStr">
        <is>
          <t>Azad Engineering Ltd</t>
        </is>
      </c>
      <c r="C340" s="31" t="inlineStr">
        <is>
          <t>aerospace &amp; defence</t>
        </is>
      </c>
      <c r="D340" s="31" t="inlineStr">
        <is>
          <t>engineering</t>
        </is>
      </c>
      <c r="E340" s="31" t="inlineStr">
        <is>
          <t>midcap</t>
        </is>
      </c>
      <c r="F340" s="31" t="n">
        <v>18728.06</v>
      </c>
      <c r="G340" s="31" t="n">
        <v>2858.9</v>
      </c>
      <c r="H340" s="31" t="n">
        <v>-1.41</v>
      </c>
      <c r="I340" s="31" t="n">
        <v>773291</v>
      </c>
      <c r="J340" s="31" t="inlineStr">
        <is>
          <t>544061</t>
        </is>
      </c>
    </row>
    <row r="341">
      <c r="A341" s="31" t="inlineStr">
        <is>
          <t>KEI</t>
        </is>
      </c>
      <c r="B341" s="31" t="inlineStr">
        <is>
          <t>Kei Industries Limited</t>
        </is>
      </c>
      <c r="C341" s="31" t="inlineStr">
        <is>
          <t>industrials</t>
        </is>
      </c>
      <c r="D341" s="31" t="inlineStr">
        <is>
          <t>cables - power</t>
        </is>
      </c>
      <c r="E341" s="31" t="inlineStr">
        <is>
          <t>largecap</t>
        </is>
      </c>
      <c r="F341" s="31" t="n">
        <v>56146.23</v>
      </c>
      <c r="G341" s="31" t="n">
        <v>5790</v>
      </c>
      <c r="H341" s="31" t="n">
        <v>-1.41</v>
      </c>
      <c r="I341" s="31" t="n">
        <v>608534</v>
      </c>
      <c r="J341" s="31" t="inlineStr">
        <is>
          <t>517569</t>
        </is>
      </c>
    </row>
    <row r="342">
      <c r="A342" s="31" t="inlineStr">
        <is>
          <t>HONASA</t>
        </is>
      </c>
      <c r="B342" s="31" t="inlineStr">
        <is>
          <t>Honasa Consumer Ltd</t>
        </is>
      </c>
      <c r="C342" s="31" t="inlineStr">
        <is>
          <t>services</t>
        </is>
      </c>
      <c r="D342" s="31" t="inlineStr">
        <is>
          <t>trading</t>
        </is>
      </c>
      <c r="E342" s="31" t="inlineStr">
        <is>
          <t>midcap</t>
        </is>
      </c>
      <c r="F342" s="31" t="n">
        <v>15702.96</v>
      </c>
      <c r="G342" s="31" t="n">
        <v>474.6</v>
      </c>
      <c r="H342" s="31" t="n">
        <v>-1.46</v>
      </c>
      <c r="I342" s="31" t="n">
        <v>1909932</v>
      </c>
      <c r="J342" s="31" t="inlineStr">
        <is>
          <t>544014</t>
        </is>
      </c>
    </row>
    <row r="343">
      <c r="A343" s="31" t="inlineStr">
        <is>
          <t>RPTECH</t>
        </is>
      </c>
      <c r="B343" s="31" t="inlineStr">
        <is>
          <t>Rashi Peripherals Ltd</t>
        </is>
      </c>
      <c r="C343" s="31" t="inlineStr">
        <is>
          <t>services</t>
        </is>
      </c>
      <c r="D343" s="31" t="inlineStr">
        <is>
          <t>trading</t>
        </is>
      </c>
      <c r="E343" s="31" t="inlineStr">
        <is>
          <t>midcap</t>
        </is>
      </c>
      <c r="F343" s="31" t="n">
        <v>5745.46</v>
      </c>
      <c r="G343" s="31" t="n">
        <v>859</v>
      </c>
      <c r="H343" s="31" t="n">
        <v>-1.47</v>
      </c>
      <c r="I343" s="31" t="n">
        <v>238727</v>
      </c>
      <c r="J343" s="31" t="n"/>
    </row>
    <row r="344">
      <c r="A344" s="31" t="inlineStr">
        <is>
          <t>DICIND</t>
        </is>
      </c>
      <c r="B344" s="31" t="inlineStr">
        <is>
          <t>Dic India Limited</t>
        </is>
      </c>
      <c r="C344" s="31" t="inlineStr">
        <is>
          <t>chemicals</t>
        </is>
      </c>
      <c r="D344" s="31" t="inlineStr">
        <is>
          <t>chemicals</t>
        </is>
      </c>
      <c r="E344" s="31" t="inlineStr">
        <is>
          <t>smallcap</t>
        </is>
      </c>
      <c r="F344" s="31" t="n">
        <v>543.35</v>
      </c>
      <c r="G344" s="31" t="n">
        <v>583.2</v>
      </c>
      <c r="H344" s="31" t="n">
        <v>-1.48</v>
      </c>
      <c r="I344" s="31" t="n">
        <v>2948</v>
      </c>
      <c r="J344" s="31" t="inlineStr">
        <is>
          <t>500089</t>
        </is>
      </c>
    </row>
    <row r="345">
      <c r="A345" s="31" t="inlineStr">
        <is>
          <t>LMW</t>
        </is>
      </c>
      <c r="B345" s="31" t="inlineStr">
        <is>
          <t>LMW Ltd</t>
        </is>
      </c>
      <c r="C345" s="31" t="inlineStr">
        <is>
          <t>industrials</t>
        </is>
      </c>
      <c r="D345" s="31" t="inlineStr">
        <is>
          <t>textile machinery</t>
        </is>
      </c>
      <c r="E345" s="31" t="inlineStr">
        <is>
          <t>largecap</t>
        </is>
      </c>
      <c r="F345" s="31" t="n">
        <v>21416.21</v>
      </c>
      <c r="G345" s="31" t="n">
        <v>19748</v>
      </c>
      <c r="H345" s="31" t="n">
        <v>-1.49</v>
      </c>
      <c r="I345" s="31" t="n">
        <v>6432</v>
      </c>
      <c r="J345" s="31" t="inlineStr">
        <is>
          <t>500252</t>
        </is>
      </c>
    </row>
    <row r="346">
      <c r="A346" s="31" t="inlineStr">
        <is>
          <t>MARKSANS</t>
        </is>
      </c>
      <c r="B346" s="31" t="inlineStr">
        <is>
          <t>Marksans Pharma Limited</t>
        </is>
      </c>
      <c r="C346" s="31" t="inlineStr">
        <is>
          <t>healthcare</t>
        </is>
      </c>
      <c r="D346" s="31" t="inlineStr">
        <is>
          <t>pharmaceuticals - indian - formulations</t>
        </is>
      </c>
      <c r="E346" s="31" t="inlineStr">
        <is>
          <t>midcap</t>
        </is>
      </c>
      <c r="F346" s="31" t="n">
        <v>15020.11</v>
      </c>
      <c r="G346" s="31" t="n">
        <v>326.5</v>
      </c>
      <c r="H346" s="31" t="n">
        <v>-1.49</v>
      </c>
      <c r="I346" s="31" t="n">
        <v>3308098</v>
      </c>
      <c r="J346" s="31" t="inlineStr">
        <is>
          <t>524404</t>
        </is>
      </c>
    </row>
    <row r="347">
      <c r="A347" s="31" t="inlineStr">
        <is>
          <t>ANDHRSUGAR</t>
        </is>
      </c>
      <c r="B347" s="31" t="inlineStr">
        <is>
          <t>The Andhra Sugars Limited</t>
        </is>
      </c>
      <c r="C347" s="31" t="inlineStr">
        <is>
          <t>chemicals</t>
        </is>
      </c>
      <c r="D347" s="31" t="inlineStr">
        <is>
          <t>chlor alkali / soda ash</t>
        </is>
      </c>
      <c r="E347" s="31" t="inlineStr">
        <is>
          <t>smallcap</t>
        </is>
      </c>
      <c r="F347" s="31" t="n">
        <v>1382.19</v>
      </c>
      <c r="G347" s="31" t="n">
        <v>100.46</v>
      </c>
      <c r="H347" s="31" t="n">
        <v>-1.49</v>
      </c>
      <c r="I347" s="31" t="n">
        <v>730940</v>
      </c>
      <c r="J347" s="31" t="inlineStr">
        <is>
          <t>590062</t>
        </is>
      </c>
    </row>
    <row r="348">
      <c r="A348" s="31" t="inlineStr">
        <is>
          <t>TNPETRO</t>
        </is>
      </c>
      <c r="B348" s="31" t="inlineStr">
        <is>
          <t>Tamilnadu Petroproducts Limited</t>
        </is>
      </c>
      <c r="C348" s="31" t="inlineStr">
        <is>
          <t>energy</t>
        </is>
      </c>
      <c r="D348" s="31" t="inlineStr">
        <is>
          <t>petrochemicals</t>
        </is>
      </c>
      <c r="E348" s="31" t="inlineStr">
        <is>
          <t>smallcap</t>
        </is>
      </c>
      <c r="F348" s="31" t="n">
        <v>1027.11</v>
      </c>
      <c r="G348" s="31" t="n">
        <v>112.45</v>
      </c>
      <c r="H348" s="31" t="n">
        <v>-1.5</v>
      </c>
      <c r="I348" s="31" t="n">
        <v>834956</v>
      </c>
      <c r="J348" s="31" t="inlineStr">
        <is>
          <t>500777</t>
        </is>
      </c>
    </row>
    <row r="349">
      <c r="A349" s="31" t="inlineStr">
        <is>
          <t>WINDLAS</t>
        </is>
      </c>
      <c r="B349" s="31" t="inlineStr">
        <is>
          <t>Windlas Biotech Ltd</t>
        </is>
      </c>
      <c r="C349" s="31" t="inlineStr">
        <is>
          <t>healthcare</t>
        </is>
      </c>
      <c r="D349" s="31" t="inlineStr">
        <is>
          <t>pharmaceuticals - indian - formulations</t>
        </is>
      </c>
      <c r="E349" s="31" t="inlineStr">
        <is>
          <t>smallcap</t>
        </is>
      </c>
      <c r="F349" s="31" t="n">
        <v>1926.19</v>
      </c>
      <c r="G349" s="31" t="n">
        <v>919.4</v>
      </c>
      <c r="H349" s="31" t="n">
        <v>-1.5</v>
      </c>
      <c r="I349" s="31" t="n">
        <v>36703</v>
      </c>
      <c r="J349" s="31" t="inlineStr">
        <is>
          <t>543329</t>
        </is>
      </c>
    </row>
    <row r="350">
      <c r="A350" s="31" t="inlineStr">
        <is>
          <t>DALMIASUG</t>
        </is>
      </c>
      <c r="B350" s="31" t="inlineStr">
        <is>
          <t>Dalmia Bharat Sugar And Industries Limited</t>
        </is>
      </c>
      <c r="C350" s="31" t="inlineStr">
        <is>
          <t>fmcg</t>
        </is>
      </c>
      <c r="D350" s="31" t="inlineStr">
        <is>
          <t>sugar</t>
        </is>
      </c>
      <c r="E350" s="31" t="inlineStr">
        <is>
          <t>smallcap</t>
        </is>
      </c>
      <c r="F350" s="31" t="n">
        <v>3719.97</v>
      </c>
      <c r="G350" s="31" t="n">
        <v>452.7</v>
      </c>
      <c r="H350" s="31" t="n">
        <v>-1.5</v>
      </c>
      <c r="I350" s="31" t="n">
        <v>587473</v>
      </c>
      <c r="J350" s="31" t="inlineStr">
        <is>
          <t>500097</t>
        </is>
      </c>
    </row>
    <row r="351">
      <c r="A351" s="31" t="inlineStr">
        <is>
          <t>BASF</t>
        </is>
      </c>
      <c r="B351" s="31" t="inlineStr">
        <is>
          <t>Basf India Limited</t>
        </is>
      </c>
      <c r="C351" s="31" t="inlineStr">
        <is>
          <t>chemicals</t>
        </is>
      </c>
      <c r="D351" s="31" t="inlineStr">
        <is>
          <t>chemicals</t>
        </is>
      </c>
      <c r="E351" s="31" t="inlineStr">
        <is>
          <t>midcap</t>
        </is>
      </c>
      <c r="F351" s="31" t="n">
        <v>17492.59</v>
      </c>
      <c r="G351" s="31" t="n">
        <v>3979.8</v>
      </c>
      <c r="H351" s="31" t="n">
        <v>-1.52</v>
      </c>
      <c r="I351" s="31" t="n">
        <v>30797</v>
      </c>
      <c r="J351" s="31" t="inlineStr">
        <is>
          <t>500042</t>
        </is>
      </c>
    </row>
    <row r="352">
      <c r="A352" s="31" t="inlineStr">
        <is>
          <t>MOREPENLAB</t>
        </is>
      </c>
      <c r="B352" s="31" t="inlineStr">
        <is>
          <t>Morepen Laboratories Limited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smallcap</t>
        </is>
      </c>
      <c r="F352" s="31" t="n">
        <v>4921.72</v>
      </c>
      <c r="G352" s="31" t="n">
        <v>88.44</v>
      </c>
      <c r="H352" s="31" t="n">
        <v>-1.54</v>
      </c>
      <c r="I352" s="31" t="n">
        <v>34387594</v>
      </c>
      <c r="J352" s="31" t="inlineStr">
        <is>
          <t>500288</t>
        </is>
      </c>
    </row>
    <row r="353">
      <c r="A353" s="31" t="inlineStr">
        <is>
          <t>UNITDSPR</t>
        </is>
      </c>
      <c r="B353" s="31" t="inlineStr">
        <is>
          <t>United Spirits Ltd</t>
        </is>
      </c>
      <c r="C353" s="31" t="inlineStr">
        <is>
          <t>fmcg</t>
        </is>
      </c>
      <c r="D353" s="31" t="inlineStr">
        <is>
          <t>breweries &amp; distilleries</t>
        </is>
      </c>
      <c r="E353" s="31" t="inlineStr">
        <is>
          <t>largecap</t>
        </is>
      </c>
      <c r="F353" s="31" t="n">
        <v>112375.71</v>
      </c>
      <c r="G353" s="31" t="n">
        <v>1520.9</v>
      </c>
      <c r="H353" s="31" t="n">
        <v>-1.56</v>
      </c>
      <c r="I353" s="31" t="n">
        <v>638632</v>
      </c>
      <c r="J353" s="31" t="inlineStr">
        <is>
          <t>532432</t>
        </is>
      </c>
    </row>
    <row r="354">
      <c r="A354" s="31" t="inlineStr">
        <is>
          <t>SADHNANIQ</t>
        </is>
      </c>
      <c r="B354" s="31" t="inlineStr">
        <is>
          <t>Sadhana Nitro Chem Ltd</t>
        </is>
      </c>
      <c r="C354" s="31" t="inlineStr">
        <is>
          <t>chemicals</t>
        </is>
      </c>
      <c r="D354" s="31" t="inlineStr">
        <is>
          <t>chemicals</t>
        </is>
      </c>
      <c r="E354" s="31" t="inlineStr">
        <is>
          <t>smallcap</t>
        </is>
      </c>
      <c r="F354" s="31" t="n">
        <v>916.09</v>
      </c>
      <c r="G354" s="31" t="n">
        <v>3.09</v>
      </c>
      <c r="H354" s="31" t="n">
        <v>-1.59</v>
      </c>
      <c r="I354" s="31" t="n">
        <v>1434149</v>
      </c>
      <c r="J354" s="31" t="inlineStr">
        <is>
          <t>506642</t>
        </is>
      </c>
    </row>
    <row r="355">
      <c r="A355" s="31" t="inlineStr">
        <is>
          <t>ELGIEQUIP</t>
        </is>
      </c>
      <c r="B355" s="31" t="inlineStr">
        <is>
          <t>Elgi Equipments Limited</t>
        </is>
      </c>
      <c r="C355" s="31" t="inlineStr">
        <is>
          <t>industrials</t>
        </is>
      </c>
      <c r="D355" s="31" t="inlineStr">
        <is>
          <t>compressors / drilling equipment</t>
        </is>
      </c>
      <c r="E355" s="31" t="inlineStr">
        <is>
          <t>midcap</t>
        </is>
      </c>
      <c r="F355" s="31" t="n">
        <v>19781.46</v>
      </c>
      <c r="G355" s="31" t="n">
        <v>614.2</v>
      </c>
      <c r="H355" s="31" t="n">
        <v>-1.6</v>
      </c>
      <c r="I355" s="31" t="n">
        <v>609534</v>
      </c>
      <c r="J355" s="31" t="inlineStr">
        <is>
          <t>522074</t>
        </is>
      </c>
    </row>
    <row r="356">
      <c r="A356" s="31" t="inlineStr">
        <is>
          <t>THYROCARE</t>
        </is>
      </c>
      <c r="B356" s="31" t="inlineStr">
        <is>
          <t>Thyrocare Technologies Limited</t>
        </is>
      </c>
      <c r="C356" s="31" t="inlineStr">
        <is>
          <t>healthcare</t>
        </is>
      </c>
      <c r="D356" s="31" t="inlineStr">
        <is>
          <t>healthcare</t>
        </is>
      </c>
      <c r="E356" s="31" t="inlineStr">
        <is>
          <t>midcap</t>
        </is>
      </c>
      <c r="F356" s="31" t="n">
        <v>9845.969999999999</v>
      </c>
      <c r="G356" s="31" t="n">
        <v>608.25</v>
      </c>
      <c r="H356" s="31" t="n">
        <v>-1.67</v>
      </c>
      <c r="I356" s="31" t="n">
        <v>281037</v>
      </c>
      <c r="J356" s="31" t="inlineStr">
        <is>
          <t>539871</t>
        </is>
      </c>
    </row>
    <row r="357">
      <c r="A357" s="31" t="inlineStr">
        <is>
          <t>LUMAXTECH</t>
        </is>
      </c>
      <c r="B357" s="31" t="inlineStr">
        <is>
          <t>Lumax Auto Technologies Limited</t>
        </is>
      </c>
      <c r="C357" s="31" t="inlineStr">
        <is>
          <t>auto</t>
        </is>
      </c>
      <c r="D357" s="31" t="inlineStr">
        <is>
          <t>auto ancillaries</t>
        </is>
      </c>
      <c r="E357" s="31" t="inlineStr">
        <is>
          <t>midcap</t>
        </is>
      </c>
      <c r="F357" s="31" t="n">
        <v>13965.51</v>
      </c>
      <c r="G357" s="31" t="n">
        <v>2014.7</v>
      </c>
      <c r="H357" s="31" t="n">
        <v>-1.67</v>
      </c>
      <c r="I357" s="31" t="n">
        <v>101260</v>
      </c>
      <c r="J357" s="31" t="inlineStr">
        <is>
          <t>532796</t>
        </is>
      </c>
    </row>
    <row r="358">
      <c r="A358" s="31" t="inlineStr">
        <is>
          <t>GLAND</t>
        </is>
      </c>
      <c r="B358" s="31" t="inlineStr">
        <is>
          <t>Gland Pharma Ltd</t>
        </is>
      </c>
      <c r="C358" s="31" t="inlineStr">
        <is>
          <t>healthcare</t>
        </is>
      </c>
      <c r="D358" s="31" t="inlineStr">
        <is>
          <t>pharmaceuticals - indian - formulations</t>
        </is>
      </c>
      <c r="E358" s="31" t="inlineStr">
        <is>
          <t>largecap</t>
        </is>
      </c>
      <c r="F358" s="31" t="n">
        <v>48006.57</v>
      </c>
      <c r="G358" s="31" t="n">
        <v>2858.6</v>
      </c>
      <c r="H358" s="31" t="n">
        <v>-1.77</v>
      </c>
      <c r="I358" s="31" t="n">
        <v>488656</v>
      </c>
      <c r="J358" s="31" t="inlineStr">
        <is>
          <t>543245</t>
        </is>
      </c>
    </row>
    <row r="359">
      <c r="A359" s="31" t="inlineStr">
        <is>
          <t>MUKKA</t>
        </is>
      </c>
      <c r="B359" s="31" t="inlineStr">
        <is>
          <t>Mukka Proteins Ltd</t>
        </is>
      </c>
      <c r="C359" s="31" t="inlineStr">
        <is>
          <t>fmcg</t>
        </is>
      </c>
      <c r="D359" s="31" t="inlineStr">
        <is>
          <t>food - processing - indian</t>
        </is>
      </c>
      <c r="E359" s="31" t="inlineStr">
        <is>
          <t>smallcap</t>
        </is>
      </c>
      <c r="F359" s="31" t="n">
        <v>825.9</v>
      </c>
      <c r="G359" s="31" t="n">
        <v>27.04</v>
      </c>
      <c r="H359" s="31" t="n">
        <v>-1.78</v>
      </c>
      <c r="I359" s="31" t="n">
        <v>569025</v>
      </c>
      <c r="J359" s="31" t="inlineStr">
        <is>
          <t>544135</t>
        </is>
      </c>
    </row>
    <row r="360">
      <c r="A360" s="31" t="inlineStr">
        <is>
          <t>MOTILALOFS</t>
        </is>
      </c>
      <c r="B360" s="31" t="inlineStr">
        <is>
          <t>Motilal Oswal Financial Services Limited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largecap</t>
        </is>
      </c>
      <c r="F360" s="31" t="n">
        <v>57505.01</v>
      </c>
      <c r="G360" s="31" t="n">
        <v>938</v>
      </c>
      <c r="H360" s="31" t="n">
        <v>-1.78</v>
      </c>
      <c r="I360" s="31" t="n">
        <v>3103009</v>
      </c>
      <c r="J360" s="31" t="inlineStr">
        <is>
          <t>532892</t>
        </is>
      </c>
    </row>
    <row r="361">
      <c r="A361" s="31" t="inlineStr">
        <is>
          <t>UNIONBANK</t>
        </is>
      </c>
      <c r="B361" s="31" t="inlineStr">
        <is>
          <t>Union Bank Of India Ltd</t>
        </is>
      </c>
      <c r="C361" s="31" t="inlineStr">
        <is>
          <t>bank</t>
        </is>
      </c>
      <c r="D361" s="31" t="inlineStr">
        <is>
          <t>banks - public sector</t>
        </is>
      </c>
      <c r="E361" s="31" t="inlineStr">
        <is>
          <t>largecap</t>
        </is>
      </c>
      <c r="F361" s="31" t="n">
        <v>144198.81</v>
      </c>
      <c r="G361" s="31" t="n">
        <v>185.5</v>
      </c>
      <c r="H361" s="31" t="n">
        <v>-1.8</v>
      </c>
      <c r="I361" s="31" t="n">
        <v>13048472</v>
      </c>
      <c r="J361" s="31" t="inlineStr">
        <is>
          <t>532477</t>
        </is>
      </c>
    </row>
    <row r="362">
      <c r="A362" s="31" t="inlineStr">
        <is>
          <t>KMEW</t>
        </is>
      </c>
      <c r="B362" s="31" t="inlineStr">
        <is>
          <t>Knowledge Marine &amp; Engineering Works Ltd</t>
        </is>
      </c>
      <c r="C362" s="31" t="inlineStr">
        <is>
          <t>transportation</t>
        </is>
      </c>
      <c r="D362" s="31" t="inlineStr">
        <is>
          <t>miscellaneous</t>
        </is>
      </c>
      <c r="E362" s="31" t="inlineStr">
        <is>
          <t>midcap</t>
        </is>
      </c>
      <c r="F362" s="31" t="n">
        <v>6738.02</v>
      </c>
      <c r="G362" s="31" t="n">
        <v>2706.2</v>
      </c>
      <c r="H362" s="31" t="n">
        <v>-1.82</v>
      </c>
      <c r="I362" s="31" t="n">
        <v>163111</v>
      </c>
      <c r="J362" s="31" t="inlineStr">
        <is>
          <t>543273</t>
        </is>
      </c>
    </row>
    <row r="363">
      <c r="A363" s="31" t="inlineStr">
        <is>
          <t>COFORGE</t>
        </is>
      </c>
      <c r="B363" s="31" t="inlineStr">
        <is>
          <t>Coforge (Niit Tech) Ltd</t>
        </is>
      </c>
      <c r="C363" s="31" t="inlineStr">
        <is>
          <t>i.t</t>
        </is>
      </c>
      <c r="D363" s="31" t="inlineStr">
        <is>
          <t>computers - software - large</t>
        </is>
      </c>
      <c r="E363" s="31" t="inlineStr">
        <is>
          <t>largecap</t>
        </is>
      </c>
      <c r="F363" s="31" t="n">
        <v>79949.96000000001</v>
      </c>
      <c r="G363" s="31" t="n">
        <v>1773</v>
      </c>
      <c r="H363" s="31" t="n">
        <v>-1.83</v>
      </c>
      <c r="I363" s="31" t="n">
        <v>4635191</v>
      </c>
      <c r="J363" s="31" t="inlineStr">
        <is>
          <t>532541</t>
        </is>
      </c>
    </row>
    <row r="364">
      <c r="A364" s="31" t="inlineStr">
        <is>
          <t>AVADHSUGAR</t>
        </is>
      </c>
      <c r="B364" s="31" t="inlineStr">
        <is>
          <t>Avadh Sugar &amp; Energy</t>
        </is>
      </c>
      <c r="C364" s="31" t="inlineStr">
        <is>
          <t>fmcg</t>
        </is>
      </c>
      <c r="D364" s="31" t="inlineStr">
        <is>
          <t>sugar</t>
        </is>
      </c>
      <c r="E364" s="31" t="inlineStr">
        <is>
          <t>smallcap</t>
        </is>
      </c>
      <c r="F364" s="31" t="n">
        <v>1451.84</v>
      </c>
      <c r="G364" s="31" t="n">
        <v>711.3</v>
      </c>
      <c r="H364" s="31" t="n">
        <v>-1.92</v>
      </c>
      <c r="I364" s="31" t="n">
        <v>287536</v>
      </c>
      <c r="J364" s="31" t="inlineStr">
        <is>
          <t>540649</t>
        </is>
      </c>
    </row>
    <row r="365">
      <c r="A365" s="31" t="inlineStr">
        <is>
          <t>REDINGTON</t>
        </is>
      </c>
      <c r="B365" s="31" t="inlineStr">
        <is>
          <t>Redington (india) Limited</t>
        </is>
      </c>
      <c r="C365" s="31" t="inlineStr">
        <is>
          <t>services</t>
        </is>
      </c>
      <c r="D365" s="31" t="inlineStr">
        <is>
          <t>trading</t>
        </is>
      </c>
      <c r="E365" s="31" t="inlineStr">
        <is>
          <t>largecap</t>
        </is>
      </c>
      <c r="F365" s="31" t="n">
        <v>26017.45</v>
      </c>
      <c r="G365" s="31" t="n">
        <v>326.3</v>
      </c>
      <c r="H365" s="31" t="n">
        <v>-1.95</v>
      </c>
      <c r="I365" s="31" t="n">
        <v>2030364</v>
      </c>
      <c r="J365" s="31" t="inlineStr">
        <is>
          <t>532805</t>
        </is>
      </c>
    </row>
    <row r="366">
      <c r="A366" s="31" t="inlineStr">
        <is>
          <t>DIVGIITTS</t>
        </is>
      </c>
      <c r="B366" s="31" t="inlineStr">
        <is>
          <t>Divgi Torqtransfer Systems Ltd</t>
        </is>
      </c>
      <c r="C366" s="31" t="inlineStr">
        <is>
          <t>auto</t>
        </is>
      </c>
      <c r="D366" s="31" t="inlineStr">
        <is>
          <t>auto ancillaries</t>
        </is>
      </c>
      <c r="E366" s="31" t="inlineStr">
        <is>
          <t>smallcap</t>
        </is>
      </c>
      <c r="F366" s="31" t="n">
        <v>3928.22</v>
      </c>
      <c r="G366" s="31" t="n">
        <v>1259</v>
      </c>
      <c r="H366" s="31" t="n">
        <v>-1.98</v>
      </c>
      <c r="I366" s="31" t="n">
        <v>310956</v>
      </c>
      <c r="J366" s="31" t="inlineStr">
        <is>
          <t>543812</t>
        </is>
      </c>
    </row>
    <row r="367">
      <c r="A367" s="31" t="inlineStr">
        <is>
          <t>GAYAPROJ</t>
        </is>
      </c>
      <c r="B367" s="31" t="inlineStr">
        <is>
          <t>Gayatri Projects Limited</t>
        </is>
      </c>
      <c r="C367" s="31" t="inlineStr">
        <is>
          <t>realty</t>
        </is>
      </c>
      <c r="D367" s="31" t="inlineStr">
        <is>
          <t>construction</t>
        </is>
      </c>
      <c r="E367" s="31" t="inlineStr">
        <is>
          <t>smallcap</t>
        </is>
      </c>
      <c r="F367" s="31" t="n">
        <v>1030.74</v>
      </c>
      <c r="G367" s="31" t="n">
        <v>21.75</v>
      </c>
      <c r="H367" s="31" t="n">
        <v>-2.03</v>
      </c>
      <c r="I367" s="31" t="n">
        <v>705058</v>
      </c>
      <c r="J367" s="31" t="inlineStr">
        <is>
          <t>532767</t>
        </is>
      </c>
    </row>
    <row r="368">
      <c r="A368" s="31" t="inlineStr">
        <is>
          <t>QUESS</t>
        </is>
      </c>
      <c r="B368" s="31" t="inlineStr">
        <is>
          <t>Quess Corp Limited</t>
        </is>
      </c>
      <c r="C368" s="31" t="inlineStr">
        <is>
          <t>miscellaneous</t>
        </is>
      </c>
      <c r="D368" s="31" t="inlineStr">
        <is>
          <t>diversified - large</t>
        </is>
      </c>
      <c r="E368" s="31" t="inlineStr">
        <is>
          <t>midcap</t>
        </is>
      </c>
      <c r="F368" s="31" t="n">
        <v>5136.49</v>
      </c>
      <c r="G368" s="31" t="n">
        <v>336.9</v>
      </c>
      <c r="H368" s="31" t="n">
        <v>-2.04</v>
      </c>
      <c r="I368" s="31" t="n">
        <v>935370</v>
      </c>
      <c r="J368" s="31" t="inlineStr">
        <is>
          <t>539978</t>
        </is>
      </c>
    </row>
    <row r="369">
      <c r="A369" s="31" t="inlineStr">
        <is>
          <t>EIMCOELECO</t>
        </is>
      </c>
      <c r="B369" s="31" t="inlineStr">
        <is>
          <t>Eimco Elecon (india) Limited</t>
        </is>
      </c>
      <c r="C369" s="31" t="inlineStr">
        <is>
          <t>industrials</t>
        </is>
      </c>
      <c r="D369" s="31" t="inlineStr">
        <is>
          <t>engineering</t>
        </is>
      </c>
      <c r="E369" s="31" t="inlineStr">
        <is>
          <t>smallcap</t>
        </is>
      </c>
      <c r="F369" s="31" t="n">
        <v>1262.76</v>
      </c>
      <c r="G369" s="31" t="n">
        <v>2143.2</v>
      </c>
      <c r="H369" s="31" t="n">
        <v>-2.1</v>
      </c>
      <c r="I369" s="31" t="n">
        <v>41363</v>
      </c>
      <c r="J369" s="31" t="inlineStr">
        <is>
          <t>523708</t>
        </is>
      </c>
    </row>
    <row r="370">
      <c r="A370" s="31" t="inlineStr">
        <is>
          <t>PAYTM</t>
        </is>
      </c>
      <c r="B370" s="31" t="inlineStr">
        <is>
          <t>One 97 Communications Ltd</t>
        </is>
      </c>
      <c r="C370" s="31" t="inlineStr">
        <is>
          <t>i.t</t>
        </is>
      </c>
      <c r="D370" s="31" t="inlineStr">
        <is>
          <t>miscellaneous</t>
        </is>
      </c>
      <c r="E370" s="31" t="inlineStr">
        <is>
          <t>largecap</t>
        </is>
      </c>
      <c r="F370" s="31" t="n">
        <v>101186.05</v>
      </c>
      <c r="G370" s="31" t="n">
        <v>1546.3</v>
      </c>
      <c r="H370" s="31" t="n">
        <v>-2.15</v>
      </c>
      <c r="I370" s="31" t="n">
        <v>11453831</v>
      </c>
      <c r="J370" s="31" t="inlineStr">
        <is>
          <t>543396</t>
        </is>
      </c>
    </row>
    <row r="371">
      <c r="A371" s="31" t="inlineStr">
        <is>
          <t>MANORAMA</t>
        </is>
      </c>
      <c r="B371" s="31" t="inlineStr">
        <is>
          <t>Manorama Industries Ltd</t>
        </is>
      </c>
      <c r="C371" s="31" t="inlineStr">
        <is>
          <t>fmcg</t>
        </is>
      </c>
      <c r="D371" s="31" t="inlineStr">
        <is>
          <t>food - processing - indian</t>
        </is>
      </c>
      <c r="E371" s="31" t="inlineStr">
        <is>
          <t>midcap</t>
        </is>
      </c>
      <c r="F371" s="31" t="n">
        <v>11603.76</v>
      </c>
      <c r="G371" s="31" t="n">
        <v>1901</v>
      </c>
      <c r="H371" s="31" t="n">
        <v>-2.18</v>
      </c>
      <c r="I371" s="31" t="n">
        <v>1522674</v>
      </c>
      <c r="J371" s="31" t="inlineStr">
        <is>
          <t>541974</t>
        </is>
      </c>
    </row>
    <row r="372">
      <c r="A372" s="31" t="inlineStr">
        <is>
          <t>ESABINDIA</t>
        </is>
      </c>
      <c r="B372" s="31" t="inlineStr">
        <is>
          <t>Esab India Limited</t>
        </is>
      </c>
      <c r="C372" s="31" t="inlineStr">
        <is>
          <t>industrials</t>
        </is>
      </c>
      <c r="D372" s="31" t="inlineStr">
        <is>
          <t>electrodes - welding equipment</t>
        </is>
      </c>
      <c r="E372" s="31" t="inlineStr">
        <is>
          <t>midcap</t>
        </is>
      </c>
      <c r="F372" s="31" t="n">
        <v>9680.67</v>
      </c>
      <c r="G372" s="31" t="n">
        <v>6151</v>
      </c>
      <c r="H372" s="31" t="n">
        <v>-2.19</v>
      </c>
      <c r="I372" s="31" t="n">
        <v>2894</v>
      </c>
      <c r="J372" s="31" t="inlineStr">
        <is>
          <t>500133</t>
        </is>
      </c>
    </row>
    <row r="373">
      <c r="A373" s="31" t="inlineStr">
        <is>
          <t>EXIDEIND</t>
        </is>
      </c>
      <c r="B373" s="31" t="inlineStr">
        <is>
          <t>Exide Industries Limited</t>
        </is>
      </c>
      <c r="C373" s="31" t="inlineStr">
        <is>
          <t>auto</t>
        </is>
      </c>
      <c r="D373" s="31" t="inlineStr">
        <is>
          <t>auto ancillaries</t>
        </is>
      </c>
      <c r="E373" s="31" t="inlineStr">
        <is>
          <t>largecap</t>
        </is>
      </c>
      <c r="F373" s="31" t="n">
        <v>40434.5</v>
      </c>
      <c r="G373" s="31" t="n">
        <v>465.25</v>
      </c>
      <c r="H373" s="31" t="n">
        <v>-2.2</v>
      </c>
      <c r="I373" s="31" t="n">
        <v>1544282</v>
      </c>
      <c r="J373" s="31" t="inlineStr">
        <is>
          <t>500086</t>
        </is>
      </c>
    </row>
    <row r="374">
      <c r="A374" s="31" t="inlineStr">
        <is>
          <t>KABRAEXTRU</t>
        </is>
      </c>
      <c r="B374" s="31" t="inlineStr">
        <is>
          <t>Kabra Extrusion Technik Limited</t>
        </is>
      </c>
      <c r="C374" s="31" t="inlineStr">
        <is>
          <t>industrials</t>
        </is>
      </c>
      <c r="D374" s="31" t="inlineStr">
        <is>
          <t>engineering</t>
        </is>
      </c>
      <c r="E374" s="31" t="inlineStr">
        <is>
          <t>smallcap</t>
        </is>
      </c>
      <c r="F374" s="31" t="n">
        <v>1820.34</v>
      </c>
      <c r="G374" s="31" t="n">
        <v>509</v>
      </c>
      <c r="H374" s="31" t="n">
        <v>-2.21</v>
      </c>
      <c r="I374" s="31" t="n">
        <v>124007</v>
      </c>
      <c r="J374" s="31" t="inlineStr">
        <is>
          <t>524109</t>
        </is>
      </c>
    </row>
    <row r="375">
      <c r="A375" s="31" t="inlineStr">
        <is>
          <t>KINGFA</t>
        </is>
      </c>
      <c r="B375" s="31" t="inlineStr">
        <is>
          <t>Kingfa Science &amp; Technology (india) Limited</t>
        </is>
      </c>
      <c r="C375" s="31" t="inlineStr">
        <is>
          <t>plastic products</t>
        </is>
      </c>
      <c r="D375" s="31" t="inlineStr">
        <is>
          <t>plastics products</t>
        </is>
      </c>
      <c r="E375" s="31" t="inlineStr">
        <is>
          <t>midcap</t>
        </is>
      </c>
      <c r="F375" s="31" t="n">
        <v>8249.4</v>
      </c>
      <c r="G375" s="31" t="n">
        <v>5950</v>
      </c>
      <c r="H375" s="31" t="n">
        <v>-2.26</v>
      </c>
      <c r="I375" s="31" t="n">
        <v>21586</v>
      </c>
      <c r="J375" s="31" t="inlineStr">
        <is>
          <t>524019</t>
        </is>
      </c>
    </row>
    <row r="376">
      <c r="A376" s="31" t="inlineStr">
        <is>
          <t>POLYPLEX</t>
        </is>
      </c>
      <c r="B376" s="31" t="inlineStr">
        <is>
          <t>Polyplex Corporation Limited</t>
        </is>
      </c>
      <c r="C376" s="31" t="inlineStr">
        <is>
          <t>industrials</t>
        </is>
      </c>
      <c r="D376" s="31" t="inlineStr">
        <is>
          <t>packaging</t>
        </is>
      </c>
      <c r="E376" s="31" t="inlineStr">
        <is>
          <t>smallcap</t>
        </is>
      </c>
      <c r="F376" s="31" t="n">
        <v>3801</v>
      </c>
      <c r="G376" s="31" t="n">
        <v>1183</v>
      </c>
      <c r="H376" s="31" t="n">
        <v>-2.3</v>
      </c>
      <c r="I376" s="31" t="n">
        <v>90057</v>
      </c>
      <c r="J376" s="31" t="inlineStr">
        <is>
          <t>524051</t>
        </is>
      </c>
    </row>
    <row r="377">
      <c r="A377" s="31" t="inlineStr">
        <is>
          <t>SREEL</t>
        </is>
      </c>
      <c r="B377" s="31" t="inlineStr">
        <is>
          <t>Sreeleathers Limited</t>
        </is>
      </c>
      <c r="C377" s="31" t="inlineStr">
        <is>
          <t>consumer discretionary</t>
        </is>
      </c>
      <c r="D377" s="31" t="inlineStr">
        <is>
          <t>trading</t>
        </is>
      </c>
      <c r="E377" s="31" t="inlineStr">
        <is>
          <t>smallcap</t>
        </is>
      </c>
      <c r="F377" s="31" t="n">
        <v>603.77</v>
      </c>
      <c r="G377" s="31" t="n">
        <v>254.49</v>
      </c>
      <c r="H377" s="31" t="n">
        <v>-2.4</v>
      </c>
      <c r="I377" s="31" t="n">
        <v>23704</v>
      </c>
      <c r="J377" s="31" t="inlineStr">
        <is>
          <t>535601</t>
        </is>
      </c>
    </row>
    <row r="378">
      <c r="A378" s="31" t="inlineStr">
        <is>
          <t>FOSECOIND</t>
        </is>
      </c>
      <c r="B378" s="31" t="inlineStr">
        <is>
          <t>Foseco India Limited</t>
        </is>
      </c>
      <c r="C378" s="31" t="inlineStr">
        <is>
          <t>chemicals</t>
        </is>
      </c>
      <c r="D378" s="31" t="inlineStr">
        <is>
          <t>chemicals</t>
        </is>
      </c>
      <c r="E378" s="31" t="inlineStr">
        <is>
          <t>smallcap</t>
        </is>
      </c>
      <c r="F378" s="31" t="n">
        <v>4251.77</v>
      </c>
      <c r="G378" s="31" t="n">
        <v>5500</v>
      </c>
      <c r="H378" s="31" t="n">
        <v>-2.5</v>
      </c>
      <c r="I378" s="31" t="n">
        <v>4542</v>
      </c>
      <c r="J378" s="31" t="inlineStr">
        <is>
          <t>500150</t>
        </is>
      </c>
    </row>
    <row r="379">
      <c r="A379" s="31" t="inlineStr">
        <is>
          <t>TVSSRICHAK</t>
        </is>
      </c>
      <c r="B379" s="31" t="inlineStr">
        <is>
          <t>Tvs Srichakra Limited</t>
        </is>
      </c>
      <c r="C379" s="31" t="inlineStr">
        <is>
          <t>auto</t>
        </is>
      </c>
      <c r="D379" s="31" t="inlineStr">
        <is>
          <t>tyres</t>
        </is>
      </c>
      <c r="E379" s="31" t="inlineStr">
        <is>
          <t>smallcap</t>
        </is>
      </c>
      <c r="F379" s="31" t="n">
        <v>3728.14</v>
      </c>
      <c r="G379" s="31" t="n">
        <v>4746.8</v>
      </c>
      <c r="H379" s="31" t="n">
        <v>-2.51</v>
      </c>
      <c r="I379" s="31" t="n">
        <v>65248</v>
      </c>
      <c r="J379" s="31" t="inlineStr">
        <is>
          <t>509243</t>
        </is>
      </c>
    </row>
    <row r="380">
      <c r="A380" s="31" t="inlineStr">
        <is>
          <t>BHEL</t>
        </is>
      </c>
      <c r="B380" s="31" t="inlineStr">
        <is>
          <t>Bharat Heavy Electricals Limited</t>
        </is>
      </c>
      <c r="C380" s="31" t="inlineStr">
        <is>
          <t>industrials</t>
        </is>
      </c>
      <c r="D380" s="31" t="inlineStr">
        <is>
          <t>electric equipment</t>
        </is>
      </c>
      <c r="E380" s="31" t="inlineStr">
        <is>
          <t>largecap</t>
        </is>
      </c>
      <c r="F380" s="31" t="n">
        <v>151800.55</v>
      </c>
      <c r="G380" s="31" t="n">
        <v>425</v>
      </c>
      <c r="H380" s="31" t="n">
        <v>-2.51</v>
      </c>
      <c r="I380" s="31" t="n">
        <v>21916619</v>
      </c>
      <c r="J380" s="31" t="inlineStr">
        <is>
          <t>500103</t>
        </is>
      </c>
    </row>
    <row r="381">
      <c r="A381" s="31" t="inlineStr">
        <is>
          <t>DYCL</t>
        </is>
      </c>
      <c r="B381" s="31" t="inlineStr">
        <is>
          <t>Dynamic Cables Ltd</t>
        </is>
      </c>
      <c r="C381" s="31" t="inlineStr">
        <is>
          <t>industrials</t>
        </is>
      </c>
      <c r="D381" s="31" t="inlineStr">
        <is>
          <t>cables - power</t>
        </is>
      </c>
      <c r="E381" s="31" t="inlineStr">
        <is>
          <t>smallcap</t>
        </is>
      </c>
      <c r="F381" s="31" t="n">
        <v>2255.02</v>
      </c>
      <c r="G381" s="31" t="n">
        <v>452.9</v>
      </c>
      <c r="H381" s="31" t="n">
        <v>-2.68</v>
      </c>
      <c r="I381" s="31" t="n">
        <v>396732</v>
      </c>
      <c r="J381" s="31" t="inlineStr">
        <is>
          <t>540795</t>
        </is>
      </c>
    </row>
    <row r="382">
      <c r="A382" s="31" t="inlineStr">
        <is>
          <t>UGARSUGAR</t>
        </is>
      </c>
      <c r="B382" s="31" t="inlineStr">
        <is>
          <t>The Ugar Sugar Works Limited</t>
        </is>
      </c>
      <c r="C382" s="31" t="inlineStr">
        <is>
          <t>fmcg</t>
        </is>
      </c>
      <c r="D382" s="31" t="inlineStr">
        <is>
          <t>sugar</t>
        </is>
      </c>
      <c r="E382" s="31" t="inlineStr">
        <is>
          <t>smallcap</t>
        </is>
      </c>
      <c r="F382" s="31" t="n">
        <v>587.03</v>
      </c>
      <c r="G382" s="31" t="n">
        <v>50.77</v>
      </c>
      <c r="H382" s="31" t="n">
        <v>-2.7</v>
      </c>
      <c r="I382" s="31" t="n">
        <v>1577013</v>
      </c>
      <c r="J382" s="31" t="inlineStr">
        <is>
          <t>530363</t>
        </is>
      </c>
    </row>
    <row r="383">
      <c r="A383" s="31" t="inlineStr">
        <is>
          <t>PIXTRANS</t>
        </is>
      </c>
      <c r="B383" s="31" t="inlineStr">
        <is>
          <t>Pix Transmission Ltd</t>
        </is>
      </c>
      <c r="C383" s="31" t="inlineStr">
        <is>
          <t>fmcg</t>
        </is>
      </c>
      <c r="D383" s="31" t="inlineStr">
        <is>
          <t>miscellaneous</t>
        </is>
      </c>
      <c r="E383" s="31" t="inlineStr">
        <is>
          <t>smallcap</t>
        </is>
      </c>
      <c r="F383" s="31" t="n">
        <v>2641.65</v>
      </c>
      <c r="G383" s="31" t="n">
        <v>1884.8</v>
      </c>
      <c r="H383" s="31" t="n">
        <v>-2.79</v>
      </c>
      <c r="I383" s="31" t="n">
        <v>17377</v>
      </c>
      <c r="J383" s="31" t="inlineStr">
        <is>
          <t>500333</t>
        </is>
      </c>
    </row>
    <row r="384">
      <c r="A384" s="31" t="inlineStr">
        <is>
          <t>BIL</t>
        </is>
      </c>
      <c r="B384" s="31" t="inlineStr">
        <is>
          <t>Bhartiya International Limited</t>
        </is>
      </c>
      <c r="C384" s="31" t="inlineStr">
        <is>
          <t>consumer discretionary</t>
        </is>
      </c>
      <c r="D384" s="31" t="inlineStr">
        <is>
          <t>leather / leather products</t>
        </is>
      </c>
      <c r="E384" s="31" t="inlineStr">
        <is>
          <t>smallcap</t>
        </is>
      </c>
      <c r="F384" s="31" t="n">
        <v>1146.46</v>
      </c>
      <c r="G384" s="31" t="n">
        <v>830.1</v>
      </c>
      <c r="H384" s="31" t="n">
        <v>-2.9</v>
      </c>
      <c r="I384" s="31" t="n">
        <v>11084</v>
      </c>
      <c r="J384" s="31" t="inlineStr">
        <is>
          <t>526666</t>
        </is>
      </c>
    </row>
    <row r="385">
      <c r="A385" s="31" t="inlineStr">
        <is>
          <t>TTKHLTCARE</t>
        </is>
      </c>
      <c r="B385" s="31" t="inlineStr">
        <is>
          <t>Ttk Healthcare Limited</t>
        </is>
      </c>
      <c r="C385" s="31" t="inlineStr">
        <is>
          <t>miscellaneous</t>
        </is>
      </c>
      <c r="D385" s="31" t="inlineStr">
        <is>
          <t>diversified - medium / small</t>
        </is>
      </c>
      <c r="E385" s="31" t="inlineStr">
        <is>
          <t>smallcap</t>
        </is>
      </c>
      <c r="F385" s="31" t="n">
        <v>1608.6</v>
      </c>
      <c r="G385" s="31" t="n">
        <v>1105</v>
      </c>
      <c r="H385" s="31" t="n">
        <v>-2.93</v>
      </c>
      <c r="I385" s="31" t="n">
        <v>21545</v>
      </c>
      <c r="J385" s="31" t="inlineStr">
        <is>
          <t>507747</t>
        </is>
      </c>
    </row>
    <row r="386">
      <c r="A386" s="31" t="inlineStr">
        <is>
          <t>VGUARD</t>
        </is>
      </c>
      <c r="B386" s="31" t="inlineStr">
        <is>
          <t>V-guard Industries Limited</t>
        </is>
      </c>
      <c r="C386" s="31" t="inlineStr">
        <is>
          <t>industrials</t>
        </is>
      </c>
      <c r="D386" s="31" t="inlineStr">
        <is>
          <t>electric equipment</t>
        </is>
      </c>
      <c r="E386" s="31" t="inlineStr">
        <is>
          <t>midcap</t>
        </is>
      </c>
      <c r="F386" s="31" t="n">
        <v>15026.87</v>
      </c>
      <c r="G386" s="31" t="n">
        <v>333.5</v>
      </c>
      <c r="H386" s="31" t="n">
        <v>-3.04</v>
      </c>
      <c r="I386" s="31" t="n">
        <v>868328</v>
      </c>
      <c r="J386" s="31" t="inlineStr">
        <is>
          <t>532953</t>
        </is>
      </c>
    </row>
    <row r="387">
      <c r="A387" s="31" t="inlineStr">
        <is>
          <t>E2E</t>
        </is>
      </c>
      <c r="B387" s="31" t="inlineStr">
        <is>
          <t>E2E Networks Ltd</t>
        </is>
      </c>
      <c r="C387" s="31" t="inlineStr">
        <is>
          <t>i.t</t>
        </is>
      </c>
      <c r="D387" s="31" t="inlineStr">
        <is>
          <t>computers - software - medium / small</t>
        </is>
      </c>
      <c r="E387" s="31" t="inlineStr">
        <is>
          <t>midcap</t>
        </is>
      </c>
      <c r="F387" s="31" t="n">
        <v>14104.83</v>
      </c>
      <c r="G387" s="31" t="n">
        <v>664.55</v>
      </c>
      <c r="H387" s="31" t="n">
        <v>-3.15</v>
      </c>
      <c r="I387" s="31" t="n">
        <v>890953</v>
      </c>
      <c r="J387" s="31" t="inlineStr">
        <is>
          <t>535080</t>
        </is>
      </c>
    </row>
    <row r="388">
      <c r="A388" s="31" t="inlineStr">
        <is>
          <t>PTCIL</t>
        </is>
      </c>
      <c r="B388" s="31" t="inlineStr">
        <is>
          <t>PTC Industries Ltd</t>
        </is>
      </c>
      <c r="C388" s="31" t="inlineStr">
        <is>
          <t>industrials</t>
        </is>
      </c>
      <c r="D388" s="31" t="inlineStr">
        <is>
          <t>castings &amp; forgings</t>
        </is>
      </c>
      <c r="E388" s="31" t="inlineStr">
        <is>
          <t>largecap</t>
        </is>
      </c>
      <c r="F388" s="31" t="n">
        <v>30860.66</v>
      </c>
      <c r="G388" s="31" t="n">
        <v>19791</v>
      </c>
      <c r="H388" s="31" t="n">
        <v>-3.85</v>
      </c>
      <c r="I388" s="31" t="n">
        <v>64775</v>
      </c>
      <c r="J388" s="31" t="inlineStr">
        <is>
          <t>539006</t>
        </is>
      </c>
    </row>
    <row r="389">
      <c r="A389" s="31" t="inlineStr">
        <is>
          <t>JBCHEPHARM</t>
        </is>
      </c>
      <c r="B389" s="31" t="inlineStr">
        <is>
          <t>Jb Chemicals &amp; Pharmaceuticals Limited</t>
        </is>
      </c>
      <c r="C389" s="31" t="inlineStr">
        <is>
          <t>healthcare</t>
        </is>
      </c>
      <c r="D389" s="31" t="inlineStr">
        <is>
          <t>pharmaceuticals - indian - bulk drugs &amp; formln</t>
        </is>
      </c>
      <c r="E389" s="31" t="inlineStr">
        <is>
          <t>largecap</t>
        </is>
      </c>
      <c r="F389" s="31" t="n">
        <v>38676.99</v>
      </c>
      <c r="G389" s="31" t="n">
        <v>2408.9</v>
      </c>
      <c r="H389" s="31" t="n">
        <v>-3.87</v>
      </c>
      <c r="I389" s="31" t="n">
        <v>23896120</v>
      </c>
      <c r="J389" s="31" t="inlineStr">
        <is>
          <t>506943</t>
        </is>
      </c>
    </row>
    <row r="390">
      <c r="A390" s="31" t="inlineStr">
        <is>
          <t>RISHABH</t>
        </is>
      </c>
      <c r="B390" s="31" t="inlineStr">
        <is>
          <t>Rishabh Instruments Ltd</t>
        </is>
      </c>
      <c r="C390" s="31" t="inlineStr">
        <is>
          <t>industrials</t>
        </is>
      </c>
      <c r="D390" s="31" t="inlineStr">
        <is>
          <t>electric equipment</t>
        </is>
      </c>
      <c r="E390" s="31" t="inlineStr">
        <is>
          <t>smallcap</t>
        </is>
      </c>
      <c r="F390" s="31" t="n">
        <v>2677.41</v>
      </c>
      <c r="G390" s="31" t="n">
        <v>665.75</v>
      </c>
      <c r="H390" s="31" t="n">
        <v>-4.15</v>
      </c>
      <c r="I390" s="31" t="n">
        <v>711835</v>
      </c>
      <c r="J390" s="31" t="inlineStr">
        <is>
          <t>543977</t>
        </is>
      </c>
    </row>
    <row r="391">
      <c r="A391" s="31" t="inlineStr">
        <is>
          <t>SHANTIGOLD</t>
        </is>
      </c>
      <c r="B391" s="31" t="inlineStr">
        <is>
          <t>Shanti Gold International Ltd</t>
        </is>
      </c>
      <c r="C391" s="31" t="inlineStr">
        <is>
          <t>consumer discretionary</t>
        </is>
      </c>
      <c r="D391" s="31" t="inlineStr">
        <is>
          <t>diamond cutting / jewellery</t>
        </is>
      </c>
      <c r="E391" s="31" t="inlineStr">
        <is>
          <t>smallcap</t>
        </is>
      </c>
      <c r="F391" s="31" t="n">
        <v>1923.81</v>
      </c>
      <c r="G391" s="31" t="n">
        <v>253.85</v>
      </c>
      <c r="H391" s="31" t="n">
        <v>-4.87</v>
      </c>
      <c r="I391" s="31" t="n">
        <v>2594669</v>
      </c>
      <c r="J391" s="31" t="inlineStr">
        <is>
          <t>544459</t>
        </is>
      </c>
    </row>
    <row r="392">
      <c r="A392" s="31" t="inlineStr">
        <is>
          <t>3IINFOLTD</t>
        </is>
      </c>
      <c r="B392" s="31" t="inlineStr">
        <is>
          <t>3i Infotech Ltd</t>
        </is>
      </c>
      <c r="C392" s="31" t="inlineStr">
        <is>
          <t>i.t</t>
        </is>
      </c>
      <c r="D392" s="31" t="inlineStr">
        <is>
          <t>computers - software - medium / small</t>
        </is>
      </c>
      <c r="E392" s="31" t="inlineStr">
        <is>
          <t>smallcap</t>
        </is>
      </c>
      <c r="F392" s="31" t="n">
        <v>531.78</v>
      </c>
      <c r="G392" s="31" t="n">
        <v>24.36</v>
      </c>
      <c r="H392" s="31" t="n">
        <v>-4.99</v>
      </c>
      <c r="I392" s="31" t="n">
        <v>254715</v>
      </c>
      <c r="J392" s="31" t="inlineStr">
        <is>
          <t>532628</t>
        </is>
      </c>
    </row>
    <row r="393">
      <c r="A393" s="31" t="inlineStr">
        <is>
          <t>AARTISURF</t>
        </is>
      </c>
      <c r="B393" s="31" t="inlineStr">
        <is>
          <t>Aarti Surfactants Ltd</t>
        </is>
      </c>
      <c r="C393" s="31" t="inlineStr">
        <is>
          <t>chemicals</t>
        </is>
      </c>
      <c r="D393" s="31" t="inlineStr">
        <is>
          <t>chemicals</t>
        </is>
      </c>
      <c r="E393" s="31" t="inlineStr">
        <is>
          <t>smallcap</t>
        </is>
      </c>
      <c r="F393" s="31" t="n">
        <v>529.98</v>
      </c>
      <c r="G393" s="31" t="n">
        <v>594.4</v>
      </c>
      <c r="H393" s="31" t="n">
        <v>-4.99</v>
      </c>
      <c r="I393" s="31" t="n">
        <v>7065</v>
      </c>
      <c r="J393" s="31" t="inlineStr">
        <is>
          <t>543210</t>
        </is>
      </c>
    </row>
    <row r="394">
      <c r="A394" s="31" t="inlineStr">
        <is>
          <t>SHALPAINTS</t>
        </is>
      </c>
      <c r="B394" s="31" t="inlineStr">
        <is>
          <t>Shalimar Paints Limited</t>
        </is>
      </c>
      <c r="C394" s="31" t="inlineStr">
        <is>
          <t>building materials</t>
        </is>
      </c>
      <c r="D394" s="31" t="inlineStr">
        <is>
          <t>paints / varnishes</t>
        </is>
      </c>
      <c r="E394" s="31" t="inlineStr">
        <is>
          <t>smallcap</t>
        </is>
      </c>
      <c r="F394" s="31" t="n">
        <v>765.54</v>
      </c>
      <c r="G394" s="31" t="n">
        <v>86.88</v>
      </c>
      <c r="H394" s="31" t="n">
        <v>-5</v>
      </c>
      <c r="I394" s="31" t="n">
        <v>360698</v>
      </c>
      <c r="J394" s="31" t="inlineStr">
        <is>
          <t>509874</t>
        </is>
      </c>
    </row>
    <row r="395">
      <c r="A395" s="31" t="inlineStr">
        <is>
          <t>TARSONS</t>
        </is>
      </c>
      <c r="B395" s="31" t="inlineStr">
        <is>
          <t>Tarsons Products Ltd</t>
        </is>
      </c>
      <c r="C395" s="31" t="inlineStr">
        <is>
          <t>healthcare</t>
        </is>
      </c>
      <c r="D395" s="31" t="inlineStr">
        <is>
          <t>miscellaneous</t>
        </is>
      </c>
      <c r="E395" s="31" t="inlineStr">
        <is>
          <t>smallcap</t>
        </is>
      </c>
      <c r="F395" s="31" t="n">
        <v>1923.41</v>
      </c>
      <c r="G395" s="31" t="n">
        <v>336.65</v>
      </c>
      <c r="H395" s="31" t="n">
        <v>-6.87</v>
      </c>
      <c r="I395" s="31" t="n">
        <v>1199400</v>
      </c>
      <c r="J395" s="31" t="inlineStr">
        <is>
          <t>543399</t>
        </is>
      </c>
    </row>
    <row r="396">
      <c r="A396" s="31" t="inlineStr">
        <is>
          <t>KANPRPLA</t>
        </is>
      </c>
      <c r="B396" s="31" t="inlineStr">
        <is>
          <t>Kanpur Plastipack Ltd</t>
        </is>
      </c>
      <c r="C396" s="31" t="inlineStr">
        <is>
          <t>industrials</t>
        </is>
      </c>
      <c r="D396" s="31" t="inlineStr">
        <is>
          <t>packaging</t>
        </is>
      </c>
      <c r="E396" s="31" t="inlineStr">
        <is>
          <t>smallcap</t>
        </is>
      </c>
      <c r="F396" s="31" t="n">
        <v>643.4299999999999</v>
      </c>
      <c r="G396" s="31" t="n">
        <v>242.3</v>
      </c>
      <c r="H396" s="31" t="n">
        <v>-7.82</v>
      </c>
      <c r="I396" s="31" t="n">
        <v>54440</v>
      </c>
      <c r="J396" s="31" t="inlineStr">
        <is>
          <t>507779</t>
        </is>
      </c>
    </row>
  </sheetData>
  <autoFilter ref="A1:J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PARAS</t>
        </is>
      </c>
      <c r="E2" s="31" t="inlineStr">
        <is>
          <t>Paras Defence and Space Technologies Ltd</t>
        </is>
      </c>
      <c r="F2" s="31" t="inlineStr">
        <is>
          <t>Aerospace &amp; Defence - Equipments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23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MENONBE</t>
        </is>
      </c>
      <c r="E3" s="31" t="inlineStr">
        <is>
          <t>Menon Bearings Limited</t>
        </is>
      </c>
      <c r="F3" s="31" t="inlineStr">
        <is>
          <t>Auto Ancillaries - Bearings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26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TDPOWERSYS</t>
        </is>
      </c>
      <c r="E4" s="31" t="inlineStr">
        <is>
          <t>Td Power Systems Limited</t>
        </is>
      </c>
      <c r="F4" s="31" t="inlineStr">
        <is>
          <t>Capital Goods - Gensets/Turbines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13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BLISSGVS</t>
        </is>
      </c>
      <c r="E5" s="31" t="inlineStr">
        <is>
          <t>Bliss Gvs Pharma Limited</t>
        </is>
      </c>
      <c r="F5" s="31" t="inlineStr">
        <is>
          <t>Pharma - Formulators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17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GHCLTEXTIL</t>
        </is>
      </c>
      <c r="E6" s="31" t="inlineStr">
        <is>
          <t>GHCL Textiles Ltd</t>
        </is>
      </c>
      <c r="F6" s="31" t="inlineStr">
        <is>
          <t>Textiles - General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23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NETWEB</t>
        </is>
      </c>
      <c r="E7" s="31" t="inlineStr">
        <is>
          <t>Netweb Technologies India Ltd</t>
        </is>
      </c>
      <c r="F7" s="31" t="inlineStr">
        <is>
          <t>Data Centre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19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HFCL</t>
        </is>
      </c>
      <c r="E8" s="31" t="inlineStr">
        <is>
          <t>HFCL Ltd</t>
        </is>
      </c>
      <c r="F8" s="31" t="inlineStr">
        <is>
          <t>Telecom Services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26</v>
      </c>
      <c r="K8" s="31" t="n">
        <v>19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SANSERA</t>
        </is>
      </c>
      <c r="E9" s="31" t="inlineStr">
        <is>
          <t>Sansera Engineering Ltd</t>
        </is>
      </c>
      <c r="F9" s="31" t="inlineStr">
        <is>
          <t>Auto Ancillaries - Diversified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27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CRAFTSMAN</t>
        </is>
      </c>
      <c r="E10" s="31" t="inlineStr">
        <is>
          <t>Craftsman Automation Ltd</t>
        </is>
      </c>
      <c r="F10" s="31" t="inlineStr">
        <is>
          <t>unknown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0</v>
      </c>
      <c r="K10" s="31" t="n">
        <v>26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MACPOWER</t>
        </is>
      </c>
      <c r="E11" s="31" t="inlineStr">
        <is>
          <t>Macpower CNC Machines Ltd</t>
        </is>
      </c>
      <c r="F11" s="31" t="inlineStr">
        <is>
          <t>CNC - Machines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MANINDS</t>
        </is>
      </c>
      <c r="E12" s="31" t="inlineStr">
        <is>
          <t>Man Industries (india) Limited</t>
        </is>
      </c>
      <c r="F12" s="31" t="inlineStr">
        <is>
          <t>Steel - Tubes/Pipes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24</v>
      </c>
      <c r="K12" s="31" t="n">
        <v>13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DEEPINDS</t>
        </is>
      </c>
      <c r="E13" s="31" t="inlineStr">
        <is>
          <t>Deep Industries Ltd</t>
        </is>
      </c>
      <c r="F13" s="31" t="inlineStr">
        <is>
          <t>Oil Drilling &amp; Exploration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20</v>
      </c>
      <c r="K13" s="31" t="n">
        <v>16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ASIANENE</t>
        </is>
      </c>
      <c r="E14" s="31" t="inlineStr">
        <is>
          <t>Asian Energy Services Ltd</t>
        </is>
      </c>
      <c r="F14" s="31" t="inlineStr">
        <is>
          <t>Oil Drilling &amp; Exploration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21</v>
      </c>
      <c r="K14" s="31" t="n">
        <v>22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VADILALIND</t>
        </is>
      </c>
      <c r="E15" s="31" t="inlineStr">
        <is>
          <t>Vadilal Industries Limited</t>
        </is>
      </c>
      <c r="F15" s="31" t="inlineStr">
        <is>
          <t>FMCG - Dairy Products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25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RPTECH</t>
        </is>
      </c>
      <c r="E16" s="31" t="inlineStr">
        <is>
          <t>Rashi Peripherals Ltd</t>
        </is>
      </c>
      <c r="F16" s="31" t="inlineStr">
        <is>
          <t>Trading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22</v>
      </c>
      <c r="K16" s="31" t="n">
        <v>29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INDOTECH</t>
        </is>
      </c>
      <c r="E17" s="31" t="inlineStr">
        <is>
          <t>Indo Tech Transformers Limited</t>
        </is>
      </c>
      <c r="F17" s="31" t="inlineStr">
        <is>
          <t>Capital Goods - Transformers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MODISONLTD</t>
        </is>
      </c>
      <c r="E18" s="31" t="inlineStr">
        <is>
          <t>Modison Ltd</t>
        </is>
      </c>
      <c r="F18" s="31" t="inlineStr">
        <is>
          <t>Capital Goods - Electric General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29</v>
      </c>
      <c r="K18" s="31" t="n">
        <v>14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PGIL</t>
        </is>
      </c>
      <c r="E19" s="31" t="inlineStr">
        <is>
          <t>Pearl Global Industries Limited</t>
        </is>
      </c>
      <c r="F19" s="31" t="inlineStr">
        <is>
          <t>Textiles - Readymade Apparel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25</v>
      </c>
      <c r="K19" s="31" t="n">
        <v>27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AEGISLOG</t>
        </is>
      </c>
      <c r="E20" s="31" t="inlineStr">
        <is>
          <t>Aegis Logistics Ltd</t>
        </is>
      </c>
      <c r="F20" s="31" t="inlineStr">
        <is>
          <t>Logistics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23</v>
      </c>
      <c r="K20" s="31" t="n">
        <v>21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SYRMA</t>
        </is>
      </c>
      <c r="E21" s="31" t="inlineStr">
        <is>
          <t>Syrma SGS Technology Ltd</t>
        </is>
      </c>
      <c r="F21" s="31" t="inlineStr">
        <is>
          <t>Consumer Electronics - EMS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UJJIVANSFB</t>
        </is>
      </c>
      <c r="E22" s="31" t="inlineStr">
        <is>
          <t>Ujjivan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25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CUPID</t>
        </is>
      </c>
      <c r="E23" s="31" t="inlineStr">
        <is>
          <t>Cupid Limited</t>
        </is>
      </c>
      <c r="F23" s="31" t="inlineStr">
        <is>
          <t>Contraceptives/Protectives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RADICO</t>
        </is>
      </c>
      <c r="E24" s="31" t="inlineStr">
        <is>
          <t>Radico Khaitan Limited</t>
        </is>
      </c>
      <c r="F24" s="31" t="inlineStr">
        <is>
          <t>Alcoholic Beverages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16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TFCILTD</t>
        </is>
      </c>
      <c r="E25" s="31" t="inlineStr">
        <is>
          <t>Tourism Finance Corporation Of India Limited</t>
        </is>
      </c>
      <c r="F25" s="31" t="inlineStr">
        <is>
          <t>Finance - PSU Lending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26</v>
      </c>
      <c r="K25" s="31" t="n">
        <v>26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UNIVCABLES</t>
        </is>
      </c>
      <c r="E26" s="31" t="inlineStr">
        <is>
          <t>Universal Cables Limited</t>
        </is>
      </c>
      <c r="F26" s="31" t="inlineStr">
        <is>
          <t>Cables - Power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22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UNIPARTS</t>
        </is>
      </c>
      <c r="E27" s="31" t="inlineStr">
        <is>
          <t>Uniparts India Ltd</t>
        </is>
      </c>
      <c r="F27" s="31" t="inlineStr">
        <is>
          <t>Castings, Forgings &amp; Fastners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26</v>
      </c>
      <c r="K27" s="31" t="n">
        <v>29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SJS</t>
        </is>
      </c>
      <c r="E28" s="31" t="inlineStr">
        <is>
          <t>S J S Enterprises Ltd</t>
        </is>
      </c>
      <c r="F28" s="31" t="inlineStr">
        <is>
          <t>Auto Ancillaries - Diversified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26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BHEL</t>
        </is>
      </c>
      <c r="E29" s="31" t="inlineStr">
        <is>
          <t>Bharat Heavy Electricals Limited</t>
        </is>
      </c>
      <c r="F29" s="31" t="inlineStr">
        <is>
          <t>Capital Goods - Engineering Heavy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17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INDSWFTLAB</t>
        </is>
      </c>
      <c r="E30" s="31" t="inlineStr">
        <is>
          <t>Ind-swift Laboratories Limited</t>
        </is>
      </c>
      <c r="F30" s="31" t="inlineStr">
        <is>
          <t>Pharma - API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26</v>
      </c>
      <c r="K30" s="31" t="n">
        <v>27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DIVGIITTS</t>
        </is>
      </c>
      <c r="E31" s="31" t="inlineStr">
        <is>
          <t>Divgi Torqtransfer Systems Ltd</t>
        </is>
      </c>
      <c r="F31" s="31" t="inlineStr">
        <is>
          <t>Auto Ancillaries - Transmission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26</v>
      </c>
      <c r="K31" s="31" t="n">
        <v>27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KENNAMET</t>
        </is>
      </c>
      <c r="E32" s="31" t="inlineStr">
        <is>
          <t>Kennametal India Ltd</t>
        </is>
      </c>
      <c r="F32" s="31" t="inlineStr">
        <is>
          <t>Castings, Forgings &amp; Fastners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27</v>
      </c>
      <c r="K32" s="31" t="n">
        <v>19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DIACABS</t>
        </is>
      </c>
      <c r="E33" s="31" t="inlineStr">
        <is>
          <t>Diamond Power Infrastructure Ltd</t>
        </is>
      </c>
      <c r="F33" s="31" t="inlineStr">
        <is>
          <t>Cables - Power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29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KDDL</t>
        </is>
      </c>
      <c r="E34" s="31" t="inlineStr">
        <is>
          <t>Kddl Limited</t>
        </is>
      </c>
      <c r="F34" s="31" t="inlineStr">
        <is>
          <t>Watches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22</v>
      </c>
      <c r="K34" s="31" t="n">
        <v>24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IRISDOREME</t>
        </is>
      </c>
      <c r="E35" s="31" t="inlineStr">
        <is>
          <t>Iris Clothings Ltd</t>
        </is>
      </c>
      <c r="F35" s="31" t="inlineStr">
        <is>
          <t>Textiles - Readymade Apparel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22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WELCORP</t>
        </is>
      </c>
      <c r="E36" s="31" t="inlineStr">
        <is>
          <t>Welspun Corp Limited</t>
        </is>
      </c>
      <c r="F36" s="31" t="inlineStr">
        <is>
          <t>DI Pipes/Saw Pipes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16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FILATEX</t>
        </is>
      </c>
      <c r="E37" s="31" t="inlineStr">
        <is>
          <t>Filatex India Limited</t>
        </is>
      </c>
      <c r="F37" s="31" t="inlineStr">
        <is>
          <t>Textiles - Manmade Fibre - PFY/PSF</t>
        </is>
      </c>
      <c r="G37" s="31" t="n">
        <v>2</v>
      </c>
      <c r="H37" s="31" t="inlineStr">
        <is>
          <t>52W Breakout</t>
        </is>
      </c>
      <c r="I37" s="31" t="inlineStr">
        <is>
          <t>Yes</t>
        </is>
      </c>
      <c r="J37" s="31" t="n">
        <v>14</v>
      </c>
      <c r="K37" s="31" t="n">
        <v>26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MARKSANS</t>
        </is>
      </c>
      <c r="E38" s="31" t="inlineStr">
        <is>
          <t>Marksans Pharma Limited</t>
        </is>
      </c>
      <c r="F38" s="31" t="inlineStr">
        <is>
          <t>Pharma - Formulators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28</v>
      </c>
      <c r="K38" s="31" t="n">
        <v>21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MINDACORP</t>
        </is>
      </c>
      <c r="E39" s="31" t="inlineStr">
        <is>
          <t>Minda Corporation Limited</t>
        </is>
      </c>
      <c r="F39" s="31" t="inlineStr">
        <is>
          <t>Auto Ancillaries - Diversified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25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WELSPUNLIV</t>
        </is>
      </c>
      <c r="E40" s="31" t="inlineStr">
        <is>
          <t>Welspun Living Ltd</t>
        </is>
      </c>
      <c r="F40" s="31" t="inlineStr">
        <is>
          <t>Textiles - Home Textile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13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RPEL</t>
        </is>
      </c>
      <c r="E41" s="31" t="inlineStr">
        <is>
          <t>Raghav Productivity Enhancers Ltd</t>
        </is>
      </c>
      <c r="F41" s="31" t="inlineStr">
        <is>
          <t>Steel Products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22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JGCHEM</t>
        </is>
      </c>
      <c r="E42" s="31" t="inlineStr">
        <is>
          <t>J.G.Chemicals Ltd</t>
        </is>
      </c>
      <c r="F42" s="31" t="inlineStr">
        <is>
          <t>Chemicals - Inorganic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26</v>
      </c>
      <c r="K42" s="31" t="n">
        <v>21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SKYGOLD</t>
        </is>
      </c>
      <c r="E43" s="31" t="inlineStr">
        <is>
          <t>Sky Gold Ltd</t>
        </is>
      </c>
      <c r="F43" s="31" t="inlineStr">
        <is>
          <t>Diamond, Gems &amp; Jewellery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30</v>
      </c>
      <c r="K43" s="31" t="n">
        <v>23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AVALON</t>
        </is>
      </c>
      <c r="E44" s="31" t="inlineStr">
        <is>
          <t>Avalon Technologies Ltd</t>
        </is>
      </c>
      <c r="F44" s="31" t="inlineStr">
        <is>
          <t>Consumer Electronics - EMS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THELEELA</t>
        </is>
      </c>
      <c r="E45" s="31" t="inlineStr">
        <is>
          <t>Leela Palaces Hotels &amp; Resorts Ltd</t>
        </is>
      </c>
      <c r="F45" s="31" t="inlineStr">
        <is>
          <t>Hotels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24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LAURUSLABS</t>
        </is>
      </c>
      <c r="E46" s="31" t="inlineStr">
        <is>
          <t>Laurus Labs Limited</t>
        </is>
      </c>
      <c r="F46" s="31" t="inlineStr">
        <is>
          <t>Pharma - API &amp; CRAMS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MANORAMA</t>
        </is>
      </c>
      <c r="E47" s="31" t="inlineStr">
        <is>
          <t>Manorama Industries Ltd</t>
        </is>
      </c>
      <c r="F47" s="31" t="inlineStr">
        <is>
          <t>FMCG - Chocolate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20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SHILPAMED</t>
        </is>
      </c>
      <c r="E48" s="31" t="inlineStr">
        <is>
          <t>Shilpa Medicare Limited</t>
        </is>
      </c>
      <c r="F48" s="31" t="inlineStr">
        <is>
          <t>Pharma - API &amp; CRAMS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25</v>
      </c>
      <c r="K48" s="31" t="n">
        <v>25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AVTNPL</t>
        </is>
      </c>
      <c r="E49" s="31" t="inlineStr">
        <is>
          <t>Avt Natural Products Limited</t>
        </is>
      </c>
      <c r="F49" s="31" t="inlineStr">
        <is>
          <t>Agricultural Processing - Maize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27</v>
      </c>
      <c r="K49" s="31" t="n">
        <v>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ARVSMART</t>
        </is>
      </c>
      <c r="E50" s="31" t="inlineStr">
        <is>
          <t>Arvind Smartspaces Limited</t>
        </is>
      </c>
      <c r="F50" s="31" t="inlineStr">
        <is>
          <t>Realty - Construction &amp; Contracting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25</v>
      </c>
      <c r="K50" s="31" t="n">
        <v>10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HONASA</t>
        </is>
      </c>
      <c r="E51" s="31" t="inlineStr">
        <is>
          <t>Honasa Consumer Ltd</t>
        </is>
      </c>
      <c r="F51" s="31" t="inlineStr">
        <is>
          <t>New age - Platform - E-Retail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23</v>
      </c>
      <c r="K51" s="31" t="n">
        <v>23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MUNJALAU</t>
        </is>
      </c>
      <c r="E52" s="31" t="inlineStr">
        <is>
          <t>Munjal Auto Industries Limited</t>
        </is>
      </c>
      <c r="F52" s="31" t="inlineStr">
        <is>
          <t>Auto Ancillaries - Diversified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11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TVSSRICHAK</t>
        </is>
      </c>
      <c r="E53" s="31" t="inlineStr">
        <is>
          <t>Tvs Srichakra Limited</t>
        </is>
      </c>
      <c r="F53" s="31" t="inlineStr">
        <is>
          <t>Tyres &amp; Tubes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26</v>
      </c>
      <c r="K53" s="31" t="n">
        <v>12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HAPPYFORGE</t>
        </is>
      </c>
      <c r="E54" s="31" t="inlineStr">
        <is>
          <t>Happy Forgings Ltd</t>
        </is>
      </c>
      <c r="F54" s="31" t="inlineStr">
        <is>
          <t>Castings, Forgings &amp; Fastners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22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PRECWIRE</t>
        </is>
      </c>
      <c r="E55" s="31" t="inlineStr">
        <is>
          <t>Precision Wires India Limited</t>
        </is>
      </c>
      <c r="F55" s="31" t="inlineStr">
        <is>
          <t>Copper Wires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27</v>
      </c>
      <c r="K55" s="31" t="n">
        <v>11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FINCABLES</t>
        </is>
      </c>
      <c r="E56" s="31" t="inlineStr">
        <is>
          <t>Finolex Cables Limited</t>
        </is>
      </c>
      <c r="F56" s="31" t="inlineStr">
        <is>
          <t>Cables - Telecom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25</v>
      </c>
      <c r="K56" s="31" t="n">
        <v>16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UNIVASTU</t>
        </is>
      </c>
      <c r="E57" s="31" t="inlineStr">
        <is>
          <t>Univastu India Ltd</t>
        </is>
      </c>
      <c r="F57" s="31" t="inlineStr">
        <is>
          <t>Construction - Civil/Turnkey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5</v>
      </c>
      <c r="K57" s="31" t="n">
        <v>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MOREPENLAB</t>
        </is>
      </c>
      <c r="E58" s="31" t="inlineStr">
        <is>
          <t>Morepen Laboratories Limited</t>
        </is>
      </c>
      <c r="F58" s="31" t="inlineStr">
        <is>
          <t>Pharma - API &amp; CRAMS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25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HNDFDS</t>
        </is>
      </c>
      <c r="E59" s="31" t="inlineStr">
        <is>
          <t>Hindustan Foods Ltd</t>
        </is>
      </c>
      <c r="F59" s="31" t="inlineStr">
        <is>
          <t>FMCG - Contract Mfg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20</v>
      </c>
      <c r="K59" s="31" t="n">
        <v>27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ENTERO</t>
        </is>
      </c>
      <c r="E60" s="31" t="inlineStr">
        <is>
          <t>Entero Healthcare Solutions Ltd</t>
        </is>
      </c>
      <c r="F60" s="31" t="inlineStr">
        <is>
          <t>Pharmacy Distribution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27</v>
      </c>
      <c r="K60" s="31" t="n">
        <v>18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NEULANDLAB</t>
        </is>
      </c>
      <c r="E61" s="31" t="inlineStr">
        <is>
          <t>Neuland Laboratories Limited</t>
        </is>
      </c>
      <c r="F61" s="31" t="inlineStr">
        <is>
          <t>Pharma - API &amp; CRAMS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27</v>
      </c>
      <c r="K61" s="31" t="n">
        <v>27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TCPLPACK</t>
        </is>
      </c>
      <c r="E62" s="31" t="inlineStr">
        <is>
          <t>TCPL Packaging Ltd</t>
        </is>
      </c>
      <c r="F62" s="31" t="inlineStr">
        <is>
          <t>Packaging - FMCG/Consumers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23</v>
      </c>
      <c r="K62" s="31" t="n">
        <v>16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KINGFA</t>
        </is>
      </c>
      <c r="E63" s="31" t="inlineStr">
        <is>
          <t>Kingfa Science &amp; Technology (india) Limited</t>
        </is>
      </c>
      <c r="F63" s="31" t="inlineStr">
        <is>
          <t>Plastics - Plastic &amp; Plastic Products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25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KRISHANA</t>
        </is>
      </c>
      <c r="E64" s="31" t="inlineStr">
        <is>
          <t>Krishana Phoschem Ltd</t>
        </is>
      </c>
      <c r="F64" s="31" t="inlineStr">
        <is>
          <t>Fertilisers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24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KRN</t>
        </is>
      </c>
      <c r="E65" s="31" t="inlineStr">
        <is>
          <t>KRN Heat Exchanger and Refrigeration Ltd</t>
        </is>
      </c>
      <c r="F65" s="31" t="inlineStr">
        <is>
          <t>Engineering - General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10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YASHO</t>
        </is>
      </c>
      <c r="E66" s="31" t="inlineStr">
        <is>
          <t>Yasho Industries Ltd</t>
        </is>
      </c>
      <c r="F66" s="31" t="inlineStr">
        <is>
          <t>Speciality Chemicals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26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KOLTEPATIL</t>
        </is>
      </c>
      <c r="E67" s="31" t="inlineStr">
        <is>
          <t>Kolte - Patil Developers Limited</t>
        </is>
      </c>
      <c r="F67" s="31" t="inlineStr">
        <is>
          <t>Realty - Construction &amp; Contracting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15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CHENNPETRO</t>
        </is>
      </c>
      <c r="E68" s="31" t="inlineStr">
        <is>
          <t>Chennai Petroleum Corporation Limited</t>
        </is>
      </c>
      <c r="F68" s="31" t="inlineStr">
        <is>
          <t>Refineries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28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VRLLOG</t>
        </is>
      </c>
      <c r="E69" s="31" t="inlineStr">
        <is>
          <t>Vrl Logistics Limited</t>
        </is>
      </c>
      <c r="F69" s="31" t="inlineStr">
        <is>
          <t>Logistics - Warehousing/Supply Chain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16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STEELCAS</t>
        </is>
      </c>
      <c r="E70" s="31" t="inlineStr">
        <is>
          <t>Steelcast Ltd</t>
        </is>
      </c>
      <c r="F70" s="31" t="inlineStr">
        <is>
          <t>Castings, Forgings &amp; Fastners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11</v>
      </c>
      <c r="K70" s="31" t="n">
        <v>25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MOTHERSON</t>
        </is>
      </c>
      <c r="E71" s="31" t="inlineStr">
        <is>
          <t>Samvardhana Motherson International Ltd</t>
        </is>
      </c>
      <c r="F71" s="31" t="inlineStr">
        <is>
          <t>Auto Ancillaries - Diversified</t>
        </is>
      </c>
      <c r="G71" s="31" t="n">
        <v>2</v>
      </c>
      <c r="H71" s="31" t="inlineStr">
        <is>
          <t>52W Breakout</t>
        </is>
      </c>
      <c r="I71" s="31" t="inlineStr">
        <is>
          <t>Yes</t>
        </is>
      </c>
      <c r="J71" s="31" t="n">
        <v>15</v>
      </c>
      <c r="K71" s="31" t="n">
        <v>25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MMFL</t>
        </is>
      </c>
      <c r="E72" s="31" t="inlineStr">
        <is>
          <t>Mm Forgings Limited</t>
        </is>
      </c>
      <c r="F72" s="31" t="inlineStr">
        <is>
          <t>Castings, Forgings &amp; Fastners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23</v>
      </c>
      <c r="K72" s="31" t="n">
        <v>22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KMEW</t>
        </is>
      </c>
      <c r="E73" s="31" t="inlineStr">
        <is>
          <t>Knowledge Marine &amp; Engineering Works Ltd</t>
        </is>
      </c>
      <c r="F73" s="31" t="inlineStr">
        <is>
          <t>Shipping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GALAXYSURF</t>
        </is>
      </c>
      <c r="E74" s="31" t="inlineStr">
        <is>
          <t>Galaxy Surfactants Ltd</t>
        </is>
      </c>
      <c r="F74" s="31" t="inlineStr">
        <is>
          <t>Speciality Chemicals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27</v>
      </c>
      <c r="K74" s="31" t="n">
        <v>4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BOSCH-HCIL</t>
        </is>
      </c>
      <c r="E75" s="31" t="inlineStr">
        <is>
          <t>Bosch Home Comfort India Ltd</t>
        </is>
      </c>
      <c r="F75" s="31" t="inlineStr">
        <is>
          <t>Consumer Electronics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23</v>
      </c>
      <c r="K75" s="31" t="n">
        <v>11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KABRAEXTRU</t>
        </is>
      </c>
      <c r="E76" s="31" t="inlineStr">
        <is>
          <t>Kabra Extrusion Technik Limited</t>
        </is>
      </c>
      <c r="F76" s="31" t="inlineStr">
        <is>
          <t>Capital Goods - Engineering Heavy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21</v>
      </c>
      <c r="K76" s="31" t="n">
        <v>23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SOTL</t>
        </is>
      </c>
      <c r="E77" s="31" t="inlineStr">
        <is>
          <t>Savita Oil Technologies Limited</t>
        </is>
      </c>
      <c r="F77" s="31" t="inlineStr">
        <is>
          <t>Petrochem - Others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26</v>
      </c>
      <c r="K77" s="31" t="n">
        <v>23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PVP</t>
        </is>
      </c>
      <c r="E78" s="31" t="inlineStr">
        <is>
          <t>Pvp Ventures Limited</t>
        </is>
      </c>
      <c r="F78" s="31" t="inlineStr">
        <is>
          <t>Realty - Construction &amp; Contracting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9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BOSCHLTD</t>
        </is>
      </c>
      <c r="E79" s="31" t="inlineStr">
        <is>
          <t>Bosch Limited</t>
        </is>
      </c>
      <c r="F79" s="31" t="inlineStr">
        <is>
          <t>Auto Ancillaries - Diversified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11</v>
      </c>
      <c r="K79" s="31" t="n">
        <v>25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AARTIPHARM</t>
        </is>
      </c>
      <c r="E80" s="31" t="inlineStr">
        <is>
          <t>Aarti Pharmalabs Ltd</t>
        </is>
      </c>
      <c r="F80" s="31" t="inlineStr">
        <is>
          <t>Pharma - API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21</v>
      </c>
      <c r="K80" s="31" t="n">
        <v>7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MARINE</t>
        </is>
      </c>
      <c r="E81" s="31" t="inlineStr">
        <is>
          <t>Marine Electricals (India) Ltd</t>
        </is>
      </c>
      <c r="F81" s="31" t="inlineStr">
        <is>
          <t>Shipping - Proxy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22</v>
      </c>
      <c r="K81" s="31" t="n">
        <v>23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EMIL</t>
        </is>
      </c>
      <c r="E82" s="31" t="inlineStr">
        <is>
          <t>Electronics Mart India Ltd</t>
        </is>
      </c>
      <c r="F82" s="31" t="inlineStr">
        <is>
          <t>Retail - Electronics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29</v>
      </c>
      <c r="K82" s="31" t="n">
        <v>10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RATNAVEER</t>
        </is>
      </c>
      <c r="E83" s="31" t="inlineStr">
        <is>
          <t>Ratnaveer Precision Engineering Ltd</t>
        </is>
      </c>
      <c r="F83" s="31" t="inlineStr">
        <is>
          <t>Stainless Steel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22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LUMAXTECH</t>
        </is>
      </c>
      <c r="E84" s="31" t="inlineStr">
        <is>
          <t>Lumax Auto Technologies Limited</t>
        </is>
      </c>
      <c r="F84" s="31" t="inlineStr">
        <is>
          <t>Auto Ancillaries - Diversified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23</v>
      </c>
      <c r="K84" s="31" t="n">
        <v>13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RBA</t>
        </is>
      </c>
      <c r="E85" s="31" t="inlineStr">
        <is>
          <t>Restaurant Brands Asia Ltd</t>
        </is>
      </c>
      <c r="F85" s="31" t="inlineStr">
        <is>
          <t>Quick Service Restaurant - QSR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21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PTCIL</t>
        </is>
      </c>
      <c r="E86" s="31" t="inlineStr">
        <is>
          <t>PTC Industries Ltd</t>
        </is>
      </c>
      <c r="F86" s="31" t="inlineStr">
        <is>
          <t>unknown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0</v>
      </c>
      <c r="K86" s="31" t="n">
        <v>14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TIIL</t>
        </is>
      </c>
      <c r="E87" s="31" t="inlineStr">
        <is>
          <t>Technocraft Industries (india) Limited</t>
        </is>
      </c>
      <c r="F87" s="31" t="inlineStr">
        <is>
          <t>Scaffolding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22</v>
      </c>
      <c r="K87" s="31" t="n">
        <v>7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DOLPHIN</t>
        </is>
      </c>
      <c r="E88" s="31" t="inlineStr">
        <is>
          <t>Dolphin Offshore Enterprises (India) Ltd</t>
        </is>
      </c>
      <c r="F88" s="31" t="inlineStr">
        <is>
          <t>Oil Drilling &amp; Exploration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26</v>
      </c>
      <c r="K88" s="31" t="n">
        <v>12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MAHASTEEL</t>
        </is>
      </c>
      <c r="E89" s="31" t="inlineStr">
        <is>
          <t>Mahamaya Steel Industries Limited</t>
        </is>
      </c>
      <c r="F89" s="31" t="inlineStr">
        <is>
          <t>Steel - Rolling</t>
        </is>
      </c>
      <c r="G89" s="31" t="n">
        <v>2</v>
      </c>
      <c r="H89" s="31" t="inlineStr">
        <is>
          <t>52W Breakout</t>
        </is>
      </c>
      <c r="I89" s="31" t="inlineStr">
        <is>
          <t>Yes</t>
        </is>
      </c>
      <c r="J89" s="31" t="n">
        <v>14</v>
      </c>
      <c r="K89" s="31" t="n">
        <v>14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PRICOLLTD</t>
        </is>
      </c>
      <c r="E90" s="31" t="inlineStr">
        <is>
          <t>Pricol Ltd.</t>
        </is>
      </c>
      <c r="F90" s="31" t="inlineStr">
        <is>
          <t>Auto Ancillaries - 2 Wheelers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22</v>
      </c>
      <c r="K90" s="31" t="n">
        <v>25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TNPETRO</t>
        </is>
      </c>
      <c r="E91" s="31" t="inlineStr">
        <is>
          <t>Tamilnadu Petroproducts Limited</t>
        </is>
      </c>
      <c r="F91" s="31" t="inlineStr">
        <is>
          <t>Petrochem - Others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21</v>
      </c>
      <c r="K91" s="31" t="n">
        <v>5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UFLEX</t>
        </is>
      </c>
      <c r="E92" s="31" t="inlineStr">
        <is>
          <t>Uflex Limited</t>
        </is>
      </c>
      <c r="F92" s="31" t="inlineStr">
        <is>
          <t>Packaging - BOPP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29</v>
      </c>
      <c r="K92" s="31" t="n">
        <v>10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ANTELOPUS</t>
        </is>
      </c>
      <c r="E93" s="31" t="inlineStr">
        <is>
          <t>Antelopus Selan Energy Ltd</t>
        </is>
      </c>
      <c r="F93" s="31" t="inlineStr">
        <is>
          <t>Oil Drilling &amp; Exploration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21</v>
      </c>
      <c r="K93" s="31" t="n">
        <v>9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GNFC</t>
        </is>
      </c>
      <c r="E94" s="31" t="inlineStr">
        <is>
          <t>Gujarat Narmada Valley Fertilizers And Chemicals Limited</t>
        </is>
      </c>
      <c r="F94" s="31" t="inlineStr">
        <is>
          <t>Fertilisers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25</v>
      </c>
      <c r="K94" s="31" t="n">
        <v>19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IF(B2=0,"",RANK(B2,$B$2:$B$360,0))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690.85</v>
      </c>
      <c r="I2" s="32" t="n">
        <v>665.5</v>
      </c>
      <c r="J2" s="32" t="n">
        <v>1.15</v>
      </c>
      <c r="K2" s="32" t="n">
        <v>63625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76.7</v>
      </c>
      <c r="P2" s="32" t="n">
        <v>59.27</v>
      </c>
      <c r="Q2" s="32" t="n">
        <v>473.95</v>
      </c>
      <c r="R2" s="31" t="inlineStr">
        <is>
          <t>Near 52W High Breakout</t>
        </is>
      </c>
      <c r="S2" s="31" t="inlineStr">
        <is>
          <t>Nifty FMCG</t>
        </is>
      </c>
      <c r="T2" s="32" t="n">
        <v>-12.54</v>
      </c>
      <c r="U2" s="32" t="n">
        <v>124.36</v>
      </c>
      <c r="V2" s="32" t="n">
        <v>156.53</v>
      </c>
      <c r="W2" s="32" t="n">
        <v>44.87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IF(B3=0,"",RANK(B3,$B$2:$B$360,0))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VADILALIND</t>
        </is>
      </c>
      <c r="D3" s="31" t="inlineStr">
        <is>
          <t>Vadilal Industries Limited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midcap</t>
        </is>
      </c>
      <c r="H3" s="32" t="n">
        <v>5326.9</v>
      </c>
      <c r="I3" s="32" t="n">
        <v>7406</v>
      </c>
      <c r="J3" s="32" t="n">
        <v>-0.07000000000000001</v>
      </c>
      <c r="K3" s="32" t="n">
        <v>23467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72.34</v>
      </c>
      <c r="P3" s="32" t="n">
        <v>45.32</v>
      </c>
      <c r="Q3" s="32" t="n">
        <v>6145.11</v>
      </c>
      <c r="R3" s="31" t="inlineStr">
        <is>
          <t>Near 52W High Breakout</t>
        </is>
      </c>
      <c r="S3" s="31" t="inlineStr">
        <is>
          <t>Nifty FMCG</t>
        </is>
      </c>
      <c r="T3" s="32" t="n">
        <v>-12.54</v>
      </c>
      <c r="U3" s="32" t="n">
        <v>35.81</v>
      </c>
      <c r="V3" s="32" t="n">
        <v>55.29</v>
      </c>
      <c r="W3" s="32" t="n">
        <v>23.7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IF(B4=0,"",RANK(B4,$B$2:$B$360,0))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midcap</t>
        </is>
      </c>
      <c r="H4" s="32" t="n">
        <v>5745.46</v>
      </c>
      <c r="I4" s="32" t="n">
        <v>859</v>
      </c>
      <c r="J4" s="32" t="n">
        <v>-1.47</v>
      </c>
      <c r="K4" s="32" t="n">
        <v>238727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74.92</v>
      </c>
      <c r="P4" s="32" t="n">
        <v>80.58</v>
      </c>
      <c r="Q4" s="32" t="n">
        <v>691.75</v>
      </c>
      <c r="R4" s="31" t="inlineStr">
        <is>
          <t>Near 52W High Breakout</t>
        </is>
      </c>
      <c r="S4" s="31" t="inlineStr">
        <is>
          <t>Nifty 50</t>
        </is>
      </c>
      <c r="T4" s="32" t="n">
        <v>-2.88</v>
      </c>
      <c r="U4" s="32" t="n">
        <v>205.03</v>
      </c>
      <c r="V4" s="32" t="n">
        <v>214.06</v>
      </c>
      <c r="W4" s="32" t="n">
        <v>38.75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IF(B5=0,"",RANK(B5,$B$2:$B$360,0))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PREMIERPOL</t>
        </is>
      </c>
      <c r="D5" s="31" t="inlineStr">
        <is>
          <t>Premier Polyfilm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875.54</v>
      </c>
      <c r="I5" s="32" t="n">
        <v>86.37</v>
      </c>
      <c r="J5" s="32" t="n">
        <v>3.33</v>
      </c>
      <c r="K5" s="32" t="n">
        <v>2453055</v>
      </c>
      <c r="L5" s="31" t="n">
        <v>80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70.73999999999999</v>
      </c>
      <c r="P5" s="32" t="n">
        <v>50.84</v>
      </c>
      <c r="Q5" s="32" t="n">
        <v>60.12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-2.88</v>
      </c>
      <c r="U5" s="32" t="n">
        <v>76.64</v>
      </c>
      <c r="V5" s="32" t="n">
        <v>81.87</v>
      </c>
      <c r="W5" s="32" t="n">
        <v>23.27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IF(B6=0,"",RANK(B6,$B$2:$B$360,0))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PIXTRANS</t>
        </is>
      </c>
      <c r="D6" s="31" t="inlineStr">
        <is>
          <t>Pix Transmission Ltd</t>
        </is>
      </c>
      <c r="E6" s="31" t="inlineStr">
        <is>
          <t>fmcg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2641.65</v>
      </c>
      <c r="I6" s="32" t="n">
        <v>1884.8</v>
      </c>
      <c r="J6" s="32" t="n">
        <v>-2.79</v>
      </c>
      <c r="K6" s="32" t="n">
        <v>17377</v>
      </c>
      <c r="L6" s="31" t="n">
        <v>48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68.03</v>
      </c>
      <c r="P6" s="32" t="n">
        <v>46.72</v>
      </c>
      <c r="Q6" s="32" t="n">
        <v>1491.83</v>
      </c>
      <c r="R6" s="31" t="inlineStr">
        <is>
          <t>Near 52W High Breakout</t>
        </is>
      </c>
      <c r="S6" s="31" t="inlineStr">
        <is>
          <t>Nifty FMCG</t>
        </is>
      </c>
      <c r="T6" s="32" t="n">
        <v>-12.54</v>
      </c>
      <c r="U6" s="32" t="n">
        <v>25.62</v>
      </c>
      <c r="V6" s="32" t="n">
        <v>43.64</v>
      </c>
      <c r="W6" s="32" t="n">
        <v>11.07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IF(B7=0,"",RANK(B7,$B$2:$B$360,0))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AEGISLOG</t>
        </is>
      </c>
      <c r="D7" s="31" t="inlineStr">
        <is>
          <t>Aegis Logistics Ltd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largecap</t>
        </is>
      </c>
      <c r="H7" s="32" t="n">
        <v>45180.72</v>
      </c>
      <c r="I7" s="32" t="n">
        <v>1367.7</v>
      </c>
      <c r="J7" s="32" t="n">
        <v>6.25</v>
      </c>
      <c r="K7" s="32" t="n">
        <v>3097867</v>
      </c>
      <c r="L7" s="31" t="n">
        <v>91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70.67</v>
      </c>
      <c r="P7" s="32" t="n">
        <v>54.45</v>
      </c>
      <c r="Q7" s="32" t="n">
        <v>1007.67</v>
      </c>
      <c r="R7" s="31" t="inlineStr">
        <is>
          <t>Near 52W High Breakout</t>
        </is>
      </c>
      <c r="S7" s="31" t="inlineStr">
        <is>
          <t>Nifty 50</t>
        </is>
      </c>
      <c r="T7" s="32" t="n">
        <v>-2.88</v>
      </c>
      <c r="U7" s="32" t="n">
        <v>87.06</v>
      </c>
      <c r="V7" s="32" t="n">
        <v>92.59999999999999</v>
      </c>
      <c r="W7" s="32" t="n">
        <v>35.76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IF(B8=0,"",RANK(B8,$B$2:$B$360,0))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MODISONLTD</t>
        </is>
      </c>
      <c r="D8" s="31" t="inlineStr">
        <is>
          <t>Modison Ltd</t>
        </is>
      </c>
      <c r="E8" s="31" t="inlineStr">
        <is>
          <t>industrials</t>
        </is>
      </c>
      <c r="F8" s="31" t="inlineStr">
        <is>
          <t>electric equipment</t>
        </is>
      </c>
      <c r="G8" s="31" t="inlineStr">
        <is>
          <t>smallcap</t>
        </is>
      </c>
      <c r="H8" s="32" t="n">
        <v>1155.54</v>
      </c>
      <c r="I8" s="32" t="n">
        <v>373.9</v>
      </c>
      <c r="J8" s="32" t="n">
        <v>5</v>
      </c>
      <c r="K8" s="32" t="n">
        <v>439962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73.48</v>
      </c>
      <c r="P8" s="32" t="n">
        <v>57.74</v>
      </c>
      <c r="Q8" s="32" t="n">
        <v>276.55</v>
      </c>
      <c r="R8" s="31" t="inlineStr">
        <is>
          <t>Near 52W High Breakout</t>
        </is>
      </c>
      <c r="S8" s="31" t="inlineStr">
        <is>
          <t>Nifty 50</t>
        </is>
      </c>
      <c r="T8" s="32" t="n">
        <v>-2.88</v>
      </c>
      <c r="U8" s="32" t="n">
        <v>139.78</v>
      </c>
      <c r="V8" s="32" t="n">
        <v>146.88</v>
      </c>
      <c r="W8" s="32" t="n">
        <v>49.22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IF(B9=0,"",RANK(B9,$B$2:$B$360,0))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INDOTECH</t>
        </is>
      </c>
      <c r="D9" s="31" t="inlineStr">
        <is>
          <t>Indo Tech Transformers Limited</t>
        </is>
      </c>
      <c r="E9" s="31" t="inlineStr">
        <is>
          <t>industrials</t>
        </is>
      </c>
      <c r="F9" s="31" t="inlineStr">
        <is>
          <t>electric equipment</t>
        </is>
      </c>
      <c r="G9" s="31" t="inlineStr">
        <is>
          <t>smallcap</t>
        </is>
      </c>
      <c r="H9" s="32" t="n">
        <v>3832.12</v>
      </c>
      <c r="I9" s="32" t="n">
        <v>3788.8</v>
      </c>
      <c r="J9" s="32" t="n">
        <v>5</v>
      </c>
      <c r="K9" s="32" t="n">
        <v>25080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74.27</v>
      </c>
      <c r="P9" s="32" t="n">
        <v>50.07</v>
      </c>
      <c r="Q9" s="32" t="n">
        <v>2783.5</v>
      </c>
      <c r="R9" s="31" t="inlineStr">
        <is>
          <t>Near 52W High Breakout</t>
        </is>
      </c>
      <c r="S9" s="31" t="inlineStr">
        <is>
          <t>Nifty 50</t>
        </is>
      </c>
      <c r="T9" s="32" t="n">
        <v>-2.88</v>
      </c>
      <c r="U9" s="32" t="n">
        <v>103.14</v>
      </c>
      <c r="V9" s="32" t="n">
        <v>109.16</v>
      </c>
      <c r="W9" s="32" t="n">
        <v>32.93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IF(B10=0,"",RANK(B10,$B$2:$B$360,0))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VISHNU</t>
        </is>
      </c>
      <c r="D10" s="31" t="inlineStr">
        <is>
          <t>Vishnu Chemicals Limited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4161.77</v>
      </c>
      <c r="I10" s="32" t="n">
        <v>637.5</v>
      </c>
      <c r="J10" s="32" t="n">
        <v>3.11</v>
      </c>
      <c r="K10" s="32" t="n">
        <v>577546</v>
      </c>
      <c r="L10" s="31" t="n">
        <v>26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61.55</v>
      </c>
      <c r="P10" s="32" t="n">
        <v>44.63</v>
      </c>
      <c r="Q10" s="32" t="n">
        <v>503.42</v>
      </c>
      <c r="R10" s="31" t="inlineStr">
        <is>
          <t>Near 52W High Breakout</t>
        </is>
      </c>
      <c r="S10" s="31" t="inlineStr">
        <is>
          <t>Nifty IT</t>
        </is>
      </c>
      <c r="T10" s="32" t="n">
        <v>-14.75</v>
      </c>
      <c r="U10" s="32" t="n">
        <v>23.02</v>
      </c>
      <c r="V10" s="32" t="n">
        <v>44.31</v>
      </c>
      <c r="W10" s="32" t="n">
        <v>5.81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IF(B11=0,"",RANK(B11,$B$2:$B$360,0))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SYRMA</t>
        </is>
      </c>
      <c r="D11" s="31" t="inlineStr">
        <is>
          <t>Syrma SGS Technology Ltd</t>
        </is>
      </c>
      <c r="E11" s="31" t="inlineStr">
        <is>
          <t>consumer discretionary</t>
        </is>
      </c>
      <c r="F11" s="31" t="inlineStr">
        <is>
          <t>electronics - components</t>
        </is>
      </c>
      <c r="G11" s="31" t="inlineStr">
        <is>
          <t>largecap</t>
        </is>
      </c>
      <c r="H11" s="32" t="n">
        <v>28305.59</v>
      </c>
      <c r="I11" s="32" t="n">
        <v>1500.1</v>
      </c>
      <c r="J11" s="32" t="n">
        <v>2.19</v>
      </c>
      <c r="K11" s="32" t="n">
        <v>2323890</v>
      </c>
      <c r="L11" s="31" t="n">
        <v>82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70.7</v>
      </c>
      <c r="P11" s="32" t="n">
        <v>60.52</v>
      </c>
      <c r="Q11" s="32" t="n">
        <v>1173.78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-2.88</v>
      </c>
      <c r="U11" s="32" t="n">
        <v>101.68</v>
      </c>
      <c r="V11" s="32" t="n">
        <v>107.65</v>
      </c>
      <c r="W11" s="32" t="n">
        <v>25.15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IF(B12=0,"",RANK(B12,$B$2:$B$360,0))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TALBROAUTO</t>
        </is>
      </c>
      <c r="D12" s="31" t="inlineStr">
        <is>
          <t>Talbros Automotive Components Limited</t>
        </is>
      </c>
      <c r="E12" s="31" t="inlineStr">
        <is>
          <t>auto</t>
        </is>
      </c>
      <c r="F12" s="31" t="inlineStr">
        <is>
          <t>auto ancillaries</t>
        </is>
      </c>
      <c r="G12" s="31" t="inlineStr">
        <is>
          <t>smallcap</t>
        </is>
      </c>
      <c r="H12" s="32" t="n">
        <v>2613.88</v>
      </c>
      <c r="I12" s="32" t="n">
        <v>426.95</v>
      </c>
      <c r="J12" s="32" t="n">
        <v>0.83</v>
      </c>
      <c r="K12" s="32" t="n">
        <v>77394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69.38</v>
      </c>
      <c r="P12" s="32" t="n">
        <v>43.86</v>
      </c>
      <c r="Q12" s="32" t="n">
        <v>339.49</v>
      </c>
      <c r="R12" s="31" t="inlineStr">
        <is>
          <t>Near 52W High Breakout</t>
        </is>
      </c>
      <c r="S12" s="31" t="inlineStr">
        <is>
          <t>Nifty Auto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IF(B13=0,"",RANK(B13,$B$2:$B$360,0))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CHEMBONDCH</t>
        </is>
      </c>
      <c r="D13" s="31" t="inlineStr">
        <is>
          <t>Chembond Chemicals Ltd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709.24</v>
      </c>
      <c r="I13" s="32" t="n">
        <v>265.5</v>
      </c>
      <c r="J13" s="32" t="n">
        <v>0.6899999999999999</v>
      </c>
      <c r="K13" s="32" t="n">
        <v>10554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69.91</v>
      </c>
      <c r="P13" s="32" t="n">
        <v>45.44</v>
      </c>
      <c r="Q13" s="32" t="n">
        <v>189.98</v>
      </c>
      <c r="R13" s="31" t="inlineStr">
        <is>
          <t>Near 52W High Breakout</t>
        </is>
      </c>
      <c r="S13" s="31" t="inlineStr">
        <is>
          <t>Nifty 50</t>
        </is>
      </c>
      <c r="T13" s="32" t="n">
        <v>-2.88</v>
      </c>
      <c r="U13" s="32" t="n">
        <v>23.21</v>
      </c>
      <c r="V13" s="32" t="n">
        <v>26.85</v>
      </c>
      <c r="W13" s="32" t="n">
        <v>14.72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IF(B14=0,"",RANK(B14,$B$2:$B$360,0))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VINDHYATEL</t>
        </is>
      </c>
      <c r="D14" s="31" t="inlineStr">
        <is>
          <t>Vindhya Telelinks Limited</t>
        </is>
      </c>
      <c r="E14" s="31" t="inlineStr">
        <is>
          <t>realty</t>
        </is>
      </c>
      <c r="F14" s="31" t="inlineStr">
        <is>
          <t>construction</t>
        </is>
      </c>
      <c r="G14" s="31" t="inlineStr">
        <is>
          <t>smallcap</t>
        </is>
      </c>
      <c r="H14" s="32" t="n">
        <v>2946.84</v>
      </c>
      <c r="I14" s="32" t="n">
        <v>2490</v>
      </c>
      <c r="J14" s="32" t="n">
        <v>0.14</v>
      </c>
      <c r="K14" s="32" t="n">
        <v>36103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67.39</v>
      </c>
      <c r="P14" s="32" t="n">
        <v>51.97</v>
      </c>
      <c r="Q14" s="32" t="n">
        <v>1741.89</v>
      </c>
      <c r="R14" s="31" t="inlineStr">
        <is>
          <t>Near 52W High Breakout</t>
        </is>
      </c>
      <c r="S14" s="31" t="inlineStr">
        <is>
          <t>Nifty Realty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IF(B15=0,"",RANK(B15,$B$2:$B$360,0))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PGIL</t>
        </is>
      </c>
      <c r="D15" s="31" t="inlineStr">
        <is>
          <t>Pearl Global Industries Limited</t>
        </is>
      </c>
      <c r="E15" s="31" t="inlineStr">
        <is>
          <t>consumer discretionary</t>
        </is>
      </c>
      <c r="F15" s="31" t="inlineStr">
        <is>
          <t>textiles - products</t>
        </is>
      </c>
      <c r="G15" s="31" t="inlineStr">
        <is>
          <t>midcap</t>
        </is>
      </c>
      <c r="H15" s="32" t="n">
        <v>10982.58</v>
      </c>
      <c r="I15" s="32" t="n">
        <v>2360.5</v>
      </c>
      <c r="J15" s="32" t="n">
        <v>-0.74</v>
      </c>
      <c r="K15" s="32" t="n">
        <v>37637</v>
      </c>
      <c r="L15" s="31" t="n">
        <v>79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69.51000000000001</v>
      </c>
      <c r="P15" s="32" t="n">
        <v>55.77</v>
      </c>
      <c r="Q15" s="32" t="n">
        <v>1940.34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-2.88</v>
      </c>
      <c r="U15" s="32" t="n">
        <v>75.8</v>
      </c>
      <c r="V15" s="32" t="n">
        <v>81.01000000000001</v>
      </c>
      <c r="W15" s="32" t="n">
        <v>22.9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IF(B16=0,"",RANK(B16,$B$2:$B$360,0))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CUPID</t>
        </is>
      </c>
      <c r="D16" s="31" t="inlineStr">
        <is>
          <t>Cupid Limited</t>
        </is>
      </c>
      <c r="E16" s="31" t="inlineStr">
        <is>
          <t>fmcg</t>
        </is>
      </c>
      <c r="F16" s="31" t="inlineStr">
        <is>
          <t>personal care - indian</t>
        </is>
      </c>
      <c r="G16" s="31" t="inlineStr">
        <is>
          <t>largecap</t>
        </is>
      </c>
      <c r="H16" s="32" t="n">
        <v>35945.47</v>
      </c>
      <c r="I16" s="32" t="n">
        <v>284.03</v>
      </c>
      <c r="J16" s="32" t="n">
        <v>6.25</v>
      </c>
      <c r="K16" s="32" t="n">
        <v>68917290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87.76000000000001</v>
      </c>
      <c r="P16" s="32" t="n">
        <v>71.51000000000001</v>
      </c>
      <c r="Q16" s="32" t="n">
        <v>226.8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-12.54</v>
      </c>
      <c r="U16" s="32" t="n">
        <v>860.14</v>
      </c>
      <c r="V16" s="32" t="n">
        <v>997.83</v>
      </c>
      <c r="W16" s="32" t="n">
        <v>94.51000000000001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IF(B17=0,"",RANK(B17,$B$2:$B$360,0))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GOKULAGRO</t>
        </is>
      </c>
      <c r="D17" s="31" t="inlineStr">
        <is>
          <t>Gokul Agro Resources Limited</t>
        </is>
      </c>
      <c r="E17" s="31" t="inlineStr">
        <is>
          <t>fmcg</t>
        </is>
      </c>
      <c r="F17" s="31" t="inlineStr">
        <is>
          <t>solvent extraction</t>
        </is>
      </c>
      <c r="G17" s="31" t="inlineStr">
        <is>
          <t>midcap</t>
        </is>
      </c>
      <c r="H17" s="32" t="n">
        <v>6835.98</v>
      </c>
      <c r="I17" s="32" t="n">
        <v>236.92</v>
      </c>
      <c r="J17" s="32" t="n">
        <v>2.27</v>
      </c>
      <c r="K17" s="32" t="n">
        <v>319717</v>
      </c>
      <c r="L17" s="31" t="n">
        <v>49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63.57</v>
      </c>
      <c r="P17" s="32" t="n">
        <v>25.09</v>
      </c>
      <c r="Q17" s="32" t="n">
        <v>183.05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-12.54</v>
      </c>
      <c r="U17" s="32" t="n">
        <v>53.5</v>
      </c>
      <c r="V17" s="32" t="n">
        <v>75.51000000000001</v>
      </c>
      <c r="W17" s="32" t="n">
        <v>11.34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IF(B18=0,"",RANK(B18,$B$2:$B$360,0))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AUROPHARMA</t>
        </is>
      </c>
      <c r="D18" s="31" t="inlineStr">
        <is>
          <t>Aurobindo Pharma Limited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largecap</t>
        </is>
      </c>
      <c r="H18" s="32" t="n">
        <v>93625.49000000001</v>
      </c>
      <c r="I18" s="32" t="n">
        <v>1645</v>
      </c>
      <c r="J18" s="32" t="n">
        <v>1.09</v>
      </c>
      <c r="K18" s="32" t="n">
        <v>1673284</v>
      </c>
      <c r="L18" s="31" t="n">
        <v>53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68.58</v>
      </c>
      <c r="P18" s="32" t="n">
        <v>41.54</v>
      </c>
      <c r="Q18" s="32" t="n">
        <v>1425.38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18.4</v>
      </c>
      <c r="U18" s="32" t="n">
        <v>56.61</v>
      </c>
      <c r="V18" s="32" t="n">
        <v>32.27</v>
      </c>
      <c r="W18" s="32" t="n">
        <v>12.4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IF(B19=0,"",RANK(B19,$B$2:$B$360,0))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RADICO</t>
        </is>
      </c>
      <c r="D19" s="31" t="inlineStr">
        <is>
          <t>Radico Khaitan Limited</t>
        </is>
      </c>
      <c r="E19" s="31" t="inlineStr">
        <is>
          <t>fmcg</t>
        </is>
      </c>
      <c r="F19" s="31" t="inlineStr">
        <is>
          <t>breweries &amp; distilleries</t>
        </is>
      </c>
      <c r="G19" s="31" t="inlineStr">
        <is>
          <t>largecap</t>
        </is>
      </c>
      <c r="H19" s="32" t="n">
        <v>62859.34</v>
      </c>
      <c r="I19" s="32" t="n">
        <v>4732.9</v>
      </c>
      <c r="J19" s="32" t="n">
        <v>0.84</v>
      </c>
      <c r="K19" s="32" t="n">
        <v>810934</v>
      </c>
      <c r="L19" s="31" t="n">
        <v>80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87.75</v>
      </c>
      <c r="P19" s="32" t="n">
        <v>65.58</v>
      </c>
      <c r="Q19" s="32" t="n">
        <v>4086.02</v>
      </c>
      <c r="R19" s="31" t="inlineStr">
        <is>
          <t>Near 52W High Breakout</t>
        </is>
      </c>
      <c r="S19" s="31" t="inlineStr">
        <is>
          <t>Nifty FMCG</t>
        </is>
      </c>
      <c r="T19" s="32" t="n">
        <v>-12.54</v>
      </c>
      <c r="U19" s="32" t="n">
        <v>75.54000000000001</v>
      </c>
      <c r="V19" s="32" t="n">
        <v>100.72</v>
      </c>
      <c r="W19" s="32" t="n">
        <v>23.28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IF(B20=0,"",RANK(B20,$B$2:$B$360,0))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ICIL</t>
        </is>
      </c>
      <c r="D20" s="31" t="inlineStr">
        <is>
          <t>Indo Count Industries Limited</t>
        </is>
      </c>
      <c r="E20" s="31" t="inlineStr">
        <is>
          <t>textiles</t>
        </is>
      </c>
      <c r="F20" s="31" t="inlineStr">
        <is>
          <t>textiles - cotton/blended</t>
        </is>
      </c>
      <c r="G20" s="31" t="inlineStr">
        <is>
          <t>midcap</t>
        </is>
      </c>
      <c r="H20" s="32" t="n">
        <v>7698.37</v>
      </c>
      <c r="I20" s="32" t="n">
        <v>437.7</v>
      </c>
      <c r="J20" s="32" t="n">
        <v>12.61</v>
      </c>
      <c r="K20" s="32" t="n">
        <v>25217573</v>
      </c>
      <c r="L20" s="31" t="n">
        <v>78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65.39</v>
      </c>
      <c r="P20" s="32" t="n">
        <v>54.52</v>
      </c>
      <c r="Q20" s="32" t="n">
        <v>311.91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-2.88</v>
      </c>
      <c r="U20" s="32" t="n">
        <v>74.97</v>
      </c>
      <c r="V20" s="32" t="n">
        <v>80.15000000000001</v>
      </c>
      <c r="W20" s="32" t="n">
        <v>22.4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IF(B21=0,"",RANK(B21,$B$2:$B$360,0))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PARAS</t>
        </is>
      </c>
      <c r="D21" s="31" t="inlineStr">
        <is>
          <t>Paras Defence and Space Technologies Ltd</t>
        </is>
      </c>
      <c r="E21" s="31" t="inlineStr">
        <is>
          <t>aerospace &amp; defence</t>
        </is>
      </c>
      <c r="F21" s="31" t="inlineStr">
        <is>
          <t>engineering</t>
        </is>
      </c>
      <c r="G21" s="31" t="inlineStr">
        <is>
          <t>midcap</t>
        </is>
      </c>
      <c r="H21" s="32" t="n">
        <v>11189.55</v>
      </c>
      <c r="I21" s="32" t="n">
        <v>1527.3</v>
      </c>
      <c r="J21" s="32" t="n">
        <v>10</v>
      </c>
      <c r="K21" s="32" t="n">
        <v>5405217</v>
      </c>
      <c r="L21" s="31" t="n">
        <v>93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74.11</v>
      </c>
      <c r="P21" s="32" t="n">
        <v>62.14</v>
      </c>
      <c r="Q21" s="32" t="n">
        <v>1138.24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-2.88</v>
      </c>
      <c r="U21" s="32" t="n">
        <v>123.34</v>
      </c>
      <c r="V21" s="32" t="n">
        <v>129.95</v>
      </c>
      <c r="W21" s="32" t="n">
        <v>39.43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IF(B22=0,"",RANK(B22,$B$2:$B$360,0))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BIRLACABLE</t>
        </is>
      </c>
      <c r="D22" s="31" t="inlineStr">
        <is>
          <t>Birla Cable Limited</t>
        </is>
      </c>
      <c r="E22" s="31" t="inlineStr">
        <is>
          <t>industrials</t>
        </is>
      </c>
      <c r="F22" s="31" t="inlineStr">
        <is>
          <t>cables - telephone</t>
        </is>
      </c>
      <c r="G22" s="31" t="inlineStr">
        <is>
          <t>smallcap</t>
        </is>
      </c>
      <c r="H22" s="32" t="n">
        <v>837.42</v>
      </c>
      <c r="I22" s="32" t="n">
        <v>293.09</v>
      </c>
      <c r="J22" s="32" t="n">
        <v>5</v>
      </c>
      <c r="K22" s="32" t="n">
        <v>162560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73.45</v>
      </c>
      <c r="P22" s="32" t="n">
        <v>46.66</v>
      </c>
      <c r="Q22" s="32" t="n">
        <v>211.16</v>
      </c>
      <c r="R22" s="31" t="inlineStr">
        <is>
          <t>Near 52W High Breakout</t>
        </is>
      </c>
      <c r="S22" s="31" t="inlineStr">
        <is>
          <t>Nifty Infra</t>
        </is>
      </c>
      <c r="T22" s="32" t="inlineStr"/>
      <c r="U22" s="32" t="inlineStr"/>
      <c r="V22" s="32" t="inlineStr"/>
      <c r="W22" s="32" t="inlineStr"/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IF(B23=0,"",RANK(B23,$B$2:$B$360,0))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APARINDS</t>
        </is>
      </c>
      <c r="D23" s="31" t="inlineStr">
        <is>
          <t>Apar Industries Limited</t>
        </is>
      </c>
      <c r="E23" s="31" t="inlineStr">
        <is>
          <t>industrials</t>
        </is>
      </c>
      <c r="F23" s="31" t="inlineStr">
        <is>
          <t>electric equipment</t>
        </is>
      </c>
      <c r="G23" s="31" t="inlineStr">
        <is>
          <t>largecap</t>
        </is>
      </c>
      <c r="H23" s="32" t="n">
        <v>66383.91</v>
      </c>
      <c r="I23" s="32" t="n">
        <v>17214</v>
      </c>
      <c r="J23" s="32" t="n">
        <v>4.18</v>
      </c>
      <c r="K23" s="32" t="n">
        <v>338500</v>
      </c>
      <c r="L23" s="31" t="n">
        <v>81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73.18000000000001</v>
      </c>
      <c r="P23" s="32" t="n">
        <v>42.46</v>
      </c>
      <c r="Q23" s="32" t="n">
        <v>13132.71</v>
      </c>
      <c r="R23" s="31" t="inlineStr">
        <is>
          <t>Near 52W High Breakout</t>
        </is>
      </c>
      <c r="S23" s="31" t="inlineStr">
        <is>
          <t>Nifty 500</t>
        </is>
      </c>
      <c r="T23" s="32" t="n">
        <v>2.09</v>
      </c>
      <c r="U23" s="32" t="n">
        <v>110.07</v>
      </c>
      <c r="V23" s="32" t="n">
        <v>105.76</v>
      </c>
      <c r="W23" s="32" t="n">
        <v>23.5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IF(B24=0,"",RANK(B24,$B$2:$B$360,0))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FCL</t>
        </is>
      </c>
      <c r="D24" s="31" t="inlineStr">
        <is>
          <t>Fineotex Chemical Limited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midcap</t>
        </is>
      </c>
      <c r="H24" s="32" t="n">
        <v>5055.1</v>
      </c>
      <c r="I24" s="32" t="n">
        <v>43.81</v>
      </c>
      <c r="J24" s="32" t="n">
        <v>0.92</v>
      </c>
      <c r="K24" s="32" t="n">
        <v>9742413</v>
      </c>
      <c r="L24" s="31" t="n">
        <v>73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67.90000000000001</v>
      </c>
      <c r="P24" s="32" t="n">
        <v>50.06</v>
      </c>
      <c r="Q24" s="32" t="n">
        <v>31.4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-2.88</v>
      </c>
      <c r="U24" s="32" t="n">
        <v>72.61</v>
      </c>
      <c r="V24" s="32" t="n">
        <v>77.72</v>
      </c>
      <c r="W24" s="32" t="n">
        <v>19.04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IF(B25=0,"",RANK(B25,$B$2:$B$360,0))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QUESS</t>
        </is>
      </c>
      <c r="D25" s="31" t="inlineStr">
        <is>
          <t>Quess Corp Limited</t>
        </is>
      </c>
      <c r="E25" s="31" t="inlineStr">
        <is>
          <t>miscellaneous</t>
        </is>
      </c>
      <c r="F25" s="31" t="inlineStr">
        <is>
          <t>diversified - large</t>
        </is>
      </c>
      <c r="G25" s="31" t="inlineStr">
        <is>
          <t>midcap</t>
        </is>
      </c>
      <c r="H25" s="32" t="n">
        <v>5136.49</v>
      </c>
      <c r="I25" s="32" t="n">
        <v>336.9</v>
      </c>
      <c r="J25" s="32" t="n">
        <v>-2.04</v>
      </c>
      <c r="K25" s="32" t="n">
        <v>935370</v>
      </c>
      <c r="L25" s="31" t="n">
        <v>79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74.65000000000001</v>
      </c>
      <c r="P25" s="32" t="n">
        <v>53.79</v>
      </c>
      <c r="Q25" s="32" t="n">
        <v>263.6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-2.88</v>
      </c>
      <c r="U25" s="32" t="n">
        <v>29.5</v>
      </c>
      <c r="V25" s="32" t="n">
        <v>33.33</v>
      </c>
      <c r="W25" s="32" t="n">
        <v>22.56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IF(B26=0,"",RANK(B26,$B$2:$B$360,0))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SREEL</t>
        </is>
      </c>
      <c r="D26" s="31" t="inlineStr">
        <is>
          <t>Sreeleathers Limited</t>
        </is>
      </c>
      <c r="E26" s="31" t="inlineStr">
        <is>
          <t>consumer discretionary</t>
        </is>
      </c>
      <c r="F26" s="31" t="inlineStr">
        <is>
          <t>trading</t>
        </is>
      </c>
      <c r="G26" s="31" t="inlineStr">
        <is>
          <t>smallcap</t>
        </is>
      </c>
      <c r="H26" s="32" t="n">
        <v>603.77</v>
      </c>
      <c r="I26" s="32" t="n">
        <v>254.49</v>
      </c>
      <c r="J26" s="32" t="n">
        <v>-2.4</v>
      </c>
      <c r="K26" s="32" t="n">
        <v>23704</v>
      </c>
      <c r="L26" s="31" t="n">
        <v>45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71.20999999999999</v>
      </c>
      <c r="P26" s="32" t="n">
        <v>43.17</v>
      </c>
      <c r="Q26" s="32" t="n">
        <v>199.75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-2.88</v>
      </c>
      <c r="U26" s="32" t="n">
        <v>9.68</v>
      </c>
      <c r="V26" s="32" t="n">
        <v>12.93</v>
      </c>
      <c r="W26" s="32" t="n">
        <v>10.21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IF(B27=0,"",RANK(B27,$B$2:$B$360,0))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MPSLTD</t>
        </is>
      </c>
      <c r="D27" s="31" t="inlineStr">
        <is>
          <t>Mps Limited</t>
        </is>
      </c>
      <c r="E27" s="31" t="inlineStr">
        <is>
          <t>i.t</t>
        </is>
      </c>
      <c r="F27" s="31" t="inlineStr">
        <is>
          <t>computers - software - medium / small</t>
        </is>
      </c>
      <c r="G27" s="31" t="inlineStr">
        <is>
          <t>smallcap</t>
        </is>
      </c>
      <c r="H27" s="32" t="n">
        <v>4814.95</v>
      </c>
      <c r="I27" s="32" t="n">
        <v>2849</v>
      </c>
      <c r="J27" s="32" t="n">
        <v>1.22</v>
      </c>
      <c r="K27" s="32" t="n">
        <v>21487</v>
      </c>
      <c r="L27" s="31" t="n">
        <v>74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72.2</v>
      </c>
      <c r="P27" s="32" t="n">
        <v>39.36</v>
      </c>
      <c r="Q27" s="32" t="n">
        <v>2331.14</v>
      </c>
      <c r="R27" s="31" t="inlineStr">
        <is>
          <t>Near 52W High Breakout</t>
        </is>
      </c>
      <c r="S27" s="31" t="inlineStr">
        <is>
          <t>Nifty IT</t>
        </is>
      </c>
      <c r="T27" s="32" t="n">
        <v>-14.75</v>
      </c>
      <c r="U27" s="32" t="n">
        <v>28.24</v>
      </c>
      <c r="V27" s="32" t="n">
        <v>50.43</v>
      </c>
      <c r="W27" s="32" t="n">
        <v>19.98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IF(B28=0,"",RANK(B28,$B$2:$B$360,0))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AKUMS</t>
        </is>
      </c>
      <c r="D28" s="31" t="inlineStr">
        <is>
          <t>Akums Drugs &amp; Pharmaceuticals Ltd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11710.11</v>
      </c>
      <c r="I28" s="32" t="n">
        <v>744.15</v>
      </c>
      <c r="J28" s="32" t="n">
        <v>0.02</v>
      </c>
      <c r="K28" s="32" t="n">
        <v>263637</v>
      </c>
      <c r="L28" s="31" t="n">
        <v>73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72.38</v>
      </c>
      <c r="P28" s="32" t="n">
        <v>53.75</v>
      </c>
      <c r="Q28" s="32" t="n">
        <v>597.87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18.4</v>
      </c>
      <c r="U28" s="32" t="n">
        <v>55.75</v>
      </c>
      <c r="V28" s="32" t="n">
        <v>31.54</v>
      </c>
      <c r="W28" s="32" t="n">
        <v>19.51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IF(B29=0,"",RANK(B29,$B$2:$B$360,0))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GLAND</t>
        </is>
      </c>
      <c r="D29" s="31" t="inlineStr">
        <is>
          <t>Gland Pharma Ltd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largecap</t>
        </is>
      </c>
      <c r="H29" s="32" t="n">
        <v>48006.57</v>
      </c>
      <c r="I29" s="32" t="n">
        <v>2858.6</v>
      </c>
      <c r="J29" s="32" t="n">
        <v>-1.77</v>
      </c>
      <c r="K29" s="32" t="n">
        <v>488656</v>
      </c>
      <c r="L29" s="31" t="n">
        <v>57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73.64</v>
      </c>
      <c r="P29" s="32" t="n">
        <v>61.26</v>
      </c>
      <c r="Q29" s="32" t="n">
        <v>2437.12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18.4</v>
      </c>
      <c r="U29" s="32" t="n">
        <v>47.14</v>
      </c>
      <c r="V29" s="32" t="n">
        <v>24.28</v>
      </c>
      <c r="W29" s="32" t="n">
        <v>13.61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IF(B30=0,"",RANK(B30,$B$2:$B$360,0))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E2E</t>
        </is>
      </c>
      <c r="D30" s="31" t="inlineStr">
        <is>
          <t>E2E Networks Ltd</t>
        </is>
      </c>
      <c r="E30" s="31" t="inlineStr">
        <is>
          <t>i.t</t>
        </is>
      </c>
      <c r="F30" s="31" t="inlineStr">
        <is>
          <t>computers - software - medium / small</t>
        </is>
      </c>
      <c r="G30" s="31" t="inlineStr">
        <is>
          <t>midcap</t>
        </is>
      </c>
      <c r="H30" s="32" t="n">
        <v>14104.83</v>
      </c>
      <c r="I30" s="32" t="n">
        <v>664.55</v>
      </c>
      <c r="J30" s="32" t="n">
        <v>-3.15</v>
      </c>
      <c r="K30" s="32" t="n">
        <v>890953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77.02</v>
      </c>
      <c r="P30" s="32" t="n">
        <v>49.61</v>
      </c>
      <c r="Q30" s="32" t="n">
        <v>478.24</v>
      </c>
      <c r="R30" s="31" t="inlineStr">
        <is>
          <t>Near 52W High Breakout</t>
        </is>
      </c>
      <c r="S30" s="31" t="inlineStr">
        <is>
          <t>Nifty IT</t>
        </is>
      </c>
      <c r="T30" s="32" t="n">
        <v>-14.75</v>
      </c>
      <c r="U30" s="32" t="n">
        <v>183.54</v>
      </c>
      <c r="V30" s="32" t="n">
        <v>232.59</v>
      </c>
      <c r="W30" s="32" t="n">
        <v>43.52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IF(B31=0,"",RANK(B31,$B$2:$B$360,0))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NITINSPIN</t>
        </is>
      </c>
      <c r="D31" s="31" t="inlineStr">
        <is>
          <t>Nitin Spinners Limited</t>
        </is>
      </c>
      <c r="E31" s="31" t="inlineStr">
        <is>
          <t>textiles</t>
        </is>
      </c>
      <c r="F31" s="31" t="inlineStr">
        <is>
          <t>textiles - cotton/blended</t>
        </is>
      </c>
      <c r="G31" s="31" t="inlineStr">
        <is>
          <t>smallcap</t>
        </is>
      </c>
      <c r="H31" s="32" t="n">
        <v>3113.18</v>
      </c>
      <c r="I31" s="32" t="n">
        <v>606.9</v>
      </c>
      <c r="J31" s="32" t="n">
        <v>9.6</v>
      </c>
      <c r="K31" s="32" t="n">
        <v>3703991</v>
      </c>
      <c r="L31" s="31" t="n">
        <v>69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71.73999999999999</v>
      </c>
      <c r="P31" s="32" t="n">
        <v>67.06999999999999</v>
      </c>
      <c r="Q31" s="32" t="n">
        <v>475.68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-2.88</v>
      </c>
      <c r="U31" s="32" t="n">
        <v>74.8</v>
      </c>
      <c r="V31" s="32" t="n">
        <v>79.97</v>
      </c>
      <c r="W31" s="32" t="n">
        <v>16.85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IF(B32=0,"",RANK(B32,$B$2:$B$360,0))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MSTCLTD</t>
        </is>
      </c>
      <c r="D32" s="31" t="inlineStr">
        <is>
          <t>MSTC Ltd</t>
        </is>
      </c>
      <c r="E32" s="31" t="inlineStr">
        <is>
          <t>i.t</t>
        </is>
      </c>
      <c r="F32" s="31" t="inlineStr">
        <is>
          <t>trading</t>
        </is>
      </c>
      <c r="G32" s="31" t="inlineStr">
        <is>
          <t>smallcap</t>
        </is>
      </c>
      <c r="H32" s="32" t="n">
        <v>4598.53</v>
      </c>
      <c r="I32" s="32" t="n">
        <v>701.55</v>
      </c>
      <c r="J32" s="32" t="n">
        <v>7.4</v>
      </c>
      <c r="K32" s="32" t="n">
        <v>1266456</v>
      </c>
      <c r="L32" s="31" t="n">
        <v>83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64.67</v>
      </c>
      <c r="P32" s="32" t="n">
        <v>38.85</v>
      </c>
      <c r="Q32" s="32" t="n">
        <v>534.99</v>
      </c>
      <c r="R32" s="31" t="inlineStr">
        <is>
          <t>Near 52W High Breakout</t>
        </is>
      </c>
      <c r="S32" s="31" t="inlineStr">
        <is>
          <t>Nifty IT</t>
        </is>
      </c>
      <c r="T32" s="32" t="n">
        <v>-14.75</v>
      </c>
      <c r="U32" s="32" t="n">
        <v>58.31</v>
      </c>
      <c r="V32" s="32" t="n">
        <v>85.7</v>
      </c>
      <c r="W32" s="32" t="n">
        <v>25.22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IF(B33=0,"",RANK(B33,$B$2:$B$360,0))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MENONBE</t>
        </is>
      </c>
      <c r="D33" s="31" t="inlineStr">
        <is>
          <t>Menon Bearings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smallcap</t>
        </is>
      </c>
      <c r="H33" s="32" t="n">
        <v>1351.46</v>
      </c>
      <c r="I33" s="32" t="n">
        <v>253.21</v>
      </c>
      <c r="J33" s="32" t="n">
        <v>5</v>
      </c>
      <c r="K33" s="32" t="n">
        <v>34069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80.01000000000001</v>
      </c>
      <c r="P33" s="32" t="n">
        <v>55.7</v>
      </c>
      <c r="Q33" s="32" t="n">
        <v>194.29</v>
      </c>
      <c r="R33" s="31" t="inlineStr">
        <is>
          <t>Near 52W High Breakout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IF(B34=0,"",RANK(B34,$B$2:$B$360,0))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OCCLLTD</t>
        </is>
      </c>
      <c r="D34" s="31" t="inlineStr">
        <is>
          <t>OCCL Ltd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784.0700000000001</v>
      </c>
      <c r="I34" s="32" t="n">
        <v>164.81</v>
      </c>
      <c r="J34" s="32" t="n">
        <v>4.99</v>
      </c>
      <c r="K34" s="32" t="n">
        <v>79469</v>
      </c>
      <c r="L34" s="31" t="n">
        <v>62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76.25</v>
      </c>
      <c r="P34" s="32" t="n">
        <v>41.88</v>
      </c>
      <c r="Q34" s="32" t="n">
        <v>121.63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-2.88</v>
      </c>
      <c r="U34" s="32" t="n">
        <v>20.78</v>
      </c>
      <c r="V34" s="32" t="n">
        <v>24.36</v>
      </c>
      <c r="W34" s="32" t="n">
        <v>14.99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IF(B35=0,"",RANK(B35,$B$2:$B$360,0))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STYLAMIND</t>
        </is>
      </c>
      <c r="D35" s="31" t="inlineStr">
        <is>
          <t>Stylam Industries Ltd</t>
        </is>
      </c>
      <c r="E35" s="31" t="inlineStr">
        <is>
          <t>building materials</t>
        </is>
      </c>
      <c r="F35" s="31" t="inlineStr">
        <is>
          <t>miscellaneous</t>
        </is>
      </c>
      <c r="G35" s="31" t="inlineStr">
        <is>
          <t>midcap</t>
        </is>
      </c>
      <c r="H35" s="32" t="n">
        <v>6071.47</v>
      </c>
      <c r="I35" s="32" t="n">
        <v>3736.4</v>
      </c>
      <c r="J35" s="32" t="n">
        <v>4.3</v>
      </c>
      <c r="K35" s="32" t="n">
        <v>97372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86.56</v>
      </c>
      <c r="P35" s="32" t="n">
        <v>74.20999999999999</v>
      </c>
      <c r="Q35" s="32" t="n">
        <v>3013.32</v>
      </c>
      <c r="R35" s="31" t="inlineStr">
        <is>
          <t>Near 52W High Breakout</t>
        </is>
      </c>
      <c r="S35" s="31" t="inlineStr">
        <is>
          <t>Nifty Infra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IF(B36=0,"",RANK(B36,$B$2:$B$360,0))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SPORTKING</t>
        </is>
      </c>
      <c r="D36" s="31" t="inlineStr">
        <is>
          <t>Sportking India Ltd</t>
        </is>
      </c>
      <c r="E36" s="31" t="inlineStr">
        <is>
          <t>textiles</t>
        </is>
      </c>
      <c r="F36" s="31" t="inlineStr">
        <is>
          <t>textiles - spinning - synthetic / blended</t>
        </is>
      </c>
      <c r="G36" s="31" t="inlineStr">
        <is>
          <t>smallcap</t>
        </is>
      </c>
      <c r="H36" s="32" t="n">
        <v>2622.89</v>
      </c>
      <c r="I36" s="32" t="n">
        <v>214.34</v>
      </c>
      <c r="J36" s="32" t="n">
        <v>3.84</v>
      </c>
      <c r="K36" s="32" t="n">
        <v>599176</v>
      </c>
      <c r="L36" s="31" t="n">
        <v>77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</v>
      </c>
      <c r="P36" s="32" t="n">
        <v>72.62</v>
      </c>
      <c r="Q36" s="32" t="n">
        <v>155.09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-2.88</v>
      </c>
      <c r="U36" s="32" t="n">
        <v>93.55</v>
      </c>
      <c r="V36" s="32" t="n">
        <v>99.28</v>
      </c>
      <c r="W36" s="32" t="n">
        <v>22.05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IF(B37=0,"",RANK(B37,$B$2:$B$360,0))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GNA</t>
        </is>
      </c>
      <c r="D37" s="31" t="inlineStr">
        <is>
          <t>Gna Axles Limited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smallcap</t>
        </is>
      </c>
      <c r="H37" s="32" t="n">
        <v>2410.78</v>
      </c>
      <c r="I37" s="32" t="n">
        <v>581.5</v>
      </c>
      <c r="J37" s="32" t="n">
        <v>3.55</v>
      </c>
      <c r="K37" s="32" t="n">
        <v>692844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70.48</v>
      </c>
      <c r="P37" s="32" t="n">
        <v>34.45</v>
      </c>
      <c r="Q37" s="32" t="n">
        <v>433.53</v>
      </c>
      <c r="R37" s="31" t="inlineStr">
        <is>
          <t>Near 52W High Breakout</t>
        </is>
      </c>
      <c r="S37" s="31" t="inlineStr">
        <is>
          <t>Nifty Auto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IF(B38=0,"",RANK(B38,$B$2:$B$360,0))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UNIPARTS</t>
        </is>
      </c>
      <c r="D38" s="31" t="inlineStr">
        <is>
          <t>Uniparts India Ltd</t>
        </is>
      </c>
      <c r="E38" s="31" t="inlineStr">
        <is>
          <t>industrials</t>
        </is>
      </c>
      <c r="F38" s="31" t="inlineStr">
        <is>
          <t>engineering</t>
        </is>
      </c>
      <c r="G38" s="31" t="inlineStr">
        <is>
          <t>smallcap</t>
        </is>
      </c>
      <c r="H38" s="32" t="n">
        <v>3616.64</v>
      </c>
      <c r="I38" s="32" t="n">
        <v>825.85</v>
      </c>
      <c r="J38" s="32" t="n">
        <v>3.08</v>
      </c>
      <c r="K38" s="32" t="n">
        <v>223644</v>
      </c>
      <c r="L38" s="31" t="n">
        <v>84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80.03</v>
      </c>
      <c r="P38" s="32" t="n">
        <v>63.76</v>
      </c>
      <c r="Q38" s="32" t="n">
        <v>665.9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-2.88</v>
      </c>
      <c r="U38" s="32" t="n">
        <v>110.36</v>
      </c>
      <c r="V38" s="32" t="n">
        <v>116.59</v>
      </c>
      <c r="W38" s="32" t="n">
        <v>26.94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IF(B39=0,"",RANK(B39,$B$2:$B$360,0))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SANGHVIMOV</t>
        </is>
      </c>
      <c r="D39" s="31" t="inlineStr">
        <is>
          <t>Sanghvi Movers Limited</t>
        </is>
      </c>
      <c r="E39" s="31" t="inlineStr">
        <is>
          <t>miscellaneous</t>
        </is>
      </c>
      <c r="F39" s="31" t="inlineStr">
        <is>
          <t>miscellaneous</t>
        </is>
      </c>
      <c r="G39" s="31" t="inlineStr">
        <is>
          <t>smallcap</t>
        </is>
      </c>
      <c r="H39" s="32" t="n">
        <v>4388.97</v>
      </c>
      <c r="I39" s="32" t="n">
        <v>520.75</v>
      </c>
      <c r="J39" s="32" t="n">
        <v>2.72</v>
      </c>
      <c r="K39" s="32" t="n">
        <v>312176</v>
      </c>
      <c r="L39" s="31" t="n">
        <v>76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69.34999999999999</v>
      </c>
      <c r="P39" s="32" t="n">
        <v>39.16</v>
      </c>
      <c r="Q39" s="32" t="n">
        <v>386.48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-2.88</v>
      </c>
      <c r="U39" s="32" t="n">
        <v>55.53</v>
      </c>
      <c r="V39" s="32" t="n">
        <v>60.14</v>
      </c>
      <c r="W39" s="32" t="n">
        <v>21.49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IF(B40=0,"",RANK(B40,$B$2:$B$360,0))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LLOYDSENGG</t>
        </is>
      </c>
      <c r="D40" s="31" t="inlineStr">
        <is>
          <t>Lloyds Engineering Works Ltd</t>
        </is>
      </c>
      <c r="E40" s="31" t="inlineStr">
        <is>
          <t>industrials</t>
        </is>
      </c>
      <c r="F40" s="31" t="inlineStr">
        <is>
          <t>engineering</t>
        </is>
      </c>
      <c r="G40" s="31" t="inlineStr">
        <is>
          <t>midcap</t>
        </is>
      </c>
      <c r="H40" s="32" t="n">
        <v>13501.78</v>
      </c>
      <c r="I40" s="32" t="n">
        <v>93.66</v>
      </c>
      <c r="J40" s="32" t="n">
        <v>2.69</v>
      </c>
      <c r="K40" s="32" t="n">
        <v>10766493</v>
      </c>
      <c r="L40" s="31" t="n">
        <v>65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71.95</v>
      </c>
      <c r="P40" s="32" t="n">
        <v>51.24</v>
      </c>
      <c r="Q40" s="32" t="n">
        <v>73.92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-2.88</v>
      </c>
      <c r="U40" s="32" t="n">
        <v>36.33</v>
      </c>
      <c r="V40" s="32" t="n">
        <v>40.37</v>
      </c>
      <c r="W40" s="32" t="n">
        <v>15.99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IF(B41=0,"",RANK(B41,$B$2:$B$360,0))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UFBL</t>
        </is>
      </c>
      <c r="D41" s="31" t="inlineStr">
        <is>
          <t>United Foodbrands Ltd</t>
        </is>
      </c>
      <c r="E41" s="31" t="inlineStr">
        <is>
          <t>consumer discretionary</t>
        </is>
      </c>
      <c r="F41" s="31" t="inlineStr">
        <is>
          <t>hotels</t>
        </is>
      </c>
      <c r="G41" s="31" t="inlineStr">
        <is>
          <t>smallcap</t>
        </is>
      </c>
      <c r="H41" s="32" t="n">
        <v>2980.73</v>
      </c>
      <c r="I41" s="32" t="n">
        <v>782</v>
      </c>
      <c r="J41" s="32" t="n">
        <v>2.54</v>
      </c>
      <c r="K41" s="32" t="n">
        <v>34475</v>
      </c>
      <c r="L41" s="31" t="n">
        <v>95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73.61</v>
      </c>
      <c r="P41" s="32" t="n">
        <v>56.64</v>
      </c>
      <c r="Q41" s="32" t="n">
        <v>593.88</v>
      </c>
      <c r="R41" s="31" t="inlineStr">
        <is>
          <t>Near 52W High Breakout</t>
        </is>
      </c>
      <c r="S41" s="31" t="inlineStr">
        <is>
          <t>Nifty 50</t>
        </is>
      </c>
      <c r="T41" s="32" t="n">
        <v>-2.88</v>
      </c>
      <c r="U41" s="32" t="n">
        <v>194.19</v>
      </c>
      <c r="V41" s="32" t="n">
        <v>202.9</v>
      </c>
      <c r="W41" s="32" t="n">
        <v>45.24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More than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IF(B42=0,"",RANK(B42,$B$2:$B$360,0))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WSTCSTPAPR</t>
        </is>
      </c>
      <c r="D42" s="31" t="inlineStr">
        <is>
          <t>West Coast Paper Mills Limited</t>
        </is>
      </c>
      <c r="E42" s="31" t="inlineStr">
        <is>
          <t>building materials</t>
        </is>
      </c>
      <c r="F42" s="31" t="inlineStr">
        <is>
          <t>paper</t>
        </is>
      </c>
      <c r="G42" s="31" t="inlineStr">
        <is>
          <t>smallcap</t>
        </is>
      </c>
      <c r="H42" s="32" t="n">
        <v>3999.26</v>
      </c>
      <c r="I42" s="32" t="n">
        <v>619.2</v>
      </c>
      <c r="J42" s="32" t="n">
        <v>2.26</v>
      </c>
      <c r="K42" s="32" t="n">
        <v>365686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71.11</v>
      </c>
      <c r="P42" s="32" t="n">
        <v>43.68</v>
      </c>
      <c r="Q42" s="32" t="n">
        <v>487.68</v>
      </c>
      <c r="R42" s="31" t="inlineStr">
        <is>
          <t>Near 52W High Breakout</t>
        </is>
      </c>
      <c r="S42" s="31" t="inlineStr">
        <is>
          <t>Nifty Infra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IF(B43=0,"",RANK(B43,$B$2:$B$360,0))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UNIVCABLES</t>
        </is>
      </c>
      <c r="D43" s="31" t="inlineStr">
        <is>
          <t>Universal Cables Limited</t>
        </is>
      </c>
      <c r="E43" s="31" t="inlineStr">
        <is>
          <t>industrials</t>
        </is>
      </c>
      <c r="F43" s="31" t="inlineStr">
        <is>
          <t>cables - power</t>
        </is>
      </c>
      <c r="G43" s="31" t="inlineStr">
        <is>
          <t>midcap</t>
        </is>
      </c>
      <c r="H43" s="32" t="n">
        <v>5983.57</v>
      </c>
      <c r="I43" s="32" t="n">
        <v>1730</v>
      </c>
      <c r="J43" s="32" t="n">
        <v>0.31</v>
      </c>
      <c r="K43" s="32" t="n">
        <v>125726</v>
      </c>
      <c r="L43" s="31" t="n">
        <v>97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78.87</v>
      </c>
      <c r="P43" s="32" t="n">
        <v>58.83</v>
      </c>
      <c r="Q43" s="32" t="n">
        <v>1287.53</v>
      </c>
      <c r="R43" s="31" t="inlineStr">
        <is>
          <t>Near 52W High Breakout</t>
        </is>
      </c>
      <c r="S43" s="31" t="inlineStr">
        <is>
          <t>Nifty Energy</t>
        </is>
      </c>
      <c r="T43" s="32" t="n">
        <v>9.44</v>
      </c>
      <c r="U43" s="32" t="n">
        <v>136.17</v>
      </c>
      <c r="V43" s="32" t="n">
        <v>115.8</v>
      </c>
      <c r="W43" s="32" t="n">
        <v>48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IF(B44=0,"",RANK(B44,$B$2:$B$360,0))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KPIL</t>
        </is>
      </c>
      <c r="D44" s="31" t="inlineStr">
        <is>
          <t>Kalpataru Projects International Ltd</t>
        </is>
      </c>
      <c r="E44" s="31" t="inlineStr">
        <is>
          <t>realty</t>
        </is>
      </c>
      <c r="F44" s="31" t="inlineStr">
        <is>
          <t>transmisson line towers / equipment</t>
        </is>
      </c>
      <c r="G44" s="31" t="inlineStr">
        <is>
          <t>largecap</t>
        </is>
      </c>
      <c r="H44" s="32" t="n">
        <v>23979.88</v>
      </c>
      <c r="I44" s="32" t="n">
        <v>1403.5</v>
      </c>
      <c r="J44" s="32" t="n">
        <v>-0.05</v>
      </c>
      <c r="K44" s="32" t="n">
        <v>132037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65.40000000000001</v>
      </c>
      <c r="P44" s="32" t="n">
        <v>31.31</v>
      </c>
      <c r="Q44" s="32" t="n">
        <v>1153.35</v>
      </c>
      <c r="R44" s="31" t="inlineStr">
        <is>
          <t>Near 52W High Breakout</t>
        </is>
      </c>
      <c r="S44" s="31" t="inlineStr">
        <is>
          <t>Nifty Realty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IF(B45=0,"",RANK(B45,$B$2:$B$360,0))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BAJAJ-AUTO</t>
        </is>
      </c>
      <c r="D45" s="31" t="inlineStr">
        <is>
          <t>Bajaj Auto Limited</t>
        </is>
      </c>
      <c r="E45" s="31" t="inlineStr">
        <is>
          <t>auto</t>
        </is>
      </c>
      <c r="F45" s="31" t="inlineStr">
        <is>
          <t>automobiles - scooters and 3 - wheelers</t>
        </is>
      </c>
      <c r="G45" s="31" t="inlineStr">
        <is>
          <t>largecap</t>
        </is>
      </c>
      <c r="H45" s="32" t="n">
        <v>325978.33</v>
      </c>
      <c r="I45" s="32" t="n">
        <v>11607</v>
      </c>
      <c r="J45" s="32" t="n">
        <v>-0.48</v>
      </c>
      <c r="K45" s="32" t="n">
        <v>691080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71.19</v>
      </c>
      <c r="P45" s="32" t="n">
        <v>24.14</v>
      </c>
      <c r="Q45" s="32" t="n">
        <v>10262.97</v>
      </c>
      <c r="R45" s="31" t="inlineStr">
        <is>
          <t>Near 52W High Breakout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IF(B46=0,"",RANK(B46,$B$2:$B$360,0))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SJS</t>
        </is>
      </c>
      <c r="D46" s="31" t="inlineStr">
        <is>
          <t>S J S Enterprises Ltd</t>
        </is>
      </c>
      <c r="E46" s="31" t="inlineStr">
        <is>
          <t>auto</t>
        </is>
      </c>
      <c r="F46" s="31" t="inlineStr">
        <is>
          <t>plastics products</t>
        </is>
      </c>
      <c r="G46" s="31" t="inlineStr">
        <is>
          <t>midcap</t>
        </is>
      </c>
      <c r="H46" s="32" t="n">
        <v>8111.71</v>
      </c>
      <c r="I46" s="32" t="n">
        <v>2500.2</v>
      </c>
      <c r="J46" s="32" t="n">
        <v>-1.35</v>
      </c>
      <c r="K46" s="32" t="n">
        <v>222731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71.7</v>
      </c>
      <c r="P46" s="32" t="n">
        <v>45.03</v>
      </c>
      <c r="Q46" s="32" t="n">
        <v>2036.5</v>
      </c>
      <c r="R46" s="31" t="inlineStr">
        <is>
          <t>Near 52W High Breakout</t>
        </is>
      </c>
      <c r="S46" s="31" t="inlineStr">
        <is>
          <t>Nifty Auto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IF(B47=0,"",RANK(B47,$B$2:$B$360,0))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BHEL</t>
        </is>
      </c>
      <c r="D47" s="31" t="inlineStr">
        <is>
          <t>Bharat Heavy Electricals Limited</t>
        </is>
      </c>
      <c r="E47" s="31" t="inlineStr">
        <is>
          <t>industrials</t>
        </is>
      </c>
      <c r="F47" s="31" t="inlineStr">
        <is>
          <t>electric equipment</t>
        </is>
      </c>
      <c r="G47" s="31" t="inlineStr">
        <is>
          <t>largecap</t>
        </is>
      </c>
      <c r="H47" s="32" t="n">
        <v>151800.55</v>
      </c>
      <c r="I47" s="32" t="n">
        <v>425</v>
      </c>
      <c r="J47" s="32" t="n">
        <v>-2.51</v>
      </c>
      <c r="K47" s="32" t="n">
        <v>21916619</v>
      </c>
      <c r="L47" s="31" t="n">
        <v>69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66.23</v>
      </c>
      <c r="P47" s="32" t="n">
        <v>40.28</v>
      </c>
      <c r="Q47" s="32" t="n">
        <v>343.15</v>
      </c>
      <c r="R47" s="31" t="inlineStr">
        <is>
          <t>Near 52W High Breakout</t>
        </is>
      </c>
      <c r="S47" s="31" t="inlineStr">
        <is>
          <t>Nifty 500</t>
        </is>
      </c>
      <c r="T47" s="32" t="n">
        <v>2.09</v>
      </c>
      <c r="U47" s="32" t="n">
        <v>95.06</v>
      </c>
      <c r="V47" s="32" t="n">
        <v>91.06</v>
      </c>
      <c r="W47" s="32" t="n">
        <v>17.56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IF(B48=0,"",RANK(B48,$B$2:$B$360,0))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SHANTIGOLD</t>
        </is>
      </c>
      <c r="D48" s="31" t="inlineStr">
        <is>
          <t>Shanti Gold International Ltd</t>
        </is>
      </c>
      <c r="E48" s="31" t="inlineStr">
        <is>
          <t>consumer discretionary</t>
        </is>
      </c>
      <c r="F48" s="31" t="inlineStr">
        <is>
          <t>diamond cutting / jewellery</t>
        </is>
      </c>
      <c r="G48" s="31" t="inlineStr">
        <is>
          <t>smallcap</t>
        </is>
      </c>
      <c r="H48" s="32" t="n">
        <v>1923.81</v>
      </c>
      <c r="I48" s="32" t="n">
        <v>253.85</v>
      </c>
      <c r="J48" s="32" t="n">
        <v>-4.87</v>
      </c>
      <c r="K48" s="32" t="n">
        <v>2594669</v>
      </c>
      <c r="L48" s="31" t="n">
        <v>17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67.56999999999999</v>
      </c>
      <c r="P48" s="32" t="n">
        <v>33.99</v>
      </c>
      <c r="Q48" s="32" t="n">
        <v>192.54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-2.88</v>
      </c>
      <c r="U48" s="32" t="n">
        <v>3.1</v>
      </c>
      <c r="V48" s="32" t="n">
        <v>6.15</v>
      </c>
      <c r="W48" s="32" t="n">
        <v>3.07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IF(B49=0,"",RANK(B49,$B$2:$B$360,0))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INDSWFTLAB</t>
        </is>
      </c>
      <c r="D49" s="31" t="inlineStr">
        <is>
          <t>Ind-swift Laboratories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smallcap</t>
        </is>
      </c>
      <c r="H49" s="32" t="n">
        <v>2722.07</v>
      </c>
      <c r="I49" s="32" t="n">
        <v>346.87</v>
      </c>
      <c r="J49" s="32" t="n">
        <v>10.81</v>
      </c>
      <c r="K49" s="32" t="n">
        <v>5070310</v>
      </c>
      <c r="L49" s="31" t="n">
        <v>98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88.33</v>
      </c>
      <c r="P49" s="32" t="n">
        <v>63.85</v>
      </c>
      <c r="Q49" s="32" t="n">
        <v>266.57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18.4</v>
      </c>
      <c r="U49" s="32" t="n">
        <v>254.02</v>
      </c>
      <c r="V49" s="32" t="n">
        <v>199</v>
      </c>
      <c r="W49" s="32" t="n">
        <v>72.59999999999999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IF(B50=0,"",RANK(B50,$B$2:$B$360,0))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VENUSREM</t>
        </is>
      </c>
      <c r="D50" s="31" t="inlineStr">
        <is>
          <t>Venus Remedies Limited</t>
        </is>
      </c>
      <c r="E50" s="31" t="inlineStr">
        <is>
          <t>healthcare</t>
        </is>
      </c>
      <c r="F50" s="31" t="inlineStr">
        <is>
          <t>pharmaceuticals - indian - formulations</t>
        </is>
      </c>
      <c r="G50" s="31" t="inlineStr">
        <is>
          <t>smallcap</t>
        </is>
      </c>
      <c r="H50" s="32" t="n">
        <v>2410.6</v>
      </c>
      <c r="I50" s="32" t="n">
        <v>1831</v>
      </c>
      <c r="J50" s="32" t="n">
        <v>1.53</v>
      </c>
      <c r="K50" s="32" t="n">
        <v>26974</v>
      </c>
      <c r="L50" s="31" t="n">
        <v>96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67.84999999999999</v>
      </c>
      <c r="P50" s="32" t="n">
        <v>59.76</v>
      </c>
      <c r="Q50" s="32" t="n">
        <v>1388.12</v>
      </c>
      <c r="R50" s="31" t="inlineStr">
        <is>
          <t>Earnings / Momentum Support</t>
        </is>
      </c>
      <c r="S50" s="31" t="inlineStr">
        <is>
          <t>Nifty Pharma</t>
        </is>
      </c>
      <c r="T50" s="32" t="n">
        <v>18.4</v>
      </c>
      <c r="U50" s="32" t="n">
        <v>259.06</v>
      </c>
      <c r="V50" s="32" t="n">
        <v>203.26</v>
      </c>
      <c r="W50" s="32" t="n">
        <v>45.35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IF(B51=0,"",RANK(B51,$B$2:$B$360,0))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INNOVACAP</t>
        </is>
      </c>
      <c r="D51" s="33" t="inlineStr">
        <is>
          <t>Innova Captab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5942.52</v>
      </c>
      <c r="I51" s="32" t="n">
        <v>1043</v>
      </c>
      <c r="J51" s="32" t="n">
        <v>0.44</v>
      </c>
      <c r="K51" s="32" t="n">
        <v>27162</v>
      </c>
      <c r="L51" s="31" t="n">
        <v>38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71.43000000000001</v>
      </c>
      <c r="P51" s="32" t="n">
        <v>59.72</v>
      </c>
      <c r="Q51" s="32" t="n">
        <v>827.42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18.4</v>
      </c>
      <c r="U51" s="32" t="n">
        <v>14.78</v>
      </c>
      <c r="V51" s="32" t="n">
        <v>-3.05</v>
      </c>
      <c r="W51" s="32" t="n">
        <v>8.869999999999999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IF(B52=0,"",RANK(B52,$B$2:$B$360,0))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ALIVUS</t>
        </is>
      </c>
      <c r="D52" s="31" t="inlineStr">
        <is>
          <t>Alivus Life Sciences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midcap</t>
        </is>
      </c>
      <c r="H52" s="32" t="n">
        <v>17114.36</v>
      </c>
      <c r="I52" s="32" t="n">
        <v>1400</v>
      </c>
      <c r="J52" s="32" t="n">
        <v>0.4</v>
      </c>
      <c r="K52" s="32" t="n">
        <v>141640</v>
      </c>
      <c r="L52" s="31" t="n">
        <v>64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78.94</v>
      </c>
      <c r="P52" s="32" t="n">
        <v>42.06</v>
      </c>
      <c r="Q52" s="32" t="n">
        <v>1150.39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18.4</v>
      </c>
      <c r="U52" s="32" t="n">
        <v>45.01</v>
      </c>
      <c r="V52" s="32" t="n">
        <v>22.47</v>
      </c>
      <c r="W52" s="32" t="n">
        <v>15.56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IF(B53=0,"",RANK(B53,$B$2:$B$360,0))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IPCALAB</t>
        </is>
      </c>
      <c r="D53" s="31" t="inlineStr">
        <is>
          <t>Ipca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largecap</t>
        </is>
      </c>
      <c r="H53" s="32" t="n">
        <v>47813.1</v>
      </c>
      <c r="I53" s="32" t="n">
        <v>1882.1</v>
      </c>
      <c r="J53" s="32" t="n">
        <v>-0.13</v>
      </c>
      <c r="K53" s="32" t="n">
        <v>804585</v>
      </c>
      <c r="L53" s="31" t="n">
        <v>42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66.01000000000001</v>
      </c>
      <c r="P53" s="32" t="n">
        <v>37.7</v>
      </c>
      <c r="Q53" s="32" t="n">
        <v>1503.55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18.4</v>
      </c>
      <c r="U53" s="32" t="n">
        <v>33.15</v>
      </c>
      <c r="V53" s="32" t="n">
        <v>12.46</v>
      </c>
      <c r="W53" s="32" t="n">
        <v>9.699999999999999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IF(B54=0,"",RANK(B54,$B$2:$B$360,0))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SENORES</t>
        </is>
      </c>
      <c r="D54" s="31" t="inlineStr">
        <is>
          <t>Senores Pharmaceuticals Ltd</t>
        </is>
      </c>
      <c r="E54" s="31" t="inlineStr">
        <is>
          <t>healthcare</t>
        </is>
      </c>
      <c r="F54" s="31" t="inlineStr">
        <is>
          <t>pharmaceuticals - indian - formulations</t>
        </is>
      </c>
      <c r="G54" s="31" t="inlineStr">
        <is>
          <t>midcap</t>
        </is>
      </c>
      <c r="H54" s="32" t="n">
        <v>7118.5</v>
      </c>
      <c r="I54" s="32" t="n">
        <v>1531</v>
      </c>
      <c r="J54" s="32" t="n">
        <v>-0.95</v>
      </c>
      <c r="K54" s="32" t="n">
        <v>238950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75.55</v>
      </c>
      <c r="P54" s="32" t="n">
        <v>61.65</v>
      </c>
      <c r="Q54" s="32" t="n">
        <v>1196.36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18.4</v>
      </c>
      <c r="U54" s="32" t="n">
        <v>112.29</v>
      </c>
      <c r="V54" s="32" t="n">
        <v>79.3</v>
      </c>
      <c r="W54" s="32" t="n">
        <v>25.18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IF(B55=0,"",RANK(B55,$B$2:$B$360,0))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THYROCARE</t>
        </is>
      </c>
      <c r="D55" s="31" t="inlineStr">
        <is>
          <t>Thyrocare Technologies Limited</t>
        </is>
      </c>
      <c r="E55" s="31" t="inlineStr">
        <is>
          <t>healthcare</t>
        </is>
      </c>
      <c r="F55" s="31" t="inlineStr">
        <is>
          <t>healthcare</t>
        </is>
      </c>
      <c r="G55" s="31" t="inlineStr">
        <is>
          <t>midcap</t>
        </is>
      </c>
      <c r="H55" s="32" t="n">
        <v>9845.969999999999</v>
      </c>
      <c r="I55" s="32" t="n">
        <v>608.25</v>
      </c>
      <c r="J55" s="32" t="n">
        <v>-1.67</v>
      </c>
      <c r="K55" s="32" t="n">
        <v>281037</v>
      </c>
      <c r="L55" s="31" t="n">
        <v>66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69.44</v>
      </c>
      <c r="P55" s="32" t="n">
        <v>59.2</v>
      </c>
      <c r="Q55" s="32" t="n">
        <v>485.4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18.4</v>
      </c>
      <c r="U55" s="32" t="n">
        <v>46.17</v>
      </c>
      <c r="V55" s="32" t="n">
        <v>23.46</v>
      </c>
      <c r="W55" s="32" t="n">
        <v>16.12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IF(B56=0,"",RANK(B56,$B$2:$B$360,0))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FILATEX</t>
        </is>
      </c>
      <c r="D56" s="31" t="inlineStr">
        <is>
          <t>Filatex India Limited</t>
        </is>
      </c>
      <c r="E56" s="31" t="inlineStr">
        <is>
          <t>textiles</t>
        </is>
      </c>
      <c r="F56" s="31" t="inlineStr">
        <is>
          <t>textiles - manmade</t>
        </is>
      </c>
      <c r="G56" s="31" t="inlineStr">
        <is>
          <t>smallcap</t>
        </is>
      </c>
      <c r="H56" s="32" t="n">
        <v>3673.25</v>
      </c>
      <c r="I56" s="32" t="n">
        <v>86.75</v>
      </c>
      <c r="J56" s="32" t="n">
        <v>4.87</v>
      </c>
      <c r="K56" s="32" t="n">
        <v>5428534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80.29000000000001</v>
      </c>
      <c r="P56" s="32" t="n">
        <v>37.49</v>
      </c>
      <c r="Q56" s="32" t="n">
        <v>67.01000000000001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-2.88</v>
      </c>
      <c r="U56" s="32" t="n">
        <v>63.87</v>
      </c>
      <c r="V56" s="32" t="n">
        <v>68.73</v>
      </c>
      <c r="W56" s="32" t="n">
        <v>38.26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IF(B57=0,"",RANK(B57,$B$2:$B$360,0))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TDPOWERSYS</t>
        </is>
      </c>
      <c r="D57" s="31" t="inlineStr">
        <is>
          <t>Td Power Systems Limited</t>
        </is>
      </c>
      <c r="E57" s="31" t="inlineStr">
        <is>
          <t>industrials</t>
        </is>
      </c>
      <c r="F57" s="31" t="inlineStr">
        <is>
          <t>electric equipment</t>
        </is>
      </c>
      <c r="G57" s="31" t="inlineStr">
        <is>
          <t>largecap</t>
        </is>
      </c>
      <c r="H57" s="32" t="n">
        <v>24196.66</v>
      </c>
      <c r="I57" s="32" t="n">
        <v>1586.6</v>
      </c>
      <c r="J57" s="32" t="n">
        <v>2.44</v>
      </c>
      <c r="K57" s="32" t="n">
        <v>1797899</v>
      </c>
      <c r="L57" s="31" t="n">
        <v>87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74.84999999999999</v>
      </c>
      <c r="P57" s="32" t="n">
        <v>29.63</v>
      </c>
      <c r="Q57" s="32" t="n">
        <v>1172.4</v>
      </c>
      <c r="R57" s="31" t="inlineStr">
        <is>
          <t>Near 52W High Breakout</t>
        </is>
      </c>
      <c r="S57" s="31" t="inlineStr">
        <is>
          <t>Nifty 50</t>
        </is>
      </c>
      <c r="T57" s="32" t="n">
        <v>-2.88</v>
      </c>
      <c r="U57" s="32" t="n">
        <v>207</v>
      </c>
      <c r="V57" s="32" t="n">
        <v>216.09</v>
      </c>
      <c r="W57" s="32" t="n">
        <v>30.78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IF(B58=0,"",RANK(B58,$B$2:$B$360,0))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DIACABS</t>
        </is>
      </c>
      <c r="D58" s="31" t="inlineStr">
        <is>
          <t>Diamond Power Infrastructure Ltd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midcap</t>
        </is>
      </c>
      <c r="H58" s="32" t="n">
        <v>18965.69</v>
      </c>
      <c r="I58" s="32" t="n">
        <v>367.95</v>
      </c>
      <c r="J58" s="32" t="n">
        <v>2.24</v>
      </c>
      <c r="K58" s="32" t="n">
        <v>1175490</v>
      </c>
      <c r="L58" s="31" t="n">
        <v>98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88.59999999999999</v>
      </c>
      <c r="P58" s="32" t="n">
        <v>64.66</v>
      </c>
      <c r="Q58" s="32" t="n">
        <v>285.96</v>
      </c>
      <c r="R58" s="31" t="inlineStr">
        <is>
          <t>Near 52W High Breakout</t>
        </is>
      </c>
      <c r="S58" s="31" t="inlineStr">
        <is>
          <t>Nifty Energy</t>
        </is>
      </c>
      <c r="T58" s="32" t="n">
        <v>9.44</v>
      </c>
      <c r="U58" s="32" t="n">
        <v>125.92</v>
      </c>
      <c r="V58" s="32" t="n">
        <v>106.43</v>
      </c>
      <c r="W58" s="32" t="n">
        <v>52.04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IF(B59=0,"",RANK(B59,$B$2:$B$360,0))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WELCORP</t>
        </is>
      </c>
      <c r="D59" s="31" t="inlineStr">
        <is>
          <t>Welspun Corp Limited</t>
        </is>
      </c>
      <c r="E59" s="31" t="inlineStr">
        <is>
          <t>industrials</t>
        </is>
      </c>
      <c r="F59" s="31" t="inlineStr">
        <is>
          <t>steel - large</t>
        </is>
      </c>
      <c r="G59" s="31" t="inlineStr">
        <is>
          <t>largecap</t>
        </is>
      </c>
      <c r="H59" s="32" t="n">
        <v>49645.4</v>
      </c>
      <c r="I59" s="32" t="n">
        <v>1917.1</v>
      </c>
      <c r="J59" s="32" t="n">
        <v>1.87</v>
      </c>
      <c r="K59" s="32" t="n">
        <v>712596</v>
      </c>
      <c r="L59" s="31" t="n">
        <v>90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89.51000000000001</v>
      </c>
      <c r="P59" s="32" t="n">
        <v>71.5</v>
      </c>
      <c r="Q59" s="32" t="n">
        <v>1606.57</v>
      </c>
      <c r="R59" s="31" t="inlineStr">
        <is>
          <t>Near 52W High Breakout</t>
        </is>
      </c>
      <c r="S59" s="31" t="inlineStr">
        <is>
          <t>Nifty Metal</t>
        </is>
      </c>
      <c r="T59" s="32" t="n">
        <v>38.2</v>
      </c>
      <c r="U59" s="32" t="n">
        <v>116.88</v>
      </c>
      <c r="V59" s="32" t="n">
        <v>56.93</v>
      </c>
      <c r="W59" s="32" t="n">
        <v>33.1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IF(B60=0,"",RANK(B60,$B$2:$B$360,0))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ADOR</t>
        </is>
      </c>
      <c r="D60" s="31" t="inlineStr">
        <is>
          <t>Ador Welding Ltd</t>
        </is>
      </c>
      <c r="E60" s="31" t="inlineStr">
        <is>
          <t>industrials</t>
        </is>
      </c>
      <c r="F60" s="31" t="inlineStr">
        <is>
          <t>electrodes - welding equipment</t>
        </is>
      </c>
      <c r="G60" s="31" t="inlineStr">
        <is>
          <t>smallcap</t>
        </is>
      </c>
      <c r="H60" s="32" t="n">
        <v>2654.45</v>
      </c>
      <c r="I60" s="32" t="n">
        <v>1551.3</v>
      </c>
      <c r="J60" s="32" t="n">
        <v>1.7</v>
      </c>
      <c r="K60" s="32" t="n">
        <v>35829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79.75</v>
      </c>
      <c r="P60" s="32" t="n">
        <v>55.31</v>
      </c>
      <c r="Q60" s="32" t="n">
        <v>1275.66</v>
      </c>
      <c r="R60" s="31" t="inlineStr">
        <is>
          <t>Near 52W High Breakout</t>
        </is>
      </c>
      <c r="S60" s="31" t="inlineStr">
        <is>
          <t>Nifty Infra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IF(B61=0,"",RANK(B61,$B$2:$B$360,0))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IGPL</t>
        </is>
      </c>
      <c r="D61" s="31" t="inlineStr">
        <is>
          <t>Ig Petrochemicals Limited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smallcap</t>
        </is>
      </c>
      <c r="H61" s="32" t="n">
        <v>1455.98</v>
      </c>
      <c r="I61" s="32" t="n">
        <v>479.95</v>
      </c>
      <c r="J61" s="32" t="n">
        <v>1.51</v>
      </c>
      <c r="K61" s="32" t="n">
        <v>134317</v>
      </c>
      <c r="L61" s="31" t="n">
        <v>21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60.31</v>
      </c>
      <c r="P61" s="32" t="n">
        <v>22.15</v>
      </c>
      <c r="Q61" s="32" t="n">
        <v>381.22</v>
      </c>
      <c r="R61" s="31" t="inlineStr">
        <is>
          <t>Near 52W High Breakout</t>
        </is>
      </c>
      <c r="S61" s="31" t="inlineStr">
        <is>
          <t>Nifty 50</t>
        </is>
      </c>
      <c r="T61" s="32" t="n">
        <v>-2.88</v>
      </c>
      <c r="U61" s="32" t="n">
        <v>4.67</v>
      </c>
      <c r="V61" s="32" t="n">
        <v>7.77</v>
      </c>
      <c r="W61" s="32" t="n">
        <v>4.18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IF(B62=0,"",RANK(B62,$B$2:$B$360,0))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IRISDOREME</t>
        </is>
      </c>
      <c r="D62" s="31" t="inlineStr">
        <is>
          <t>Iris Clothings Ltd</t>
        </is>
      </c>
      <c r="E62" s="31" t="inlineStr">
        <is>
          <t>consumer discretionary</t>
        </is>
      </c>
      <c r="F62" s="31" t="inlineStr">
        <is>
          <t>textiles - products</t>
        </is>
      </c>
      <c r="G62" s="31" t="inlineStr">
        <is>
          <t>smallcap</t>
        </is>
      </c>
      <c r="H62" s="32" t="n">
        <v>1109.63</v>
      </c>
      <c r="I62" s="32" t="n">
        <v>59.16</v>
      </c>
      <c r="J62" s="32" t="n">
        <v>1.48</v>
      </c>
      <c r="K62" s="32" t="n">
        <v>1097894</v>
      </c>
      <c r="L62" s="31" t="n">
        <v>86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85.34999999999999</v>
      </c>
      <c r="P62" s="32" t="n">
        <v>42.78</v>
      </c>
      <c r="Q62" s="32" t="n">
        <v>46.86</v>
      </c>
      <c r="R62" s="31" t="inlineStr">
        <is>
          <t>Near 52W High Breakout</t>
        </is>
      </c>
      <c r="S62" s="31" t="inlineStr">
        <is>
          <t>Nifty 50</t>
        </is>
      </c>
      <c r="T62" s="32" t="n">
        <v>-2.88</v>
      </c>
      <c r="U62" s="32" t="n">
        <v>84.90000000000001</v>
      </c>
      <c r="V62" s="32" t="n">
        <v>90.37</v>
      </c>
      <c r="W62" s="32" t="n">
        <v>28.4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IF(B63=0,"",RANK(B63,$B$2:$B$360,0))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SOLARINDS</t>
        </is>
      </c>
      <c r="D63" s="31" t="inlineStr">
        <is>
          <t>Solar Industries India Limited</t>
        </is>
      </c>
      <c r="E63" s="31" t="inlineStr">
        <is>
          <t>aerospace &amp; defence</t>
        </is>
      </c>
      <c r="F63" s="31" t="inlineStr">
        <is>
          <t>chemicals</t>
        </is>
      </c>
      <c r="G63" s="31" t="inlineStr">
        <is>
          <t>largecap</t>
        </is>
      </c>
      <c r="H63" s="32" t="n">
        <v>180980.11</v>
      </c>
      <c r="I63" s="32" t="n">
        <v>20280</v>
      </c>
      <c r="J63" s="32" t="n">
        <v>1.4</v>
      </c>
      <c r="K63" s="32" t="n">
        <v>347711</v>
      </c>
      <c r="L63" s="31" t="n">
        <v>42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70.51000000000001</v>
      </c>
      <c r="P63" s="32" t="n">
        <v>39.92</v>
      </c>
      <c r="Q63" s="32" t="n">
        <v>16611.12</v>
      </c>
      <c r="R63" s="31" t="inlineStr">
        <is>
          <t>Near 52W High Breakout</t>
        </is>
      </c>
      <c r="S63" s="31" t="inlineStr">
        <is>
          <t>Nifty 50</t>
        </is>
      </c>
      <c r="T63" s="32" t="n">
        <v>-2.88</v>
      </c>
      <c r="U63" s="32" t="n">
        <v>35.48</v>
      </c>
      <c r="V63" s="32" t="n">
        <v>39.49</v>
      </c>
      <c r="W63" s="32" t="n">
        <v>9.51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IF(B64=0,"",RANK(B64,$B$2:$B$360,0))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OMAXE</t>
        </is>
      </c>
      <c r="D64" s="31" t="inlineStr">
        <is>
          <t>Omaxe Limited</t>
        </is>
      </c>
      <c r="E64" s="31" t="inlineStr">
        <is>
          <t>realty</t>
        </is>
      </c>
      <c r="F64" s="31" t="inlineStr">
        <is>
          <t>construction</t>
        </is>
      </c>
      <c r="G64" s="31" t="inlineStr">
        <is>
          <t>smallcap</t>
        </is>
      </c>
      <c r="H64" s="32" t="n">
        <v>1844.19</v>
      </c>
      <c r="I64" s="32" t="n">
        <v>101.93</v>
      </c>
      <c r="J64" s="32" t="n">
        <v>1.09</v>
      </c>
      <c r="K64" s="32" t="n">
        <v>2278565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67.79000000000001</v>
      </c>
      <c r="P64" s="32" t="n">
        <v>26.89</v>
      </c>
      <c r="Q64" s="32" t="n">
        <v>70.7</v>
      </c>
      <c r="R64" s="31" t="inlineStr">
        <is>
          <t>Near 52W High Breakout</t>
        </is>
      </c>
      <c r="S64" s="31" t="inlineStr">
        <is>
          <t>Nifty Realty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IF(B65=0,"",RANK(B65,$B$2:$B$360,0))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SETL</t>
        </is>
      </c>
      <c r="D65" s="31" t="inlineStr">
        <is>
          <t>Standard Enginnering Technology Ltd</t>
        </is>
      </c>
      <c r="E65" s="31" t="inlineStr">
        <is>
          <t>industrials</t>
        </is>
      </c>
      <c r="F65" s="31" t="inlineStr">
        <is>
          <t>engineering</t>
        </is>
      </c>
      <c r="G65" s="31" t="inlineStr">
        <is>
          <t>midcap</t>
        </is>
      </c>
      <c r="H65" s="32" t="n">
        <v>6158.31</v>
      </c>
      <c r="I65" s="32" t="n">
        <v>308.85</v>
      </c>
      <c r="J65" s="32" t="n">
        <v>0.05</v>
      </c>
      <c r="K65" s="32" t="n">
        <v>871096</v>
      </c>
      <c r="L65" s="31" t="n">
        <v>96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82.55</v>
      </c>
      <c r="P65" s="32" t="n">
        <v>52.38</v>
      </c>
      <c r="Q65" s="32" t="n">
        <v>236.18</v>
      </c>
      <c r="R65" s="31" t="inlineStr">
        <is>
          <t>Near 52W High Breakout</t>
        </is>
      </c>
      <c r="S65" s="31" t="inlineStr">
        <is>
          <t>Nifty 50</t>
        </is>
      </c>
      <c r="T65" s="32" t="n">
        <v>-2.88</v>
      </c>
      <c r="U65" s="32" t="n">
        <v>70.58</v>
      </c>
      <c r="V65" s="32" t="n">
        <v>75.63</v>
      </c>
      <c r="W65" s="32" t="n">
        <v>47.63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IF(B66=0,"",RANK(B66,$B$2:$B$360,0))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KDDL</t>
        </is>
      </c>
      <c r="D66" s="31" t="inlineStr">
        <is>
          <t>Kddl Limited</t>
        </is>
      </c>
      <c r="E66" s="31" t="inlineStr">
        <is>
          <t>consumer discretionary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5023.76</v>
      </c>
      <c r="I66" s="32" t="n">
        <v>4064</v>
      </c>
      <c r="J66" s="32" t="n">
        <v>-0.5</v>
      </c>
      <c r="K66" s="32" t="n">
        <v>26917</v>
      </c>
      <c r="L66" s="31" t="n">
        <v>76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79.31999999999999</v>
      </c>
      <c r="P66" s="32" t="n">
        <v>45.33</v>
      </c>
      <c r="Q66" s="32" t="n">
        <v>3191.57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-2.88</v>
      </c>
      <c r="U66" s="32" t="n">
        <v>67</v>
      </c>
      <c r="V66" s="32" t="n">
        <v>71.94</v>
      </c>
      <c r="W66" s="32" t="n">
        <v>21.24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IF(B67=0,"",RANK(B67,$B$2:$B$360,0))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NRL</t>
        </is>
      </c>
      <c r="D67" s="31" t="inlineStr">
        <is>
          <t>Nupur Recyclers Ltd</t>
        </is>
      </c>
      <c r="E67" s="31" t="inlineStr">
        <is>
          <t>services</t>
        </is>
      </c>
      <c r="F67" s="31" t="inlineStr">
        <is>
          <t>trading</t>
        </is>
      </c>
      <c r="G67" s="31" t="inlineStr">
        <is>
          <t>smallcap</t>
        </is>
      </c>
      <c r="H67" s="32" t="n">
        <v>801.2</v>
      </c>
      <c r="I67" s="32" t="n">
        <v>116</v>
      </c>
      <c r="J67" s="32" t="n">
        <v>-0.85</v>
      </c>
      <c r="K67" s="32" t="n">
        <v>29663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81.77</v>
      </c>
      <c r="P67" s="32" t="n">
        <v>58.37</v>
      </c>
      <c r="Q67" s="32" t="n">
        <v>96.09999999999999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-2.88</v>
      </c>
      <c r="U67" s="32" t="n">
        <v>67.98</v>
      </c>
      <c r="V67" s="32" t="n">
        <v>72.95999999999999</v>
      </c>
      <c r="W67" s="32" t="n">
        <v>43.3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IF(B68=0,"",RANK(B68,$B$2:$B$360,0))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ROLEXRINGS</t>
        </is>
      </c>
      <c r="D68" s="31" t="inlineStr">
        <is>
          <t>Rolex Rings Ltd</t>
        </is>
      </c>
      <c r="E68" s="31" t="inlineStr">
        <is>
          <t>auto</t>
        </is>
      </c>
      <c r="F68" s="31" t="inlineStr">
        <is>
          <t>auto ancillaries</t>
        </is>
      </c>
      <c r="G68" s="31" t="inlineStr">
        <is>
          <t>smallcap</t>
        </is>
      </c>
      <c r="H68" s="32" t="n">
        <v>4887.29</v>
      </c>
      <c r="I68" s="32" t="n">
        <v>177.06</v>
      </c>
      <c r="J68" s="32" t="n">
        <v>-1.34</v>
      </c>
      <c r="K68" s="32" t="n">
        <v>2031379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65.72</v>
      </c>
      <c r="P68" s="32" t="n">
        <v>36.52</v>
      </c>
      <c r="Q68" s="32" t="n">
        <v>136.61</v>
      </c>
      <c r="R68" s="31" t="inlineStr">
        <is>
          <t>Near 52W High Breakout</t>
        </is>
      </c>
      <c r="S68" s="31" t="inlineStr">
        <is>
          <t>Nifty Auto</t>
        </is>
      </c>
      <c r="T68" s="32" t="inlineStr"/>
      <c r="U68" s="32" t="inlineStr"/>
      <c r="V68" s="32" t="inlineStr"/>
      <c r="W68" s="32" t="inlineStr"/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IF(B69=0,"",RANK(B69,$B$2:$B$360,0))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KENNAMET</t>
        </is>
      </c>
      <c r="D69" s="31" t="inlineStr">
        <is>
          <t>Kennametal India Ltd</t>
        </is>
      </c>
      <c r="E69" s="31" t="inlineStr">
        <is>
          <t>industrials</t>
        </is>
      </c>
      <c r="F69" s="31" t="inlineStr">
        <is>
          <t>castings &amp; forgings</t>
        </is>
      </c>
      <c r="G69" s="31" t="inlineStr">
        <is>
          <t>midcap</t>
        </is>
      </c>
      <c r="H69" s="32" t="n">
        <v>7806.01</v>
      </c>
      <c r="I69" s="32" t="n">
        <v>3502.2</v>
      </c>
      <c r="J69" s="32" t="n">
        <v>-1.39</v>
      </c>
      <c r="K69" s="32" t="n">
        <v>14828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73.98</v>
      </c>
      <c r="P69" s="32" t="n">
        <v>43.33</v>
      </c>
      <c r="Q69" s="32" t="n">
        <v>2755.6</v>
      </c>
      <c r="R69" s="31" t="inlineStr">
        <is>
          <t>Near 52W High Breakout</t>
        </is>
      </c>
      <c r="S69" s="31" t="inlineStr">
        <is>
          <t>Nifty Infra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IF(B70=0,"",RANK(B70,$B$2:$B$360,0))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DIVGIITTS</t>
        </is>
      </c>
      <c r="D70" s="31" t="inlineStr">
        <is>
          <t>Divgi Torqtransfer Systems Ltd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3928.22</v>
      </c>
      <c r="I70" s="32" t="n">
        <v>1259</v>
      </c>
      <c r="J70" s="32" t="n">
        <v>-1.98</v>
      </c>
      <c r="K70" s="32" t="n">
        <v>310956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74.18000000000001</v>
      </c>
      <c r="P70" s="32" t="n">
        <v>49.24</v>
      </c>
      <c r="Q70" s="32" t="n">
        <v>1008.81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IF(B71=0,"",RANK(B71,$B$2:$B$360,0))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RISHABH</t>
        </is>
      </c>
      <c r="D71" s="31" t="inlineStr">
        <is>
          <t>Rishabh Instruments Ltd</t>
        </is>
      </c>
      <c r="E71" s="31" t="inlineStr">
        <is>
          <t>industrials</t>
        </is>
      </c>
      <c r="F71" s="31" t="inlineStr">
        <is>
          <t>electric equipment</t>
        </is>
      </c>
      <c r="G71" s="31" t="inlineStr">
        <is>
          <t>smallcap</t>
        </is>
      </c>
      <c r="H71" s="32" t="n">
        <v>2677.41</v>
      </c>
      <c r="I71" s="32" t="n">
        <v>665.75</v>
      </c>
      <c r="J71" s="32" t="n">
        <v>-4.15</v>
      </c>
      <c r="K71" s="32" t="n">
        <v>711835</v>
      </c>
      <c r="L71" s="31" t="n">
        <v>64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69.09</v>
      </c>
      <c r="P71" s="32" t="n">
        <v>41.85</v>
      </c>
      <c r="Q71" s="32" t="n">
        <v>486.76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-2.88</v>
      </c>
      <c r="U71" s="32" t="n">
        <v>55.53</v>
      </c>
      <c r="V71" s="32" t="n">
        <v>60.14</v>
      </c>
      <c r="W71" s="32" t="n">
        <v>15.7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IF(B72=0,"",RANK(B72,$B$2:$B$360,0))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SHALPAINTS</t>
        </is>
      </c>
      <c r="D72" s="31" t="inlineStr">
        <is>
          <t>Shalimar Paints Limited</t>
        </is>
      </c>
      <c r="E72" s="31" t="inlineStr">
        <is>
          <t>building materials</t>
        </is>
      </c>
      <c r="F72" s="31" t="inlineStr">
        <is>
          <t>paints / varnishes</t>
        </is>
      </c>
      <c r="G72" s="31" t="inlineStr">
        <is>
          <t>smallcap</t>
        </is>
      </c>
      <c r="H72" s="32" t="n">
        <v>765.54</v>
      </c>
      <c r="I72" s="32" t="n">
        <v>86.88</v>
      </c>
      <c r="J72" s="32" t="n">
        <v>-5</v>
      </c>
      <c r="K72" s="32" t="n">
        <v>360698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69.2</v>
      </c>
      <c r="P72" s="32" t="n">
        <v>21.57</v>
      </c>
      <c r="Q72" s="32" t="n">
        <v>66.56999999999999</v>
      </c>
      <c r="R72" s="31" t="inlineStr">
        <is>
          <t>Near 52W High Breakout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IF(B73=0,"",RANK(B73,$B$2:$B$360,0))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BLISSGVS</t>
        </is>
      </c>
      <c r="D73" s="31" t="inlineStr">
        <is>
          <t>Bliss Gvs Pharma Limited</t>
        </is>
      </c>
      <c r="E73" s="31" t="inlineStr">
        <is>
          <t>healthcare</t>
        </is>
      </c>
      <c r="F73" s="31" t="inlineStr">
        <is>
          <t>pharmaceuticals - indian - formulations</t>
        </is>
      </c>
      <c r="G73" s="31" t="inlineStr">
        <is>
          <t>midcap</t>
        </is>
      </c>
      <c r="H73" s="32" t="n">
        <v>5520.23</v>
      </c>
      <c r="I73" s="32" t="n">
        <v>546.5</v>
      </c>
      <c r="J73" s="32" t="n">
        <v>5</v>
      </c>
      <c r="K73" s="32" t="n">
        <v>957967</v>
      </c>
      <c r="L73" s="31" t="n">
        <v>97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80.33</v>
      </c>
      <c r="P73" s="32" t="n">
        <v>74.76000000000001</v>
      </c>
      <c r="Q73" s="32" t="n">
        <v>413.65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18.4</v>
      </c>
      <c r="U73" s="32" t="n">
        <v>240.21</v>
      </c>
      <c r="V73" s="32" t="n">
        <v>187.34</v>
      </c>
      <c r="W73" s="32" t="n">
        <v>47.65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IF(B74=0,"",RANK(B74,$B$2:$B$360,0))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HTMEDIA</t>
        </is>
      </c>
      <c r="D74" s="31" t="inlineStr">
        <is>
          <t>Ht Media Limited</t>
        </is>
      </c>
      <c r="E74" s="31" t="inlineStr">
        <is>
          <t>media</t>
        </is>
      </c>
      <c r="F74" s="31" t="inlineStr">
        <is>
          <t>entertainment / electronic media software</t>
        </is>
      </c>
      <c r="G74" s="31" t="inlineStr">
        <is>
          <t>smallcap</t>
        </is>
      </c>
      <c r="H74" s="32" t="n">
        <v>599.86</v>
      </c>
      <c r="I74" s="32" t="n">
        <v>26.78</v>
      </c>
      <c r="J74" s="32" t="n">
        <v>3.92</v>
      </c>
      <c r="K74" s="32" t="n">
        <v>124882</v>
      </c>
      <c r="L74" s="31" t="n">
        <v>34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61.05</v>
      </c>
      <c r="P74" s="32" t="n">
        <v>21.28</v>
      </c>
      <c r="Q74" s="32" t="n">
        <v>20.02</v>
      </c>
      <c r="R74" s="31" t="inlineStr">
        <is>
          <t>Near 52W High Breakout</t>
        </is>
      </c>
      <c r="S74" s="31" t="inlineStr">
        <is>
          <t>Nifty IT</t>
        </is>
      </c>
      <c r="T74" s="32" t="n">
        <v>-14.75</v>
      </c>
      <c r="U74" s="32" t="n">
        <v>5.47</v>
      </c>
      <c r="V74" s="32" t="n">
        <v>23.72</v>
      </c>
      <c r="W74" s="32" t="n">
        <v>7.85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IF(B75=0,"",RANK(B75,$B$2:$B$360,0))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SUVEN</t>
        </is>
      </c>
      <c r="D75" s="31" t="inlineStr">
        <is>
          <t>Suven Life Sciences Limited</t>
        </is>
      </c>
      <c r="E75" s="31" t="inlineStr">
        <is>
          <t>healthcare</t>
        </is>
      </c>
      <c r="F75" s="31" t="inlineStr">
        <is>
          <t>miscellaneous</t>
        </is>
      </c>
      <c r="G75" s="31" t="inlineStr">
        <is>
          <t>smallcap</t>
        </is>
      </c>
      <c r="H75" s="32" t="n">
        <v>643.41</v>
      </c>
      <c r="I75" s="32" t="n">
        <v>339.9</v>
      </c>
      <c r="J75" s="32" t="n">
        <v>2.06</v>
      </c>
      <c r="K75" s="32" t="n">
        <v>572993</v>
      </c>
      <c r="L75" s="31" t="n">
        <v>72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67.62</v>
      </c>
      <c r="P75" s="32" t="n">
        <v>47.4</v>
      </c>
      <c r="Q75" s="32" t="n">
        <v>255.96</v>
      </c>
      <c r="R75" s="31" t="inlineStr">
        <is>
          <t>Earnings / Momentum Support</t>
        </is>
      </c>
      <c r="S75" s="31" t="inlineStr">
        <is>
          <t>Nifty Pharma</t>
        </is>
      </c>
      <c r="T75" s="32" t="n">
        <v>18.4</v>
      </c>
      <c r="U75" s="32" t="n">
        <v>47.3</v>
      </c>
      <c r="V75" s="32" t="n">
        <v>24.41</v>
      </c>
      <c r="W75" s="32" t="n">
        <v>18.78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IF(B76=0,"",RANK(B76,$B$2:$B$360,0))</f>
        <v/>
      </c>
      <c r="B76" s="32">
        <f>SUM(N76,Y76,AA76,AC76,AE76,AG76,AI76,AK76,AM76,AO76,AQ76,AS76,AU76,AW76,AY76,BA76,BC76,BE76,BG76,BI76,BK76,BM76,BO76,BQ76,BS76,BU76,BW76,BY76,CA76,CC76,CE76)</f>
        <v/>
      </c>
      <c r="C76" s="33" t="inlineStr">
        <is>
          <t>GUFICBIO</t>
        </is>
      </c>
      <c r="D76" s="33" t="inlineStr">
        <is>
          <t>Gufic Biosciences Limited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smallcap</t>
        </is>
      </c>
      <c r="H76" s="32" t="n">
        <v>4193.81</v>
      </c>
      <c r="I76" s="32" t="n">
        <v>420.05</v>
      </c>
      <c r="J76" s="32" t="n">
        <v>0.44</v>
      </c>
      <c r="K76" s="32" t="n">
        <v>120133</v>
      </c>
      <c r="L76" s="31" t="n">
        <v>56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70.41</v>
      </c>
      <c r="P76" s="32" t="n">
        <v>50.62</v>
      </c>
      <c r="Q76" s="32" t="n">
        <v>328.32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18.4</v>
      </c>
      <c r="U76" s="32" t="n">
        <v>16.04</v>
      </c>
      <c r="V76" s="32" t="n">
        <v>-1.99</v>
      </c>
      <c r="W76" s="32" t="n">
        <v>13.53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IF(B77=0,"",RANK(B77,$B$2:$B$360,0))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AJANTPHARM</t>
        </is>
      </c>
      <c r="D77" s="31" t="inlineStr">
        <is>
          <t>Ajanta Pharma Limited</t>
        </is>
      </c>
      <c r="E77" s="31" t="inlineStr">
        <is>
          <t>healthcare</t>
        </is>
      </c>
      <c r="F77" s="31" t="inlineStr">
        <is>
          <t>pharmaceuticals - indian - formulations</t>
        </is>
      </c>
      <c r="G77" s="31" t="inlineStr">
        <is>
          <t>largecap</t>
        </is>
      </c>
      <c r="H77" s="32" t="n">
        <v>46453.56</v>
      </c>
      <c r="I77" s="32" t="n">
        <v>3706.4</v>
      </c>
      <c r="J77" s="32" t="n">
        <v>-0.32</v>
      </c>
      <c r="K77" s="32" t="n">
        <v>145440</v>
      </c>
      <c r="L77" s="31" t="n">
        <v>51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75.81</v>
      </c>
      <c r="P77" s="32" t="n">
        <v>46.25</v>
      </c>
      <c r="Q77" s="32" t="n">
        <v>3128.6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18.4</v>
      </c>
      <c r="U77" s="32" t="n">
        <v>43.35</v>
      </c>
      <c r="V77" s="32" t="n">
        <v>21.07</v>
      </c>
      <c r="W77" s="32" t="n">
        <v>11.99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IF(B78=0,"",RANK(B78,$B$2:$B$360,0))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VIJAYA</t>
        </is>
      </c>
      <c r="D78" s="31" t="inlineStr">
        <is>
          <t>Vijaya Diagnostic Centre Ltd</t>
        </is>
      </c>
      <c r="E78" s="31" t="inlineStr">
        <is>
          <t>healthcare</t>
        </is>
      </c>
      <c r="F78" s="31" t="inlineStr">
        <is>
          <t>healthcare</t>
        </is>
      </c>
      <c r="G78" s="31" t="inlineStr">
        <is>
          <t>midcap</t>
        </is>
      </c>
      <c r="H78" s="32" t="n">
        <v>15502.42</v>
      </c>
      <c r="I78" s="32" t="n">
        <v>1497.3</v>
      </c>
      <c r="J78" s="32" t="n">
        <v>-0.62</v>
      </c>
      <c r="K78" s="32" t="n">
        <v>92775</v>
      </c>
      <c r="L78" s="31" t="n">
        <v>54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70.7</v>
      </c>
      <c r="P78" s="32" t="n">
        <v>57.27</v>
      </c>
      <c r="Q78" s="32" t="n">
        <v>1185.23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18.4</v>
      </c>
      <c r="U78" s="32" t="n">
        <v>46.93</v>
      </c>
      <c r="V78" s="32" t="n">
        <v>24.1</v>
      </c>
      <c r="W78" s="32" t="n">
        <v>12.93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IF(B79=0,"",RANK(B79,$B$2:$B$360,0))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MARKSANS</t>
        </is>
      </c>
      <c r="D79" s="31" t="inlineStr">
        <is>
          <t>Marksans Pharma Limited</t>
        </is>
      </c>
      <c r="E79" s="31" t="inlineStr">
        <is>
          <t>healthcare</t>
        </is>
      </c>
      <c r="F79" s="31" t="inlineStr">
        <is>
          <t>pharmaceuticals - indian - formulations</t>
        </is>
      </c>
      <c r="G79" s="31" t="inlineStr">
        <is>
          <t>midcap</t>
        </is>
      </c>
      <c r="H79" s="32" t="n">
        <v>15020.11</v>
      </c>
      <c r="I79" s="32" t="n">
        <v>326.5</v>
      </c>
      <c r="J79" s="32" t="n">
        <v>-1.49</v>
      </c>
      <c r="K79" s="32" t="n">
        <v>3308098</v>
      </c>
      <c r="L79" s="31" t="n">
        <v>83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77.31999999999999</v>
      </c>
      <c r="P79" s="32" t="n">
        <v>56.85</v>
      </c>
      <c r="Q79" s="32" t="n">
        <v>254.33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18.4</v>
      </c>
      <c r="U79" s="32" t="n">
        <v>81.43000000000001</v>
      </c>
      <c r="V79" s="32" t="n">
        <v>53.23</v>
      </c>
      <c r="W79" s="32" t="n">
        <v>25.31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IF(B80=0,"",RANK(B80,$B$2:$B$360,0))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JGCHEM</t>
        </is>
      </c>
      <c r="D80" s="31" t="inlineStr">
        <is>
          <t>J.G.Chemicals Ltd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2354.3</v>
      </c>
      <c r="I80" s="32" t="n">
        <v>645.85</v>
      </c>
      <c r="J80" s="32" t="n">
        <v>7.5</v>
      </c>
      <c r="K80" s="32" t="n">
        <v>873029</v>
      </c>
      <c r="L80" s="31" t="n">
        <v>77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80.20999999999999</v>
      </c>
      <c r="P80" s="32" t="n">
        <v>35.22</v>
      </c>
      <c r="Q80" s="32" t="n">
        <v>507.34</v>
      </c>
      <c r="R80" s="31" t="inlineStr">
        <is>
          <t>Near 52W High Breakout</t>
        </is>
      </c>
      <c r="S80" s="31" t="inlineStr">
        <is>
          <t>Nifty IT</t>
        </is>
      </c>
      <c r="T80" s="32" t="n">
        <v>-14.75</v>
      </c>
      <c r="U80" s="32" t="n">
        <v>31.97</v>
      </c>
      <c r="V80" s="32" t="n">
        <v>54.8</v>
      </c>
      <c r="W80" s="32" t="n">
        <v>21.74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IF(B81=0,"",RANK(B81,$B$2:$B$360,0))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AVALON</t>
        </is>
      </c>
      <c r="D81" s="31" t="inlineStr">
        <is>
          <t>Avalon Technologies Ltd</t>
        </is>
      </c>
      <c r="E81" s="31" t="inlineStr">
        <is>
          <t>consumer discretionary</t>
        </is>
      </c>
      <c r="F81" s="31" t="inlineStr">
        <is>
          <t>electronics - components</t>
        </is>
      </c>
      <c r="G81" s="31" t="inlineStr">
        <is>
          <t>midcap</t>
        </is>
      </c>
      <c r="H81" s="32" t="n">
        <v>13759.21</v>
      </c>
      <c r="I81" s="32" t="n">
        <v>2197.3</v>
      </c>
      <c r="J81" s="32" t="n">
        <v>6.7</v>
      </c>
      <c r="K81" s="32" t="n">
        <v>1136151</v>
      </c>
      <c r="L81" s="31" t="n">
        <v>89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82.94</v>
      </c>
      <c r="P81" s="32" t="n">
        <v>58.68</v>
      </c>
      <c r="Q81" s="32" t="n">
        <v>1710.08</v>
      </c>
      <c r="R81" s="31" t="inlineStr">
        <is>
          <t>Near 52W High Breakout</t>
        </is>
      </c>
      <c r="S81" s="31" t="inlineStr">
        <is>
          <t>Nifty 50</t>
        </is>
      </c>
      <c r="T81" s="32" t="n">
        <v>-2.88</v>
      </c>
      <c r="U81" s="32" t="n">
        <v>157.26</v>
      </c>
      <c r="V81" s="32" t="n">
        <v>164.88</v>
      </c>
      <c r="W81" s="32" t="n">
        <v>32.25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IF(B82=0,"",RANK(B82,$B$2:$B$360,0))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GHCLTEXTIL</t>
        </is>
      </c>
      <c r="D82" s="31" t="inlineStr">
        <is>
          <t>GHCL Textiles Ltd</t>
        </is>
      </c>
      <c r="E82" s="31" t="inlineStr">
        <is>
          <t>textiles</t>
        </is>
      </c>
      <c r="F82" s="31" t="inlineStr">
        <is>
          <t>textiles - spinning - synthetic / blended</t>
        </is>
      </c>
      <c r="G82" s="31" t="inlineStr">
        <is>
          <t>smallcap</t>
        </is>
      </c>
      <c r="H82" s="32" t="n">
        <v>1147.79</v>
      </c>
      <c r="I82" s="32" t="n">
        <v>127.94</v>
      </c>
      <c r="J82" s="32" t="n">
        <v>6.55</v>
      </c>
      <c r="K82" s="32" t="n">
        <v>2134661</v>
      </c>
      <c r="L82" s="31" t="n">
        <v>74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73.84</v>
      </c>
      <c r="P82" s="32" t="n">
        <v>36.56</v>
      </c>
      <c r="Q82" s="32" t="n">
        <v>100</v>
      </c>
      <c r="R82" s="31" t="inlineStr">
        <is>
          <t>Near 52W High Breakout</t>
        </is>
      </c>
      <c r="S82" s="31" t="inlineStr">
        <is>
          <t>Nifty 50</t>
        </is>
      </c>
      <c r="T82" s="32" t="n">
        <v>-2.88</v>
      </c>
      <c r="U82" s="32" t="n">
        <v>60.84</v>
      </c>
      <c r="V82" s="32" t="n">
        <v>65.59999999999999</v>
      </c>
      <c r="W82" s="32" t="n">
        <v>19.56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IF(B83=0,"",RANK(B83,$B$2:$B$360,0))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ACE</t>
        </is>
      </c>
      <c r="D83" s="31" t="inlineStr">
        <is>
          <t>Action Construction Equipment Limited</t>
        </is>
      </c>
      <c r="E83" s="31" t="inlineStr">
        <is>
          <t>industrials</t>
        </is>
      </c>
      <c r="F83" s="31" t="inlineStr">
        <is>
          <t>engineering</t>
        </is>
      </c>
      <c r="G83" s="31" t="inlineStr">
        <is>
          <t>midcap</t>
        </is>
      </c>
      <c r="H83" s="32" t="n">
        <v>13262.3</v>
      </c>
      <c r="I83" s="32" t="n">
        <v>1184.8</v>
      </c>
      <c r="J83" s="32" t="n">
        <v>6.38</v>
      </c>
      <c r="K83" s="32" t="n">
        <v>1694611</v>
      </c>
      <c r="L83" s="31" t="n">
        <v>50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74.31999999999999</v>
      </c>
      <c r="P83" s="32" t="n">
        <v>25.75</v>
      </c>
      <c r="Q83" s="32" t="n">
        <v>972.22</v>
      </c>
      <c r="R83" s="31" t="inlineStr">
        <is>
          <t>Near 52W High Breakout</t>
        </is>
      </c>
      <c r="S83" s="31" t="inlineStr">
        <is>
          <t>Nifty 50</t>
        </is>
      </c>
      <c r="T83" s="32" t="n">
        <v>-2.88</v>
      </c>
      <c r="U83" s="32" t="n">
        <v>20.24</v>
      </c>
      <c r="V83" s="32" t="n">
        <v>23.8</v>
      </c>
      <c r="W83" s="32" t="n">
        <v>11.64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IF(B84=0,"",RANK(B84,$B$2:$B$360,0))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WELSPUNLIV</t>
        </is>
      </c>
      <c r="D84" s="31" t="inlineStr">
        <is>
          <t>Welspun Living Ltd</t>
        </is>
      </c>
      <c r="E84" s="31" t="inlineStr">
        <is>
          <t>textiles</t>
        </is>
      </c>
      <c r="F84" s="31" t="inlineStr">
        <is>
          <t>textiles - products</t>
        </is>
      </c>
      <c r="G84" s="31" t="inlineStr">
        <is>
          <t>midcap</t>
        </is>
      </c>
      <c r="H84" s="32" t="n">
        <v>15886.01</v>
      </c>
      <c r="I84" s="32" t="n">
        <v>177.79</v>
      </c>
      <c r="J84" s="32" t="n">
        <v>5.73</v>
      </c>
      <c r="K84" s="32" t="n">
        <v>53708881</v>
      </c>
      <c r="L84" s="31" t="n">
        <v>59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69.70999999999999</v>
      </c>
      <c r="P84" s="32" t="n">
        <v>34.26</v>
      </c>
      <c r="Q84" s="32" t="n">
        <v>138.16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-2.88</v>
      </c>
      <c r="U84" s="32" t="n">
        <v>49.9</v>
      </c>
      <c r="V84" s="32" t="n">
        <v>54.33</v>
      </c>
      <c r="W84" s="32" t="n">
        <v>14.51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IF(B85=0,"",RANK(B85,$B$2:$B$360,0))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HFCL</t>
        </is>
      </c>
      <c r="D85" s="31" t="inlineStr">
        <is>
          <t>HFCL Ltd</t>
        </is>
      </c>
      <c r="E85" s="31" t="inlineStr">
        <is>
          <t>telecom</t>
        </is>
      </c>
      <c r="F85" s="31" t="inlineStr">
        <is>
          <t>cables - telephone</t>
        </is>
      </c>
      <c r="G85" s="31" t="inlineStr">
        <is>
          <t>largecap</t>
        </is>
      </c>
      <c r="H85" s="32" t="n">
        <v>33596.72</v>
      </c>
      <c r="I85" s="32" t="n">
        <v>230.03</v>
      </c>
      <c r="J85" s="32" t="n">
        <v>4.8</v>
      </c>
      <c r="K85" s="32" t="n">
        <v>35739524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74.95</v>
      </c>
      <c r="P85" s="32" t="n">
        <v>64.5</v>
      </c>
      <c r="Q85" s="32" t="n">
        <v>172.04</v>
      </c>
      <c r="R85" s="31" t="inlineStr">
        <is>
          <t>Near 52W High Breakout</t>
        </is>
      </c>
      <c r="S85" s="31" t="inlineStr">
        <is>
          <t>Nifty Infra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IF(B86=0,"",RANK(B86,$B$2:$B$360,0))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RPEL</t>
        </is>
      </c>
      <c r="D86" s="31" t="inlineStr">
        <is>
          <t>Raghav Productivity Enhancers Ltd</t>
        </is>
      </c>
      <c r="E86" s="31" t="inlineStr">
        <is>
          <t>building materials</t>
        </is>
      </c>
      <c r="F86" s="31" t="inlineStr">
        <is>
          <t>refractories / intermediates</t>
        </is>
      </c>
      <c r="G86" s="31" t="inlineStr">
        <is>
          <t>midcap</t>
        </is>
      </c>
      <c r="H86" s="32" t="n">
        <v>6567.3</v>
      </c>
      <c r="I86" s="32" t="n">
        <v>1495.2</v>
      </c>
      <c r="J86" s="32" t="n">
        <v>4.55</v>
      </c>
      <c r="K86" s="32" t="n">
        <v>116007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80.66</v>
      </c>
      <c r="P86" s="32" t="n">
        <v>56.49</v>
      </c>
      <c r="Q86" s="32" t="n">
        <v>1186.06</v>
      </c>
      <c r="R86" s="31" t="inlineStr">
        <is>
          <t>Near 52W High Breakout</t>
        </is>
      </c>
      <c r="S86" s="31" t="inlineStr">
        <is>
          <t>Nifty Infra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IF(B87=0,"",RANK(B87,$B$2:$B$360,0))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THELEELA</t>
        </is>
      </c>
      <c r="D87" s="31" t="inlineStr">
        <is>
          <t>Leela Palaces Hotels &amp; Resorts Ltd</t>
        </is>
      </c>
      <c r="E87" s="31" t="inlineStr">
        <is>
          <t>services</t>
        </is>
      </c>
      <c r="F87" s="31" t="inlineStr">
        <is>
          <t>hotels</t>
        </is>
      </c>
      <c r="G87" s="31" t="inlineStr">
        <is>
          <t>midcap</t>
        </is>
      </c>
      <c r="H87" s="32" t="n">
        <v>16798.08</v>
      </c>
      <c r="I87" s="32" t="n">
        <v>519.15</v>
      </c>
      <c r="J87" s="32" t="n">
        <v>3.21</v>
      </c>
      <c r="K87" s="32" t="n">
        <v>412429</v>
      </c>
      <c r="L87" s="31" t="n">
        <v>43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64.53</v>
      </c>
      <c r="P87" s="32" t="n">
        <v>29.05</v>
      </c>
      <c r="Q87" s="32" t="n">
        <v>423.66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-2.88</v>
      </c>
      <c r="U87" s="32" t="n">
        <v>23.42</v>
      </c>
      <c r="V87" s="32" t="n">
        <v>27.07</v>
      </c>
      <c r="W87" s="32" t="n">
        <v>9.75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IF(B88=0,"",RANK(B88,$B$2:$B$360,0))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MINDACORP</t>
        </is>
      </c>
      <c r="D88" s="31" t="inlineStr">
        <is>
          <t>Minda Corporation Limited</t>
        </is>
      </c>
      <c r="E88" s="31" t="inlineStr">
        <is>
          <t>auto</t>
        </is>
      </c>
      <c r="F88" s="31" t="inlineStr">
        <is>
          <t>auto ancillaries</t>
        </is>
      </c>
      <c r="G88" s="31" t="inlineStr">
        <is>
          <t>midcap</t>
        </is>
      </c>
      <c r="H88" s="32" t="n">
        <v>17336.84</v>
      </c>
      <c r="I88" s="32" t="n">
        <v>745.25</v>
      </c>
      <c r="J88" s="32" t="n">
        <v>2.77</v>
      </c>
      <c r="K88" s="32" t="n">
        <v>1637223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73.19</v>
      </c>
      <c r="P88" s="32" t="n">
        <v>39.21</v>
      </c>
      <c r="Q88" s="32" t="n">
        <v>615.3200000000001</v>
      </c>
      <c r="R88" s="31" t="inlineStr">
        <is>
          <t>Near 52W High Breakout</t>
        </is>
      </c>
      <c r="S88" s="31" t="inlineStr">
        <is>
          <t>Nifty Auto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IF(B89=0,"",RANK(B89,$B$2:$B$360,0))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NETWEB</t>
        </is>
      </c>
      <c r="D89" s="31" t="inlineStr">
        <is>
          <t>Netweb Technologies India Ltd</t>
        </is>
      </c>
      <c r="E89" s="31" t="inlineStr">
        <is>
          <t>i.t</t>
        </is>
      </c>
      <c r="F89" s="31" t="inlineStr">
        <is>
          <t>computers - hardware</t>
        </is>
      </c>
      <c r="G89" s="31" t="inlineStr">
        <is>
          <t>largecap</t>
        </is>
      </c>
      <c r="H89" s="32" t="n">
        <v>29679.76</v>
      </c>
      <c r="I89" s="32" t="n">
        <v>5354.5</v>
      </c>
      <c r="J89" s="32" t="n">
        <v>2.73</v>
      </c>
      <c r="K89" s="32" t="n">
        <v>2395703</v>
      </c>
      <c r="L89" s="31" t="n">
        <v>85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67.58</v>
      </c>
      <c r="P89" s="32" t="n">
        <v>38.36</v>
      </c>
      <c r="Q89" s="32" t="n">
        <v>4010.71</v>
      </c>
      <c r="R89" s="31" t="inlineStr">
        <is>
          <t>Near 52W High Breakout</t>
        </is>
      </c>
      <c r="S89" s="31" t="inlineStr">
        <is>
          <t>Nifty IT</t>
        </is>
      </c>
      <c r="T89" s="32" t="n">
        <v>-14.75</v>
      </c>
      <c r="U89" s="32" t="n">
        <v>130.7</v>
      </c>
      <c r="V89" s="32" t="n">
        <v>170.62</v>
      </c>
      <c r="W89" s="32" t="n">
        <v>27.3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IF(B90=0,"",RANK(B90,$B$2:$B$360,0))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SKYGOLD</t>
        </is>
      </c>
      <c r="D90" s="31" t="inlineStr">
        <is>
          <t>Sky Gold Ltd</t>
        </is>
      </c>
      <c r="E90" s="31" t="inlineStr">
        <is>
          <t>consumer discretionary</t>
        </is>
      </c>
      <c r="F90" s="31" t="inlineStr">
        <is>
          <t>diamond cutting / jewellery</t>
        </is>
      </c>
      <c r="G90" s="31" t="inlineStr">
        <is>
          <t>midcap</t>
        </is>
      </c>
      <c r="H90" s="32" t="n">
        <v>12024.41</v>
      </c>
      <c r="I90" s="32" t="n">
        <v>795.05</v>
      </c>
      <c r="J90" s="32" t="n">
        <v>2.4</v>
      </c>
      <c r="K90" s="32" t="n">
        <v>703295</v>
      </c>
      <c r="L90" s="31" t="n">
        <v>92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81.11</v>
      </c>
      <c r="P90" s="32" t="n">
        <v>63.34</v>
      </c>
      <c r="Q90" s="32" t="n">
        <v>612.05</v>
      </c>
      <c r="R90" s="31" t="inlineStr">
        <is>
          <t>Near 52W High Breakout</t>
        </is>
      </c>
      <c r="S90" s="31" t="inlineStr">
        <is>
          <t>Nifty 50</t>
        </is>
      </c>
      <c r="T90" s="32" t="n">
        <v>-2.88</v>
      </c>
      <c r="U90" s="32" t="n">
        <v>160.71</v>
      </c>
      <c r="V90" s="32" t="n">
        <v>168.43</v>
      </c>
      <c r="W90" s="32" t="n">
        <v>37.3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IF(B91=0,"",RANK(B91,$B$2:$B$360,0))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SONACOMS</t>
        </is>
      </c>
      <c r="D91" s="31" t="inlineStr">
        <is>
          <t>Sona BLW Precision Forgings Ltd</t>
        </is>
      </c>
      <c r="E91" s="31" t="inlineStr">
        <is>
          <t>auto</t>
        </is>
      </c>
      <c r="F91" s="31" t="inlineStr">
        <is>
          <t>auto ancillaries</t>
        </is>
      </c>
      <c r="G91" s="31" t="inlineStr">
        <is>
          <t>largecap</t>
        </is>
      </c>
      <c r="H91" s="32" t="n">
        <v>50080.02</v>
      </c>
      <c r="I91" s="32" t="n">
        <v>824</v>
      </c>
      <c r="J91" s="32" t="n">
        <v>2.35</v>
      </c>
      <c r="K91" s="32" t="n">
        <v>5674095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78.67</v>
      </c>
      <c r="P91" s="32" t="n">
        <v>52.38</v>
      </c>
      <c r="Q91" s="32" t="n">
        <v>701.53</v>
      </c>
      <c r="R91" s="31" t="inlineStr">
        <is>
          <t>Near 52W High Breakout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IF(B92=0,"",RANK(B92,$B$2:$B$360,0))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PANACHE</t>
        </is>
      </c>
      <c r="D92" s="31" t="inlineStr">
        <is>
          <t>Panache Digilife Ltd</t>
        </is>
      </c>
      <c r="E92" s="31" t="inlineStr">
        <is>
          <t>i.t</t>
        </is>
      </c>
      <c r="F92" s="31" t="inlineStr">
        <is>
          <t>computers - hardware</t>
        </is>
      </c>
      <c r="G92" s="31" t="inlineStr">
        <is>
          <t>smallcap</t>
        </is>
      </c>
      <c r="H92" s="32" t="n">
        <v>865.8</v>
      </c>
      <c r="I92" s="32" t="n">
        <v>551.8</v>
      </c>
      <c r="J92" s="32" t="n">
        <v>2.06</v>
      </c>
      <c r="K92" s="32" t="n">
        <v>8922</v>
      </c>
      <c r="L92" s="31" t="n">
        <v>88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73.45999999999999</v>
      </c>
      <c r="P92" s="32" t="n">
        <v>27.48</v>
      </c>
      <c r="Q92" s="32" t="n">
        <v>409.14</v>
      </c>
      <c r="R92" s="31" t="inlineStr">
        <is>
          <t>Near 52W High Breakout</t>
        </is>
      </c>
      <c r="S92" s="31" t="inlineStr">
        <is>
          <t>Nifty IT</t>
        </is>
      </c>
      <c r="T92" s="32" t="n">
        <v>-14.75</v>
      </c>
      <c r="U92" s="32" t="n">
        <v>114.87</v>
      </c>
      <c r="V92" s="32" t="n">
        <v>152.05</v>
      </c>
      <c r="W92" s="32" t="n">
        <v>31.14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IF(B93=0,"",RANK(B93,$B$2:$B$360,0))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NILKAMAL</t>
        </is>
      </c>
      <c r="D93" s="31" t="inlineStr">
        <is>
          <t>Nilkamal Limited</t>
        </is>
      </c>
      <c r="E93" s="31" t="inlineStr">
        <is>
          <t>plastic products</t>
        </is>
      </c>
      <c r="F93" s="31" t="inlineStr">
        <is>
          <t>plastics products</t>
        </is>
      </c>
      <c r="G93" s="31" t="inlineStr">
        <is>
          <t>smallcap</t>
        </is>
      </c>
      <c r="H93" s="32" t="n">
        <v>2700.98</v>
      </c>
      <c r="I93" s="32" t="n">
        <v>1846.7</v>
      </c>
      <c r="J93" s="32" t="n">
        <v>2.03</v>
      </c>
      <c r="K93" s="32" t="n">
        <v>37403</v>
      </c>
      <c r="L93" s="31" t="n">
        <v>65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75.87</v>
      </c>
      <c r="P93" s="32" t="n">
        <v>34.01</v>
      </c>
      <c r="Q93" s="32" t="n">
        <v>1478.08</v>
      </c>
      <c r="R93" s="31" t="inlineStr">
        <is>
          <t>Near 52W High Breakout</t>
        </is>
      </c>
      <c r="S93" s="31" t="inlineStr">
        <is>
          <t>Nifty 50</t>
        </is>
      </c>
      <c r="T93" s="32" t="n">
        <v>-2.88</v>
      </c>
      <c r="U93" s="32" t="n">
        <v>18.51</v>
      </c>
      <c r="V93" s="32" t="n">
        <v>22.02</v>
      </c>
      <c r="W93" s="32" t="n">
        <v>16.01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IF(B94=0,"",RANK(B94,$B$2:$B$360,0))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SSWL</t>
        </is>
      </c>
      <c r="D94" s="31" t="inlineStr">
        <is>
          <t>Steel Strips Wheels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smallcap</t>
        </is>
      </c>
      <c r="H94" s="32" t="n">
        <v>4864.73</v>
      </c>
      <c r="I94" s="32" t="n">
        <v>315.25</v>
      </c>
      <c r="J94" s="32" t="n">
        <v>1.86</v>
      </c>
      <c r="K94" s="32" t="n">
        <v>504291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76.63</v>
      </c>
      <c r="P94" s="32" t="n">
        <v>32.45</v>
      </c>
      <c r="Q94" s="32" t="n">
        <v>252.47</v>
      </c>
      <c r="R94" s="31" t="inlineStr">
        <is>
          <t>Near 52W High Breakout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IF(B95=0,"",RANK(B95,$B$2:$B$360,0))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AETHER</t>
        </is>
      </c>
      <c r="D95" s="31" t="inlineStr">
        <is>
          <t>Aether Industries Ltd</t>
        </is>
      </c>
      <c r="E95" s="31" t="inlineStr">
        <is>
          <t>chemicals</t>
        </is>
      </c>
      <c r="F95" s="31" t="inlineStr">
        <is>
          <t>chemicals</t>
        </is>
      </c>
      <c r="G95" s="31" t="inlineStr">
        <is>
          <t>largecap</t>
        </is>
      </c>
      <c r="H95" s="32" t="n">
        <v>21309.66</v>
      </c>
      <c r="I95" s="32" t="n">
        <v>1635</v>
      </c>
      <c r="J95" s="32" t="n">
        <v>1.82</v>
      </c>
      <c r="K95" s="32" t="n">
        <v>308474</v>
      </c>
      <c r="L95" s="31" t="n">
        <v>86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76.29000000000001</v>
      </c>
      <c r="P95" s="32" t="n">
        <v>48.17</v>
      </c>
      <c r="Q95" s="32" t="n">
        <v>1321.76</v>
      </c>
      <c r="R95" s="31" t="inlineStr">
        <is>
          <t>Near 52W High Breakout</t>
        </is>
      </c>
      <c r="S95" s="31" t="inlineStr">
        <is>
          <t>Nifty 50</t>
        </is>
      </c>
      <c r="T95" s="32" t="n">
        <v>-2.88</v>
      </c>
      <c r="U95" s="32" t="n">
        <v>111.8</v>
      </c>
      <c r="V95" s="32" t="n">
        <v>118.07</v>
      </c>
      <c r="W95" s="32" t="n">
        <v>28.78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IF(B96=0,"",RANK(B96,$B$2:$B$360,0))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SHRIPISTON</t>
        </is>
      </c>
      <c r="D96" s="31" t="inlineStr">
        <is>
          <t>Shriram Pistons &amp; Rings Limited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midcap</t>
        </is>
      </c>
      <c r="H96" s="32" t="n">
        <v>19543.14</v>
      </c>
      <c r="I96" s="32" t="n">
        <v>4500</v>
      </c>
      <c r="J96" s="32" t="n">
        <v>1.43</v>
      </c>
      <c r="K96" s="32" t="n">
        <v>130497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74.59999999999999</v>
      </c>
      <c r="P96" s="32" t="n">
        <v>46.39</v>
      </c>
      <c r="Q96" s="32" t="n">
        <v>3636.82</v>
      </c>
      <c r="R96" s="31" t="inlineStr">
        <is>
          <t>Near 52W High Breakout</t>
        </is>
      </c>
      <c r="S96" s="31" t="inlineStr">
        <is>
          <t>Nifty Auto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IF(B97=0,"",RANK(B97,$B$2:$B$360,0))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RRKABEL</t>
        </is>
      </c>
      <c r="D97" s="31" t="inlineStr">
        <is>
          <t>R R Kabel Ltd</t>
        </is>
      </c>
      <c r="E97" s="31" t="inlineStr">
        <is>
          <t>industrials</t>
        </is>
      </c>
      <c r="F97" s="31" t="inlineStr">
        <is>
          <t>cables - power</t>
        </is>
      </c>
      <c r="G97" s="31" t="inlineStr">
        <is>
          <t>largecap</t>
        </is>
      </c>
      <c r="H97" s="32" t="n">
        <v>31088.18</v>
      </c>
      <c r="I97" s="32" t="n">
        <v>2784.9</v>
      </c>
      <c r="J97" s="32" t="n">
        <v>1.32</v>
      </c>
      <c r="K97" s="32" t="n">
        <v>698009</v>
      </c>
      <c r="L97" s="31" t="n">
        <v>93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77.34</v>
      </c>
      <c r="P97" s="32" t="n">
        <v>67.87</v>
      </c>
      <c r="Q97" s="32" t="n">
        <v>2231.49</v>
      </c>
      <c r="R97" s="31" t="inlineStr">
        <is>
          <t>Near 52W High Breakout</t>
        </is>
      </c>
      <c r="S97" s="31" t="inlineStr">
        <is>
          <t>Nifty Energy</t>
        </is>
      </c>
      <c r="T97" s="32" t="n">
        <v>9.44</v>
      </c>
      <c r="U97" s="32" t="n">
        <v>100.54</v>
      </c>
      <c r="V97" s="32" t="n">
        <v>83.23999999999999</v>
      </c>
      <c r="W97" s="32" t="n">
        <v>38.38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IF(B98=0,"",RANK(B98,$B$2:$B$360,0))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FINCABLES</t>
        </is>
      </c>
      <c r="D98" s="31" t="inlineStr">
        <is>
          <t>Finolex Cables Limited</t>
        </is>
      </c>
      <c r="E98" s="31" t="inlineStr">
        <is>
          <t>industrials</t>
        </is>
      </c>
      <c r="F98" s="31" t="inlineStr">
        <is>
          <t>cables - power</t>
        </is>
      </c>
      <c r="G98" s="31" t="inlineStr">
        <is>
          <t>largecap</t>
        </is>
      </c>
      <c r="H98" s="32" t="n">
        <v>20200.99</v>
      </c>
      <c r="I98" s="32" t="n">
        <v>1329.35</v>
      </c>
      <c r="J98" s="32" t="n">
        <v>0.64</v>
      </c>
      <c r="K98" s="32" t="n">
        <v>885223</v>
      </c>
      <c r="L98" s="31" t="n">
        <v>70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68.76000000000001</v>
      </c>
      <c r="P98" s="32" t="n">
        <v>35.1</v>
      </c>
      <c r="Q98" s="32" t="n">
        <v>1007.28</v>
      </c>
      <c r="R98" s="31" t="inlineStr">
        <is>
          <t>Near 52W High Breakout</t>
        </is>
      </c>
      <c r="S98" s="31" t="inlineStr">
        <is>
          <t>Nifty Energy</t>
        </is>
      </c>
      <c r="T98" s="32" t="n">
        <v>9.44</v>
      </c>
      <c r="U98" s="32" t="n">
        <v>49.35</v>
      </c>
      <c r="V98" s="32" t="n">
        <v>36.47</v>
      </c>
      <c r="W98" s="32" t="n">
        <v>17.65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IF(B99=0,"",RANK(B99,$B$2:$B$360,0))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ORIENTBELL</t>
        </is>
      </c>
      <c r="D99" s="31" t="inlineStr">
        <is>
          <t>Orient Bell Limited</t>
        </is>
      </c>
      <c r="E99" s="31" t="inlineStr">
        <is>
          <t>building materials</t>
        </is>
      </c>
      <c r="F99" s="31" t="inlineStr">
        <is>
          <t>ceramics - tiles / sanitaryware</t>
        </is>
      </c>
      <c r="G99" s="31" t="inlineStr">
        <is>
          <t>smallcap</t>
        </is>
      </c>
      <c r="H99" s="32" t="n">
        <v>513.47</v>
      </c>
      <c r="I99" s="32" t="n">
        <v>351</v>
      </c>
      <c r="J99" s="32" t="n">
        <v>0.5600000000000001</v>
      </c>
      <c r="K99" s="32" t="n">
        <v>31209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61.91</v>
      </c>
      <c r="P99" s="32" t="n">
        <v>38.59</v>
      </c>
      <c r="Q99" s="32" t="n">
        <v>266.4</v>
      </c>
      <c r="R99" s="31" t="inlineStr">
        <is>
          <t>Near 52W High Breakout</t>
        </is>
      </c>
      <c r="S99" s="31" t="inlineStr">
        <is>
          <t>Nifty Infra</t>
        </is>
      </c>
      <c r="T99" s="32" t="inlineStr"/>
      <c r="U99" s="32" t="inlineStr"/>
      <c r="V99" s="32" t="inlineStr"/>
      <c r="W99" s="32" t="inlineStr"/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IF(B100=0,"",RANK(B100,$B$2:$B$360,0))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HITECHCORP</t>
        </is>
      </c>
      <c r="D100" s="31" t="inlineStr">
        <is>
          <t>Hitech Corporation</t>
        </is>
      </c>
      <c r="E100" s="31" t="inlineStr">
        <is>
          <t>industrials</t>
        </is>
      </c>
      <c r="F100" s="31" t="inlineStr">
        <is>
          <t>packaging</t>
        </is>
      </c>
      <c r="G100" s="31" t="inlineStr">
        <is>
          <t>smallcap</t>
        </is>
      </c>
      <c r="H100" s="32" t="n">
        <v>567.0599999999999</v>
      </c>
      <c r="I100" s="32" t="n">
        <v>331.05</v>
      </c>
      <c r="J100" s="32" t="n">
        <v>0.27</v>
      </c>
      <c r="K100" s="32" t="n">
        <v>8174</v>
      </c>
      <c r="L100" s="31" t="n">
        <v>91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80.92</v>
      </c>
      <c r="P100" s="32" t="n">
        <v>62.82</v>
      </c>
      <c r="Q100" s="32" t="n">
        <v>271.77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-2.88</v>
      </c>
      <c r="U100" s="32" t="n">
        <v>63.34</v>
      </c>
      <c r="V100" s="32" t="n">
        <v>68.17</v>
      </c>
      <c r="W100" s="32" t="n">
        <v>35.62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IF(B101=0,"",RANK(B101,$B$2:$B$360,0))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NAUKRI</t>
        </is>
      </c>
      <c r="D101" s="31" t="inlineStr">
        <is>
          <t>Info Edge (india) Limited</t>
        </is>
      </c>
      <c r="E101" s="31" t="inlineStr">
        <is>
          <t>i.t</t>
        </is>
      </c>
      <c r="F101" s="31" t="inlineStr">
        <is>
          <t>miscellaneous</t>
        </is>
      </c>
      <c r="G101" s="31" t="inlineStr">
        <is>
          <t>largecap</t>
        </is>
      </c>
      <c r="H101" s="32" t="n">
        <v>87912.86</v>
      </c>
      <c r="I101" s="32" t="n">
        <v>1354.9</v>
      </c>
      <c r="J101" s="32" t="n">
        <v>-0.07000000000000001</v>
      </c>
      <c r="K101" s="32" t="n">
        <v>3040128</v>
      </c>
      <c r="L101" s="31" t="n">
        <v>44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70.17</v>
      </c>
      <c r="P101" s="32" t="n">
        <v>24.56</v>
      </c>
      <c r="Q101" s="32" t="n">
        <v>1104.12</v>
      </c>
      <c r="R101" s="31" t="inlineStr">
        <is>
          <t>Near 52W High Breakout</t>
        </is>
      </c>
      <c r="S101" s="31" t="inlineStr">
        <is>
          <t>Nifty IT</t>
        </is>
      </c>
      <c r="T101" s="32" t="n">
        <v>-14.75</v>
      </c>
      <c r="U101" s="32" t="n">
        <v>-1.17</v>
      </c>
      <c r="V101" s="32" t="n">
        <v>15.93</v>
      </c>
      <c r="W101" s="32" t="n">
        <v>9.98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IF(B102=0,"",RANK(B102,$B$2:$B$360,0))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COMSYN</t>
        </is>
      </c>
      <c r="D102" s="31" t="inlineStr">
        <is>
          <t>Commercial Syn Bags Ltd</t>
        </is>
      </c>
      <c r="E102" s="31" t="inlineStr">
        <is>
          <t>industrials</t>
        </is>
      </c>
      <c r="F102" s="31" t="inlineStr">
        <is>
          <t>packaging</t>
        </is>
      </c>
      <c r="G102" s="31" t="inlineStr">
        <is>
          <t>smallcap</t>
        </is>
      </c>
      <c r="H102" s="32" t="n">
        <v>1136.31</v>
      </c>
      <c r="I102" s="32" t="n">
        <v>279.8</v>
      </c>
      <c r="J102" s="32" t="n">
        <v>-0.67</v>
      </c>
      <c r="K102" s="32" t="n">
        <v>49502</v>
      </c>
      <c r="L102" s="31" t="n">
        <v>91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77.76000000000001</v>
      </c>
      <c r="P102" s="32" t="n">
        <v>63.81</v>
      </c>
      <c r="Q102" s="32" t="n">
        <v>217.66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-2.88</v>
      </c>
      <c r="U102" s="32" t="n">
        <v>103.65</v>
      </c>
      <c r="V102" s="32" t="n">
        <v>109.68</v>
      </c>
      <c r="W102" s="32" t="n">
        <v>36.74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IF(B103=0,"",RANK(B103,$B$2:$B$360,0))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ASKAUTOLTD</t>
        </is>
      </c>
      <c r="D103" s="31" t="inlineStr">
        <is>
          <t>ASK Automotive Ltd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midcap</t>
        </is>
      </c>
      <c r="H103" s="32" t="n">
        <v>12798.5</v>
      </c>
      <c r="I103" s="32" t="n">
        <v>643</v>
      </c>
      <c r="J103" s="32" t="n">
        <v>-0.96</v>
      </c>
      <c r="K103" s="32" t="n">
        <v>260655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78.29000000000001</v>
      </c>
      <c r="P103" s="32" t="n">
        <v>23.48</v>
      </c>
      <c r="Q103" s="32" t="n">
        <v>522.67</v>
      </c>
      <c r="R103" s="31" t="inlineStr">
        <is>
          <t>Near 52W High Breakout</t>
        </is>
      </c>
      <c r="S103" s="31" t="inlineStr">
        <is>
          <t>Nifty Auto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IF(B104=0,"",RANK(B104,$B$2:$B$360,0))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ATHERENERG</t>
        </is>
      </c>
      <c r="D104" s="31" t="inlineStr">
        <is>
          <t>Ather Energy Ltd</t>
        </is>
      </c>
      <c r="E104" s="31" t="inlineStr">
        <is>
          <t>auto</t>
        </is>
      </c>
      <c r="F104" s="31" t="inlineStr">
        <is>
          <t>automobiles - scooters and 3 - wheelers</t>
        </is>
      </c>
      <c r="G104" s="31" t="inlineStr">
        <is>
          <t>largecap</t>
        </is>
      </c>
      <c r="H104" s="32" t="n">
        <v>58535.49</v>
      </c>
      <c r="I104" s="32" t="n">
        <v>1465.8</v>
      </c>
      <c r="J104" s="32" t="n">
        <v>-1.31</v>
      </c>
      <c r="K104" s="32" t="n">
        <v>2760706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76.34</v>
      </c>
      <c r="P104" s="32" t="n">
        <v>61.91</v>
      </c>
      <c r="Q104" s="32" t="n">
        <v>1178.05</v>
      </c>
      <c r="R104" s="31" t="inlineStr">
        <is>
          <t>Near 52W High Breakout</t>
        </is>
      </c>
      <c r="S104" s="31" t="inlineStr">
        <is>
          <t>Nifty Auto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IF(B105=0,"",RANK(B105,$B$2:$B$360,0))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PAYTM</t>
        </is>
      </c>
      <c r="D105" s="31" t="inlineStr">
        <is>
          <t>One 97 Communications Ltd</t>
        </is>
      </c>
      <c r="E105" s="31" t="inlineStr">
        <is>
          <t>i.t</t>
        </is>
      </c>
      <c r="F105" s="31" t="inlineStr">
        <is>
          <t>miscellaneous</t>
        </is>
      </c>
      <c r="G105" s="31" t="inlineStr">
        <is>
          <t>largecap</t>
        </is>
      </c>
      <c r="H105" s="32" t="n">
        <v>101186.05</v>
      </c>
      <c r="I105" s="32" t="n">
        <v>1546.3</v>
      </c>
      <c r="J105" s="32" t="n">
        <v>-2.15</v>
      </c>
      <c r="K105" s="32" t="n">
        <v>11453831</v>
      </c>
      <c r="L105" s="31" t="n">
        <v>55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68.63</v>
      </c>
      <c r="P105" s="32" t="n">
        <v>20.95</v>
      </c>
      <c r="Q105" s="32" t="n">
        <v>1284.59</v>
      </c>
      <c r="R105" s="31" t="inlineStr">
        <is>
          <t>Near 52W High Breakout</t>
        </is>
      </c>
      <c r="S105" s="31" t="inlineStr">
        <is>
          <t>Nifty IT</t>
        </is>
      </c>
      <c r="T105" s="32" t="n">
        <v>-14.75</v>
      </c>
      <c r="U105" s="32" t="n">
        <v>22.28</v>
      </c>
      <c r="V105" s="32" t="n">
        <v>43.43</v>
      </c>
      <c r="W105" s="32" t="n">
        <v>13.13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IF(B106=0,"",RANK(B106,$B$2:$B$360,0))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DYCL</t>
        </is>
      </c>
      <c r="D106" s="31" t="inlineStr">
        <is>
          <t>Dynamic Cables Ltd</t>
        </is>
      </c>
      <c r="E106" s="31" t="inlineStr">
        <is>
          <t>industrials</t>
        </is>
      </c>
      <c r="F106" s="31" t="inlineStr">
        <is>
          <t>cables - power</t>
        </is>
      </c>
      <c r="G106" s="31" t="inlineStr">
        <is>
          <t>smallcap</t>
        </is>
      </c>
      <c r="H106" s="32" t="n">
        <v>2255.02</v>
      </c>
      <c r="I106" s="32" t="n">
        <v>452.9</v>
      </c>
      <c r="J106" s="32" t="n">
        <v>-2.68</v>
      </c>
      <c r="K106" s="32" t="n">
        <v>396732</v>
      </c>
      <c r="L106" s="31" t="n">
        <v>45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66.29000000000001</v>
      </c>
      <c r="P106" s="32" t="n">
        <v>25.34</v>
      </c>
      <c r="Q106" s="32" t="n">
        <v>320.94</v>
      </c>
      <c r="R106" s="31" t="inlineStr">
        <is>
          <t>Near 52W High Breakout</t>
        </is>
      </c>
      <c r="S106" s="31" t="inlineStr">
        <is>
          <t>Nifty Energy</t>
        </is>
      </c>
      <c r="T106" s="32" t="n">
        <v>9.44</v>
      </c>
      <c r="U106" s="32" t="n">
        <v>10.93</v>
      </c>
      <c r="V106" s="32" t="n">
        <v>1.36</v>
      </c>
      <c r="W106" s="32" t="n">
        <v>10.22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IF(B107=0,"",RANK(B107,$B$2:$B$360,0))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ACUTAAS</t>
        </is>
      </c>
      <c r="D107" s="31" t="inlineStr">
        <is>
          <t>Acutaas Chemicals Ltd</t>
        </is>
      </c>
      <c r="E107" s="31" t="inlineStr">
        <is>
          <t>healthcare</t>
        </is>
      </c>
      <c r="F107" s="31" t="inlineStr">
        <is>
          <t>pharmaceuticals - indian - bulk drugs</t>
        </is>
      </c>
      <c r="G107" s="31" t="inlineStr">
        <is>
          <t>largecap</t>
        </is>
      </c>
      <c r="H107" s="32" t="n">
        <v>26184.02</v>
      </c>
      <c r="I107" s="32" t="n">
        <v>3391.4</v>
      </c>
      <c r="J107" s="32" t="n">
        <v>6.04</v>
      </c>
      <c r="K107" s="32" t="n">
        <v>423377</v>
      </c>
      <c r="L107" s="31" t="n">
        <v>79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61.66</v>
      </c>
      <c r="P107" s="32" t="n">
        <v>62.85</v>
      </c>
      <c r="Q107" s="32" t="n">
        <v>2826.7</v>
      </c>
      <c r="R107" s="31" t="inlineStr">
        <is>
          <t>Earnings / Momentum Support</t>
        </is>
      </c>
      <c r="S107" s="31" t="inlineStr">
        <is>
          <t>Nifty Pharma</t>
        </is>
      </c>
      <c r="T107" s="32" t="n">
        <v>18.4</v>
      </c>
      <c r="U107" s="32" t="n">
        <v>138.42</v>
      </c>
      <c r="V107" s="32" t="n">
        <v>101.37</v>
      </c>
      <c r="W107" s="32" t="n">
        <v>22.67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IF(B108=0,"",RANK(B108,$B$2:$B$360,0))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TASTYBITE</t>
        </is>
      </c>
      <c r="D108" s="31" t="inlineStr">
        <is>
          <t>Tasty Bite Eatables Ltd</t>
        </is>
      </c>
      <c r="E108" s="31" t="inlineStr">
        <is>
          <t>fmcg</t>
        </is>
      </c>
      <c r="F108" s="31" t="inlineStr">
        <is>
          <t>food - processing - indian</t>
        </is>
      </c>
      <c r="G108" s="31" t="inlineStr">
        <is>
          <t>smallcap</t>
        </is>
      </c>
      <c r="H108" s="32" t="n">
        <v>2569.72</v>
      </c>
      <c r="I108" s="32" t="n">
        <v>10155</v>
      </c>
      <c r="J108" s="32" t="n">
        <v>1.4</v>
      </c>
      <c r="K108" s="32" t="n">
        <v>24438</v>
      </c>
      <c r="L108" s="31" t="n">
        <v>47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72.91</v>
      </c>
      <c r="P108" s="32" t="n">
        <v>45.82</v>
      </c>
      <c r="Q108" s="32" t="n">
        <v>7934.56</v>
      </c>
      <c r="R108" s="31" t="inlineStr">
        <is>
          <t>Near 52W High Breakout</t>
        </is>
      </c>
      <c r="S108" s="31" t="inlineStr">
        <is>
          <t>Nifty FMCG</t>
        </is>
      </c>
      <c r="T108" s="32" t="n">
        <v>-12.54</v>
      </c>
      <c r="U108" s="32" t="n">
        <v>-5.84</v>
      </c>
      <c r="V108" s="32" t="n">
        <v>7.66</v>
      </c>
      <c r="W108" s="32" t="n">
        <v>10.44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B2C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IF(B109=0,"",RANK(B109,$B$2:$B$360,0))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LALPATHLAB</t>
        </is>
      </c>
      <c r="D109" s="33" t="inlineStr">
        <is>
          <t>Dr. Lal Path Labs Ltd.</t>
        </is>
      </c>
      <c r="E109" s="31" t="inlineStr">
        <is>
          <t>healthcare</t>
        </is>
      </c>
      <c r="F109" s="31" t="inlineStr">
        <is>
          <t>healthcare</t>
        </is>
      </c>
      <c r="G109" s="31" t="inlineStr">
        <is>
          <t>largecap</t>
        </is>
      </c>
      <c r="H109" s="32" t="n">
        <v>31470.64</v>
      </c>
      <c r="I109" s="32" t="n">
        <v>1894</v>
      </c>
      <c r="J109" s="32" t="n">
        <v>0.89</v>
      </c>
      <c r="K109" s="32" t="n">
        <v>211640</v>
      </c>
      <c r="L109" s="31" t="n">
        <v>29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71.44</v>
      </c>
      <c r="P109" s="32" t="n">
        <v>42.33</v>
      </c>
      <c r="Q109" s="32" t="n">
        <v>1615.91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18.4</v>
      </c>
      <c r="U109" s="32" t="n">
        <v>13.79</v>
      </c>
      <c r="V109" s="32" t="n">
        <v>-3.89</v>
      </c>
      <c r="W109" s="32" t="n">
        <v>6.7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IF(B110=0,"",RANK(B110,$B$2:$B$360,0))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LAURUSLABS</t>
        </is>
      </c>
      <c r="D110" s="31" t="inlineStr">
        <is>
          <t>Laurus Labs Limited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largecap</t>
        </is>
      </c>
      <c r="H110" s="32" t="n">
        <v>97768.97</v>
      </c>
      <c r="I110" s="32" t="n">
        <v>1814</v>
      </c>
      <c r="J110" s="32" t="n">
        <v>0.24</v>
      </c>
      <c r="K110" s="32" t="n">
        <v>3803574</v>
      </c>
      <c r="L110" s="31" t="n">
        <v>81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80.41</v>
      </c>
      <c r="P110" s="32" t="n">
        <v>66.62</v>
      </c>
      <c r="Q110" s="32" t="n">
        <v>1587.76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18.4</v>
      </c>
      <c r="U110" s="32" t="n">
        <v>106.72</v>
      </c>
      <c r="V110" s="32" t="n">
        <v>74.59999999999999</v>
      </c>
      <c r="W110" s="32" t="n">
        <v>23.51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IF(B111=0,"",RANK(B111,$B$2:$B$360,0))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DIAMONDYD</t>
        </is>
      </c>
      <c r="D111" s="31" t="inlineStr">
        <is>
          <t>Prataap Snacks Ltd</t>
        </is>
      </c>
      <c r="E111" s="31" t="inlineStr">
        <is>
          <t>fmcg</t>
        </is>
      </c>
      <c r="F111" s="31" t="inlineStr">
        <is>
          <t>food - processing - indian</t>
        </is>
      </c>
      <c r="G111" s="31" t="inlineStr">
        <is>
          <t>smallcap</t>
        </is>
      </c>
      <c r="H111" s="32" t="n">
        <v>2846.31</v>
      </c>
      <c r="I111" s="32" t="n">
        <v>1193</v>
      </c>
      <c r="J111" s="32" t="n">
        <v>0.22</v>
      </c>
      <c r="K111" s="32" t="n">
        <v>11075</v>
      </c>
      <c r="L111" s="31" t="n">
        <v>36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59.08</v>
      </c>
      <c r="P111" s="32" t="n">
        <v>27.54</v>
      </c>
      <c r="Q111" s="32" t="n">
        <v>985.99</v>
      </c>
      <c r="R111" s="31" t="inlineStr">
        <is>
          <t>Near 52W High Breakout</t>
        </is>
      </c>
      <c r="S111" s="31" t="inlineStr">
        <is>
          <t>Nifty FMCG</t>
        </is>
      </c>
      <c r="T111" s="32" t="n">
        <v>-12.54</v>
      </c>
      <c r="U111" s="32" t="n">
        <v>20.02</v>
      </c>
      <c r="V111" s="32" t="n">
        <v>37.23</v>
      </c>
      <c r="W111" s="32" t="n">
        <v>8.18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IF(B112=0,"",RANK(B112,$B$2:$B$360,0))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SHILPAMED</t>
        </is>
      </c>
      <c r="D112" s="31" t="inlineStr">
        <is>
          <t>Shilpa Medicare Limited</t>
        </is>
      </c>
      <c r="E112" s="31" t="inlineStr">
        <is>
          <t>healthcare</t>
        </is>
      </c>
      <c r="F112" s="31" t="inlineStr">
        <is>
          <t>pharmaceuticals - indian - formulations</t>
        </is>
      </c>
      <c r="G112" s="31" t="inlineStr">
        <is>
          <t>midcap</t>
        </is>
      </c>
      <c r="H112" s="32" t="n">
        <v>15828.44</v>
      </c>
      <c r="I112" s="32" t="n">
        <v>809.8</v>
      </c>
      <c r="J112" s="32" t="n">
        <v>0.06</v>
      </c>
      <c r="K112" s="32" t="n">
        <v>606333</v>
      </c>
      <c r="L112" s="31" t="n">
        <v>88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86.55</v>
      </c>
      <c r="P112" s="32" t="n">
        <v>74.72</v>
      </c>
      <c r="Q112" s="32" t="n">
        <v>669.4</v>
      </c>
      <c r="R112" s="31" t="inlineStr">
        <is>
          <t>Near 52W High Breakout</t>
        </is>
      </c>
      <c r="S112" s="31" t="inlineStr">
        <is>
          <t>Nifty Pharma</t>
        </is>
      </c>
      <c r="T112" s="32" t="n">
        <v>18.4</v>
      </c>
      <c r="U112" s="32" t="n">
        <v>90.34999999999999</v>
      </c>
      <c r="V112" s="32" t="n">
        <v>60.76</v>
      </c>
      <c r="W112" s="32" t="n">
        <v>31.27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IF(B113=0,"",RANK(B113,$B$2:$B$360,0))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AVTNPL</t>
        </is>
      </c>
      <c r="D113" s="31" t="inlineStr">
        <is>
          <t>Avt Natural Products Limited</t>
        </is>
      </c>
      <c r="E113" s="31" t="inlineStr">
        <is>
          <t>fmcg</t>
        </is>
      </c>
      <c r="F113" s="31" t="inlineStr">
        <is>
          <t>solvent extraction</t>
        </is>
      </c>
      <c r="G113" s="31" t="inlineStr">
        <is>
          <t>smallcap</t>
        </is>
      </c>
      <c r="H113" s="32" t="n">
        <v>1341.62</v>
      </c>
      <c r="I113" s="32" t="n">
        <v>88</v>
      </c>
      <c r="J113" s="32" t="n">
        <v>-0.11</v>
      </c>
      <c r="K113" s="32" t="n">
        <v>1327148</v>
      </c>
      <c r="L113" s="31" t="n">
        <v>45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76.90000000000001</v>
      </c>
      <c r="P113" s="32" t="n">
        <v>34.3</v>
      </c>
      <c r="Q113" s="32" t="n">
        <v>70.06999999999999</v>
      </c>
      <c r="R113" s="31" t="inlineStr">
        <is>
          <t>Volume Spike &amp; Near 52W High Breakout</t>
        </is>
      </c>
      <c r="S113" s="31" t="inlineStr">
        <is>
          <t>Nifty FMCG</t>
        </is>
      </c>
      <c r="T113" s="32" t="n">
        <v>-12.54</v>
      </c>
      <c r="U113" s="32" t="n">
        <v>16.38</v>
      </c>
      <c r="V113" s="32" t="n">
        <v>33.06</v>
      </c>
      <c r="W113" s="32" t="n">
        <v>10.23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IF(B114=0,"",RANK(B114,$B$2:$B$360,0))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BALRAMCHIN</t>
        </is>
      </c>
      <c r="D114" s="31" t="inlineStr">
        <is>
          <t>Balrampur Chini Mills Limited</t>
        </is>
      </c>
      <c r="E114" s="31" t="inlineStr">
        <is>
          <t>fmcg</t>
        </is>
      </c>
      <c r="F114" s="31" t="inlineStr">
        <is>
          <t>sugar</t>
        </is>
      </c>
      <c r="G114" s="31" t="inlineStr">
        <is>
          <t>midcap</t>
        </is>
      </c>
      <c r="H114" s="32" t="n">
        <v>13853.85</v>
      </c>
      <c r="I114" s="32" t="n">
        <v>653.25</v>
      </c>
      <c r="J114" s="32" t="n">
        <v>-0.38</v>
      </c>
      <c r="K114" s="32" t="n">
        <v>1122410</v>
      </c>
      <c r="L114" s="31" t="n">
        <v>41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73.76000000000001</v>
      </c>
      <c r="P114" s="32" t="n">
        <v>45.48</v>
      </c>
      <c r="Q114" s="32" t="n">
        <v>527.79</v>
      </c>
      <c r="R114" s="31" t="inlineStr">
        <is>
          <t>Near 52W High Breakout</t>
        </is>
      </c>
      <c r="S114" s="31" t="inlineStr">
        <is>
          <t>Nifty FMCG</t>
        </is>
      </c>
      <c r="T114" s="32" t="n">
        <v>-12.54</v>
      </c>
      <c r="U114" s="32" t="n">
        <v>11.71</v>
      </c>
      <c r="V114" s="32" t="n">
        <v>27.73</v>
      </c>
      <c r="W114" s="32" t="n">
        <v>9.31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IF(B115=0,"",RANK(B115,$B$2:$B$360,0))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MANORAMA</t>
        </is>
      </c>
      <c r="D115" s="31" t="inlineStr">
        <is>
          <t>Manorama Industries Ltd</t>
        </is>
      </c>
      <c r="E115" s="31" t="inlineStr">
        <is>
          <t>fmcg</t>
        </is>
      </c>
      <c r="F115" s="31" t="inlineStr">
        <is>
          <t>food - processing - indian</t>
        </is>
      </c>
      <c r="G115" s="31" t="inlineStr">
        <is>
          <t>midcap</t>
        </is>
      </c>
      <c r="H115" s="32" t="n">
        <v>11603.76</v>
      </c>
      <c r="I115" s="32" t="n">
        <v>1901</v>
      </c>
      <c r="J115" s="32" t="n">
        <v>-2.18</v>
      </c>
      <c r="K115" s="32" t="n">
        <v>1522674</v>
      </c>
      <c r="L115" s="31" t="n">
        <v>55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74.15000000000001</v>
      </c>
      <c r="P115" s="32" t="n">
        <v>19.17</v>
      </c>
      <c r="Q115" s="32" t="n">
        <v>1475.45</v>
      </c>
      <c r="R115" s="31" t="inlineStr">
        <is>
          <t>Volume Spike &amp; Near 52W High Breakout</t>
        </is>
      </c>
      <c r="S115" s="31" t="inlineStr">
        <is>
          <t>Nifty FMCG</t>
        </is>
      </c>
      <c r="T115" s="32" t="n">
        <v>-12.54</v>
      </c>
      <c r="U115" s="32" t="n">
        <v>20.61</v>
      </c>
      <c r="V115" s="32" t="n">
        <v>37.91</v>
      </c>
      <c r="W115" s="32" t="n">
        <v>13.16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IF(B116=0,"",RANK(B116,$B$2:$B$360,0))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UNIVASTU</t>
        </is>
      </c>
      <c r="D116" s="31" t="inlineStr">
        <is>
          <t>Univastu India Ltd</t>
        </is>
      </c>
      <c r="E116" s="31" t="inlineStr">
        <is>
          <t>realty</t>
        </is>
      </c>
      <c r="F116" s="31" t="inlineStr">
        <is>
          <t>construction</t>
        </is>
      </c>
      <c r="G116" s="31" t="inlineStr">
        <is>
          <t>smallcap</t>
        </is>
      </c>
      <c r="H116" s="32" t="n">
        <v>637.52</v>
      </c>
      <c r="I116" s="32" t="n">
        <v>176.89</v>
      </c>
      <c r="J116" s="32" t="n">
        <v>4.85</v>
      </c>
      <c r="K116" s="32" t="n">
        <v>223661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90.64</v>
      </c>
      <c r="P116" s="32" t="n">
        <v>71.62</v>
      </c>
      <c r="Q116" s="32" t="n">
        <v>138.83</v>
      </c>
      <c r="R116" s="31" t="inlineStr">
        <is>
          <t>Near 52W High Breakout</t>
        </is>
      </c>
      <c r="S116" s="31" t="inlineStr">
        <is>
          <t>Nifty Realty</t>
        </is>
      </c>
      <c r="T116" s="32" t="inlineStr"/>
      <c r="U116" s="32" t="inlineStr"/>
      <c r="V116" s="32" t="inlineStr"/>
      <c r="W116" s="32" t="inlineStr"/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IF(B117=0,"",RANK(B117,$B$2:$B$360,0))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CRAFTSMAN</t>
        </is>
      </c>
      <c r="D117" s="31" t="inlineStr">
        <is>
          <t>Craftsman Automation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largecap</t>
        </is>
      </c>
      <c r="H117" s="32" t="n">
        <v>27409.85</v>
      </c>
      <c r="I117" s="32" t="n">
        <v>10900</v>
      </c>
      <c r="J117" s="32" t="n">
        <v>4.01</v>
      </c>
      <c r="K117" s="32" t="n">
        <v>58181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71.5</v>
      </c>
      <c r="P117" s="32" t="n">
        <v>63.44</v>
      </c>
      <c r="Q117" s="32" t="n">
        <v>8891.889999999999</v>
      </c>
      <c r="R117" s="31" t="inlineStr">
        <is>
          <t>Near 52W High Breakout</t>
        </is>
      </c>
      <c r="S117" s="31" t="inlineStr">
        <is>
          <t>Nifty Auto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IF(B118=0,"",RANK(B118,$B$2:$B$360,0))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HAPPYFORGE</t>
        </is>
      </c>
      <c r="D118" s="31" t="inlineStr">
        <is>
          <t>Happy Forgings Ltd</t>
        </is>
      </c>
      <c r="E118" s="31" t="inlineStr">
        <is>
          <t>industrials</t>
        </is>
      </c>
      <c r="F118" s="31" t="inlineStr">
        <is>
          <t>castings &amp; forgings</t>
        </is>
      </c>
      <c r="G118" s="31" t="inlineStr">
        <is>
          <t>largecap</t>
        </is>
      </c>
      <c r="H118" s="32" t="n">
        <v>20745.39</v>
      </c>
      <c r="I118" s="32" t="n">
        <v>2265</v>
      </c>
      <c r="J118" s="32" t="n">
        <v>3.04</v>
      </c>
      <c r="K118" s="32" t="n">
        <v>175749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88.11</v>
      </c>
      <c r="P118" s="32" t="n">
        <v>55.6</v>
      </c>
      <c r="Q118" s="32" t="n">
        <v>1864.88</v>
      </c>
      <c r="R118" s="31" t="inlineStr">
        <is>
          <t>Near 52W High Breakout</t>
        </is>
      </c>
      <c r="S118" s="31" t="inlineStr">
        <is>
          <t>Nifty Infra</t>
        </is>
      </c>
      <c r="T118" s="32" t="inlineStr"/>
      <c r="U118" s="32" t="inlineStr"/>
      <c r="V118" s="32" t="inlineStr"/>
      <c r="W118" s="32" t="inlineStr"/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IF(B119=0,"",RANK(B119,$B$2:$B$360,0))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NAHARSPING</t>
        </is>
      </c>
      <c r="D119" s="31" t="inlineStr">
        <is>
          <t>Nahar Spinning Mills Limited</t>
        </is>
      </c>
      <c r="E119" s="31" t="inlineStr">
        <is>
          <t>textiles</t>
        </is>
      </c>
      <c r="F119" s="31" t="inlineStr">
        <is>
          <t>textiles - cotton/blended</t>
        </is>
      </c>
      <c r="G119" s="31" t="inlineStr">
        <is>
          <t>smallcap</t>
        </is>
      </c>
      <c r="H119" s="32" t="n">
        <v>1070.06</v>
      </c>
      <c r="I119" s="32" t="n">
        <v>305</v>
      </c>
      <c r="J119" s="32" t="n">
        <v>2.8</v>
      </c>
      <c r="K119" s="32" t="n">
        <v>83233</v>
      </c>
      <c r="L119" s="31" t="n">
        <v>48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65.7</v>
      </c>
      <c r="P119" s="32" t="n">
        <v>28.82</v>
      </c>
      <c r="Q119" s="32" t="n">
        <v>246.42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-2.88</v>
      </c>
      <c r="U119" s="32" t="n">
        <v>40.94</v>
      </c>
      <c r="V119" s="32" t="n">
        <v>45.12</v>
      </c>
      <c r="W119" s="32" t="n">
        <v>10.71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IF(B120=0,"",RANK(B120,$B$2:$B$360,0))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ARIES</t>
        </is>
      </c>
      <c r="D120" s="31" t="inlineStr">
        <is>
          <t>Aries Agro Limited</t>
        </is>
      </c>
      <c r="E120" s="31" t="inlineStr">
        <is>
          <t>chemicals</t>
        </is>
      </c>
      <c r="F120" s="31" t="inlineStr">
        <is>
          <t>fertilizers</t>
        </is>
      </c>
      <c r="G120" s="31" t="inlineStr">
        <is>
          <t>smallcap</t>
        </is>
      </c>
      <c r="H120" s="32" t="n">
        <v>565.23</v>
      </c>
      <c r="I120" s="32" t="n">
        <v>442.7</v>
      </c>
      <c r="J120" s="32" t="n">
        <v>1.85</v>
      </c>
      <c r="K120" s="32" t="n">
        <v>175439</v>
      </c>
      <c r="L120" s="31" t="n">
        <v>29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73.75</v>
      </c>
      <c r="P120" s="32" t="n">
        <v>11.54</v>
      </c>
      <c r="Q120" s="32" t="n">
        <v>352.74</v>
      </c>
      <c r="R120" s="31" t="inlineStr">
        <is>
          <t>Volume Spike &amp; Near 52W High Breakout</t>
        </is>
      </c>
      <c r="S120" s="31" t="inlineStr">
        <is>
          <t>Nifty 50</t>
        </is>
      </c>
      <c r="T120" s="32" t="n">
        <v>-2.88</v>
      </c>
      <c r="U120" s="32" t="n">
        <v>3.47</v>
      </c>
      <c r="V120" s="32" t="n">
        <v>6.54</v>
      </c>
      <c r="W120" s="32" t="n">
        <v>6.61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IF(B121=0,"",RANK(B121,$B$2:$B$360,0))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GABRIEL</t>
        </is>
      </c>
      <c r="D121" s="31" t="inlineStr">
        <is>
          <t>Gabriel India Limited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largecap</t>
        </is>
      </c>
      <c r="H121" s="32" t="n">
        <v>25565.43</v>
      </c>
      <c r="I121" s="32" t="n">
        <v>1467.6</v>
      </c>
      <c r="J121" s="32" t="n">
        <v>1.74</v>
      </c>
      <c r="K121" s="32" t="n">
        <v>203545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71.42</v>
      </c>
      <c r="P121" s="32" t="n">
        <v>37.14</v>
      </c>
      <c r="Q121" s="32" t="n">
        <v>1190.9</v>
      </c>
      <c r="R121" s="31" t="inlineStr">
        <is>
          <t>Near 52W High Breakout</t>
        </is>
      </c>
      <c r="S121" s="31" t="inlineStr">
        <is>
          <t>Nifty Auto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IF(B122=0,"",RANK(B122,$B$2:$B$360,0))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NAZARA</t>
        </is>
      </c>
      <c r="D122" s="31" t="inlineStr">
        <is>
          <t>Nazara Technologies Ltd</t>
        </is>
      </c>
      <c r="E122" s="31" t="inlineStr">
        <is>
          <t>i.t</t>
        </is>
      </c>
      <c r="F122" s="31" t="inlineStr">
        <is>
          <t>telecommunications - service provider</t>
        </is>
      </c>
      <c r="G122" s="31" t="inlineStr">
        <is>
          <t>midcap</t>
        </is>
      </c>
      <c r="H122" s="32" t="n">
        <v>13436.7</v>
      </c>
      <c r="I122" s="32" t="n">
        <v>355.55</v>
      </c>
      <c r="J122" s="32" t="n">
        <v>1.56</v>
      </c>
      <c r="K122" s="32" t="n">
        <v>1287389</v>
      </c>
      <c r="L122" s="31" t="n">
        <v>44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72.56</v>
      </c>
      <c r="P122" s="32" t="n">
        <v>21.97</v>
      </c>
      <c r="Q122" s="32" t="n">
        <v>290.97</v>
      </c>
      <c r="R122" s="31" t="inlineStr">
        <is>
          <t>Near 52W High Breakout</t>
        </is>
      </c>
      <c r="S122" s="31" t="inlineStr">
        <is>
          <t>Nifty IT</t>
        </is>
      </c>
      <c r="T122" s="32" t="n">
        <v>-14.75</v>
      </c>
      <c r="U122" s="32" t="n">
        <v>22.92</v>
      </c>
      <c r="V122" s="32" t="n">
        <v>44.19</v>
      </c>
      <c r="W122" s="32" t="n">
        <v>9.92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IF(B123=0,"",RANK(B123,$B$2:$B$360,0))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SUPRAJIT</t>
        </is>
      </c>
      <c r="D123" s="31" t="inlineStr">
        <is>
          <t>Suprajit Engineering Limited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midcap</t>
        </is>
      </c>
      <c r="H123" s="32" t="n">
        <v>7143.19</v>
      </c>
      <c r="I123" s="32" t="n">
        <v>527.95</v>
      </c>
      <c r="J123" s="32" t="n">
        <v>1.38</v>
      </c>
      <c r="K123" s="32" t="n">
        <v>69957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65.28</v>
      </c>
      <c r="P123" s="32" t="n">
        <v>45.23</v>
      </c>
      <c r="Q123" s="32" t="n">
        <v>429.45</v>
      </c>
      <c r="R123" s="31" t="inlineStr">
        <is>
          <t>Near 52W High Breakout</t>
        </is>
      </c>
      <c r="S123" s="31" t="inlineStr">
        <is>
          <t>Nifty Auto</t>
        </is>
      </c>
      <c r="T123" s="32" t="inlineStr"/>
      <c r="U123" s="32" t="inlineStr"/>
      <c r="V123" s="32" t="inlineStr"/>
      <c r="W123" s="32" t="inlineStr"/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IF(B124=0,"",RANK(B124,$B$2:$B$360,0))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BHARATSE</t>
        </is>
      </c>
      <c r="D124" s="31" t="inlineStr">
        <is>
          <t>Bharat Seats Ltd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smallcap</t>
        </is>
      </c>
      <c r="H124" s="32" t="n">
        <v>1497.4</v>
      </c>
      <c r="I124" s="32" t="n">
        <v>240.91</v>
      </c>
      <c r="J124" s="32" t="n">
        <v>1.04</v>
      </c>
      <c r="K124" s="32" t="n">
        <v>309638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63.49</v>
      </c>
      <c r="P124" s="32" t="n">
        <v>34.67</v>
      </c>
      <c r="Q124" s="32" t="n">
        <v>175.39</v>
      </c>
      <c r="R124" s="31" t="inlineStr">
        <is>
          <t>Near 52W High Breakout</t>
        </is>
      </c>
      <c r="S124" s="31" t="inlineStr">
        <is>
          <t>Nifty Auto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IF(B125=0,"",RANK(B125,$B$2:$B$360,0))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HAL</t>
        </is>
      </c>
      <c r="D125" s="31" t="inlineStr">
        <is>
          <t>Hindustan Aeronautics Ltd</t>
        </is>
      </c>
      <c r="E125" s="31" t="inlineStr">
        <is>
          <t>aerospace &amp; defence</t>
        </is>
      </c>
      <c r="F125" s="31" t="inlineStr">
        <is>
          <t>engineering</t>
        </is>
      </c>
      <c r="G125" s="31" t="inlineStr">
        <is>
          <t>largecap</t>
        </is>
      </c>
      <c r="H125" s="32" t="n">
        <v>338333.27</v>
      </c>
      <c r="I125" s="32" t="n">
        <v>5099</v>
      </c>
      <c r="J125" s="32" t="n">
        <v>0.79</v>
      </c>
      <c r="K125" s="32" t="n">
        <v>3648533</v>
      </c>
      <c r="L125" s="31" t="n">
        <v>29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69.09</v>
      </c>
      <c r="P125" s="32" t="n">
        <v>24.89</v>
      </c>
      <c r="Q125" s="32" t="n">
        <v>4384.57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-2.88</v>
      </c>
      <c r="U125" s="32" t="n">
        <v>15.18</v>
      </c>
      <c r="V125" s="32" t="n">
        <v>18.59</v>
      </c>
      <c r="W125" s="32" t="n">
        <v>6.58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IF(B126=0,"",RANK(B126,$B$2:$B$360,0))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PIDILITIND</t>
        </is>
      </c>
      <c r="D126" s="31" t="inlineStr">
        <is>
          <t>Pidilite Industries Limited</t>
        </is>
      </c>
      <c r="E126" s="31" t="inlineStr">
        <is>
          <t>chemicals</t>
        </is>
      </c>
      <c r="F126" s="31" t="inlineStr">
        <is>
          <t>chemicals</t>
        </is>
      </c>
      <c r="G126" s="31" t="inlineStr">
        <is>
          <t>largecap</t>
        </is>
      </c>
      <c r="H126" s="32" t="n">
        <v>169866.71</v>
      </c>
      <c r="I126" s="32" t="n">
        <v>1674</v>
      </c>
      <c r="J126" s="32" t="n">
        <v>0.3</v>
      </c>
      <c r="K126" s="32" t="n">
        <v>1268789</v>
      </c>
      <c r="L126" s="31" t="n">
        <v>23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70.02</v>
      </c>
      <c r="P126" s="32" t="n">
        <v>30.06</v>
      </c>
      <c r="Q126" s="32" t="n">
        <v>1495.67</v>
      </c>
      <c r="R126" s="31" t="inlineStr">
        <is>
          <t>Near 52W High Breakout</t>
        </is>
      </c>
      <c r="S126" s="31" t="inlineStr">
        <is>
          <t>Nifty 500</t>
        </is>
      </c>
      <c r="T126" s="32" t="n">
        <v>2.09</v>
      </c>
      <c r="U126" s="32" t="n">
        <v>9.23</v>
      </c>
      <c r="V126" s="32" t="n">
        <v>6.99</v>
      </c>
      <c r="W126" s="32" t="n">
        <v>4.78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IF(B127=0,"",RANK(B127,$B$2:$B$360,0))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PRECWIRE</t>
        </is>
      </c>
      <c r="D127" s="31" t="inlineStr">
        <is>
          <t>Precision Wires India Limited</t>
        </is>
      </c>
      <c r="E127" s="31" t="inlineStr">
        <is>
          <t>metals &amp; mining</t>
        </is>
      </c>
      <c r="F127" s="31" t="inlineStr">
        <is>
          <t>mining / minerals / metals</t>
        </is>
      </c>
      <c r="G127" s="31" t="inlineStr">
        <is>
          <t>midcap</t>
        </is>
      </c>
      <c r="H127" s="32" t="n">
        <v>8368.040000000001</v>
      </c>
      <c r="I127" s="32" t="n">
        <v>458.2</v>
      </c>
      <c r="J127" s="32" t="n">
        <v>0.1</v>
      </c>
      <c r="K127" s="32" t="n">
        <v>383136</v>
      </c>
      <c r="L127" s="31" t="n">
        <v>84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67.88</v>
      </c>
      <c r="P127" s="32" t="n">
        <v>42.88</v>
      </c>
      <c r="Q127" s="32" t="n">
        <v>342.75</v>
      </c>
      <c r="R127" s="31" t="inlineStr">
        <is>
          <t>Near 52W High Breakout</t>
        </is>
      </c>
      <c r="S127" s="31" t="inlineStr">
        <is>
          <t>Nifty Metal</t>
        </is>
      </c>
      <c r="T127" s="32" t="n">
        <v>38.2</v>
      </c>
      <c r="U127" s="32" t="n">
        <v>152.9</v>
      </c>
      <c r="V127" s="32" t="n">
        <v>83</v>
      </c>
      <c r="W127" s="32" t="n">
        <v>26.92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IF(B128=0,"",RANK(B128,$B$2:$B$360,0))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SANSERA</t>
        </is>
      </c>
      <c r="D128" s="31" t="inlineStr">
        <is>
          <t>Sansera Engineering Ltd</t>
        </is>
      </c>
      <c r="E128" s="31" t="inlineStr">
        <is>
          <t>auto</t>
        </is>
      </c>
      <c r="F128" s="31" t="inlineStr">
        <is>
          <t>auto ancillaries</t>
        </is>
      </c>
      <c r="G128" s="31" t="inlineStr">
        <is>
          <t>largecap</t>
        </is>
      </c>
      <c r="H128" s="32" t="n">
        <v>24973.91</v>
      </c>
      <c r="I128" s="32" t="n">
        <v>3990</v>
      </c>
      <c r="J128" s="32" t="n">
        <v>-0.3</v>
      </c>
      <c r="K128" s="32" t="n">
        <v>172483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84.14</v>
      </c>
      <c r="P128" s="32" t="n">
        <v>59.59</v>
      </c>
      <c r="Q128" s="32" t="n">
        <v>3235.14</v>
      </c>
      <c r="R128" s="31" t="inlineStr">
        <is>
          <t>Near 52W High Breakout</t>
        </is>
      </c>
      <c r="S128" s="31" t="inlineStr">
        <is>
          <t>Nifty Auto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IF(B129=0,"",RANK(B129,$B$2:$B$360,0))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GULFOILLUB</t>
        </is>
      </c>
      <c r="D129" s="31" t="inlineStr">
        <is>
          <t>Gulf Oil Lubricants India Limited</t>
        </is>
      </c>
      <c r="E129" s="31" t="inlineStr">
        <is>
          <t>chemicals</t>
        </is>
      </c>
      <c r="F129" s="31" t="inlineStr">
        <is>
          <t>chemicals</t>
        </is>
      </c>
      <c r="G129" s="31" t="inlineStr">
        <is>
          <t>midcap</t>
        </is>
      </c>
      <c r="H129" s="32" t="n">
        <v>5816.24</v>
      </c>
      <c r="I129" s="32" t="n">
        <v>1170.9</v>
      </c>
      <c r="J129" s="32" t="n">
        <v>-0.32</v>
      </c>
      <c r="K129" s="32" t="n">
        <v>48680</v>
      </c>
      <c r="L129" s="31" t="n">
        <v>30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61.45</v>
      </c>
      <c r="P129" s="32" t="n">
        <v>20.91</v>
      </c>
      <c r="Q129" s="32" t="n">
        <v>976.52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-2.88</v>
      </c>
      <c r="U129" s="32" t="n">
        <v>-1.67</v>
      </c>
      <c r="V129" s="32" t="n">
        <v>1.24</v>
      </c>
      <c r="W129" s="32" t="n">
        <v>6.81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IF(B130=0,"",RANK(B130,$B$2:$B$360,0))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COSMOFIRST</t>
        </is>
      </c>
      <c r="D130" s="33" t="inlineStr">
        <is>
          <t>Cosmo First Ltd</t>
        </is>
      </c>
      <c r="E130" s="31" t="inlineStr">
        <is>
          <t>industrials</t>
        </is>
      </c>
      <c r="F130" s="31" t="inlineStr">
        <is>
          <t>packaging</t>
        </is>
      </c>
      <c r="G130" s="31" t="inlineStr">
        <is>
          <t>smallcap</t>
        </is>
      </c>
      <c r="H130" s="32" t="n">
        <v>2532.7</v>
      </c>
      <c r="I130" s="32" t="n">
        <v>961.2</v>
      </c>
      <c r="J130" s="32" t="n">
        <v>-0.38</v>
      </c>
      <c r="K130" s="32" t="n">
        <v>94829</v>
      </c>
      <c r="L130" s="31" t="n">
        <v>25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69.91</v>
      </c>
      <c r="P130" s="32" t="n">
        <v>45.52</v>
      </c>
      <c r="Q130" s="32" t="n">
        <v>750.7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-2.88</v>
      </c>
      <c r="U130" s="32" t="n">
        <v>-5.34</v>
      </c>
      <c r="V130" s="32" t="n">
        <v>-2.53</v>
      </c>
      <c r="W130" s="32" t="n">
        <v>5.75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IF(B131=0,"",RANK(B131,$B$2:$B$360,0))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DREDGECORP</t>
        </is>
      </c>
      <c r="D131" s="31" t="inlineStr">
        <is>
          <t>Dredging Corporation Of India Limited</t>
        </is>
      </c>
      <c r="E131" s="31" t="inlineStr">
        <is>
          <t>miscellaneous</t>
        </is>
      </c>
      <c r="F131" s="31" t="inlineStr">
        <is>
          <t>miscellaneous</t>
        </is>
      </c>
      <c r="G131" s="31" t="inlineStr">
        <is>
          <t>smallcap</t>
        </is>
      </c>
      <c r="H131" s="32" t="n">
        <v>3249.4</v>
      </c>
      <c r="I131" s="32" t="n">
        <v>1156</v>
      </c>
      <c r="J131" s="32" t="n">
        <v>-0.39</v>
      </c>
      <c r="K131" s="32" t="n">
        <v>98365</v>
      </c>
      <c r="L131" s="31" t="n">
        <v>66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59.07</v>
      </c>
      <c r="P131" s="32" t="n">
        <v>38.95</v>
      </c>
      <c r="Q131" s="32" t="n">
        <v>827.15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-2.88</v>
      </c>
      <c r="U131" s="32" t="n">
        <v>88.40000000000001</v>
      </c>
      <c r="V131" s="32" t="n">
        <v>93.97</v>
      </c>
      <c r="W131" s="32" t="n">
        <v>16.04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IF(B132=0,"",RANK(B132,$B$2:$B$360,0))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MATRIMONY</t>
        </is>
      </c>
      <c r="D132" s="31" t="inlineStr">
        <is>
          <t>Matrimony.com Ltd</t>
        </is>
      </c>
      <c r="E132" s="31" t="inlineStr">
        <is>
          <t>miscellaneous</t>
        </is>
      </c>
      <c r="F132" s="31" t="inlineStr">
        <is>
          <t>miscellaneous</t>
        </is>
      </c>
      <c r="G132" s="31" t="inlineStr">
        <is>
          <t>smallcap</t>
        </is>
      </c>
      <c r="H132" s="32" t="n">
        <v>1122.67</v>
      </c>
      <c r="I132" s="32" t="n">
        <v>538</v>
      </c>
      <c r="J132" s="32" t="n">
        <v>-0.93</v>
      </c>
      <c r="K132" s="32" t="n">
        <v>10712</v>
      </c>
      <c r="L132" s="31" t="n">
        <v>35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68.76000000000001</v>
      </c>
      <c r="P132" s="32" t="n">
        <v>23.87</v>
      </c>
      <c r="Q132" s="32" t="n">
        <v>421.53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-2.88</v>
      </c>
      <c r="U132" s="32" t="n">
        <v>6.4</v>
      </c>
      <c r="V132" s="32" t="n">
        <v>9.550000000000001</v>
      </c>
      <c r="W132" s="32" t="n">
        <v>7.86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IF(B133=0,"",RANK(B133,$B$2:$B$360,0))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KPRMILL</t>
        </is>
      </c>
      <c r="D133" s="31" t="inlineStr">
        <is>
          <t>K.p.r. Mill Limited</t>
        </is>
      </c>
      <c r="E133" s="31" t="inlineStr">
        <is>
          <t>consumer discretionary</t>
        </is>
      </c>
      <c r="F133" s="31" t="inlineStr">
        <is>
          <t>textiles - products</t>
        </is>
      </c>
      <c r="G133" s="31" t="inlineStr">
        <is>
          <t>largecap</t>
        </is>
      </c>
      <c r="H133" s="32" t="n">
        <v>38816.4</v>
      </c>
      <c r="I133" s="32" t="n">
        <v>1123.9</v>
      </c>
      <c r="J133" s="32" t="n">
        <v>-1.03</v>
      </c>
      <c r="K133" s="32" t="n">
        <v>110493</v>
      </c>
      <c r="L133" s="31" t="n">
        <v>28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59.63</v>
      </c>
      <c r="P133" s="32" t="n">
        <v>45.36</v>
      </c>
      <c r="Q133" s="32" t="n">
        <v>927.05</v>
      </c>
      <c r="R133" s="31" t="inlineStr">
        <is>
          <t>Earnings / Momentum Support</t>
        </is>
      </c>
      <c r="S133" s="31" t="inlineStr">
        <is>
          <t>Nifty 500</t>
        </is>
      </c>
      <c r="T133" s="32" t="n">
        <v>2.09</v>
      </c>
      <c r="U133" s="32" t="n">
        <v>9.93</v>
      </c>
      <c r="V133" s="32" t="n">
        <v>7.68</v>
      </c>
      <c r="W133" s="32" t="n">
        <v>6.4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IF(B134=0,"",RANK(B134,$B$2:$B$360,0))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ARVSMART</t>
        </is>
      </c>
      <c r="D134" s="31" t="inlineStr">
        <is>
          <t>Arvind Smartspaces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smallcap</t>
        </is>
      </c>
      <c r="H134" s="32" t="n">
        <v>3074.69</v>
      </c>
      <c r="I134" s="32" t="n">
        <v>663</v>
      </c>
      <c r="J134" s="32" t="n">
        <v>-1.1</v>
      </c>
      <c r="K134" s="32" t="n">
        <v>84726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62.09</v>
      </c>
      <c r="P134" s="32" t="n">
        <v>28.68</v>
      </c>
      <c r="Q134" s="32" t="n">
        <v>530.05</v>
      </c>
      <c r="R134" s="31" t="inlineStr">
        <is>
          <t>Near 52W High Breakout</t>
        </is>
      </c>
      <c r="S134" s="31" t="inlineStr">
        <is>
          <t>Nifty Realty</t>
        </is>
      </c>
      <c r="T134" s="32" t="inlineStr"/>
      <c r="U134" s="32" t="inlineStr"/>
      <c r="V134" s="32" t="inlineStr"/>
      <c r="W134" s="32" t="inlineStr"/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IF(B135=0,"",RANK(B135,$B$2:$B$360,0))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MUNJALAU</t>
        </is>
      </c>
      <c r="D135" s="31" t="inlineStr">
        <is>
          <t>Munjal Auto Industries Limited</t>
        </is>
      </c>
      <c r="E135" s="31" t="inlineStr">
        <is>
          <t>auto</t>
        </is>
      </c>
      <c r="F135" s="31" t="inlineStr">
        <is>
          <t>auto ancillaries</t>
        </is>
      </c>
      <c r="G135" s="31" t="inlineStr">
        <is>
          <t>smallcap</t>
        </is>
      </c>
      <c r="H135" s="32" t="n">
        <v>1197.2</v>
      </c>
      <c r="I135" s="32" t="n">
        <v>118.39</v>
      </c>
      <c r="J135" s="32" t="n">
        <v>-1.11</v>
      </c>
      <c r="K135" s="32" t="n">
        <v>2916371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73.41</v>
      </c>
      <c r="P135" s="32" t="n">
        <v>48.51</v>
      </c>
      <c r="Q135" s="32" t="n">
        <v>89.78</v>
      </c>
      <c r="R135" s="31" t="inlineStr">
        <is>
          <t>Near 52W High Breakout</t>
        </is>
      </c>
      <c r="S135" s="31" t="inlineStr">
        <is>
          <t>Nifty Auto</t>
        </is>
      </c>
      <c r="T135" s="32" t="inlineStr"/>
      <c r="U135" s="32" t="inlineStr"/>
      <c r="V135" s="32" t="inlineStr"/>
      <c r="W135" s="32" t="inlineStr"/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IF(B136=0,"",RANK(B136,$B$2:$B$360,0))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AZAD</t>
        </is>
      </c>
      <c r="D136" s="31" t="inlineStr">
        <is>
          <t>Azad Engineering Ltd</t>
        </is>
      </c>
      <c r="E136" s="31" t="inlineStr">
        <is>
          <t>aerospace &amp; defence</t>
        </is>
      </c>
      <c r="F136" s="31" t="inlineStr">
        <is>
          <t>engineering</t>
        </is>
      </c>
      <c r="G136" s="31" t="inlineStr">
        <is>
          <t>midcap</t>
        </is>
      </c>
      <c r="H136" s="32" t="n">
        <v>18728.06</v>
      </c>
      <c r="I136" s="32" t="n">
        <v>2858.9</v>
      </c>
      <c r="J136" s="32" t="n">
        <v>-1.41</v>
      </c>
      <c r="K136" s="32" t="n">
        <v>773291</v>
      </c>
      <c r="L136" s="31" t="n">
        <v>75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70.43000000000001</v>
      </c>
      <c r="P136" s="32" t="n">
        <v>32.24</v>
      </c>
      <c r="Q136" s="32" t="n">
        <v>2192.08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-2.88</v>
      </c>
      <c r="U136" s="32" t="n">
        <v>78.23999999999999</v>
      </c>
      <c r="V136" s="32" t="n">
        <v>83.51000000000001</v>
      </c>
      <c r="W136" s="32" t="n">
        <v>21.21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IF(B137=0,"",RANK(B137,$B$2:$B$360,0))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REDINGTON</t>
        </is>
      </c>
      <c r="D137" s="31" t="inlineStr">
        <is>
          <t>Redington (india) Limited</t>
        </is>
      </c>
      <c r="E137" s="31" t="inlineStr">
        <is>
          <t>services</t>
        </is>
      </c>
      <c r="F137" s="31" t="inlineStr">
        <is>
          <t>trading</t>
        </is>
      </c>
      <c r="G137" s="31" t="inlineStr">
        <is>
          <t>largecap</t>
        </is>
      </c>
      <c r="H137" s="32" t="n">
        <v>26017.45</v>
      </c>
      <c r="I137" s="32" t="n">
        <v>326.3</v>
      </c>
      <c r="J137" s="32" t="n">
        <v>-1.95</v>
      </c>
      <c r="K137" s="32" t="n">
        <v>2030364</v>
      </c>
      <c r="L137" s="31" t="n">
        <v>72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63.8</v>
      </c>
      <c r="P137" s="32" t="n">
        <v>35.14</v>
      </c>
      <c r="Q137" s="32" t="n">
        <v>274.56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-2.88</v>
      </c>
      <c r="U137" s="32" t="n">
        <v>37.06</v>
      </c>
      <c r="V137" s="32" t="n">
        <v>41.12</v>
      </c>
      <c r="W137" s="32" t="n">
        <v>18.99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IF(B138=0,"",RANK(B138,$B$2:$B$360,0))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GAYAPROJ</t>
        </is>
      </c>
      <c r="D138" s="31" t="inlineStr">
        <is>
          <t>Gayatri Projects Limited</t>
        </is>
      </c>
      <c r="E138" s="31" t="inlineStr">
        <is>
          <t>realty</t>
        </is>
      </c>
      <c r="F138" s="31" t="inlineStr">
        <is>
          <t>construction</t>
        </is>
      </c>
      <c r="G138" s="31" t="inlineStr">
        <is>
          <t>smallcap</t>
        </is>
      </c>
      <c r="H138" s="32" t="n">
        <v>1030.74</v>
      </c>
      <c r="I138" s="32" t="n">
        <v>21.75</v>
      </c>
      <c r="J138" s="32" t="n">
        <v>-2.03</v>
      </c>
      <c r="K138" s="32" t="n">
        <v>705058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62.45</v>
      </c>
      <c r="P138" s="32" t="n">
        <v>29.83</v>
      </c>
      <c r="Q138" s="32" t="n">
        <v>17.85</v>
      </c>
      <c r="R138" s="31" t="inlineStr">
        <is>
          <t>Earnings / Momentum Support</t>
        </is>
      </c>
      <c r="S138" s="31" t="inlineStr">
        <is>
          <t>Nifty Realty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IF(B139=0,"",RANK(B139,$B$2:$B$360,0))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EXIDEIND</t>
        </is>
      </c>
      <c r="D139" s="31" t="inlineStr">
        <is>
          <t>Exide Industries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largecap</t>
        </is>
      </c>
      <c r="H139" s="32" t="n">
        <v>40434.5</v>
      </c>
      <c r="I139" s="32" t="n">
        <v>465.25</v>
      </c>
      <c r="J139" s="32" t="n">
        <v>-2.2</v>
      </c>
      <c r="K139" s="32" t="n">
        <v>1544282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68.45999999999999</v>
      </c>
      <c r="P139" s="32" t="n">
        <v>44.06</v>
      </c>
      <c r="Q139" s="32" t="n">
        <v>410.11</v>
      </c>
      <c r="R139" s="31" t="inlineStr">
        <is>
          <t>Earnings / Momentum Support</t>
        </is>
      </c>
      <c r="S139" s="31" t="inlineStr">
        <is>
          <t>Nifty Auto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IF(B140=0,"",RANK(B140,$B$2:$B$360,0))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POLYPLEX</t>
        </is>
      </c>
      <c r="D140" s="31" t="inlineStr">
        <is>
          <t>Polyplex Corporation Limited</t>
        </is>
      </c>
      <c r="E140" s="31" t="inlineStr">
        <is>
          <t>industrials</t>
        </is>
      </c>
      <c r="F140" s="31" t="inlineStr">
        <is>
          <t>packaging</t>
        </is>
      </c>
      <c r="G140" s="31" t="inlineStr">
        <is>
          <t>smallcap</t>
        </is>
      </c>
      <c r="H140" s="32" t="n">
        <v>3801</v>
      </c>
      <c r="I140" s="32" t="n">
        <v>1183</v>
      </c>
      <c r="J140" s="32" t="n">
        <v>-2.3</v>
      </c>
      <c r="K140" s="32" t="n">
        <v>90057</v>
      </c>
      <c r="L140" s="31" t="n">
        <v>37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72.48999999999999</v>
      </c>
      <c r="P140" s="32" t="n">
        <v>51.83</v>
      </c>
      <c r="Q140" s="32" t="n">
        <v>957.15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-2.88</v>
      </c>
      <c r="U140" s="32" t="n">
        <v>17.03</v>
      </c>
      <c r="V140" s="32" t="n">
        <v>20.5</v>
      </c>
      <c r="W140" s="32" t="n">
        <v>8.710000000000001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IF(B141=0,"",RANK(B141,$B$2:$B$360,0))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TVSSRICHAK</t>
        </is>
      </c>
      <c r="D141" s="31" t="inlineStr">
        <is>
          <t>Tvs Srichakra Limited</t>
        </is>
      </c>
      <c r="E141" s="31" t="inlineStr">
        <is>
          <t>auto</t>
        </is>
      </c>
      <c r="F141" s="31" t="inlineStr">
        <is>
          <t>tyres</t>
        </is>
      </c>
      <c r="G141" s="31" t="inlineStr">
        <is>
          <t>smallcap</t>
        </is>
      </c>
      <c r="H141" s="32" t="n">
        <v>3728.14</v>
      </c>
      <c r="I141" s="32" t="n">
        <v>4746.8</v>
      </c>
      <c r="J141" s="32" t="n">
        <v>-2.51</v>
      </c>
      <c r="K141" s="32" t="n">
        <v>65248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67.98</v>
      </c>
      <c r="P141" s="32" t="n">
        <v>22.47</v>
      </c>
      <c r="Q141" s="32" t="n">
        <v>3748.19</v>
      </c>
      <c r="R141" s="31" t="inlineStr">
        <is>
          <t>Volume Spike &amp; Near 52W High Breakout</t>
        </is>
      </c>
      <c r="S141" s="31" t="inlineStr">
        <is>
          <t>Nifty Auto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IF(B142=0,"",RANK(B142,$B$2:$B$360,0))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TTKHLTCARE</t>
        </is>
      </c>
      <c r="D142" s="31" t="inlineStr">
        <is>
          <t>Ttk Healthcare Limited</t>
        </is>
      </c>
      <c r="E142" s="31" t="inlineStr">
        <is>
          <t>miscellaneous</t>
        </is>
      </c>
      <c r="F142" s="31" t="inlineStr">
        <is>
          <t>diversified - medium / small</t>
        </is>
      </c>
      <c r="G142" s="31" t="inlineStr">
        <is>
          <t>smallcap</t>
        </is>
      </c>
      <c r="H142" s="32" t="n">
        <v>1608.6</v>
      </c>
      <c r="I142" s="32" t="n">
        <v>1105</v>
      </c>
      <c r="J142" s="32" t="n">
        <v>-2.93</v>
      </c>
      <c r="K142" s="32" t="n">
        <v>21545</v>
      </c>
      <c r="L142" s="31" t="n">
        <v>26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65.70999999999999</v>
      </c>
      <c r="P142" s="32" t="n">
        <v>21.94</v>
      </c>
      <c r="Q142" s="32" t="n">
        <v>901.05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-2.88</v>
      </c>
      <c r="U142" s="32" t="n">
        <v>-1.86</v>
      </c>
      <c r="V142" s="32" t="n">
        <v>1.05</v>
      </c>
      <c r="W142" s="32" t="n">
        <v>5.91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IF(B143=0,"",RANK(B143,$B$2:$B$360,0))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SUBEXLTD</t>
        </is>
      </c>
      <c r="D143" s="31" t="inlineStr">
        <is>
          <t>Subex Ltd</t>
        </is>
      </c>
      <c r="E143" s="31" t="inlineStr">
        <is>
          <t>i.t</t>
        </is>
      </c>
      <c r="F143" s="31" t="inlineStr">
        <is>
          <t>computers - software - medium / small</t>
        </is>
      </c>
      <c r="G143" s="31" t="inlineStr">
        <is>
          <t>smallcap</t>
        </is>
      </c>
      <c r="H143" s="32" t="n">
        <v>792.99</v>
      </c>
      <c r="I143" s="32" t="n">
        <v>16.49</v>
      </c>
      <c r="J143" s="32" t="n">
        <v>16.87</v>
      </c>
      <c r="K143" s="32" t="n">
        <v>44677416</v>
      </c>
      <c r="L143" s="31" t="n">
        <v>69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71.04000000000001</v>
      </c>
      <c r="P143" s="32" t="n">
        <v>26.36</v>
      </c>
      <c r="Q143" s="32" t="n">
        <v>12.01</v>
      </c>
      <c r="R143" s="31" t="inlineStr">
        <is>
          <t>Volume Spike &amp; Near 52W High Breakout</t>
        </is>
      </c>
      <c r="S143" s="31" t="inlineStr">
        <is>
          <t>Nifty IT</t>
        </is>
      </c>
      <c r="T143" s="32" t="n">
        <v>-14.75</v>
      </c>
      <c r="U143" s="32" t="n">
        <v>25.21</v>
      </c>
      <c r="V143" s="32" t="n">
        <v>46.87</v>
      </c>
      <c r="W143" s="32" t="n">
        <v>16.85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Between 12 to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IF(B144=0,"",RANK(B144,$B$2:$B$360,0))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HNDFDS</t>
        </is>
      </c>
      <c r="D144" s="31" t="inlineStr">
        <is>
          <t>Hindustan Foods Ltd</t>
        </is>
      </c>
      <c r="E144" s="31" t="inlineStr">
        <is>
          <t>fmcg</t>
        </is>
      </c>
      <c r="F144" s="31" t="inlineStr">
        <is>
          <t>diversified - large</t>
        </is>
      </c>
      <c r="G144" s="31" t="inlineStr">
        <is>
          <t>midcap</t>
        </is>
      </c>
      <c r="H144" s="32" t="n">
        <v>7372.14</v>
      </c>
      <c r="I144" s="32" t="n">
        <v>635.55</v>
      </c>
      <c r="J144" s="32" t="n">
        <v>4.45</v>
      </c>
      <c r="K144" s="32" t="n">
        <v>265619</v>
      </c>
      <c r="L144" s="31" t="n">
        <v>44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72.87</v>
      </c>
      <c r="P144" s="32" t="n">
        <v>36.36</v>
      </c>
      <c r="Q144" s="32" t="n">
        <v>532.5599999999999</v>
      </c>
      <c r="R144" s="31" t="inlineStr">
        <is>
          <t>Near 52W High Breakout</t>
        </is>
      </c>
      <c r="S144" s="31" t="inlineStr">
        <is>
          <t>Nifty FMCG</t>
        </is>
      </c>
      <c r="T144" s="32" t="n">
        <v>-12.54</v>
      </c>
      <c r="U144" s="32" t="n">
        <v>15.83</v>
      </c>
      <c r="V144" s="32" t="n">
        <v>32.44</v>
      </c>
      <c r="W144" s="32" t="n">
        <v>10.14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B2C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Between 1.5 to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IF(B145=0,"",RANK(B145,$B$2:$B$360,0))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DIVISLAB</t>
        </is>
      </c>
      <c r="D145" s="31" t="inlineStr">
        <is>
          <t>Divi's Laboratories Limited</t>
        </is>
      </c>
      <c r="E145" s="31" t="inlineStr">
        <is>
          <t>healthcare</t>
        </is>
      </c>
      <c r="F145" s="31" t="inlineStr">
        <is>
          <t>pharmaceuticals - indian - bulk drugs</t>
        </is>
      </c>
      <c r="G145" s="31" t="inlineStr">
        <is>
          <t>largecap</t>
        </is>
      </c>
      <c r="H145" s="32" t="n">
        <v>225157.18</v>
      </c>
      <c r="I145" s="32" t="n">
        <v>8588</v>
      </c>
      <c r="J145" s="32" t="n">
        <v>1.26</v>
      </c>
      <c r="K145" s="32" t="n">
        <v>798004</v>
      </c>
      <c r="L145" s="31" t="n">
        <v>53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84.39</v>
      </c>
      <c r="P145" s="32" t="n">
        <v>34.08</v>
      </c>
      <c r="Q145" s="32" t="n">
        <v>7516.74</v>
      </c>
      <c r="R145" s="31" t="inlineStr">
        <is>
          <t>Near 52W High Breakout</t>
        </is>
      </c>
      <c r="S145" s="31" t="inlineStr">
        <is>
          <t>Nifty Pharma</t>
        </is>
      </c>
      <c r="T145" s="32" t="n">
        <v>18.4</v>
      </c>
      <c r="U145" s="32" t="n">
        <v>40.18</v>
      </c>
      <c r="V145" s="32" t="n">
        <v>18.4</v>
      </c>
      <c r="W145" s="32" t="n">
        <v>12.44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IF(B146=0,"",RANK(B146,$B$2:$B$360,0))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DBOL</t>
        </is>
      </c>
      <c r="D146" s="31" t="inlineStr">
        <is>
          <t>Dhampur Bio Organics Ltd</t>
        </is>
      </c>
      <c r="E146" s="31" t="inlineStr">
        <is>
          <t>fmcg</t>
        </is>
      </c>
      <c r="F146" s="31" t="inlineStr">
        <is>
          <t>sugar</t>
        </is>
      </c>
      <c r="G146" s="31" t="inlineStr">
        <is>
          <t>smallcap</t>
        </is>
      </c>
      <c r="H146" s="32" t="n">
        <v>803.8200000000001</v>
      </c>
      <c r="I146" s="32" t="n">
        <v>121.99</v>
      </c>
      <c r="J146" s="32" t="n">
        <v>0.75</v>
      </c>
      <c r="K146" s="32" t="n">
        <v>1117878</v>
      </c>
      <c r="L146" s="31" t="n">
        <v>37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61.87</v>
      </c>
      <c r="P146" s="32" t="n">
        <v>34.4</v>
      </c>
      <c r="Q146" s="32" t="n">
        <v>88.27</v>
      </c>
      <c r="R146" s="31" t="inlineStr">
        <is>
          <t>Volume Spike &amp; Near 52W High Breakout</t>
        </is>
      </c>
      <c r="S146" s="31" t="inlineStr">
        <is>
          <t>Nifty FMCG</t>
        </is>
      </c>
      <c r="T146" s="32" t="n">
        <v>-12.54</v>
      </c>
      <c r="U146" s="32" t="n">
        <v>39.92</v>
      </c>
      <c r="V146" s="32" t="n">
        <v>59.98</v>
      </c>
      <c r="W146" s="32" t="n">
        <v>8.5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B2C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IF(B147=0,"",RANK(B147,$B$2:$B$360,0))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ENTERO</t>
        </is>
      </c>
      <c r="D147" s="33" t="inlineStr">
        <is>
          <t>Entero Healthcare Solutions Ltd</t>
        </is>
      </c>
      <c r="E147" s="31" t="inlineStr">
        <is>
          <t>healthcare</t>
        </is>
      </c>
      <c r="F147" s="31" t="inlineStr">
        <is>
          <t>trading</t>
        </is>
      </c>
      <c r="G147" s="31" t="inlineStr">
        <is>
          <t>midcap</t>
        </is>
      </c>
      <c r="H147" s="32" t="n">
        <v>6100.19</v>
      </c>
      <c r="I147" s="32" t="n">
        <v>1408.2</v>
      </c>
      <c r="J147" s="32" t="n">
        <v>0.47</v>
      </c>
      <c r="K147" s="32" t="n">
        <v>113746</v>
      </c>
      <c r="L147" s="31" t="n">
        <v>21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64.23999999999999</v>
      </c>
      <c r="P147" s="32" t="n">
        <v>25.9</v>
      </c>
      <c r="Q147" s="32" t="n">
        <v>1097.59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18.4</v>
      </c>
      <c r="U147" s="32" t="n">
        <v>14.53</v>
      </c>
      <c r="V147" s="32" t="n">
        <v>-3.27</v>
      </c>
      <c r="W147" s="32" t="n">
        <v>4.29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IF(B148=0,"",RANK(B148,$B$2:$B$360,0))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KOPRAN</t>
        </is>
      </c>
      <c r="D148" s="31" t="inlineStr">
        <is>
          <t>Kopran Limited</t>
        </is>
      </c>
      <c r="E148" s="31" t="inlineStr">
        <is>
          <t>healthcare</t>
        </is>
      </c>
      <c r="F148" s="31" t="inlineStr">
        <is>
          <t>pharmaceuticals - indian - bulk drugs &amp; formln</t>
        </is>
      </c>
      <c r="G148" s="31" t="inlineStr">
        <is>
          <t>smallcap</t>
        </is>
      </c>
      <c r="H148" s="32" t="n">
        <v>964.3099999999999</v>
      </c>
      <c r="I148" s="32" t="n">
        <v>200.07</v>
      </c>
      <c r="J148" s="32" t="n">
        <v>0.18</v>
      </c>
      <c r="K148" s="32" t="n">
        <v>220450</v>
      </c>
      <c r="L148" s="31" t="n">
        <v>51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62.3</v>
      </c>
      <c r="P148" s="32" t="n">
        <v>40.47</v>
      </c>
      <c r="Q148" s="32" t="n">
        <v>145.7</v>
      </c>
      <c r="R148" s="31" t="inlineStr">
        <is>
          <t>Near 52W High Breakout</t>
        </is>
      </c>
      <c r="S148" s="31" t="inlineStr">
        <is>
          <t>Nifty Pharma</t>
        </is>
      </c>
      <c r="T148" s="32" t="n">
        <v>18.4</v>
      </c>
      <c r="U148" s="32" t="n">
        <v>30.89</v>
      </c>
      <c r="V148" s="32" t="n">
        <v>10.55</v>
      </c>
      <c r="W148" s="32" t="n">
        <v>11.99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IF(B149=0,"",RANK(B149,$B$2:$B$360,0))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BLSE</t>
        </is>
      </c>
      <c r="D149" s="31" t="inlineStr">
        <is>
          <t>BLS E-Services Ltd</t>
        </is>
      </c>
      <c r="E149" s="31" t="inlineStr">
        <is>
          <t>i.t</t>
        </is>
      </c>
      <c r="F149" s="31" t="inlineStr">
        <is>
          <t>computers - software - medium / small</t>
        </is>
      </c>
      <c r="G149" s="31" t="inlineStr">
        <is>
          <t>smallcap</t>
        </is>
      </c>
      <c r="H149" s="32" t="n">
        <v>2823.82</v>
      </c>
      <c r="I149" s="32" t="n">
        <v>310</v>
      </c>
      <c r="J149" s="32" t="n">
        <v>-0.26</v>
      </c>
      <c r="K149" s="32" t="n">
        <v>119027</v>
      </c>
      <c r="L149" s="31" t="n">
        <v>82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80.88</v>
      </c>
      <c r="P149" s="32" t="n">
        <v>50</v>
      </c>
      <c r="Q149" s="32" t="n">
        <v>252</v>
      </c>
      <c r="R149" s="31" t="inlineStr">
        <is>
          <t>Near 52W High Breakout</t>
        </is>
      </c>
      <c r="S149" s="31" t="inlineStr">
        <is>
          <t>Nifty IT</t>
        </is>
      </c>
      <c r="T149" s="32" t="n">
        <v>-14.75</v>
      </c>
      <c r="U149" s="32" t="n">
        <v>74.55</v>
      </c>
      <c r="V149" s="32" t="n">
        <v>104.75</v>
      </c>
      <c r="W149" s="32" t="n">
        <v>24.72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IF(B150=0,"",RANK(B150,$B$2:$B$360,0))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NEULANDLAB</t>
        </is>
      </c>
      <c r="D150" s="31" t="inlineStr">
        <is>
          <t>Neuland Laboratories Limited</t>
        </is>
      </c>
      <c r="E150" s="31" t="inlineStr">
        <is>
          <t>healthcare</t>
        </is>
      </c>
      <c r="F150" s="31" t="inlineStr">
        <is>
          <t>pharmaceuticals - indian - bulk drugs</t>
        </is>
      </c>
      <c r="G150" s="31" t="inlineStr">
        <is>
          <t>largecap</t>
        </is>
      </c>
      <c r="H150" s="32" t="n">
        <v>30356.8</v>
      </c>
      <c r="I150" s="32" t="n">
        <v>23399</v>
      </c>
      <c r="J150" s="32" t="n">
        <v>-1.11</v>
      </c>
      <c r="K150" s="32" t="n">
        <v>55376</v>
      </c>
      <c r="L150" s="31" t="n">
        <v>76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77.64</v>
      </c>
      <c r="P150" s="32" t="n">
        <v>54.35</v>
      </c>
      <c r="Q150" s="32" t="n">
        <v>18910.51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18.4</v>
      </c>
      <c r="U150" s="32" t="n">
        <v>68.59</v>
      </c>
      <c r="V150" s="32" t="n">
        <v>42.39</v>
      </c>
      <c r="W150" s="32" t="n">
        <v>21.65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IF(B151=0,"",RANK(B151,$B$2:$B$360,0))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KEI</t>
        </is>
      </c>
      <c r="D151" s="31" t="inlineStr">
        <is>
          <t>Kei Industries Limited</t>
        </is>
      </c>
      <c r="E151" s="31" t="inlineStr">
        <is>
          <t>industrials</t>
        </is>
      </c>
      <c r="F151" s="31" t="inlineStr">
        <is>
          <t>cables - power</t>
        </is>
      </c>
      <c r="G151" s="31" t="inlineStr">
        <is>
          <t>largecap</t>
        </is>
      </c>
      <c r="H151" s="32" t="n">
        <v>56146.23</v>
      </c>
      <c r="I151" s="32" t="n">
        <v>5790</v>
      </c>
      <c r="J151" s="32" t="n">
        <v>-1.41</v>
      </c>
      <c r="K151" s="32" t="n">
        <v>608534</v>
      </c>
      <c r="L151" s="31" t="n">
        <v>55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66.81999999999999</v>
      </c>
      <c r="P151" s="32" t="n">
        <v>25.82</v>
      </c>
      <c r="Q151" s="32" t="n">
        <v>4702.31</v>
      </c>
      <c r="R151" s="31" t="inlineStr">
        <is>
          <t>Near 52W High Breakout</t>
        </is>
      </c>
      <c r="S151" s="31" t="inlineStr">
        <is>
          <t>Nifty Energy</t>
        </is>
      </c>
      <c r="T151" s="32" t="n">
        <v>9.44</v>
      </c>
      <c r="U151" s="32" t="n">
        <v>49.33</v>
      </c>
      <c r="V151" s="32" t="n">
        <v>36.45</v>
      </c>
      <c r="W151" s="32" t="n">
        <v>13.13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Fully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Yes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Yes, More Than 10%</t>
        </is>
      </c>
      <c r="CE151" s="31">
        <f>IF(CD151="Yes, more than 10%",-10,IF(CD151="No",10,0))</f>
        <v/>
      </c>
    </row>
    <row r="152">
      <c r="A152" s="31">
        <f>IF(B152=0,"",RANK(B152,$B$2:$B$360,0))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DALMIASUG</t>
        </is>
      </c>
      <c r="D152" s="31" t="inlineStr">
        <is>
          <t>Dalmia Bharat Sugar And Industries Limited</t>
        </is>
      </c>
      <c r="E152" s="31" t="inlineStr">
        <is>
          <t>fmcg</t>
        </is>
      </c>
      <c r="F152" s="31" t="inlineStr">
        <is>
          <t>sugar</t>
        </is>
      </c>
      <c r="G152" s="31" t="inlineStr">
        <is>
          <t>smallcap</t>
        </is>
      </c>
      <c r="H152" s="32" t="n">
        <v>3719.97</v>
      </c>
      <c r="I152" s="32" t="n">
        <v>452.7</v>
      </c>
      <c r="J152" s="32" t="n">
        <v>-1.5</v>
      </c>
      <c r="K152" s="32" t="n">
        <v>587473</v>
      </c>
      <c r="L152" s="31" t="n">
        <v>46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71.92</v>
      </c>
      <c r="P152" s="32" t="n">
        <v>26.02</v>
      </c>
      <c r="Q152" s="32" t="n">
        <v>344.73</v>
      </c>
      <c r="R152" s="31" t="inlineStr">
        <is>
          <t>Near 52W High Breakout</t>
        </is>
      </c>
      <c r="S152" s="31" t="inlineStr">
        <is>
          <t>Nifty FMCG</t>
        </is>
      </c>
      <c r="T152" s="32" t="n">
        <v>-12.54</v>
      </c>
      <c r="U152" s="32" t="n">
        <v>21.94</v>
      </c>
      <c r="V152" s="32" t="n">
        <v>39.43</v>
      </c>
      <c r="W152" s="32" t="n">
        <v>10.33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B2C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IF(B153=0,"",RANK(B153,$B$2:$B$360,0))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MOREPENLAB</t>
        </is>
      </c>
      <c r="D153" s="31" t="inlineStr">
        <is>
          <t>Morepen Laboratories Limited</t>
        </is>
      </c>
      <c r="E153" s="31" t="inlineStr">
        <is>
          <t>healthcare</t>
        </is>
      </c>
      <c r="F153" s="31" t="inlineStr">
        <is>
          <t>pharmaceuticals - indian - bulk drugs &amp; formln</t>
        </is>
      </c>
      <c r="G153" s="31" t="inlineStr">
        <is>
          <t>smallcap</t>
        </is>
      </c>
      <c r="H153" s="32" t="n">
        <v>4921.72</v>
      </c>
      <c r="I153" s="32" t="n">
        <v>88.44</v>
      </c>
      <c r="J153" s="32" t="n">
        <v>-1.54</v>
      </c>
      <c r="K153" s="32" t="n">
        <v>34387594</v>
      </c>
      <c r="L153" s="31" t="n">
        <v>93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81.23</v>
      </c>
      <c r="P153" s="32" t="n">
        <v>38.24</v>
      </c>
      <c r="Q153" s="32" t="n">
        <v>65.89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18.4</v>
      </c>
      <c r="U153" s="32" t="n">
        <v>81.15000000000001</v>
      </c>
      <c r="V153" s="32" t="n">
        <v>53</v>
      </c>
      <c r="W153" s="32" t="n">
        <v>40.18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IF(B154=0,"",RANK(B154,$B$2:$B$360,0))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YASHO</t>
        </is>
      </c>
      <c r="D154" s="31" t="inlineStr">
        <is>
          <t>Yasho Industries Ltd</t>
        </is>
      </c>
      <c r="E154" s="31" t="inlineStr">
        <is>
          <t>chemicals</t>
        </is>
      </c>
      <c r="F154" s="31" t="inlineStr">
        <is>
          <t>chemicals</t>
        </is>
      </c>
      <c r="G154" s="31" t="inlineStr">
        <is>
          <t>midcap</t>
        </is>
      </c>
      <c r="H154" s="32" t="n">
        <v>5259.67</v>
      </c>
      <c r="I154" s="32" t="n">
        <v>4915.8</v>
      </c>
      <c r="J154" s="32" t="n">
        <v>12.69</v>
      </c>
      <c r="K154" s="32" t="n">
        <v>240192</v>
      </c>
      <c r="L154" s="31" t="n">
        <v>98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93.81</v>
      </c>
      <c r="P154" s="32" t="n">
        <v>69.90000000000001</v>
      </c>
      <c r="Q154" s="32" t="n">
        <v>3825.14</v>
      </c>
      <c r="R154" s="31" t="inlineStr">
        <is>
          <t>Near 52W High Breakout</t>
        </is>
      </c>
      <c r="S154" s="31" t="inlineStr">
        <is>
          <t>Nifty IT</t>
        </is>
      </c>
      <c r="T154" s="32" t="n">
        <v>-14.75</v>
      </c>
      <c r="U154" s="32" t="n">
        <v>189.22</v>
      </c>
      <c r="V154" s="32" t="n">
        <v>239.26</v>
      </c>
      <c r="W154" s="32" t="n">
        <v>61.77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IF(B155=0,"",RANK(B155,$B$2:$B$360,0))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MACPOWER</t>
        </is>
      </c>
      <c r="D155" s="31" t="inlineStr">
        <is>
          <t>Macpower CNC Machines Ltd</t>
        </is>
      </c>
      <c r="E155" s="31" t="inlineStr">
        <is>
          <t>industrials</t>
        </is>
      </c>
      <c r="F155" s="31" t="inlineStr">
        <is>
          <t>engineering</t>
        </is>
      </c>
      <c r="G155" s="31" t="inlineStr">
        <is>
          <t>smallcap</t>
        </is>
      </c>
      <c r="H155" s="32" t="n">
        <v>1782.14</v>
      </c>
      <c r="I155" s="32" t="n">
        <v>1983.6</v>
      </c>
      <c r="J155" s="32" t="n">
        <v>11.35</v>
      </c>
      <c r="K155" s="32" t="n">
        <v>190859</v>
      </c>
      <c r="L155" s="31" t="n">
        <v>92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79.52</v>
      </c>
      <c r="P155" s="32" t="n">
        <v>33.55</v>
      </c>
      <c r="Q155" s="32" t="n">
        <v>1466.57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-2.88</v>
      </c>
      <c r="U155" s="32" t="n">
        <v>140.96</v>
      </c>
      <c r="V155" s="32" t="n">
        <v>148.09</v>
      </c>
      <c r="W155" s="32" t="n">
        <v>37.56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IF(B156=0,"",RANK(B156,$B$2:$B$360,0))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AEROFLEX</t>
        </is>
      </c>
      <c r="D156" s="31" t="inlineStr">
        <is>
          <t>Aeroflex Industries Ltd</t>
        </is>
      </c>
      <c r="E156" s="31" t="inlineStr">
        <is>
          <t>metals &amp; mining</t>
        </is>
      </c>
      <c r="F156" s="31" t="inlineStr">
        <is>
          <t>steel - medium / small</t>
        </is>
      </c>
      <c r="G156" s="31" t="inlineStr">
        <is>
          <t>midcap</t>
        </is>
      </c>
      <c r="H156" s="32" t="n">
        <v>6032.3</v>
      </c>
      <c r="I156" s="32" t="n">
        <v>485.85</v>
      </c>
      <c r="J156" s="32" t="n">
        <v>6.58</v>
      </c>
      <c r="K156" s="32" t="n">
        <v>3213334</v>
      </c>
      <c r="L156" s="31" t="n">
        <v>94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67.54000000000001</v>
      </c>
      <c r="P156" s="32" t="n">
        <v>64.05</v>
      </c>
      <c r="Q156" s="32" t="n">
        <v>360.57</v>
      </c>
      <c r="R156" s="31" t="inlineStr">
        <is>
          <t>Near 52W High Breakout</t>
        </is>
      </c>
      <c r="S156" s="31" t="inlineStr">
        <is>
          <t>Nifty Metal</t>
        </is>
      </c>
      <c r="T156" s="32" t="n">
        <v>38.2</v>
      </c>
      <c r="U156" s="32" t="n">
        <v>136.5</v>
      </c>
      <c r="V156" s="32" t="n">
        <v>71.13</v>
      </c>
      <c r="W156" s="32" t="n">
        <v>40.19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Cyclical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Volatile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IF(B157=0,"",RANK(B157,$B$2:$B$360,0))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HEG</t>
        </is>
      </c>
      <c r="D157" s="31" t="inlineStr">
        <is>
          <t>Heg Limited</t>
        </is>
      </c>
      <c r="E157" s="31" t="inlineStr">
        <is>
          <t>industrials</t>
        </is>
      </c>
      <c r="F157" s="31" t="inlineStr">
        <is>
          <t>electrodes - graphites</t>
        </is>
      </c>
      <c r="G157" s="31" t="inlineStr">
        <is>
          <t>midcap</t>
        </is>
      </c>
      <c r="H157" s="32" t="n">
        <v>13475.62</v>
      </c>
      <c r="I157" s="32" t="n">
        <v>739.25</v>
      </c>
      <c r="J157" s="32" t="n">
        <v>5.86</v>
      </c>
      <c r="K157" s="32" t="n">
        <v>5430733</v>
      </c>
      <c r="L157" s="31" t="n">
        <v>60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71.47</v>
      </c>
      <c r="P157" s="32" t="n">
        <v>27.95</v>
      </c>
      <c r="Q157" s="32" t="n">
        <v>580.91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-2.88</v>
      </c>
      <c r="U157" s="32" t="n">
        <v>52.75</v>
      </c>
      <c r="V157" s="32" t="n">
        <v>57.27</v>
      </c>
      <c r="W157" s="32" t="n">
        <v>14.52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IF(B158=0,"",RANK(B158,$B$2:$B$360,0))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DPABHUSHAN</t>
        </is>
      </c>
      <c r="D158" s="33" t="inlineStr">
        <is>
          <t>D.P. Abhushan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smallcap</t>
        </is>
      </c>
      <c r="H158" s="32" t="n">
        <v>3204.58</v>
      </c>
      <c r="I158" s="32" t="n">
        <v>1457.2</v>
      </c>
      <c r="J158" s="32" t="n">
        <v>3.8</v>
      </c>
      <c r="K158" s="32" t="n">
        <v>30351</v>
      </c>
      <c r="L158" s="31" t="n">
        <v>50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66.8</v>
      </c>
      <c r="P158" s="32" t="n">
        <v>35.2</v>
      </c>
      <c r="Q158" s="32" t="n">
        <v>1057.54</v>
      </c>
      <c r="R158" s="31" t="inlineStr">
        <is>
          <t>Earnings / Momentum Support</t>
        </is>
      </c>
      <c r="S158" s="31" t="inlineStr">
        <is>
          <t>Nifty 50</t>
        </is>
      </c>
      <c r="T158" s="32" t="n">
        <v>-2.88</v>
      </c>
      <c r="U158" s="32" t="n">
        <v>-8.779999999999999</v>
      </c>
      <c r="V158" s="32" t="n">
        <v>-6.08</v>
      </c>
      <c r="W158" s="32" t="n">
        <v>11.46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IF(B159=0,"",RANK(B159,$B$2:$B$360,0))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IDEA</t>
        </is>
      </c>
      <c r="D159" s="31" t="inlineStr">
        <is>
          <t>Vodafone Idea Ltd</t>
        </is>
      </c>
      <c r="E159" s="31" t="inlineStr">
        <is>
          <t>telecom-service</t>
        </is>
      </c>
      <c r="F159" s="31" t="inlineStr">
        <is>
          <t>telecommunications - service provider</t>
        </is>
      </c>
      <c r="G159" s="31" t="inlineStr">
        <is>
          <t>largecap</t>
        </is>
      </c>
      <c r="H159" s="32" t="n">
        <v>148538.3</v>
      </c>
      <c r="I159" s="32" t="n">
        <v>14.12</v>
      </c>
      <c r="J159" s="32" t="n">
        <v>2.99</v>
      </c>
      <c r="K159" s="32" t="n">
        <v>1631325050</v>
      </c>
      <c r="L159" s="31" t="n">
        <v>67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62.33</v>
      </c>
      <c r="P159" s="32" t="n">
        <v>35.13</v>
      </c>
      <c r="Q159" s="32" t="n">
        <v>12.02</v>
      </c>
      <c r="R159" s="31" t="inlineStr">
        <is>
          <t>Earnings / Momentum Support</t>
        </is>
      </c>
      <c r="S159" s="31" t="inlineStr">
        <is>
          <t>Nifty 50</t>
        </is>
      </c>
      <c r="T159" s="32" t="n">
        <v>-2.88</v>
      </c>
      <c r="U159" s="32" t="n">
        <v>99.72</v>
      </c>
      <c r="V159" s="32" t="n">
        <v>105.63</v>
      </c>
      <c r="W159" s="32" t="n">
        <v>16.33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Oligopoly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IF(B160=0,"",RANK(B160,$B$2:$B$360,0))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MIDHANI</t>
        </is>
      </c>
      <c r="D160" s="33" t="inlineStr">
        <is>
          <t>Mishra Dhatu Nigam Ltd</t>
        </is>
      </c>
      <c r="E160" s="31" t="inlineStr">
        <is>
          <t>aerospace &amp; defence</t>
        </is>
      </c>
      <c r="F160" s="31" t="inlineStr">
        <is>
          <t>steel - medium / small</t>
        </is>
      </c>
      <c r="G160" s="31" t="inlineStr">
        <is>
          <t>midcap</t>
        </is>
      </c>
      <c r="H160" s="32" t="n">
        <v>8029.39</v>
      </c>
      <c r="I160" s="32" t="n">
        <v>437.5</v>
      </c>
      <c r="J160" s="32" t="n">
        <v>2.08</v>
      </c>
      <c r="K160" s="32" t="n">
        <v>1545292</v>
      </c>
      <c r="L160" s="31" t="n">
        <v>24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59.87</v>
      </c>
      <c r="P160" s="32" t="n">
        <v>27.15</v>
      </c>
      <c r="Q160" s="32" t="n">
        <v>333.61</v>
      </c>
      <c r="R160" s="31" t="inlineStr">
        <is>
          <t>Near 52W High Breakout</t>
        </is>
      </c>
      <c r="S160" s="31" t="inlineStr">
        <is>
          <t>Nifty Metal</t>
        </is>
      </c>
      <c r="T160" s="32" t="n">
        <v>38.2</v>
      </c>
      <c r="U160" s="32" t="n">
        <v>8.529999999999999</v>
      </c>
      <c r="V160" s="32" t="n">
        <v>-21.47</v>
      </c>
      <c r="W160" s="32" t="n">
        <v>5.57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IF(B161=0,"",RANK(B161,$B$2:$B$360,0))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KRISHANA</t>
        </is>
      </c>
      <c r="D161" s="31" t="inlineStr">
        <is>
          <t>Krishana Phoschem Ltd</t>
        </is>
      </c>
      <c r="E161" s="31" t="inlineStr">
        <is>
          <t>chemicals</t>
        </is>
      </c>
      <c r="F161" s="31" t="inlineStr">
        <is>
          <t>fertilizers</t>
        </is>
      </c>
      <c r="G161" s="31" t="inlineStr">
        <is>
          <t>smallcap</t>
        </is>
      </c>
      <c r="H161" s="32" t="n">
        <v>1157.85</v>
      </c>
      <c r="I161" s="32" t="n">
        <v>190.04</v>
      </c>
      <c r="J161" s="32" t="n">
        <v>1.48</v>
      </c>
      <c r="K161" s="32" t="n">
        <v>696096</v>
      </c>
      <c r="L161" s="31" t="n">
        <v>75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77.31</v>
      </c>
      <c r="P161" s="32" t="n">
        <v>48.23</v>
      </c>
      <c r="Q161" s="32" t="n">
        <v>148.5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-2.88</v>
      </c>
      <c r="U161" s="32" t="n">
        <v>58.1</v>
      </c>
      <c r="V161" s="32" t="n">
        <v>62.78</v>
      </c>
      <c r="W161" s="32" t="n">
        <v>20.23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More than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IF(B162=0,"",RANK(B162,$B$2:$B$360,0))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MTARTECH</t>
        </is>
      </c>
      <c r="D162" s="31" t="inlineStr">
        <is>
          <t>MTAR Technologies Ltd</t>
        </is>
      </c>
      <c r="E162" s="31" t="inlineStr">
        <is>
          <t>aerospace &amp; defence</t>
        </is>
      </c>
      <c r="F162" s="31" t="inlineStr">
        <is>
          <t>engineering</t>
        </is>
      </c>
      <c r="G162" s="31" t="inlineStr">
        <is>
          <t>largecap</t>
        </is>
      </c>
      <c r="H162" s="32" t="n">
        <v>21707.04</v>
      </c>
      <c r="I162" s="32" t="n">
        <v>7132</v>
      </c>
      <c r="J162" s="32" t="n">
        <v>1.06</v>
      </c>
      <c r="K162" s="32" t="n">
        <v>116916</v>
      </c>
      <c r="L162" s="31" t="n">
        <v>94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60.84</v>
      </c>
      <c r="P162" s="32" t="n">
        <v>35.92</v>
      </c>
      <c r="Q162" s="32" t="n">
        <v>6006.89</v>
      </c>
      <c r="R162" s="31" t="inlineStr">
        <is>
          <t>Earnings / Momentum Support</t>
        </is>
      </c>
      <c r="S162" s="31" t="inlineStr">
        <is>
          <t>Nifty 50</t>
        </is>
      </c>
      <c r="T162" s="32" t="n">
        <v>-2.88</v>
      </c>
      <c r="U162" s="32" t="n">
        <v>369.09</v>
      </c>
      <c r="V162" s="32" t="n">
        <v>382.98</v>
      </c>
      <c r="W162" s="32" t="n">
        <v>41.83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IF(B163=0,"",RANK(B163,$B$2:$B$360,0))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SEAMECLTD</t>
        </is>
      </c>
      <c r="D163" s="31" t="inlineStr">
        <is>
          <t>Seamec Limited</t>
        </is>
      </c>
      <c r="E163" s="31" t="inlineStr">
        <is>
          <t>miscellaneous</t>
        </is>
      </c>
      <c r="F163" s="31" t="inlineStr">
        <is>
          <t>miscellaneous</t>
        </is>
      </c>
      <c r="G163" s="31" t="inlineStr">
        <is>
          <t>smallcap</t>
        </is>
      </c>
      <c r="H163" s="32" t="n">
        <v>3969.1</v>
      </c>
      <c r="I163" s="32" t="n">
        <v>1574.7</v>
      </c>
      <c r="J163" s="32" t="n">
        <v>0.87</v>
      </c>
      <c r="K163" s="32" t="n">
        <v>60589</v>
      </c>
      <c r="L163" s="31" t="n">
        <v>55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61.74</v>
      </c>
      <c r="P163" s="32" t="n">
        <v>22.22</v>
      </c>
      <c r="Q163" s="32" t="n">
        <v>1257.86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-2.88</v>
      </c>
      <c r="U163" s="32" t="n">
        <v>75.40000000000001</v>
      </c>
      <c r="V163" s="32" t="n">
        <v>80.59</v>
      </c>
      <c r="W163" s="32" t="n">
        <v>13.09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IF(B164=0,"",RANK(B164,$B$2:$B$360,0))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GRASIM</t>
        </is>
      </c>
      <c r="D164" s="31" t="inlineStr">
        <is>
          <t>Grasim Industries Limited</t>
        </is>
      </c>
      <c r="E164" s="31" t="inlineStr">
        <is>
          <t>textiles</t>
        </is>
      </c>
      <c r="F164" s="31" t="inlineStr">
        <is>
          <t>textiles - manmade</t>
        </is>
      </c>
      <c r="G164" s="31" t="inlineStr">
        <is>
          <t>largecap</t>
        </is>
      </c>
      <c r="H164" s="32" t="n">
        <v>221222.72</v>
      </c>
      <c r="I164" s="32" t="n">
        <v>3278.7</v>
      </c>
      <c r="J164" s="32" t="n">
        <v>0.87</v>
      </c>
      <c r="K164" s="32" t="n">
        <v>4419786</v>
      </c>
      <c r="L164" s="31" t="n">
        <v>20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64.81999999999999</v>
      </c>
      <c r="P164" s="32" t="n">
        <v>38.18</v>
      </c>
      <c r="Q164" s="32" t="n">
        <v>2909.97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-2.88</v>
      </c>
      <c r="U164" s="32" t="n">
        <v>16.89</v>
      </c>
      <c r="V164" s="32" t="n">
        <v>20.35</v>
      </c>
      <c r="W164" s="32" t="n">
        <v>4.13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More than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IF(B165=0,"",RANK(B165,$B$2:$B$360,0))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STLTECH</t>
        </is>
      </c>
      <c r="D165" s="31" t="inlineStr">
        <is>
          <t>Sterlite Technologies Limited</t>
        </is>
      </c>
      <c r="E165" s="31" t="inlineStr">
        <is>
          <t>industrials</t>
        </is>
      </c>
      <c r="F165" s="31" t="inlineStr">
        <is>
          <t>cables - telephone</t>
        </is>
      </c>
      <c r="G165" s="31" t="inlineStr">
        <is>
          <t>largecap</t>
        </is>
      </c>
      <c r="H165" s="32" t="n">
        <v>33015.26</v>
      </c>
      <c r="I165" s="32" t="n">
        <v>646</v>
      </c>
      <c r="J165" s="32" t="n">
        <v>0.55</v>
      </c>
      <c r="K165" s="32" t="n">
        <v>1569305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72.55</v>
      </c>
      <c r="P165" s="32" t="n">
        <v>78.89</v>
      </c>
      <c r="Q165" s="32" t="n">
        <v>465.4</v>
      </c>
      <c r="R165" s="31" t="inlineStr">
        <is>
          <t>Near 52W High Breakout</t>
        </is>
      </c>
      <c r="S165" s="31" t="inlineStr">
        <is>
          <t>Nifty Infra</t>
        </is>
      </c>
      <c r="T165" s="32" t="inlineStr"/>
      <c r="U165" s="32" t="inlineStr"/>
      <c r="V165" s="32" t="inlineStr"/>
      <c r="W165" s="32" t="inlineStr"/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IF(B166=0,"",RANK(B166,$B$2:$B$360,0))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TBOTEK</t>
        </is>
      </c>
      <c r="D166" s="31" t="inlineStr">
        <is>
          <t>TBO Tek Ltd</t>
        </is>
      </c>
      <c r="E166" s="31" t="inlineStr">
        <is>
          <t>i.t</t>
        </is>
      </c>
      <c r="F166" s="31" t="inlineStr">
        <is>
          <t>travel agencies</t>
        </is>
      </c>
      <c r="G166" s="31" t="inlineStr">
        <is>
          <t>midcap</t>
        </is>
      </c>
      <c r="H166" s="32" t="n">
        <v>18459.92</v>
      </c>
      <c r="I166" s="32" t="n">
        <v>1708.2</v>
      </c>
      <c r="J166" s="32" t="n">
        <v>0.48</v>
      </c>
      <c r="K166" s="32" t="n">
        <v>371186</v>
      </c>
      <c r="L166" s="31" t="n">
        <v>59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68.16</v>
      </c>
      <c r="P166" s="32" t="n">
        <v>21.51</v>
      </c>
      <c r="Q166" s="32" t="n">
        <v>1350.85</v>
      </c>
      <c r="R166" s="31" t="inlineStr">
        <is>
          <t>Near 52W High Breakout</t>
        </is>
      </c>
      <c r="S166" s="31" t="inlineStr">
        <is>
          <t>Nifty IT</t>
        </is>
      </c>
      <c r="T166" s="32" t="n">
        <v>-14.75</v>
      </c>
      <c r="U166" s="32" t="n">
        <v>18.41</v>
      </c>
      <c r="V166" s="32" t="n">
        <v>38.9</v>
      </c>
      <c r="W166" s="32" t="n">
        <v>14.38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IF(B167=0,"",RANK(B167,$B$2:$B$360,0))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AYMSYNTEX</t>
        </is>
      </c>
      <c r="D167" s="31" t="inlineStr">
        <is>
          <t>Aym Syntex Limited</t>
        </is>
      </c>
      <c r="E167" s="31" t="inlineStr">
        <is>
          <t>textiles</t>
        </is>
      </c>
      <c r="F167" s="31" t="inlineStr">
        <is>
          <t>textiles - processing</t>
        </is>
      </c>
      <c r="G167" s="31" t="inlineStr">
        <is>
          <t>smallcap</t>
        </is>
      </c>
      <c r="H167" s="32" t="n">
        <v>1596.98</v>
      </c>
      <c r="I167" s="32" t="n">
        <v>273</v>
      </c>
      <c r="J167" s="32" t="n">
        <v>0.4</v>
      </c>
      <c r="K167" s="32" t="n">
        <v>26619</v>
      </c>
      <c r="L167" s="31" t="n">
        <v>61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63.95</v>
      </c>
      <c r="P167" s="32" t="n">
        <v>34.58</v>
      </c>
      <c r="Q167" s="32" t="n">
        <v>188.99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-2.88</v>
      </c>
      <c r="U167" s="32" t="n">
        <v>40.7</v>
      </c>
      <c r="V167" s="32" t="n">
        <v>44.86</v>
      </c>
      <c r="W167" s="32" t="n">
        <v>14.74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IF(B168=0,"",RANK(B168,$B$2:$B$360,0))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NRBBEARING</t>
        </is>
      </c>
      <c r="D168" s="31" t="inlineStr">
        <is>
          <t>Nrb Bearing Limited</t>
        </is>
      </c>
      <c r="E168" s="31" t="inlineStr">
        <is>
          <t>industrials</t>
        </is>
      </c>
      <c r="F168" s="31" t="inlineStr">
        <is>
          <t>bearings</t>
        </is>
      </c>
      <c r="G168" s="31" t="inlineStr">
        <is>
          <t>smallcap</t>
        </is>
      </c>
      <c r="H168" s="32" t="n">
        <v>4691.54</v>
      </c>
      <c r="I168" s="32" t="n">
        <v>485.6</v>
      </c>
      <c r="J168" s="32" t="n">
        <v>0.32</v>
      </c>
      <c r="K168" s="32" t="n">
        <v>507018</v>
      </c>
      <c r="L168" s="31" t="n">
        <v>71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77.03</v>
      </c>
      <c r="P168" s="32" t="n">
        <v>50.23</v>
      </c>
      <c r="Q168" s="32" t="n">
        <v>378.96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-2.88</v>
      </c>
      <c r="U168" s="32" t="n">
        <v>69.62</v>
      </c>
      <c r="V168" s="32" t="n">
        <v>74.64</v>
      </c>
      <c r="W168" s="32" t="n">
        <v>18.32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Between 12 to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IF(B169=0,"",RANK(B169,$B$2:$B$360,0))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CYIENTDLM</t>
        </is>
      </c>
      <c r="D169" s="31" t="inlineStr">
        <is>
          <t>Cyient DLM Ltd</t>
        </is>
      </c>
      <c r="E169" s="31" t="inlineStr">
        <is>
          <t>aerospace &amp; defence</t>
        </is>
      </c>
      <c r="F169" s="31" t="inlineStr">
        <is>
          <t>electronics - components</t>
        </is>
      </c>
      <c r="G169" s="31" t="inlineStr">
        <is>
          <t>midcap</t>
        </is>
      </c>
      <c r="H169" s="32" t="n">
        <v>5854.13</v>
      </c>
      <c r="I169" s="32" t="n">
        <v>736.1</v>
      </c>
      <c r="J169" s="32" t="n">
        <v>-0.18</v>
      </c>
      <c r="K169" s="32" t="n">
        <v>938059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86.04000000000001</v>
      </c>
      <c r="P169" s="32" t="n">
        <v>63.56</v>
      </c>
      <c r="Q169" s="32" t="n">
        <v>571.4299999999999</v>
      </c>
      <c r="R169" s="31" t="inlineStr">
        <is>
          <t>Near 52W High Breakout</t>
        </is>
      </c>
      <c r="S169" s="31" t="inlineStr">
        <is>
          <t>Nifty Infra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IF(B170=0,"",RANK(B170,$B$2:$B$360,0))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ENRIN</t>
        </is>
      </c>
      <c r="D170" s="31" t="inlineStr">
        <is>
          <t>Siemens Energy India Ltd</t>
        </is>
      </c>
      <c r="E170" s="31" t="inlineStr">
        <is>
          <t>power &amp; utilities</t>
        </is>
      </c>
      <c r="F170" s="31" t="inlineStr">
        <is>
          <t>power generation and supply</t>
        </is>
      </c>
      <c r="G170" s="31" t="inlineStr">
        <is>
          <t>largecap</t>
        </is>
      </c>
      <c r="H170" s="32" t="n">
        <v>128406.37</v>
      </c>
      <c r="I170" s="32" t="n">
        <v>3593.2</v>
      </c>
      <c r="J170" s="32" t="n">
        <v>-0.35</v>
      </c>
      <c r="K170" s="32" t="n">
        <v>182373</v>
      </c>
      <c r="L170" s="31" t="n">
        <v>15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57</v>
      </c>
      <c r="P170" s="32" t="n">
        <v>23.9</v>
      </c>
      <c r="Q170" s="32" t="n">
        <v>3013.24</v>
      </c>
      <c r="R170" s="31" t="inlineStr">
        <is>
          <t>Earnings / Momentum Support</t>
        </is>
      </c>
      <c r="S170" s="31" t="inlineStr">
        <is>
          <t>Nifty IT</t>
        </is>
      </c>
      <c r="T170" s="32" t="n">
        <v>-14.75</v>
      </c>
      <c r="U170" s="32" t="n">
        <v>6.67</v>
      </c>
      <c r="V170" s="32" t="n">
        <v>25.12</v>
      </c>
      <c r="W170" s="32" t="n">
        <v>2.69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IF(B171=0,"",RANK(B171,$B$2:$B$360,0))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EICHERMOT</t>
        </is>
      </c>
      <c r="D171" s="31" t="inlineStr">
        <is>
          <t>Eicher Motors Limited</t>
        </is>
      </c>
      <c r="E171" s="31" t="inlineStr">
        <is>
          <t>auto</t>
        </is>
      </c>
      <c r="F171" s="31" t="inlineStr">
        <is>
          <t>automobiles - motorcycles / mopeds</t>
        </is>
      </c>
      <c r="G171" s="31" t="inlineStr">
        <is>
          <t>largecap</t>
        </is>
      </c>
      <c r="H171" s="32" t="n">
        <v>220970.51</v>
      </c>
      <c r="I171" s="32" t="n">
        <v>8018.5</v>
      </c>
      <c r="J171" s="32" t="n">
        <v>-0.39</v>
      </c>
      <c r="K171" s="32" t="n">
        <v>508273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64.29000000000001</v>
      </c>
      <c r="P171" s="32" t="n">
        <v>10.14</v>
      </c>
      <c r="Q171" s="32" t="n">
        <v>6994.98</v>
      </c>
      <c r="R171" s="31" t="inlineStr">
        <is>
          <t>Near 52W High Breakout</t>
        </is>
      </c>
      <c r="S171" s="31" t="inlineStr">
        <is>
          <t>Nifty Auto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Between 1.5 to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IF(B172=0,"",RANK(B172,$B$2:$B$360,0))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SHAILY</t>
        </is>
      </c>
      <c r="D172" s="31" t="inlineStr">
        <is>
          <t>Shaily Engineering Plastics Ltd</t>
        </is>
      </c>
      <c r="E172" s="31" t="inlineStr">
        <is>
          <t>plastic products</t>
        </is>
      </c>
      <c r="F172" s="31" t="inlineStr">
        <is>
          <t>plastics products</t>
        </is>
      </c>
      <c r="G172" s="31" t="inlineStr">
        <is>
          <t>midcap</t>
        </is>
      </c>
      <c r="H172" s="32" t="n">
        <v>15621.37</v>
      </c>
      <c r="I172" s="32" t="n">
        <v>3373.7</v>
      </c>
      <c r="J172" s="32" t="n">
        <v>-0.67</v>
      </c>
      <c r="K172" s="32" t="n">
        <v>67126</v>
      </c>
      <c r="L172" s="31" t="n">
        <v>67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70.69</v>
      </c>
      <c r="P172" s="32" t="n">
        <v>29.95</v>
      </c>
      <c r="Q172" s="32" t="n">
        <v>2537.15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-2.88</v>
      </c>
      <c r="U172" s="32" t="n">
        <v>60.53</v>
      </c>
      <c r="V172" s="32" t="n">
        <v>65.28</v>
      </c>
      <c r="W172" s="32" t="n">
        <v>16.63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Between 12 to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IF(B173=0,"",RANK(B173,$B$2:$B$360,0))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KRN</t>
        </is>
      </c>
      <c r="D173" s="31" t="inlineStr">
        <is>
          <t>KRN Heat Exchanger and Refrigeration Ltd</t>
        </is>
      </c>
      <c r="E173" s="31" t="inlineStr">
        <is>
          <t>industrials</t>
        </is>
      </c>
      <c r="F173" s="31" t="inlineStr">
        <is>
          <t>engineering</t>
        </is>
      </c>
      <c r="G173" s="31" t="inlineStr">
        <is>
          <t>midcap</t>
        </is>
      </c>
      <c r="H173" s="32" t="n">
        <v>10078.64</v>
      </c>
      <c r="I173" s="32" t="n">
        <v>1522.1</v>
      </c>
      <c r="J173" s="32" t="n">
        <v>-1.14</v>
      </c>
      <c r="K173" s="32" t="n">
        <v>425531</v>
      </c>
      <c r="L173" s="31" t="n">
        <v>71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72.43000000000001</v>
      </c>
      <c r="P173" s="32" t="n">
        <v>30.03</v>
      </c>
      <c r="Q173" s="32" t="n">
        <v>1135.13</v>
      </c>
      <c r="R173" s="31" t="inlineStr">
        <is>
          <t>Volume Spike &amp; Near 52W High Breakout</t>
        </is>
      </c>
      <c r="S173" s="31" t="inlineStr">
        <is>
          <t>Nifty 50</t>
        </is>
      </c>
      <c r="T173" s="32" t="n">
        <v>-2.88</v>
      </c>
      <c r="U173" s="32" t="n">
        <v>59.33</v>
      </c>
      <c r="V173" s="32" t="n">
        <v>64.05</v>
      </c>
      <c r="W173" s="32" t="n">
        <v>18.67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IF(B174=0,"",RANK(B174,$B$2:$B$360,0))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KALYANKJIL</t>
        </is>
      </c>
      <c r="D174" s="31" t="inlineStr">
        <is>
          <t>Kalyan Jewellers India Ltd</t>
        </is>
      </c>
      <c r="E174" s="31" t="inlineStr">
        <is>
          <t>consumer discretionary</t>
        </is>
      </c>
      <c r="F174" s="31" t="inlineStr">
        <is>
          <t>diamond cutting / jewellery</t>
        </is>
      </c>
      <c r="G174" s="31" t="inlineStr">
        <is>
          <t>largecap</t>
        </is>
      </c>
      <c r="H174" s="32" t="n">
        <v>62997.15</v>
      </c>
      <c r="I174" s="32" t="n">
        <v>601.6</v>
      </c>
      <c r="J174" s="32" t="n">
        <v>-1.38</v>
      </c>
      <c r="K174" s="32" t="n">
        <v>18183221</v>
      </c>
      <c r="L174" s="31" t="n">
        <v>76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70.39</v>
      </c>
      <c r="P174" s="32" t="n">
        <v>34.98</v>
      </c>
      <c r="Q174" s="32" t="n">
        <v>470.53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-2.88</v>
      </c>
      <c r="U174" s="32" t="n">
        <v>18.04</v>
      </c>
      <c r="V174" s="32" t="n">
        <v>21.53</v>
      </c>
      <c r="W174" s="32" t="n">
        <v>21.5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IF(B175=0,"",RANK(B175,$B$2:$B$360,0))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HONASA</t>
        </is>
      </c>
      <c r="D175" s="31" t="inlineStr">
        <is>
          <t>Honasa Consumer Ltd</t>
        </is>
      </c>
      <c r="E175" s="31" t="inlineStr">
        <is>
          <t>services</t>
        </is>
      </c>
      <c r="F175" s="31" t="inlineStr">
        <is>
          <t>trading</t>
        </is>
      </c>
      <c r="G175" s="31" t="inlineStr">
        <is>
          <t>midcap</t>
        </is>
      </c>
      <c r="H175" s="32" t="n">
        <v>15702.96</v>
      </c>
      <c r="I175" s="32" t="n">
        <v>474.6</v>
      </c>
      <c r="J175" s="32" t="n">
        <v>-1.46</v>
      </c>
      <c r="K175" s="32" t="n">
        <v>1909932</v>
      </c>
      <c r="L175" s="31" t="n">
        <v>62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68.83</v>
      </c>
      <c r="P175" s="32" t="n">
        <v>60.29</v>
      </c>
      <c r="Q175" s="32" t="n">
        <v>408.08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-2.88</v>
      </c>
      <c r="U175" s="32" t="n">
        <v>58.17</v>
      </c>
      <c r="V175" s="32" t="n">
        <v>62.86</v>
      </c>
      <c r="W175" s="32" t="n">
        <v>15.04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IF(B176=0,"",RANK(B176,$B$2:$B$360,0))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LMW</t>
        </is>
      </c>
      <c r="D176" s="31" t="inlineStr">
        <is>
          <t>LMW Ltd</t>
        </is>
      </c>
      <c r="E176" s="31" t="inlineStr">
        <is>
          <t>industrials</t>
        </is>
      </c>
      <c r="F176" s="31" t="inlineStr">
        <is>
          <t>textile machinery</t>
        </is>
      </c>
      <c r="G176" s="31" t="inlineStr">
        <is>
          <t>largecap</t>
        </is>
      </c>
      <c r="H176" s="32" t="n">
        <v>21416.21</v>
      </c>
      <c r="I176" s="32" t="n">
        <v>19748</v>
      </c>
      <c r="J176" s="32" t="n">
        <v>-1.49</v>
      </c>
      <c r="K176" s="32" t="n">
        <v>6432</v>
      </c>
      <c r="L176" s="31" t="n">
        <v>60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74.97</v>
      </c>
      <c r="P176" s="32" t="n">
        <v>38.7</v>
      </c>
      <c r="Q176" s="32" t="n">
        <v>16266.1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-2.88</v>
      </c>
      <c r="U176" s="32" t="n">
        <v>30.78</v>
      </c>
      <c r="V176" s="32" t="n">
        <v>34.66</v>
      </c>
      <c r="W176" s="32" t="n">
        <v>14.59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IF(B177=0,"",RANK(B177,$B$2:$B$360,0))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ANDHRSUGAR</t>
        </is>
      </c>
      <c r="D177" s="31" t="inlineStr">
        <is>
          <t>The Andhra Sugars Limited</t>
        </is>
      </c>
      <c r="E177" s="31" t="inlineStr">
        <is>
          <t>chemicals</t>
        </is>
      </c>
      <c r="F177" s="31" t="inlineStr">
        <is>
          <t>chlor alkali / soda ash</t>
        </is>
      </c>
      <c r="G177" s="31" t="inlineStr">
        <is>
          <t>smallcap</t>
        </is>
      </c>
      <c r="H177" s="32" t="n">
        <v>1382.19</v>
      </c>
      <c r="I177" s="32" t="n">
        <v>100.46</v>
      </c>
      <c r="J177" s="32" t="n">
        <v>-1.49</v>
      </c>
      <c r="K177" s="32" t="n">
        <v>730940</v>
      </c>
      <c r="L177" s="31" t="n">
        <v>36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64.18000000000001</v>
      </c>
      <c r="P177" s="32" t="n">
        <v>13.33</v>
      </c>
      <c r="Q177" s="32" t="n">
        <v>77.56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-2.88</v>
      </c>
      <c r="U177" s="32" t="n">
        <v>28.12</v>
      </c>
      <c r="V177" s="32" t="n">
        <v>31.91</v>
      </c>
      <c r="W177" s="32" t="n">
        <v>8.32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IF(B178=0,"",RANK(B178,$B$2:$B$360,0))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KINGFA</t>
        </is>
      </c>
      <c r="D178" s="31" t="inlineStr">
        <is>
          <t>Kingfa Science &amp; Technology (india) Limited</t>
        </is>
      </c>
      <c r="E178" s="31" t="inlineStr">
        <is>
          <t>plastic products</t>
        </is>
      </c>
      <c r="F178" s="31" t="inlineStr">
        <is>
          <t>plastics products</t>
        </is>
      </c>
      <c r="G178" s="31" t="inlineStr">
        <is>
          <t>midcap</t>
        </is>
      </c>
      <c r="H178" s="32" t="n">
        <v>8249.4</v>
      </c>
      <c r="I178" s="32" t="n">
        <v>5950</v>
      </c>
      <c r="J178" s="32" t="n">
        <v>-2.26</v>
      </c>
      <c r="K178" s="32" t="n">
        <v>21586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70.86</v>
      </c>
      <c r="P178" s="32" t="n">
        <v>32.8</v>
      </c>
      <c r="Q178" s="32" t="n">
        <v>4759.64</v>
      </c>
      <c r="R178" s="31" t="inlineStr">
        <is>
          <t>Volume Spike &amp; Near 52W High Breakout</t>
        </is>
      </c>
      <c r="S178" s="31" t="inlineStr">
        <is>
          <t>Nifty Infra</t>
        </is>
      </c>
      <c r="T178" s="32" t="inlineStr"/>
      <c r="U178" s="32" t="inlineStr"/>
      <c r="V178" s="32" t="inlineStr"/>
      <c r="W178" s="32" t="inlineStr"/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IF(B179=0,"",RANK(B179,$B$2:$B$360,0))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INDIAGLYCO</t>
        </is>
      </c>
      <c r="D179" s="31" t="inlineStr">
        <is>
          <t>India Glycols Limited</t>
        </is>
      </c>
      <c r="E179" s="31" t="inlineStr">
        <is>
          <t>fmcg</t>
        </is>
      </c>
      <c r="F179" s="31" t="inlineStr">
        <is>
          <t>breweries &amp; distilleries</t>
        </is>
      </c>
      <c r="G179" s="31" t="inlineStr">
        <is>
          <t>midcap</t>
        </is>
      </c>
      <c r="H179" s="32" t="n">
        <v>7177.9</v>
      </c>
      <c r="I179" s="32" t="n">
        <v>1139.2</v>
      </c>
      <c r="J179" s="32" t="n">
        <v>6.38</v>
      </c>
      <c r="K179" s="32" t="n">
        <v>2053627</v>
      </c>
      <c r="L179" s="31" t="n">
        <v>47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59.66</v>
      </c>
      <c r="P179" s="32" t="n">
        <v>26.48</v>
      </c>
      <c r="Q179" s="32" t="n">
        <v>906.63</v>
      </c>
      <c r="R179" s="31" t="inlineStr">
        <is>
          <t>Volume Spike &amp; Near 52W High Breakout</t>
        </is>
      </c>
      <c r="S179" s="31" t="inlineStr">
        <is>
          <t>Nifty FMCG</t>
        </is>
      </c>
      <c r="T179" s="32" t="n">
        <v>-12.54</v>
      </c>
      <c r="U179" s="32" t="n">
        <v>33.82</v>
      </c>
      <c r="V179" s="32" t="n">
        <v>53.01</v>
      </c>
      <c r="W179" s="32" t="n">
        <v>10.51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B2C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IF(B180=0,"",RANK(B180,$B$2:$B$360,0))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PPLPHARMA</t>
        </is>
      </c>
      <c r="D180" s="33" t="inlineStr">
        <is>
          <t>Piramal Pharma Ltd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largecap</t>
        </is>
      </c>
      <c r="H180" s="32" t="n">
        <v>27256.69</v>
      </c>
      <c r="I180" s="32" t="n">
        <v>210.53</v>
      </c>
      <c r="J180" s="32" t="n">
        <v>2.83</v>
      </c>
      <c r="K180" s="32" t="n">
        <v>5337954</v>
      </c>
      <c r="L180" s="31" t="n">
        <v>28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70.23</v>
      </c>
      <c r="P180" s="32" t="n">
        <v>27.11</v>
      </c>
      <c r="Q180" s="32" t="n">
        <v>167.27</v>
      </c>
      <c r="R180" s="31" t="inlineStr">
        <is>
          <t>Near 52W High Breakout</t>
        </is>
      </c>
      <c r="S180" s="31" t="inlineStr">
        <is>
          <t>Nifty Pharma</t>
        </is>
      </c>
      <c r="T180" s="32" t="n">
        <v>18.4</v>
      </c>
      <c r="U180" s="32" t="n">
        <v>9.220000000000001</v>
      </c>
      <c r="V180" s="32" t="n">
        <v>-7.75</v>
      </c>
      <c r="W180" s="32" t="n">
        <v>6.42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IF(B181=0,"",RANK(B181,$B$2:$B$360,0))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LTFOODS</t>
        </is>
      </c>
      <c r="D181" s="31" t="inlineStr">
        <is>
          <t>L T Foods Ltd</t>
        </is>
      </c>
      <c r="E181" s="31" t="inlineStr">
        <is>
          <t>fmcg</t>
        </is>
      </c>
      <c r="F181" s="31" t="inlineStr">
        <is>
          <t>food - processing - indian</t>
        </is>
      </c>
      <c r="G181" s="31" t="inlineStr">
        <is>
          <t>midcap</t>
        </is>
      </c>
      <c r="H181" s="32" t="n">
        <v>14485.66</v>
      </c>
      <c r="I181" s="32" t="n">
        <v>426.3</v>
      </c>
      <c r="J181" s="32" t="n">
        <v>2.19</v>
      </c>
      <c r="K181" s="32" t="n">
        <v>512273</v>
      </c>
      <c r="L181" s="31" t="n">
        <v>2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58.99</v>
      </c>
      <c r="P181" s="32" t="n">
        <v>14.93</v>
      </c>
      <c r="Q181" s="32" t="n">
        <v>350.07</v>
      </c>
      <c r="R181" s="31" t="inlineStr">
        <is>
          <t>Earnings / Momentum Support</t>
        </is>
      </c>
      <c r="S181" s="31" t="inlineStr">
        <is>
          <t>Nifty FMCG</t>
        </is>
      </c>
      <c r="T181" s="32" t="n">
        <v>-12.54</v>
      </c>
      <c r="U181" s="32" t="n">
        <v>-11.87</v>
      </c>
      <c r="V181" s="32" t="n">
        <v>0.77</v>
      </c>
      <c r="W181" s="32" t="n">
        <v>-1.19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B2C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IF(B182=0,"",RANK(B182,$B$2:$B$360,0))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IKS</t>
        </is>
      </c>
      <c r="D182" s="31" t="inlineStr">
        <is>
          <t>Inventurus Knowledge Solutions Ltd</t>
        </is>
      </c>
      <c r="E182" s="31" t="inlineStr">
        <is>
          <t>i.t</t>
        </is>
      </c>
      <c r="F182" s="31" t="inlineStr">
        <is>
          <t>computers - software - medium / small</t>
        </is>
      </c>
      <c r="G182" s="31" t="inlineStr">
        <is>
          <t>largecap</t>
        </is>
      </c>
      <c r="H182" s="32" t="n">
        <v>31401.32</v>
      </c>
      <c r="I182" s="32" t="n">
        <v>1863</v>
      </c>
      <c r="J182" s="32" t="n">
        <v>1.79</v>
      </c>
      <c r="K182" s="32" t="n">
        <v>129336</v>
      </c>
      <c r="L182" s="31" t="n">
        <v>32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60.59</v>
      </c>
      <c r="P182" s="32" t="n">
        <v>12.62</v>
      </c>
      <c r="Q182" s="32" t="n">
        <v>1547.88</v>
      </c>
      <c r="R182" s="31" t="inlineStr">
        <is>
          <t>Near 52W High Breakout</t>
        </is>
      </c>
      <c r="S182" s="31" t="inlineStr">
        <is>
          <t>Nifty IT</t>
        </is>
      </c>
      <c r="T182" s="32" t="n">
        <v>-14.75</v>
      </c>
      <c r="U182" s="32" t="n">
        <v>19.75</v>
      </c>
      <c r="V182" s="32" t="n">
        <v>40.47</v>
      </c>
      <c r="W182" s="32" t="n">
        <v>7.36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IF(B183=0,"",RANK(B183,$B$2:$B$360,0))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SBCL</t>
        </is>
      </c>
      <c r="D183" s="31" t="inlineStr">
        <is>
          <t>Shivalik Bimetal Controls Ltd</t>
        </is>
      </c>
      <c r="E183" s="31" t="inlineStr">
        <is>
          <t>metals &amp; mining</t>
        </is>
      </c>
      <c r="F183" s="31" t="inlineStr">
        <is>
          <t>mining / minerals / metals</t>
        </is>
      </c>
      <c r="G183" s="31" t="inlineStr">
        <is>
          <t>midcap</t>
        </is>
      </c>
      <c r="H183" s="32" t="n">
        <v>5902.13</v>
      </c>
      <c r="I183" s="32" t="n">
        <v>1026.85</v>
      </c>
      <c r="J183" s="32" t="n">
        <v>0.22</v>
      </c>
      <c r="K183" s="32" t="n">
        <v>215379</v>
      </c>
      <c r="L183" s="31" t="n">
        <v>89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78.89</v>
      </c>
      <c r="P183" s="32" t="n">
        <v>48.59</v>
      </c>
      <c r="Q183" s="32" t="n">
        <v>802</v>
      </c>
      <c r="R183" s="31" t="inlineStr">
        <is>
          <t>Near 52W High Breakout</t>
        </is>
      </c>
      <c r="S183" s="31" t="inlineStr">
        <is>
          <t>Nifty Metal</t>
        </is>
      </c>
      <c r="T183" s="32" t="n">
        <v>38.2</v>
      </c>
      <c r="U183" s="32" t="n">
        <v>86.69</v>
      </c>
      <c r="V183" s="32" t="n">
        <v>35.09</v>
      </c>
      <c r="W183" s="32" t="n">
        <v>32.68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Monopoly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Shallow Cyclical (2 to 3 Years Growth)</t>
        </is>
      </c>
      <c r="AG183" s="31">
        <f>IF(AF183="Structural (10 Years Consistency)",10,IF(AF183="Shallow Cyclical (2 to 3 years growth)",5,0))</f>
        <v/>
      </c>
      <c r="AH183" s="31" t="inlineStr">
        <is>
          <t>Yes due to Product Mix change or Operating Leverage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Fully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Yes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Between 1.5 to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IF(B184=0,"",RANK(B184,$B$2:$B$360,0))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ARTEMISMED</t>
        </is>
      </c>
      <c r="D184" s="31" t="inlineStr">
        <is>
          <t>Artemis Medicare Services Ltd</t>
        </is>
      </c>
      <c r="E184" s="31" t="inlineStr">
        <is>
          <t>healthcare</t>
        </is>
      </c>
      <c r="F184" s="31" t="inlineStr">
        <is>
          <t>healthcare</t>
        </is>
      </c>
      <c r="G184" s="31" t="inlineStr">
        <is>
          <t>smallcap</t>
        </is>
      </c>
      <c r="H184" s="32" t="n">
        <v>4977.15</v>
      </c>
      <c r="I184" s="32" t="n">
        <v>312.15</v>
      </c>
      <c r="J184" s="32" t="n">
        <v>-0.72</v>
      </c>
      <c r="K184" s="32" t="n">
        <v>224411</v>
      </c>
      <c r="L184" s="31" t="n">
        <v>39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68.86</v>
      </c>
      <c r="P184" s="32" t="n">
        <v>29.99</v>
      </c>
      <c r="Q184" s="32" t="n">
        <v>257.51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18.4</v>
      </c>
      <c r="U184" s="32" t="n">
        <v>31.37</v>
      </c>
      <c r="V184" s="32" t="n">
        <v>10.95</v>
      </c>
      <c r="W184" s="32" t="n">
        <v>9.199999999999999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IF(B185=0,"",RANK(B185,$B$2:$B$360,0))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KOVAI</t>
        </is>
      </c>
      <c r="D185" s="33" t="inlineStr">
        <is>
          <t>Kovai Medical Center &amp; Hospital Ltd</t>
        </is>
      </c>
      <c r="E185" s="31" t="inlineStr">
        <is>
          <t>healthcare</t>
        </is>
      </c>
      <c r="F185" s="31" t="inlineStr">
        <is>
          <t>healthcare</t>
        </is>
      </c>
      <c r="G185" s="31" t="inlineStr">
        <is>
          <t>midcap</t>
        </is>
      </c>
      <c r="H185" s="32" t="n">
        <v>6698.85</v>
      </c>
      <c r="I185" s="32" t="n">
        <v>6045</v>
      </c>
      <c r="J185" s="32" t="n">
        <v>-1.26</v>
      </c>
      <c r="K185" s="32" t="n">
        <v>3166</v>
      </c>
      <c r="L185" s="31" t="n">
        <v>11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60.54</v>
      </c>
      <c r="P185" s="32" t="n">
        <v>26.08</v>
      </c>
      <c r="Q185" s="32" t="n">
        <v>5117.84</v>
      </c>
      <c r="R185" s="31" t="inlineStr">
        <is>
          <t>Earnings / Momentum Support</t>
        </is>
      </c>
      <c r="S185" s="31" t="inlineStr">
        <is>
          <t>Nifty Pharma</t>
        </is>
      </c>
      <c r="T185" s="32" t="n">
        <v>18.4</v>
      </c>
      <c r="U185" s="32" t="n">
        <v>-5.65</v>
      </c>
      <c r="V185" s="32" t="n">
        <v>-20.31</v>
      </c>
      <c r="W185" s="32" t="n">
        <v>1.43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IF(B186=0,"",RANK(B186,$B$2:$B$360,0))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UNITDSPR</t>
        </is>
      </c>
      <c r="D186" s="31" t="inlineStr">
        <is>
          <t>United Spirits Ltd</t>
        </is>
      </c>
      <c r="E186" s="31" t="inlineStr">
        <is>
          <t>fmcg</t>
        </is>
      </c>
      <c r="F186" s="31" t="inlineStr">
        <is>
          <t>breweries &amp; distilleries</t>
        </is>
      </c>
      <c r="G186" s="31" t="inlineStr">
        <is>
          <t>largecap</t>
        </is>
      </c>
      <c r="H186" s="32" t="n">
        <v>112375.71</v>
      </c>
      <c r="I186" s="32" t="n">
        <v>1520.9</v>
      </c>
      <c r="J186" s="32" t="n">
        <v>-1.56</v>
      </c>
      <c r="K186" s="32" t="n">
        <v>638632</v>
      </c>
      <c r="L186" s="31" t="n">
        <v>24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66.48</v>
      </c>
      <c r="P186" s="32" t="n">
        <v>23.53</v>
      </c>
      <c r="Q186" s="32" t="n">
        <v>1339.02</v>
      </c>
      <c r="R186" s="31" t="inlineStr">
        <is>
          <t>Near 52W High Breakout</t>
        </is>
      </c>
      <c r="S186" s="31" t="inlineStr">
        <is>
          <t>Nifty FMCG</t>
        </is>
      </c>
      <c r="T186" s="32" t="n">
        <v>-12.54</v>
      </c>
      <c r="U186" s="32" t="n">
        <v>18.26</v>
      </c>
      <c r="V186" s="32" t="n">
        <v>35.22</v>
      </c>
      <c r="W186" s="32" t="n">
        <v>5.52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B2C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IF(B187=0,"",RANK(B187,$B$2:$B$360,0))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JBCHEPHARM</t>
        </is>
      </c>
      <c r="D187" s="31" t="inlineStr">
        <is>
          <t>Jb Chemicals &amp; Pharmaceuticals Limited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largecap</t>
        </is>
      </c>
      <c r="H187" s="32" t="n">
        <v>38676.99</v>
      </c>
      <c r="I187" s="32" t="n">
        <v>2408.9</v>
      </c>
      <c r="J187" s="32" t="n">
        <v>-3.87</v>
      </c>
      <c r="K187" s="32" t="n">
        <v>23896120</v>
      </c>
      <c r="L187" s="31" t="n">
        <v>50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73.15000000000001</v>
      </c>
      <c r="P187" s="32" t="n">
        <v>47.42</v>
      </c>
      <c r="Q187" s="32" t="n">
        <v>2117.28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12.73</v>
      </c>
      <c r="U187" s="32" t="n">
        <v>43.13</v>
      </c>
      <c r="V187" s="32" t="n">
        <v>26.97</v>
      </c>
      <c r="W187" s="32" t="n">
        <v>11.82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Between 50% to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IF(B188=0,"",RANK(B188,$B$2:$B$360,0))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3IINFOLTD</t>
        </is>
      </c>
      <c r="D188" s="31" t="inlineStr">
        <is>
          <t>3i Infotech Ltd</t>
        </is>
      </c>
      <c r="E188" s="31" t="inlineStr">
        <is>
          <t>i.t</t>
        </is>
      </c>
      <c r="F188" s="31" t="inlineStr">
        <is>
          <t>computers - software - medium / small</t>
        </is>
      </c>
      <c r="G188" s="31" t="inlineStr">
        <is>
          <t>smallcap</t>
        </is>
      </c>
      <c r="H188" s="32" t="n">
        <v>531.78</v>
      </c>
      <c r="I188" s="32" t="n">
        <v>24.36</v>
      </c>
      <c r="J188" s="32" t="n">
        <v>-4.99</v>
      </c>
      <c r="K188" s="32" t="n">
        <v>254715</v>
      </c>
      <c r="L188" s="31" t="n">
        <v>49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67.89</v>
      </c>
      <c r="P188" s="32" t="n">
        <v>42.28</v>
      </c>
      <c r="Q188" s="32" t="n">
        <v>21.69</v>
      </c>
      <c r="R188" s="31" t="inlineStr">
        <is>
          <t>Earnings / Momentum Support</t>
        </is>
      </c>
      <c r="S188" s="31" t="inlineStr">
        <is>
          <t>Nifty IT</t>
        </is>
      </c>
      <c r="T188" s="32" t="n">
        <v>-14.75</v>
      </c>
      <c r="U188" s="32" t="n">
        <v>2.87</v>
      </c>
      <c r="V188" s="32" t="n">
        <v>20.67</v>
      </c>
      <c r="W188" s="32" t="n">
        <v>11.39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IF(B189=0,"",RANK(B189,$B$2:$B$360,0))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WINDMACHIN</t>
        </is>
      </c>
      <c r="D189" s="31" t="inlineStr">
        <is>
          <t>Windsor Machines Limited</t>
        </is>
      </c>
      <c r="E189" s="31" t="inlineStr">
        <is>
          <t>industrials</t>
        </is>
      </c>
      <c r="F189" s="31" t="inlineStr">
        <is>
          <t>engineering</t>
        </is>
      </c>
      <c r="G189" s="31" t="inlineStr">
        <is>
          <t>smallcap</t>
        </is>
      </c>
      <c r="H189" s="32" t="n">
        <v>3055.88</v>
      </c>
      <c r="I189" s="32" t="n">
        <v>318.9</v>
      </c>
      <c r="J189" s="32" t="n">
        <v>6.16</v>
      </c>
      <c r="K189" s="32" t="n">
        <v>1516455</v>
      </c>
      <c r="L189" s="31" t="n">
        <v>16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58.42</v>
      </c>
      <c r="P189" s="32" t="n">
        <v>22.25</v>
      </c>
      <c r="Q189" s="32" t="n">
        <v>237.86</v>
      </c>
      <c r="R189" s="31" t="inlineStr">
        <is>
          <t>Volume Spike &amp; Near 52W High Breakout</t>
        </is>
      </c>
      <c r="S189" s="31" t="inlineStr">
        <is>
          <t>Nifty 50</t>
        </is>
      </c>
      <c r="T189" s="32" t="n">
        <v>-2.88</v>
      </c>
      <c r="U189" s="32" t="n">
        <v>-0.11</v>
      </c>
      <c r="V189" s="32" t="n">
        <v>2.85</v>
      </c>
      <c r="W189" s="32" t="n">
        <v>2.92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IF(B190=0,"",RANK(B190,$B$2:$B$360,0))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SIGMAADV</t>
        </is>
      </c>
      <c r="D190" s="31" t="inlineStr">
        <is>
          <t>Sigma Advanced System Ltd</t>
        </is>
      </c>
      <c r="E190" s="31" t="inlineStr">
        <is>
          <t>aerospace &amp; defence</t>
        </is>
      </c>
      <c r="F190" s="31" t="inlineStr">
        <is>
          <t>electronics - components</t>
        </is>
      </c>
      <c r="G190" s="31" t="inlineStr">
        <is>
          <t>midcap</t>
        </is>
      </c>
      <c r="H190" s="32" t="n">
        <v>11883.31</v>
      </c>
      <c r="I190" s="32" t="n">
        <v>658.45</v>
      </c>
      <c r="J190" s="32" t="n">
        <v>5</v>
      </c>
      <c r="K190" s="32" t="n">
        <v>190568</v>
      </c>
      <c r="L190" s="31" t="n">
        <v>98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72.37</v>
      </c>
      <c r="P190" s="32" t="n">
        <v>66.47</v>
      </c>
      <c r="Q190" s="32" t="n">
        <v>523.41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-2.88</v>
      </c>
      <c r="U190" s="32" t="n">
        <v>396.08</v>
      </c>
      <c r="V190" s="32" t="n">
        <v>410.77</v>
      </c>
      <c r="W190" s="32" t="n">
        <v>61.44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IF(B191=0,"",RANK(B191,$B$2:$B$360,0))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BHAGYANGR</t>
        </is>
      </c>
      <c r="D191" s="31" t="inlineStr">
        <is>
          <t>Bhagyanagar India</t>
        </is>
      </c>
      <c r="E191" s="31" t="inlineStr">
        <is>
          <t>power &amp; utilities</t>
        </is>
      </c>
      <c r="F191" s="31" t="inlineStr">
        <is>
          <t>power generation and supply</t>
        </is>
      </c>
      <c r="G191" s="31" t="inlineStr">
        <is>
          <t>smallcap</t>
        </is>
      </c>
      <c r="H191" s="32" t="n">
        <v>1223.81</v>
      </c>
      <c r="I191" s="32" t="n">
        <v>401.05</v>
      </c>
      <c r="J191" s="32" t="n">
        <v>4.85</v>
      </c>
      <c r="K191" s="32" t="n">
        <v>553312</v>
      </c>
      <c r="L191" s="31" t="n">
        <v>96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67.37</v>
      </c>
      <c r="P191" s="32" t="n">
        <v>67.66</v>
      </c>
      <c r="Q191" s="32" t="n">
        <v>284.92</v>
      </c>
      <c r="R191" s="31" t="inlineStr">
        <is>
          <t>Near 52W High Breakout</t>
        </is>
      </c>
      <c r="S191" s="31" t="inlineStr">
        <is>
          <t>Nifty IT</t>
        </is>
      </c>
      <c r="T191" s="32" t="n">
        <v>-14.75</v>
      </c>
      <c r="U191" s="32" t="n">
        <v>341.01</v>
      </c>
      <c r="V191" s="32" t="n">
        <v>417.31</v>
      </c>
      <c r="W191" s="32" t="n">
        <v>46.75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IF(B192=0,"",RANK(B192,$B$2:$B$360,0))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INGERRAND</t>
        </is>
      </c>
      <c r="D192" s="31" t="inlineStr">
        <is>
          <t>Ingersoll Rand (india) Limited</t>
        </is>
      </c>
      <c r="E192" s="31" t="inlineStr">
        <is>
          <t>industrials</t>
        </is>
      </c>
      <c r="F192" s="31" t="inlineStr">
        <is>
          <t>compressors / drilling equipment</t>
        </is>
      </c>
      <c r="G192" s="31" t="inlineStr">
        <is>
          <t>midcap</t>
        </is>
      </c>
      <c r="H192" s="32" t="n">
        <v>14133.63</v>
      </c>
      <c r="I192" s="32" t="n">
        <v>4691</v>
      </c>
      <c r="J192" s="32" t="n">
        <v>4.78</v>
      </c>
      <c r="K192" s="32" t="n">
        <v>47477</v>
      </c>
      <c r="L192" s="31" t="n">
        <v>27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61.67</v>
      </c>
      <c r="P192" s="32" t="n">
        <v>23.86</v>
      </c>
      <c r="Q192" s="32" t="n">
        <v>3769.17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-2.88</v>
      </c>
      <c r="U192" s="32" t="n">
        <v>26.57</v>
      </c>
      <c r="V192" s="32" t="n">
        <v>30.32</v>
      </c>
      <c r="W192" s="32" t="n">
        <v>6.04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Between 12 to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IF(B193=0,"",RANK(B193,$B$2:$B$360,0))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DATAPATTNS</t>
        </is>
      </c>
      <c r="D193" s="31" t="inlineStr">
        <is>
          <t>Data Patterns (India) Ltd</t>
        </is>
      </c>
      <c r="E193" s="31" t="inlineStr">
        <is>
          <t>aerospace &amp; defence</t>
        </is>
      </c>
      <c r="F193" s="31" t="inlineStr">
        <is>
          <t>electronics - components</t>
        </is>
      </c>
      <c r="G193" s="31" t="inlineStr">
        <is>
          <t>largecap</t>
        </is>
      </c>
      <c r="H193" s="32" t="n">
        <v>25353.46</v>
      </c>
      <c r="I193" s="32" t="n">
        <v>4737.2</v>
      </c>
      <c r="J193" s="32" t="n">
        <v>4.6</v>
      </c>
      <c r="K193" s="32" t="n">
        <v>1385637</v>
      </c>
      <c r="L193" s="31" t="n">
        <v>69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64.42</v>
      </c>
      <c r="P193" s="32" t="n">
        <v>30.39</v>
      </c>
      <c r="Q193" s="32" t="n">
        <v>3520.99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-2.88</v>
      </c>
      <c r="U193" s="32" t="n">
        <v>83.26000000000001</v>
      </c>
      <c r="V193" s="32" t="n">
        <v>88.69</v>
      </c>
      <c r="W193" s="32" t="n">
        <v>17.53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IF(B194=0,"",RANK(B194,$B$2:$B$360,0))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VISAKAIND</t>
        </is>
      </c>
      <c r="D194" s="31" t="inlineStr">
        <is>
          <t>Visaka Industries Limited</t>
        </is>
      </c>
      <c r="E194" s="31" t="inlineStr">
        <is>
          <t>building materials</t>
        </is>
      </c>
      <c r="F194" s="31" t="inlineStr">
        <is>
          <t>cement products</t>
        </is>
      </c>
      <c r="G194" s="31" t="inlineStr">
        <is>
          <t>smallcap</t>
        </is>
      </c>
      <c r="H194" s="32" t="n">
        <v>794.92</v>
      </c>
      <c r="I194" s="32" t="n">
        <v>95.5</v>
      </c>
      <c r="J194" s="32" t="n">
        <v>3.8</v>
      </c>
      <c r="K194" s="32" t="n">
        <v>592817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75.05</v>
      </c>
      <c r="P194" s="32" t="n">
        <v>43.3</v>
      </c>
      <c r="Q194" s="32" t="n">
        <v>75.77</v>
      </c>
      <c r="R194" s="31" t="inlineStr">
        <is>
          <t>Near 52W High Breakout</t>
        </is>
      </c>
      <c r="S194" s="31" t="inlineStr">
        <is>
          <t>Nifty Infra</t>
        </is>
      </c>
      <c r="T194" s="32" t="inlineStr"/>
      <c r="U194" s="32" t="inlineStr"/>
      <c r="V194" s="32" t="inlineStr"/>
      <c r="W194" s="32" t="inlineStr"/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IF(B195=0,"",RANK(B195,$B$2:$B$360,0))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PANAMAPET</t>
        </is>
      </c>
      <c r="D195" s="31" t="inlineStr">
        <is>
          <t>Panama Petrochem Limited</t>
        </is>
      </c>
      <c r="E195" s="31" t="inlineStr">
        <is>
          <t>energy</t>
        </is>
      </c>
      <c r="F195" s="31" t="inlineStr">
        <is>
          <t>petrochemicals</t>
        </is>
      </c>
      <c r="G195" s="31" t="inlineStr">
        <is>
          <t>smallcap</t>
        </is>
      </c>
      <c r="H195" s="32" t="n">
        <v>2946.64</v>
      </c>
      <c r="I195" s="32" t="n">
        <v>502.65</v>
      </c>
      <c r="J195" s="32" t="n">
        <v>3.19</v>
      </c>
      <c r="K195" s="32" t="n">
        <v>850465</v>
      </c>
      <c r="L195" s="31" t="n">
        <v>87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66.06</v>
      </c>
      <c r="P195" s="32" t="n">
        <v>57.82</v>
      </c>
      <c r="Q195" s="32" t="n">
        <v>339.52</v>
      </c>
      <c r="R195" s="31" t="inlineStr">
        <is>
          <t>Near 52W High Breakout</t>
        </is>
      </c>
      <c r="S195" s="31" t="inlineStr">
        <is>
          <t>Nifty Energy</t>
        </is>
      </c>
      <c r="T195" s="32" t="n">
        <v>9.44</v>
      </c>
      <c r="U195" s="32" t="n">
        <v>48.22</v>
      </c>
      <c r="V195" s="32" t="n">
        <v>35.43</v>
      </c>
      <c r="W195" s="32" t="n">
        <v>30.4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IF(B196=0,"",RANK(B196,$B$2:$B$360,0))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NEOGEN</t>
        </is>
      </c>
      <c r="D196" s="31" t="inlineStr">
        <is>
          <t>Neogen Chemicals Ltd</t>
        </is>
      </c>
      <c r="E196" s="31" t="inlineStr">
        <is>
          <t>chemicals</t>
        </is>
      </c>
      <c r="F196" s="31" t="inlineStr">
        <is>
          <t>chemicals</t>
        </is>
      </c>
      <c r="G196" s="31" t="inlineStr">
        <is>
          <t>midcap</t>
        </is>
      </c>
      <c r="H196" s="32" t="n">
        <v>6215.91</v>
      </c>
      <c r="I196" s="32" t="n">
        <v>2328.5</v>
      </c>
      <c r="J196" s="32" t="n">
        <v>2.57</v>
      </c>
      <c r="K196" s="32" t="n">
        <v>1415053</v>
      </c>
      <c r="L196" s="31" t="n">
        <v>73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70.33</v>
      </c>
      <c r="P196" s="32" t="n">
        <v>53.81</v>
      </c>
      <c r="Q196" s="32" t="n">
        <v>1734.79</v>
      </c>
      <c r="R196" s="31" t="inlineStr">
        <is>
          <t>Volume Spike &amp; Near 52W High Breakout</t>
        </is>
      </c>
      <c r="S196" s="31" t="inlineStr">
        <is>
          <t>Nifty 50</t>
        </is>
      </c>
      <c r="T196" s="32" t="n">
        <v>-2.88</v>
      </c>
      <c r="U196" s="32" t="n">
        <v>63.3</v>
      </c>
      <c r="V196" s="32" t="n">
        <v>68.14</v>
      </c>
      <c r="W196" s="32" t="n">
        <v>19.44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More than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IF(B197=0,"",RANK(B197,$B$2:$B$360,0))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MANINDS</t>
        </is>
      </c>
      <c r="D197" s="31" t="inlineStr">
        <is>
          <t>Man Industries (india) Limited</t>
        </is>
      </c>
      <c r="E197" s="31" t="inlineStr">
        <is>
          <t>metals &amp; mining</t>
        </is>
      </c>
      <c r="F197" s="31" t="inlineStr">
        <is>
          <t>steel - medium / small</t>
        </is>
      </c>
      <c r="G197" s="31" t="inlineStr">
        <is>
          <t>smallcap</t>
        </is>
      </c>
      <c r="H197" s="32" t="n">
        <v>4728.23</v>
      </c>
      <c r="I197" s="32" t="n">
        <v>645.15</v>
      </c>
      <c r="J197" s="32" t="n">
        <v>2.35</v>
      </c>
      <c r="K197" s="32" t="n">
        <v>768808</v>
      </c>
      <c r="L197" s="31" t="n">
        <v>67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67.06999999999999</v>
      </c>
      <c r="P197" s="32" t="n">
        <v>28.42</v>
      </c>
      <c r="Q197" s="32" t="n">
        <v>483.33</v>
      </c>
      <c r="R197" s="31" t="inlineStr">
        <is>
          <t>Near 52W High Breakout</t>
        </is>
      </c>
      <c r="S197" s="31" t="inlineStr">
        <is>
          <t>Nifty Metal</t>
        </is>
      </c>
      <c r="T197" s="32" t="n">
        <v>38.2</v>
      </c>
      <c r="U197" s="32" t="n">
        <v>51.43</v>
      </c>
      <c r="V197" s="32" t="n">
        <v>9.57</v>
      </c>
      <c r="W197" s="32" t="n">
        <v>16.47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Cyclical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Volatile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IF(B198=0,"",RANK(B198,$B$2:$B$360,0))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ENGINERSIN</t>
        </is>
      </c>
      <c r="D198" s="31" t="inlineStr">
        <is>
          <t>Engineers India Limited</t>
        </is>
      </c>
      <c r="E198" s="31" t="inlineStr">
        <is>
          <t>realty</t>
        </is>
      </c>
      <c r="F198" s="31" t="inlineStr">
        <is>
          <t>engineering - turnkey services</t>
        </is>
      </c>
      <c r="G198" s="31" t="inlineStr">
        <is>
          <t>midcap</t>
        </is>
      </c>
      <c r="H198" s="32" t="n">
        <v>13499.13</v>
      </c>
      <c r="I198" s="32" t="n">
        <v>244.78</v>
      </c>
      <c r="J198" s="32" t="n">
        <v>1.92</v>
      </c>
      <c r="K198" s="32" t="n">
        <v>2435817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57.6</v>
      </c>
      <c r="P198" s="32" t="n">
        <v>10.39</v>
      </c>
      <c r="Q198" s="32" t="n">
        <v>198.49</v>
      </c>
      <c r="R198" s="31" t="inlineStr">
        <is>
          <t>Near 52W High Breakout</t>
        </is>
      </c>
      <c r="S198" s="31" t="inlineStr">
        <is>
          <t>Nifty Realty</t>
        </is>
      </c>
      <c r="T198" s="32" t="inlineStr"/>
      <c r="U198" s="32" t="inlineStr"/>
      <c r="V198" s="32" t="inlineStr"/>
      <c r="W198" s="32" t="inlineStr"/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IF(B199=0,"",RANK(B199,$B$2:$B$360,0))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STEELCAS</t>
        </is>
      </c>
      <c r="D199" s="31" t="inlineStr">
        <is>
          <t>Steelcast Ltd</t>
        </is>
      </c>
      <c r="E199" s="31" t="inlineStr">
        <is>
          <t>industrials</t>
        </is>
      </c>
      <c r="F199" s="31" t="inlineStr">
        <is>
          <t>castings &amp; forgings</t>
        </is>
      </c>
      <c r="G199" s="31" t="inlineStr">
        <is>
          <t>smallcap</t>
        </is>
      </c>
      <c r="H199" s="32" t="n">
        <v>3563.25</v>
      </c>
      <c r="I199" s="32" t="n">
        <v>358.3</v>
      </c>
      <c r="J199" s="32" t="n">
        <v>1.76</v>
      </c>
      <c r="K199" s="32" t="n">
        <v>105528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80.31</v>
      </c>
      <c r="P199" s="32" t="n">
        <v>42.18</v>
      </c>
      <c r="Q199" s="32" t="n">
        <v>280.64</v>
      </c>
      <c r="R199" s="31" t="inlineStr">
        <is>
          <t>Near 52W High Breakout</t>
        </is>
      </c>
      <c r="S199" s="31" t="inlineStr">
        <is>
          <t>Nifty Infra</t>
        </is>
      </c>
      <c r="T199" s="32" t="inlineStr"/>
      <c r="U199" s="32" t="inlineStr"/>
      <c r="V199" s="32" t="inlineStr"/>
      <c r="W199" s="32" t="inlineStr"/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Between 12 to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IF(B200=0,"",RANK(B200,$B$2:$B$360,0))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CHENNPETRO</t>
        </is>
      </c>
      <c r="D200" s="31" t="inlineStr">
        <is>
          <t>Chennai Petroleum Corporation Limited</t>
        </is>
      </c>
      <c r="E200" s="31" t="inlineStr">
        <is>
          <t>energy</t>
        </is>
      </c>
      <c r="F200" s="31" t="inlineStr">
        <is>
          <t>refineries</t>
        </is>
      </c>
      <c r="G200" s="31" t="inlineStr">
        <is>
          <t>largecap</t>
        </is>
      </c>
      <c r="H200" s="32" t="n">
        <v>20585.51</v>
      </c>
      <c r="I200" s="32" t="n">
        <v>1404</v>
      </c>
      <c r="J200" s="32" t="n">
        <v>1.56</v>
      </c>
      <c r="K200" s="32" t="n">
        <v>3584947</v>
      </c>
      <c r="L200" s="31" t="n">
        <v>84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75.78</v>
      </c>
      <c r="P200" s="32" t="n">
        <v>51.35</v>
      </c>
      <c r="Q200" s="32" t="n">
        <v>1044.84</v>
      </c>
      <c r="R200" s="31" t="inlineStr">
        <is>
          <t>Near 52W High Breakout</t>
        </is>
      </c>
      <c r="S200" s="31" t="inlineStr">
        <is>
          <t>Nifty Energy</t>
        </is>
      </c>
      <c r="T200" s="32" t="n">
        <v>9.44</v>
      </c>
      <c r="U200" s="32" t="n">
        <v>116.37</v>
      </c>
      <c r="V200" s="32" t="n">
        <v>97.7</v>
      </c>
      <c r="W200" s="32" t="n">
        <v>25.84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Oligopoly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Cyclical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Volatile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IF(B201=0,"",RANK(B201,$B$2:$B$360,0))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MOTHERSON</t>
        </is>
      </c>
      <c r="D201" s="31" t="inlineStr">
        <is>
          <t>Samvardhana Motherson International Ltd</t>
        </is>
      </c>
      <c r="E201" s="31" t="inlineStr">
        <is>
          <t>auto</t>
        </is>
      </c>
      <c r="F201" s="31" t="inlineStr">
        <is>
          <t>auto ancillaries</t>
        </is>
      </c>
      <c r="G201" s="31" t="inlineStr">
        <is>
          <t>largecap</t>
        </is>
      </c>
      <c r="H201" s="32" t="n">
        <v>177377.96</v>
      </c>
      <c r="I201" s="32" t="n">
        <v>170.4</v>
      </c>
      <c r="J201" s="32" t="n">
        <v>1.39</v>
      </c>
      <c r="K201" s="32" t="n">
        <v>36841473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75.14</v>
      </c>
      <c r="P201" s="32" t="n">
        <v>39.59</v>
      </c>
      <c r="Q201" s="32" t="n">
        <v>142.33</v>
      </c>
      <c r="R201" s="31" t="inlineStr">
        <is>
          <t>Near 52W High Breakout</t>
        </is>
      </c>
      <c r="S201" s="31" t="inlineStr">
        <is>
          <t>Nifty Auto</t>
        </is>
      </c>
      <c r="T201" s="32" t="inlineStr"/>
      <c r="U201" s="32" t="inlineStr"/>
      <c r="V201" s="32" t="inlineStr"/>
      <c r="W201" s="32" t="inlineStr"/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IF(B202=0,"",RANK(B202,$B$2:$B$360,0))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AARTIIND</t>
        </is>
      </c>
      <c r="D202" s="31" t="inlineStr">
        <is>
          <t>Aarti Industries Limited</t>
        </is>
      </c>
      <c r="E202" s="31" t="inlineStr">
        <is>
          <t>chemicals</t>
        </is>
      </c>
      <c r="F202" s="31" t="inlineStr">
        <is>
          <t>chemicals</t>
        </is>
      </c>
      <c r="G202" s="31" t="inlineStr">
        <is>
          <t>midcap</t>
        </is>
      </c>
      <c r="H202" s="32" t="n">
        <v>19104.82</v>
      </c>
      <c r="I202" s="32" t="n">
        <v>530.1</v>
      </c>
      <c r="J202" s="32" t="n">
        <v>0.65</v>
      </c>
      <c r="K202" s="32" t="n">
        <v>830442</v>
      </c>
      <c r="L202" s="31" t="n">
        <v>40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65.01000000000001</v>
      </c>
      <c r="P202" s="32" t="n">
        <v>23.17</v>
      </c>
      <c r="Q202" s="32" t="n">
        <v>429.25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-2.88</v>
      </c>
      <c r="U202" s="32" t="n">
        <v>38.66</v>
      </c>
      <c r="V202" s="32" t="n">
        <v>42.77</v>
      </c>
      <c r="W202" s="32" t="n">
        <v>9.220000000000001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IF(B203=0,"",RANK(B203,$B$2:$B$360,0))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KOLTEPATIL</t>
        </is>
      </c>
      <c r="D203" s="31" t="inlineStr">
        <is>
          <t>Kolte - Patil Developers Limited</t>
        </is>
      </c>
      <c r="E203" s="31" t="inlineStr">
        <is>
          <t>realty</t>
        </is>
      </c>
      <c r="F203" s="31" t="inlineStr">
        <is>
          <t>construction</t>
        </is>
      </c>
      <c r="G203" s="31" t="inlineStr">
        <is>
          <t>smallcap</t>
        </is>
      </c>
      <c r="H203" s="32" t="n">
        <v>4182.6</v>
      </c>
      <c r="I203" s="32" t="n">
        <v>473.95</v>
      </c>
      <c r="J203" s="32" t="n">
        <v>0.49</v>
      </c>
      <c r="K203" s="32" t="n">
        <v>89988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70.94</v>
      </c>
      <c r="P203" s="32" t="n">
        <v>20.67</v>
      </c>
      <c r="Q203" s="32" t="n">
        <v>371.64</v>
      </c>
      <c r="R203" s="31" t="inlineStr">
        <is>
          <t>Near 52W High Breakout</t>
        </is>
      </c>
      <c r="S203" s="31" t="inlineStr">
        <is>
          <t>Nifty Realty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IF(B204=0,"",RANK(B204,$B$2:$B$360,0))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UNIMECH</t>
        </is>
      </c>
      <c r="D204" s="31" t="inlineStr">
        <is>
          <t>Unimech Aerospace and Manufacturing Ltd</t>
        </is>
      </c>
      <c r="E204" s="31" t="inlineStr">
        <is>
          <t>aerospace &amp; defence</t>
        </is>
      </c>
      <c r="F204" s="31" t="inlineStr">
        <is>
          <t>engineering</t>
        </is>
      </c>
      <c r="G204" s="31" t="inlineStr">
        <is>
          <t>midcap</t>
        </is>
      </c>
      <c r="H204" s="32" t="n">
        <v>7686</v>
      </c>
      <c r="I204" s="32" t="n">
        <v>1517.4</v>
      </c>
      <c r="J204" s="32" t="n">
        <v>0.4</v>
      </c>
      <c r="K204" s="32" t="n">
        <v>194130</v>
      </c>
      <c r="L204" s="31" t="n">
        <v>78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75.23999999999999</v>
      </c>
      <c r="P204" s="32" t="n">
        <v>36.49</v>
      </c>
      <c r="Q204" s="32" t="n">
        <v>1169.7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-2.88</v>
      </c>
      <c r="U204" s="32" t="n">
        <v>40.2</v>
      </c>
      <c r="V204" s="32" t="n">
        <v>44.35</v>
      </c>
      <c r="W204" s="32" t="n">
        <v>22.1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IF(B205=0,"",RANK(B205,$B$2:$B$360,0))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SIEMENS</t>
        </is>
      </c>
      <c r="D205" s="31" t="inlineStr">
        <is>
          <t>Siemens Limited</t>
        </is>
      </c>
      <c r="E205" s="31" t="inlineStr">
        <is>
          <t>industrials</t>
        </is>
      </c>
      <c r="F205" s="31" t="inlineStr">
        <is>
          <t>electric equipment</t>
        </is>
      </c>
      <c r="G205" s="31" t="inlineStr">
        <is>
          <t>largecap</t>
        </is>
      </c>
      <c r="H205" s="32" t="n">
        <v>140418.32</v>
      </c>
      <c r="I205" s="32" t="n">
        <v>3957</v>
      </c>
      <c r="J205" s="32" t="n">
        <v>0.36</v>
      </c>
      <c r="K205" s="32" t="n">
        <v>234820</v>
      </c>
      <c r="L205" s="31" t="n">
        <v>25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63.87</v>
      </c>
      <c r="P205" s="32" t="n">
        <v>25.32</v>
      </c>
      <c r="Q205" s="32" t="n">
        <v>3258.69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-2.88</v>
      </c>
      <c r="U205" s="32" t="n">
        <v>25.31</v>
      </c>
      <c r="V205" s="32" t="n">
        <v>29.02</v>
      </c>
      <c r="W205" s="32" t="n">
        <v>5.71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IF(B206=0,"",RANK(B206,$B$2:$B$360,0))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VRLLOG</t>
        </is>
      </c>
      <c r="D206" s="31" t="inlineStr">
        <is>
          <t>Vrl Logistics Limited</t>
        </is>
      </c>
      <c r="E206" s="31" t="inlineStr">
        <is>
          <t>transportation</t>
        </is>
      </c>
      <c r="F206" s="31" t="inlineStr">
        <is>
          <t>miscellaneous</t>
        </is>
      </c>
      <c r="G206" s="31" t="inlineStr">
        <is>
          <t>midcap</t>
        </is>
      </c>
      <c r="H206" s="32" t="n">
        <v>5181.63</v>
      </c>
      <c r="I206" s="32" t="n">
        <v>297.15</v>
      </c>
      <c r="J206" s="32" t="n">
        <v>0.32</v>
      </c>
      <c r="K206" s="32" t="n">
        <v>128724</v>
      </c>
      <c r="L206" s="31" t="n">
        <v>33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67.16</v>
      </c>
      <c r="P206" s="32" t="n">
        <v>16.15</v>
      </c>
      <c r="Q206" s="32" t="n">
        <v>244.21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-2.88</v>
      </c>
      <c r="U206" s="32" t="n">
        <v>8.59</v>
      </c>
      <c r="V206" s="32" t="n">
        <v>11.8</v>
      </c>
      <c r="W206" s="32" t="n">
        <v>7.39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Between 0.7 to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IF(B207=0,"",RANK(B207,$B$2:$B$360,0))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KRYSTAL</t>
        </is>
      </c>
      <c r="D207" s="31" t="inlineStr">
        <is>
          <t>Krystal Integrated Services Ltd</t>
        </is>
      </c>
      <c r="E207" s="31" t="inlineStr">
        <is>
          <t>miscellaneous</t>
        </is>
      </c>
      <c r="F207" s="31" t="inlineStr">
        <is>
          <t>miscellaneous</t>
        </is>
      </c>
      <c r="G207" s="31" t="inlineStr">
        <is>
          <t>smallcap</t>
        </is>
      </c>
      <c r="H207" s="32" t="n">
        <v>866.8200000000001</v>
      </c>
      <c r="I207" s="32" t="n">
        <v>620</v>
      </c>
      <c r="J207" s="32" t="n">
        <v>-0.06</v>
      </c>
      <c r="K207" s="32" t="n">
        <v>5861</v>
      </c>
      <c r="L207" s="31" t="n">
        <v>11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59.19</v>
      </c>
      <c r="P207" s="32" t="n">
        <v>26.72</v>
      </c>
      <c r="Q207" s="32" t="n">
        <v>531.91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-2.88</v>
      </c>
      <c r="U207" s="32" t="n">
        <v>-1.19</v>
      </c>
      <c r="V207" s="32" t="n">
        <v>1.74</v>
      </c>
      <c r="W207" s="32" t="n">
        <v>1.55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IF(B208=0,"",RANK(B208,$B$2:$B$360,0))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TITAN</t>
        </is>
      </c>
      <c r="D208" s="31" t="inlineStr">
        <is>
          <t>Titan Company Limited</t>
        </is>
      </c>
      <c r="E208" s="31" t="inlineStr">
        <is>
          <t>consumer discretionary</t>
        </is>
      </c>
      <c r="F208" s="31" t="inlineStr">
        <is>
          <t>diamond cutting / jewellery</t>
        </is>
      </c>
      <c r="G208" s="31" t="inlineStr">
        <is>
          <t>largecap</t>
        </is>
      </c>
      <c r="H208" s="32" t="n">
        <v>449974.42</v>
      </c>
      <c r="I208" s="32" t="n">
        <v>5048.6</v>
      </c>
      <c r="J208" s="32" t="n">
        <v>-0.39</v>
      </c>
      <c r="K208" s="32" t="n">
        <v>661764</v>
      </c>
      <c r="L208" s="31" t="n">
        <v>52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71.31999999999999</v>
      </c>
      <c r="P208" s="32" t="n">
        <v>27.34</v>
      </c>
      <c r="Q208" s="32" t="n">
        <v>4438.04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-2.88</v>
      </c>
      <c r="U208" s="32" t="n">
        <v>39.88</v>
      </c>
      <c r="V208" s="32" t="n">
        <v>44.02</v>
      </c>
      <c r="W208" s="32" t="n">
        <v>12.19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IF(B209=0,"",RANK(B209,$B$2:$B$360,0))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VARROC</t>
        </is>
      </c>
      <c r="D209" s="31" t="inlineStr">
        <is>
          <t>Varroc Engineering Ltd</t>
        </is>
      </c>
      <c r="E209" s="31" t="inlineStr">
        <is>
          <t>auto</t>
        </is>
      </c>
      <c r="F209" s="31" t="inlineStr">
        <is>
          <t>auto ancillaries</t>
        </is>
      </c>
      <c r="G209" s="31" t="inlineStr">
        <is>
          <t>midcap</t>
        </is>
      </c>
      <c r="H209" s="32" t="n">
        <v>12952.47</v>
      </c>
      <c r="I209" s="32" t="n">
        <v>843.9</v>
      </c>
      <c r="J209" s="32" t="n">
        <v>-0.45</v>
      </c>
      <c r="K209" s="32" t="n">
        <v>314966</v>
      </c>
      <c r="L209" s="31" t="inlineStr"/>
      <c r="M209" s="31" t="inlineStr"/>
      <c r="N209" s="32">
        <f>IF(M209="Underperforming",-5,IF(L209&gt;=95,15,IF(L209&gt;=90,10,IF(L209&gt;=80,5,0))))</f>
        <v/>
      </c>
      <c r="O209" s="32" t="n">
        <v>80.39</v>
      </c>
      <c r="P209" s="32" t="n">
        <v>43.2</v>
      </c>
      <c r="Q209" s="32" t="n">
        <v>694.05</v>
      </c>
      <c r="R209" s="31" t="inlineStr">
        <is>
          <t>Near 52W High Breakout</t>
        </is>
      </c>
      <c r="S209" s="31" t="inlineStr">
        <is>
          <t>Nifty Auto</t>
        </is>
      </c>
      <c r="T209" s="32" t="inlineStr"/>
      <c r="U209" s="32" t="inlineStr"/>
      <c r="V209" s="32" t="inlineStr"/>
      <c r="W209" s="32" t="inlineStr"/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IF(B210=0,"",RANK(B210,$B$2:$B$360,0))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BEPL</t>
        </is>
      </c>
      <c r="D210" s="31" t="inlineStr">
        <is>
          <t>Bhansali Engineering Polymers Limited</t>
        </is>
      </c>
      <c r="E210" s="31" t="inlineStr">
        <is>
          <t>energy</t>
        </is>
      </c>
      <c r="F210" s="31" t="inlineStr">
        <is>
          <t>petrochemicals</t>
        </is>
      </c>
      <c r="G210" s="31" t="inlineStr">
        <is>
          <t>smallcap</t>
        </is>
      </c>
      <c r="H210" s="32" t="n">
        <v>3058.22</v>
      </c>
      <c r="I210" s="32" t="n">
        <v>122.17</v>
      </c>
      <c r="J210" s="32" t="n">
        <v>-0.59</v>
      </c>
      <c r="K210" s="32" t="n">
        <v>586505</v>
      </c>
      <c r="L210" s="31" t="n">
        <v>40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66.87</v>
      </c>
      <c r="P210" s="32" t="n">
        <v>50.12</v>
      </c>
      <c r="Q210" s="32" t="n">
        <v>96.77</v>
      </c>
      <c r="R210" s="31" t="inlineStr">
        <is>
          <t>Near 52W High Breakout</t>
        </is>
      </c>
      <c r="S210" s="31" t="inlineStr">
        <is>
          <t>Nifty Energy</t>
        </is>
      </c>
      <c r="T210" s="32" t="n">
        <v>9.44</v>
      </c>
      <c r="U210" s="32" t="n">
        <v>17.4</v>
      </c>
      <c r="V210" s="32" t="n">
        <v>7.27</v>
      </c>
      <c r="W210" s="32" t="n">
        <v>9.300000000000001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IF(B211=0,"",RANK(B211,$B$2:$B$360,0))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TVSMOTOR</t>
        </is>
      </c>
      <c r="D211" s="31" t="inlineStr">
        <is>
          <t>Tvs Motor Company Limited</t>
        </is>
      </c>
      <c r="E211" s="31" t="inlineStr">
        <is>
          <t>auto</t>
        </is>
      </c>
      <c r="F211" s="31" t="inlineStr">
        <is>
          <t>automobiles - motorcycles / mopeds</t>
        </is>
      </c>
      <c r="G211" s="31" t="inlineStr">
        <is>
          <t>largecap</t>
        </is>
      </c>
      <c r="H211" s="32" t="n">
        <v>208368.46</v>
      </c>
      <c r="I211" s="32" t="n">
        <v>4356.8</v>
      </c>
      <c r="J211" s="32" t="n">
        <v>-0.66</v>
      </c>
      <c r="K211" s="32" t="n">
        <v>838093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68.27</v>
      </c>
      <c r="P211" s="32" t="n">
        <v>23.62</v>
      </c>
      <c r="Q211" s="32" t="n">
        <v>3762.93</v>
      </c>
      <c r="R211" s="31" t="inlineStr">
        <is>
          <t>Near 52W High Breakout</t>
        </is>
      </c>
      <c r="S211" s="31" t="inlineStr">
        <is>
          <t>Nifty Auto</t>
        </is>
      </c>
      <c r="T211" s="32" t="inlineStr"/>
      <c r="U211" s="32" t="inlineStr"/>
      <c r="V211" s="32" t="inlineStr"/>
      <c r="W211" s="32" t="inlineStr"/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More than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IF(B212=0,"",RANK(B212,$B$2:$B$360,0))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ELGIEQUIP</t>
        </is>
      </c>
      <c r="D212" s="31" t="inlineStr">
        <is>
          <t>Elgi Equipments Limited</t>
        </is>
      </c>
      <c r="E212" s="31" t="inlineStr">
        <is>
          <t>industrials</t>
        </is>
      </c>
      <c r="F212" s="31" t="inlineStr">
        <is>
          <t>compressors / drilling equipment</t>
        </is>
      </c>
      <c r="G212" s="31" t="inlineStr">
        <is>
          <t>midcap</t>
        </is>
      </c>
      <c r="H212" s="32" t="n">
        <v>19781.46</v>
      </c>
      <c r="I212" s="32" t="n">
        <v>614.2</v>
      </c>
      <c r="J212" s="32" t="n">
        <v>-1.6</v>
      </c>
      <c r="K212" s="32" t="n">
        <v>609534</v>
      </c>
      <c r="L212" s="31" t="n">
        <v>28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63.96</v>
      </c>
      <c r="P212" s="32" t="n">
        <v>22.23</v>
      </c>
      <c r="Q212" s="32" t="n">
        <v>504.67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-2.88</v>
      </c>
      <c r="U212" s="32" t="n">
        <v>23.51</v>
      </c>
      <c r="V212" s="32" t="n">
        <v>27.17</v>
      </c>
      <c r="W212" s="32" t="n">
        <v>6.44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IF(B213=0,"",RANK(B213,$B$2:$B$360,0))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ESABINDIA</t>
        </is>
      </c>
      <c r="D213" s="31" t="inlineStr">
        <is>
          <t>Esab India Limited</t>
        </is>
      </c>
      <c r="E213" s="31" t="inlineStr">
        <is>
          <t>industrials</t>
        </is>
      </c>
      <c r="F213" s="31" t="inlineStr">
        <is>
          <t>electrodes - welding equipment</t>
        </is>
      </c>
      <c r="G213" s="31" t="inlineStr">
        <is>
          <t>midcap</t>
        </is>
      </c>
      <c r="H213" s="32" t="n">
        <v>9680.67</v>
      </c>
      <c r="I213" s="32" t="n">
        <v>6151</v>
      </c>
      <c r="J213" s="32" t="n">
        <v>-2.19</v>
      </c>
      <c r="K213" s="32" t="n">
        <v>2894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56.99</v>
      </c>
      <c r="P213" s="32" t="n">
        <v>24.19</v>
      </c>
      <c r="Q213" s="32" t="n">
        <v>5886.47</v>
      </c>
      <c r="R213" s="31" t="inlineStr">
        <is>
          <t>Earnings / Momentum Support</t>
        </is>
      </c>
      <c r="S213" s="31" t="inlineStr">
        <is>
          <t>Nifty Infra</t>
        </is>
      </c>
      <c r="T213" s="32" t="inlineStr"/>
      <c r="U213" s="32" t="inlineStr"/>
      <c r="V213" s="32" t="inlineStr"/>
      <c r="W213" s="32" t="inlineStr"/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IF(B214=0,"",RANK(B214,$B$2:$B$360,0))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VGUARD</t>
        </is>
      </c>
      <c r="D214" s="33" t="inlineStr">
        <is>
          <t>V-guard Industries Limited</t>
        </is>
      </c>
      <c r="E214" s="31" t="inlineStr">
        <is>
          <t>industrials</t>
        </is>
      </c>
      <c r="F214" s="31" t="inlineStr">
        <is>
          <t>electric equipment</t>
        </is>
      </c>
      <c r="G214" s="31" t="inlineStr">
        <is>
          <t>midcap</t>
        </is>
      </c>
      <c r="H214" s="32" t="n">
        <v>15026.87</v>
      </c>
      <c r="I214" s="32" t="n">
        <v>333.5</v>
      </c>
      <c r="J214" s="32" t="n">
        <v>-3.04</v>
      </c>
      <c r="K214" s="32" t="n">
        <v>868328</v>
      </c>
      <c r="L214" s="31" t="n">
        <v>5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58.06</v>
      </c>
      <c r="P214" s="32" t="n">
        <v>20.12</v>
      </c>
      <c r="Q214" s="32" t="n">
        <v>272.68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-2.88</v>
      </c>
      <c r="U214" s="32" t="n">
        <v>-10.11</v>
      </c>
      <c r="V214" s="32" t="n">
        <v>-7.45</v>
      </c>
      <c r="W214" s="32" t="n">
        <v>0.07000000000000001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IF(B215=0,"",RANK(B215,$B$2:$B$360,0))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SAILIFE</t>
        </is>
      </c>
      <c r="D215" s="31" t="inlineStr">
        <is>
          <t>Sai Life Sciences Ltd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largecap</t>
        </is>
      </c>
      <c r="H215" s="32" t="n">
        <v>30068.19</v>
      </c>
      <c r="I215" s="32" t="n">
        <v>1443.4</v>
      </c>
      <c r="J215" s="32" t="n">
        <v>1.91</v>
      </c>
      <c r="K215" s="32" t="n">
        <v>450788</v>
      </c>
      <c r="L215" s="31" t="n">
        <v>64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78.70999999999999</v>
      </c>
      <c r="P215" s="32" t="n">
        <v>34.49</v>
      </c>
      <c r="Q215" s="32" t="n">
        <v>1199.9</v>
      </c>
      <c r="R215" s="31" t="inlineStr">
        <is>
          <t>Near 52W High Breakout</t>
        </is>
      </c>
      <c r="S215" s="31" t="inlineStr">
        <is>
          <t>Nifty Pharma</t>
        </is>
      </c>
      <c r="T215" s="32" t="n">
        <v>18.4</v>
      </c>
      <c r="U215" s="32" t="n">
        <v>55.54</v>
      </c>
      <c r="V215" s="32" t="n">
        <v>31.36</v>
      </c>
      <c r="W215" s="32" t="n">
        <v>15.85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IF(B216=0,"",RANK(B216,$B$2:$B$360,0))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TATATECH</t>
        </is>
      </c>
      <c r="D216" s="31" t="inlineStr">
        <is>
          <t>Tata Technologies Ltd</t>
        </is>
      </c>
      <c r="E216" s="31" t="inlineStr">
        <is>
          <t>i.t</t>
        </is>
      </c>
      <c r="F216" s="31" t="inlineStr">
        <is>
          <t>computers - software - medium / small</t>
        </is>
      </c>
      <c r="G216" s="31" t="inlineStr">
        <is>
          <t>largecap</t>
        </is>
      </c>
      <c r="H216" s="32" t="n">
        <v>34175.35</v>
      </c>
      <c r="I216" s="32" t="n">
        <v>835.8</v>
      </c>
      <c r="J216" s="32" t="n">
        <v>-0.7</v>
      </c>
      <c r="K216" s="32" t="n">
        <v>1516377</v>
      </c>
      <c r="L216" s="31" t="n">
        <v>47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66.39</v>
      </c>
      <c r="P216" s="32" t="n">
        <v>34.61</v>
      </c>
      <c r="Q216" s="32" t="n">
        <v>697.98</v>
      </c>
      <c r="R216" s="31" t="inlineStr">
        <is>
          <t>Near 52W High Breakout</t>
        </is>
      </c>
      <c r="S216" s="31" t="inlineStr">
        <is>
          <t>Nifty IT</t>
        </is>
      </c>
      <c r="T216" s="32" t="n">
        <v>-14.75</v>
      </c>
      <c r="U216" s="32" t="n">
        <v>24.14</v>
      </c>
      <c r="V216" s="32" t="n">
        <v>45.62</v>
      </c>
      <c r="W216" s="32" t="n">
        <v>10.4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IF(B217=0,"",RANK(B217,$B$2:$B$360,0))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GLENMARK</t>
        </is>
      </c>
      <c r="D217" s="31" t="inlineStr">
        <is>
          <t>Glenmark Pharmaceuticals Limited</t>
        </is>
      </c>
      <c r="E217" s="31" t="inlineStr">
        <is>
          <t>healthcare</t>
        </is>
      </c>
      <c r="F217" s="31" t="inlineStr">
        <is>
          <t>pharmaceuticals - indian - bulk drugs &amp; formln</t>
        </is>
      </c>
      <c r="G217" s="31" t="inlineStr">
        <is>
          <t>largecap</t>
        </is>
      </c>
      <c r="H217" s="32" t="n">
        <v>65724.57000000001</v>
      </c>
      <c r="I217" s="32" t="n">
        <v>2305</v>
      </c>
      <c r="J217" s="32" t="n">
        <v>-1.03</v>
      </c>
      <c r="K217" s="32" t="n">
        <v>1116185</v>
      </c>
      <c r="L217" s="31" t="n">
        <v>20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58.72</v>
      </c>
      <c r="P217" s="32" t="n">
        <v>18.44</v>
      </c>
      <c r="Q217" s="32" t="n">
        <v>1969.63</v>
      </c>
      <c r="R217" s="31" t="inlineStr">
        <is>
          <t>Near 52W High Breakout</t>
        </is>
      </c>
      <c r="S217" s="31" t="inlineStr">
        <is>
          <t>Nifty Pharma</t>
        </is>
      </c>
      <c r="T217" s="32" t="n">
        <v>18.4</v>
      </c>
      <c r="U217" s="32" t="n">
        <v>19.27</v>
      </c>
      <c r="V217" s="32" t="n">
        <v>0.74</v>
      </c>
      <c r="W217" s="32" t="n">
        <v>4.17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IF(B218=0,"",RANK(B218,$B$2:$B$360,0))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COFORGE</t>
        </is>
      </c>
      <c r="D218" s="31" t="inlineStr">
        <is>
          <t>Coforge (Niit Tech) Ltd</t>
        </is>
      </c>
      <c r="E218" s="31" t="inlineStr">
        <is>
          <t>i.t</t>
        </is>
      </c>
      <c r="F218" s="31" t="inlineStr">
        <is>
          <t>computers - software - large</t>
        </is>
      </c>
      <c r="G218" s="31" t="inlineStr">
        <is>
          <t>largecap</t>
        </is>
      </c>
      <c r="H218" s="32" t="n">
        <v>79949.96000000001</v>
      </c>
      <c r="I218" s="32" t="n">
        <v>1773</v>
      </c>
      <c r="J218" s="32" t="n">
        <v>-1.83</v>
      </c>
      <c r="K218" s="32" t="n">
        <v>4635191</v>
      </c>
      <c r="L218" s="31" t="n">
        <v>34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65.12</v>
      </c>
      <c r="P218" s="32" t="n">
        <v>12.75</v>
      </c>
      <c r="Q218" s="32" t="n">
        <v>1450.11</v>
      </c>
      <c r="R218" s="31" t="inlineStr">
        <is>
          <t>Earnings / Momentum Support</t>
        </is>
      </c>
      <c r="S218" s="31" t="inlineStr">
        <is>
          <t>Nifty IT</t>
        </is>
      </c>
      <c r="T218" s="32" t="n">
        <v>-14.75</v>
      </c>
      <c r="U218" s="32" t="n">
        <v>2.39</v>
      </c>
      <c r="V218" s="32" t="n">
        <v>20.1</v>
      </c>
      <c r="W218" s="32" t="n">
        <v>7.63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IF(B219=0,"",RANK(B219,$B$2:$B$360,0))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TARSONS</t>
        </is>
      </c>
      <c r="D219" s="33" t="inlineStr">
        <is>
          <t>Tarsons Products Ltd</t>
        </is>
      </c>
      <c r="E219" s="31" t="inlineStr">
        <is>
          <t>healthcare</t>
        </is>
      </c>
      <c r="F219" s="31" t="inlineStr">
        <is>
          <t>miscellaneous</t>
        </is>
      </c>
      <c r="G219" s="31" t="inlineStr">
        <is>
          <t>smallcap</t>
        </is>
      </c>
      <c r="H219" s="32" t="n">
        <v>1923.41</v>
      </c>
      <c r="I219" s="32" t="n">
        <v>336.65</v>
      </c>
      <c r="J219" s="32" t="n">
        <v>-6.87</v>
      </c>
      <c r="K219" s="32" t="n">
        <v>1199400</v>
      </c>
      <c r="L219" s="31" t="n">
        <v>63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66.8</v>
      </c>
      <c r="P219" s="32" t="n">
        <v>42.82</v>
      </c>
      <c r="Q219" s="32" t="n">
        <v>259.75</v>
      </c>
      <c r="R219" s="31" t="inlineStr">
        <is>
          <t>Earnings / Momentum Support</t>
        </is>
      </c>
      <c r="S219" s="31" t="inlineStr">
        <is>
          <t>Nifty Pharma</t>
        </is>
      </c>
      <c r="T219" s="32" t="n">
        <v>18.4</v>
      </c>
      <c r="U219" s="32" t="n">
        <v>2.79</v>
      </c>
      <c r="V219" s="32" t="n">
        <v>-13.18</v>
      </c>
      <c r="W219" s="32" t="n">
        <v>15.19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IF(B220=0,"",RANK(B220,$B$2:$B$360,0))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MMFL</t>
        </is>
      </c>
      <c r="D220" s="31" t="inlineStr">
        <is>
          <t>Mm Forgings Limited</t>
        </is>
      </c>
      <c r="E220" s="31" t="inlineStr">
        <is>
          <t>industrials</t>
        </is>
      </c>
      <c r="F220" s="31" t="inlineStr">
        <is>
          <t>castings &amp; forgings</t>
        </is>
      </c>
      <c r="G220" s="31" t="inlineStr">
        <is>
          <t>smallcap</t>
        </is>
      </c>
      <c r="H220" s="32" t="n">
        <v>3052.85</v>
      </c>
      <c r="I220" s="32" t="n">
        <v>680.2</v>
      </c>
      <c r="J220" s="32" t="n">
        <v>7.58</v>
      </c>
      <c r="K220" s="32" t="n">
        <v>935497</v>
      </c>
      <c r="L220" s="31" t="n">
        <v>86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76.08</v>
      </c>
      <c r="P220" s="32" t="n">
        <v>24.7</v>
      </c>
      <c r="Q220" s="32" t="n">
        <v>520.29</v>
      </c>
      <c r="R220" s="31" t="inlineStr">
        <is>
          <t>Volume Spike &amp; Near 52W High Breakout</t>
        </is>
      </c>
      <c r="S220" s="31" t="inlineStr">
        <is>
          <t>Nifty 50</t>
        </is>
      </c>
      <c r="T220" s="32" t="n">
        <v>-2.88</v>
      </c>
      <c r="U220" s="32" t="n">
        <v>115.36</v>
      </c>
      <c r="V220" s="32" t="n">
        <v>121.74</v>
      </c>
      <c r="W220" s="32" t="n">
        <v>29.56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More than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IF(B221=0,"",RANK(B221,$B$2:$B$360,0))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ZENTEC</t>
        </is>
      </c>
      <c r="D221" s="31" t="inlineStr">
        <is>
          <t>Zen Technologies Limited</t>
        </is>
      </c>
      <c r="E221" s="31" t="inlineStr">
        <is>
          <t>aerospace &amp; defence</t>
        </is>
      </c>
      <c r="F221" s="31" t="inlineStr">
        <is>
          <t>miscellaneous</t>
        </is>
      </c>
      <c r="G221" s="31" t="inlineStr">
        <is>
          <t>midcap</t>
        </is>
      </c>
      <c r="H221" s="32" t="n">
        <v>16834.64</v>
      </c>
      <c r="I221" s="32" t="n">
        <v>1982.4</v>
      </c>
      <c r="J221" s="32" t="n">
        <v>6.32</v>
      </c>
      <c r="K221" s="32" t="n">
        <v>2742695</v>
      </c>
      <c r="L221" s="31" t="n">
        <v>50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62.97</v>
      </c>
      <c r="P221" s="32" t="n">
        <v>33.68</v>
      </c>
      <c r="Q221" s="32" t="n">
        <v>1537.4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-2.88</v>
      </c>
      <c r="U221" s="32" t="n">
        <v>32.82</v>
      </c>
      <c r="V221" s="32" t="n">
        <v>36.75</v>
      </c>
      <c r="W221" s="32" t="n">
        <v>11.52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IF(B222=0,"",RANK(B222,$B$2:$B$360,0))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TCPLPACK</t>
        </is>
      </c>
      <c r="D222" s="31" t="inlineStr">
        <is>
          <t>TCPL Packaging Ltd</t>
        </is>
      </c>
      <c r="E222" s="31" t="inlineStr">
        <is>
          <t>industrials</t>
        </is>
      </c>
      <c r="F222" s="31" t="inlineStr">
        <is>
          <t>packaging</t>
        </is>
      </c>
      <c r="G222" s="31" t="inlineStr">
        <is>
          <t>smallcap</t>
        </is>
      </c>
      <c r="H222" s="32" t="n">
        <v>3674.22</v>
      </c>
      <c r="I222" s="32" t="n">
        <v>4234.8</v>
      </c>
      <c r="J222" s="32" t="n">
        <v>4.88</v>
      </c>
      <c r="K222" s="32" t="n">
        <v>42484</v>
      </c>
      <c r="L222" s="31" t="n">
        <v>75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78.51000000000001</v>
      </c>
      <c r="P222" s="32" t="n">
        <v>30.15</v>
      </c>
      <c r="Q222" s="32" t="n">
        <v>3267.51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-2.88</v>
      </c>
      <c r="U222" s="32" t="n">
        <v>23.61</v>
      </c>
      <c r="V222" s="32" t="n">
        <v>27.27</v>
      </c>
      <c r="W222" s="32" t="n">
        <v>20.47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Between 0.7 to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IF(B223=0,"",RANK(B223,$B$2:$B$360,0))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ASAHIINDIA</t>
        </is>
      </c>
      <c r="D223" s="31" t="inlineStr">
        <is>
          <t>Asahi India Glass Limited</t>
        </is>
      </c>
      <c r="E223" s="31" t="inlineStr">
        <is>
          <t>building materials</t>
        </is>
      </c>
      <c r="F223" s="31" t="inlineStr">
        <is>
          <t>glass &amp; glass products</t>
        </is>
      </c>
      <c r="G223" s="31" t="inlineStr">
        <is>
          <t>largecap</t>
        </is>
      </c>
      <c r="H223" s="32" t="n">
        <v>23738.82</v>
      </c>
      <c r="I223" s="32" t="n">
        <v>962.8</v>
      </c>
      <c r="J223" s="32" t="n">
        <v>3.39</v>
      </c>
      <c r="K223" s="32" t="n">
        <v>736560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60.79</v>
      </c>
      <c r="P223" s="32" t="n">
        <v>23.17</v>
      </c>
      <c r="Q223" s="32" t="n">
        <v>776.08</v>
      </c>
      <c r="R223" s="31" t="inlineStr">
        <is>
          <t>Earnings / Momentum Support</t>
        </is>
      </c>
      <c r="S223" s="31" t="inlineStr">
        <is>
          <t>Nifty Infra</t>
        </is>
      </c>
      <c r="T223" s="32" t="inlineStr"/>
      <c r="U223" s="32" t="inlineStr"/>
      <c r="V223" s="32" t="inlineStr"/>
      <c r="W223" s="32" t="inlineStr"/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IF(B224=0,"",RANK(B224,$B$2:$B$360,0))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HARSHA</t>
        </is>
      </c>
      <c r="D224" s="31" t="inlineStr">
        <is>
          <t>Harsha Engineers International Ltd</t>
        </is>
      </c>
      <c r="E224" s="31" t="inlineStr">
        <is>
          <t>industrials</t>
        </is>
      </c>
      <c r="F224" s="31" t="inlineStr">
        <is>
          <t>engineering</t>
        </is>
      </c>
      <c r="G224" s="31" t="inlineStr">
        <is>
          <t>smallcap</t>
        </is>
      </c>
      <c r="H224" s="32" t="n">
        <v>3874.84</v>
      </c>
      <c r="I224" s="32" t="n">
        <v>436.4</v>
      </c>
      <c r="J224" s="32" t="n">
        <v>2.54</v>
      </c>
      <c r="K224" s="32" t="n">
        <v>224480</v>
      </c>
      <c r="L224" s="31" t="n">
        <v>17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59.06</v>
      </c>
      <c r="P224" s="32" t="n">
        <v>38.57</v>
      </c>
      <c r="Q224" s="32" t="n">
        <v>344.92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-2.88</v>
      </c>
      <c r="U224" s="32" t="n">
        <v>6.72</v>
      </c>
      <c r="V224" s="32" t="n">
        <v>9.880000000000001</v>
      </c>
      <c r="W224" s="32" t="n">
        <v>2.99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IF(B225=0,"",RANK(B225,$B$2:$B$360,0))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SICALLOG</t>
        </is>
      </c>
      <c r="D225" s="31" t="inlineStr">
        <is>
          <t>Sical Logistics Ltd</t>
        </is>
      </c>
      <c r="E225" s="31" t="inlineStr">
        <is>
          <t>transportation</t>
        </is>
      </c>
      <c r="F225" s="31" t="inlineStr">
        <is>
          <t>miscellaneous</t>
        </is>
      </c>
      <c r="G225" s="31" t="inlineStr">
        <is>
          <t>smallcap</t>
        </is>
      </c>
      <c r="H225" s="32" t="n">
        <v>877.23</v>
      </c>
      <c r="I225" s="32" t="n">
        <v>112.49</v>
      </c>
      <c r="J225" s="32" t="n">
        <v>2.31</v>
      </c>
      <c r="K225" s="32" t="n">
        <v>21547</v>
      </c>
      <c r="L225" s="31" t="n">
        <v>77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65.26000000000001</v>
      </c>
      <c r="P225" s="32" t="n">
        <v>31.63</v>
      </c>
      <c r="Q225" s="32" t="n">
        <v>81.84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-2.88</v>
      </c>
      <c r="U225" s="32" t="n">
        <v>12.8</v>
      </c>
      <c r="V225" s="32" t="n">
        <v>16.14</v>
      </c>
      <c r="W225" s="32" t="n">
        <v>21.99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Between 50% to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IF(B226=0,"",RANK(B226,$B$2:$B$360,0))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VMART</t>
        </is>
      </c>
      <c r="D226" s="31" t="inlineStr">
        <is>
          <t>V-mart Retail Limited</t>
        </is>
      </c>
      <c r="E226" s="31" t="inlineStr">
        <is>
          <t>consumer discretionary</t>
        </is>
      </c>
      <c r="F226" s="31" t="inlineStr">
        <is>
          <t>trading</t>
        </is>
      </c>
      <c r="G226" s="31" t="inlineStr">
        <is>
          <t>midcap</t>
        </is>
      </c>
      <c r="H226" s="32" t="n">
        <v>6302.59</v>
      </c>
      <c r="I226" s="32" t="n">
        <v>806.45</v>
      </c>
      <c r="J226" s="32" t="n">
        <v>1.79</v>
      </c>
      <c r="K226" s="32" t="n">
        <v>70947</v>
      </c>
      <c r="L226" s="31" t="n">
        <v>37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63.13</v>
      </c>
      <c r="P226" s="32" t="n">
        <v>26.83</v>
      </c>
      <c r="Q226" s="32" t="n">
        <v>634.45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-2.88</v>
      </c>
      <c r="U226" s="32" t="n">
        <v>8.5</v>
      </c>
      <c r="V226" s="32" t="n">
        <v>11.71</v>
      </c>
      <c r="W226" s="32" t="n">
        <v>8.65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IF(B227=0,"",RANK(B227,$B$2:$B$360,0))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GALAXYSURF</t>
        </is>
      </c>
      <c r="D227" s="31" t="inlineStr">
        <is>
          <t>Galaxy Surfactants Ltd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midcap</t>
        </is>
      </c>
      <c r="H227" s="32" t="n">
        <v>8522.26</v>
      </c>
      <c r="I227" s="32" t="n">
        <v>2433.9</v>
      </c>
      <c r="J227" s="32" t="n">
        <v>1.26</v>
      </c>
      <c r="K227" s="32" t="n">
        <v>131965</v>
      </c>
      <c r="L227" s="31" t="n">
        <v>46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69.47</v>
      </c>
      <c r="P227" s="32" t="n">
        <v>19.55</v>
      </c>
      <c r="Q227" s="32" t="n">
        <v>2017.11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-2.88</v>
      </c>
      <c r="U227" s="32" t="n">
        <v>11.14</v>
      </c>
      <c r="V227" s="32" t="n">
        <v>14.43</v>
      </c>
      <c r="W227" s="32" t="n">
        <v>10.34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IF(B228=0,"",RANK(B228,$B$2:$B$360,0))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ANANTRAJ</t>
        </is>
      </c>
      <c r="D228" s="31" t="inlineStr">
        <is>
          <t>Anant Raj Limited</t>
        </is>
      </c>
      <c r="E228" s="31" t="inlineStr">
        <is>
          <t>realty</t>
        </is>
      </c>
      <c r="F228" s="31" t="inlineStr">
        <is>
          <t>construction</t>
        </is>
      </c>
      <c r="G228" s="31" t="inlineStr">
        <is>
          <t>largecap</t>
        </is>
      </c>
      <c r="H228" s="32" t="n">
        <v>22584.08</v>
      </c>
      <c r="I228" s="32" t="n">
        <v>627.05</v>
      </c>
      <c r="J228" s="32" t="n">
        <v>-0.08</v>
      </c>
      <c r="K228" s="32" t="n">
        <v>1119263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61.13</v>
      </c>
      <c r="P228" s="32" t="n">
        <v>22.9</v>
      </c>
      <c r="Q228" s="32" t="n">
        <v>492.39</v>
      </c>
      <c r="R228" s="31" t="inlineStr">
        <is>
          <t>Earnings / Momentum Support</t>
        </is>
      </c>
      <c r="S228" s="31" t="inlineStr">
        <is>
          <t>Nifty Realty</t>
        </is>
      </c>
      <c r="T228" s="32" t="inlineStr"/>
      <c r="U228" s="32" t="inlineStr"/>
      <c r="V228" s="32" t="inlineStr"/>
      <c r="W228" s="32" t="inlineStr"/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IF(B229=0,"",RANK(B229,$B$2:$B$360,0))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ETERNAL</t>
        </is>
      </c>
      <c r="D229" s="31" t="inlineStr">
        <is>
          <t>Eternal Ltd</t>
        </is>
      </c>
      <c r="E229" s="31" t="inlineStr">
        <is>
          <t>i.t</t>
        </is>
      </c>
      <c r="F229" s="31" t="inlineStr">
        <is>
          <t>miscellaneous</t>
        </is>
      </c>
      <c r="G229" s="31" t="inlineStr">
        <is>
          <t>largecap</t>
        </is>
      </c>
      <c r="H229" s="32" t="n">
        <v>306881.15</v>
      </c>
      <c r="I229" s="32" t="n">
        <v>315.9</v>
      </c>
      <c r="J229" s="32" t="n">
        <v>-0.66</v>
      </c>
      <c r="K229" s="32" t="n">
        <v>53356132</v>
      </c>
      <c r="L229" s="31" t="n">
        <v>30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64.73</v>
      </c>
      <c r="P229" s="32" t="n">
        <v>20.49</v>
      </c>
      <c r="Q229" s="32" t="n">
        <v>257.39</v>
      </c>
      <c r="R229" s="31" t="inlineStr">
        <is>
          <t>Earnings / Momentum Support</t>
        </is>
      </c>
      <c r="S229" s="31" t="inlineStr">
        <is>
          <t>Nifty IT</t>
        </is>
      </c>
      <c r="T229" s="32" t="n">
        <v>-14.75</v>
      </c>
      <c r="U229" s="32" t="n">
        <v>-1</v>
      </c>
      <c r="V229" s="32" t="n">
        <v>16.13</v>
      </c>
      <c r="W229" s="32" t="n">
        <v>6.96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IF(B230=0,"",RANK(B230,$B$2:$B$360,0))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INDIGOPNTS</t>
        </is>
      </c>
      <c r="D230" s="31" t="inlineStr">
        <is>
          <t>Indigo Paints Ltd</t>
        </is>
      </c>
      <c r="E230" s="31" t="inlineStr">
        <is>
          <t>building materials</t>
        </is>
      </c>
      <c r="F230" s="31" t="inlineStr">
        <is>
          <t>paints / varnishes</t>
        </is>
      </c>
      <c r="G230" s="31" t="inlineStr">
        <is>
          <t>midcap</t>
        </is>
      </c>
      <c r="H230" s="32" t="n">
        <v>5535.14</v>
      </c>
      <c r="I230" s="32" t="n">
        <v>1152.9</v>
      </c>
      <c r="J230" s="32" t="n">
        <v>-0.7</v>
      </c>
      <c r="K230" s="32" t="n">
        <v>121043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65.05</v>
      </c>
      <c r="P230" s="32" t="n">
        <v>16.71</v>
      </c>
      <c r="Q230" s="32" t="n">
        <v>914.4299999999999</v>
      </c>
      <c r="R230" s="31" t="inlineStr">
        <is>
          <t>Earnings / Momentum Support</t>
        </is>
      </c>
      <c r="S230" s="31" t="inlineStr">
        <is>
          <t>Nifty Infra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IF(B231=0,"",RANK(B231,$B$2:$B$360,0))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HSCL</t>
        </is>
      </c>
      <c r="D231" s="31" t="inlineStr">
        <is>
          <t>Himadri Speciality Chemical Limited</t>
        </is>
      </c>
      <c r="E231" s="31" t="inlineStr">
        <is>
          <t>chemicals</t>
        </is>
      </c>
      <c r="F231" s="31" t="inlineStr">
        <is>
          <t>chemicals</t>
        </is>
      </c>
      <c r="G231" s="31" t="inlineStr">
        <is>
          <t>largecap</t>
        </is>
      </c>
      <c r="H231" s="32" t="n">
        <v>39727.61</v>
      </c>
      <c r="I231" s="32" t="n">
        <v>781.8</v>
      </c>
      <c r="J231" s="32" t="n">
        <v>-0.71</v>
      </c>
      <c r="K231" s="32" t="n">
        <v>3305286</v>
      </c>
      <c r="L231" s="31" t="n">
        <v>71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72.51000000000001</v>
      </c>
      <c r="P231" s="32" t="n">
        <v>45.03</v>
      </c>
      <c r="Q231" s="32" t="n">
        <v>628.2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-2.88</v>
      </c>
      <c r="U231" s="32" t="n">
        <v>66.76000000000001</v>
      </c>
      <c r="V231" s="32" t="n">
        <v>71.7</v>
      </c>
      <c r="W231" s="32" t="n">
        <v>18.27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Between 1.5 to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IF(B232=0,"",RANK(B232,$B$2:$B$360,0))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KMEW</t>
        </is>
      </c>
      <c r="D232" s="31" t="inlineStr">
        <is>
          <t>Knowledge Marine &amp; Engineering Works Ltd</t>
        </is>
      </c>
      <c r="E232" s="31" t="inlineStr">
        <is>
          <t>transportation</t>
        </is>
      </c>
      <c r="F232" s="31" t="inlineStr">
        <is>
          <t>miscellaneous</t>
        </is>
      </c>
      <c r="G232" s="31" t="inlineStr">
        <is>
          <t>midcap</t>
        </is>
      </c>
      <c r="H232" s="32" t="n">
        <v>6738.02</v>
      </c>
      <c r="I232" s="32" t="n">
        <v>2706.2</v>
      </c>
      <c r="J232" s="32" t="n">
        <v>-1.82</v>
      </c>
      <c r="K232" s="32" t="n">
        <v>163111</v>
      </c>
      <c r="L232" s="31" t="n">
        <v>86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75.65000000000001</v>
      </c>
      <c r="P232" s="32" t="n">
        <v>51.57</v>
      </c>
      <c r="Q232" s="32" t="n">
        <v>1977.3</v>
      </c>
      <c r="R232" s="31" t="inlineStr">
        <is>
          <t>Near 52W High Breakout</t>
        </is>
      </c>
      <c r="S232" s="31" t="inlineStr">
        <is>
          <t>Nifty 50</t>
        </is>
      </c>
      <c r="T232" s="32" t="n">
        <v>-2.88</v>
      </c>
      <c r="U232" s="32" t="n">
        <v>178.17</v>
      </c>
      <c r="V232" s="32" t="n">
        <v>186.41</v>
      </c>
      <c r="W232" s="32" t="n">
        <v>29.68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IF(B233=0,"",RANK(B233,$B$2:$B$360,0))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EIMCOELECO</t>
        </is>
      </c>
      <c r="D233" s="31" t="inlineStr">
        <is>
          <t>Eimco Elecon (india) Limited</t>
        </is>
      </c>
      <c r="E233" s="31" t="inlineStr">
        <is>
          <t>industrials</t>
        </is>
      </c>
      <c r="F233" s="31" t="inlineStr">
        <is>
          <t>engineering</t>
        </is>
      </c>
      <c r="G233" s="31" t="inlineStr">
        <is>
          <t>smallcap</t>
        </is>
      </c>
      <c r="H233" s="32" t="n">
        <v>1262.76</v>
      </c>
      <c r="I233" s="32" t="n">
        <v>2143.2</v>
      </c>
      <c r="J233" s="32" t="n">
        <v>-2.1</v>
      </c>
      <c r="K233" s="32" t="n">
        <v>41363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69.79000000000001</v>
      </c>
      <c r="P233" s="32" t="n">
        <v>37.21</v>
      </c>
      <c r="Q233" s="32" t="n">
        <v>1632.96</v>
      </c>
      <c r="R233" s="31" t="inlineStr">
        <is>
          <t>Near 52W High Breakout</t>
        </is>
      </c>
      <c r="S233" s="31" t="inlineStr">
        <is>
          <t>Nifty Infra</t>
        </is>
      </c>
      <c r="T233" s="32" t="inlineStr"/>
      <c r="U233" s="32" t="inlineStr"/>
      <c r="V233" s="32" t="inlineStr"/>
      <c r="W233" s="32" t="inlineStr"/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IF(B234=0,"",RANK(B234,$B$2:$B$360,0))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KANPRPLA</t>
        </is>
      </c>
      <c r="D234" s="31" t="inlineStr">
        <is>
          <t>Kanpur Plastipack Ltd</t>
        </is>
      </c>
      <c r="E234" s="31" t="inlineStr">
        <is>
          <t>industrials</t>
        </is>
      </c>
      <c r="F234" s="31" t="inlineStr">
        <is>
          <t>packaging</t>
        </is>
      </c>
      <c r="G234" s="31" t="inlineStr">
        <is>
          <t>smallcap</t>
        </is>
      </c>
      <c r="H234" s="32" t="n">
        <v>643.4299999999999</v>
      </c>
      <c r="I234" s="32" t="n">
        <v>242.3</v>
      </c>
      <c r="J234" s="32" t="n">
        <v>-7.82</v>
      </c>
      <c r="K234" s="32" t="n">
        <v>54440</v>
      </c>
      <c r="L234" s="31" t="n">
        <v>31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65.31</v>
      </c>
      <c r="P234" s="32" t="n">
        <v>17.56</v>
      </c>
      <c r="Q234" s="32" t="n">
        <v>173.74</v>
      </c>
      <c r="R234" s="31" t="inlineStr">
        <is>
          <t>Near 52W High Breakout</t>
        </is>
      </c>
      <c r="S234" s="31" t="inlineStr">
        <is>
          <t>Nifty 50</t>
        </is>
      </c>
      <c r="T234" s="32" t="n">
        <v>-2.88</v>
      </c>
      <c r="U234" s="32" t="n">
        <v>16.12</v>
      </c>
      <c r="V234" s="32" t="n">
        <v>19.55</v>
      </c>
      <c r="W234" s="32" t="n">
        <v>7.04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IF(B235=0,"",RANK(B235,$B$2:$B$360,0))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GLAXO</t>
        </is>
      </c>
      <c r="D235" s="33" t="inlineStr">
        <is>
          <t>Glaxosmithkline Pharmaceuticals Limited</t>
        </is>
      </c>
      <c r="E235" s="31" t="inlineStr">
        <is>
          <t>healthcare</t>
        </is>
      </c>
      <c r="F235" s="31" t="inlineStr">
        <is>
          <t>pharmaceuticals - multinational</t>
        </is>
      </c>
      <c r="G235" s="31" t="inlineStr">
        <is>
          <t>largecap</t>
        </is>
      </c>
      <c r="H235" s="32" t="n">
        <v>45788.76</v>
      </c>
      <c r="I235" s="32" t="n">
        <v>2877.4</v>
      </c>
      <c r="J235" s="32" t="n">
        <v>6.46</v>
      </c>
      <c r="K235" s="32" t="n">
        <v>477841</v>
      </c>
      <c r="L235" s="31" t="n">
        <v>33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69.75</v>
      </c>
      <c r="P235" s="32" t="n">
        <v>22.56</v>
      </c>
      <c r="Q235" s="32" t="n">
        <v>2429.03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18.4</v>
      </c>
      <c r="U235" s="32" t="n">
        <v>5.43</v>
      </c>
      <c r="V235" s="32" t="n">
        <v>-10.96</v>
      </c>
      <c r="W235" s="32" t="n">
        <v>7.57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Between 12 to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IF(B236=0,"",RANK(B236,$B$2:$B$360,0))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MEDANTA</t>
        </is>
      </c>
      <c r="D236" s="33" t="inlineStr">
        <is>
          <t>Global Health Ltd</t>
        </is>
      </c>
      <c r="E236" s="31" t="inlineStr">
        <is>
          <t>healthcare</t>
        </is>
      </c>
      <c r="F236" s="31" t="inlineStr">
        <is>
          <t>healthcare</t>
        </is>
      </c>
      <c r="G236" s="31" t="inlineStr">
        <is>
          <t>largecap</t>
        </is>
      </c>
      <c r="H236" s="32" t="n">
        <v>38048.05</v>
      </c>
      <c r="I236" s="32" t="n">
        <v>1442.7</v>
      </c>
      <c r="J236" s="32" t="n">
        <v>1.95</v>
      </c>
      <c r="K236" s="32" t="n">
        <v>309148</v>
      </c>
      <c r="L236" s="31" t="n">
        <v>22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68.55</v>
      </c>
      <c r="P236" s="32" t="n">
        <v>23.36</v>
      </c>
      <c r="Q236" s="32" t="n">
        <v>1233.41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18.4</v>
      </c>
      <c r="U236" s="32" t="n">
        <v>4.23</v>
      </c>
      <c r="V236" s="32" t="n">
        <v>-11.97</v>
      </c>
      <c r="W236" s="32" t="n">
        <v>4.68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IF(B237=0,"",RANK(B237,$B$2:$B$360,0))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ANTHEM</t>
        </is>
      </c>
      <c r="D237" s="33" t="inlineStr">
        <is>
          <t>Anthem Biosciences Ltd</t>
        </is>
      </c>
      <c r="E237" s="31" t="inlineStr">
        <is>
          <t>healthcare</t>
        </is>
      </c>
      <c r="F237" s="31" t="inlineStr">
        <is>
          <t>pharmaceuticals - indian - bulk drugs &amp; formln</t>
        </is>
      </c>
      <c r="G237" s="31" t="inlineStr">
        <is>
          <t>largecap</t>
        </is>
      </c>
      <c r="H237" s="32" t="n">
        <v>50591.95</v>
      </c>
      <c r="I237" s="32" t="n">
        <v>892</v>
      </c>
      <c r="J237" s="32" t="n">
        <v>-0.67</v>
      </c>
      <c r="K237" s="32" t="n">
        <v>477452</v>
      </c>
      <c r="L237" s="31" t="n">
        <v>25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70.70999999999999</v>
      </c>
      <c r="P237" s="32" t="n">
        <v>38.59</v>
      </c>
      <c r="Q237" s="32" t="n">
        <v>752.22</v>
      </c>
      <c r="R237" s="31" t="inlineStr">
        <is>
          <t>Near 52W High Breakout</t>
        </is>
      </c>
      <c r="S237" s="31" t="inlineStr">
        <is>
          <t>Nifty Pharma</t>
        </is>
      </c>
      <c r="T237" s="32" t="n">
        <v>18.4</v>
      </c>
      <c r="U237" s="32" t="n">
        <v>8.56</v>
      </c>
      <c r="V237" s="32" t="n">
        <v>-8.31</v>
      </c>
      <c r="W237" s="32" t="n">
        <v>5.69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IF(B238=0,"",RANK(B238,$B$2:$B$360,0))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MAGADSUGAR</t>
        </is>
      </c>
      <c r="D238" s="31" t="inlineStr">
        <is>
          <t>Magadh Sugar &amp; Energy Ltd</t>
        </is>
      </c>
      <c r="E238" s="31" t="inlineStr">
        <is>
          <t>fmcg</t>
        </is>
      </c>
      <c r="F238" s="31" t="inlineStr">
        <is>
          <t>sugar</t>
        </is>
      </c>
      <c r="G238" s="31" t="inlineStr">
        <is>
          <t>smallcap</t>
        </is>
      </c>
      <c r="H238" s="32" t="n">
        <v>804.14</v>
      </c>
      <c r="I238" s="32" t="n">
        <v>565.5</v>
      </c>
      <c r="J238" s="32" t="n">
        <v>-0.9</v>
      </c>
      <c r="K238" s="32" t="n">
        <v>64874</v>
      </c>
      <c r="L238" s="31" t="n">
        <v>20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69.27</v>
      </c>
      <c r="P238" s="32" t="n">
        <v>17.32</v>
      </c>
      <c r="Q238" s="32" t="n">
        <v>442.31</v>
      </c>
      <c r="R238" s="31" t="inlineStr">
        <is>
          <t>Near 52W High Breakout</t>
        </is>
      </c>
      <c r="S238" s="31" t="inlineStr">
        <is>
          <t>Nifty FMCG</t>
        </is>
      </c>
      <c r="T238" s="32" t="n">
        <v>-12.54</v>
      </c>
      <c r="U238" s="32" t="n">
        <v>2.94</v>
      </c>
      <c r="V238" s="32" t="n">
        <v>17.7</v>
      </c>
      <c r="W238" s="32" t="n">
        <v>4.16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IF(B239=0,"",RANK(B239,$B$2:$B$360,0))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MUKKA</t>
        </is>
      </c>
      <c r="D239" s="31" t="inlineStr">
        <is>
          <t>Mukka Proteins Ltd</t>
        </is>
      </c>
      <c r="E239" s="31" t="inlineStr">
        <is>
          <t>fmcg</t>
        </is>
      </c>
      <c r="F239" s="31" t="inlineStr">
        <is>
          <t>food - processing - indian</t>
        </is>
      </c>
      <c r="G239" s="31" t="inlineStr">
        <is>
          <t>smallcap</t>
        </is>
      </c>
      <c r="H239" s="32" t="n">
        <v>825.9</v>
      </c>
      <c r="I239" s="32" t="n">
        <v>27.04</v>
      </c>
      <c r="J239" s="32" t="n">
        <v>-1.78</v>
      </c>
      <c r="K239" s="32" t="n">
        <v>569025</v>
      </c>
      <c r="L239" s="31" t="n">
        <v>11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64.84999999999999</v>
      </c>
      <c r="P239" s="32" t="n">
        <v>10.02</v>
      </c>
      <c r="Q239" s="32" t="n">
        <v>21</v>
      </c>
      <c r="R239" s="31" t="inlineStr">
        <is>
          <t>Near 52W High Breakout</t>
        </is>
      </c>
      <c r="S239" s="31" t="inlineStr">
        <is>
          <t>Nifty FMCG</t>
        </is>
      </c>
      <c r="T239" s="32" t="n">
        <v>-12.54</v>
      </c>
      <c r="U239" s="32" t="n">
        <v>-7.02</v>
      </c>
      <c r="V239" s="32" t="n">
        <v>6.32</v>
      </c>
      <c r="W239" s="32" t="n">
        <v>1.64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B2C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IF(B240=0,"",RANK(B240,$B$2:$B$360,0))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AVADHSUGAR</t>
        </is>
      </c>
      <c r="D240" s="31" t="inlineStr">
        <is>
          <t>Avadh Sugar &amp; Energy</t>
        </is>
      </c>
      <c r="E240" s="31" t="inlineStr">
        <is>
          <t>fmcg</t>
        </is>
      </c>
      <c r="F240" s="31" t="inlineStr">
        <is>
          <t>sugar</t>
        </is>
      </c>
      <c r="G240" s="31" t="inlineStr">
        <is>
          <t>smallcap</t>
        </is>
      </c>
      <c r="H240" s="32" t="n">
        <v>1451.84</v>
      </c>
      <c r="I240" s="32" t="n">
        <v>711.3</v>
      </c>
      <c r="J240" s="32" t="n">
        <v>-1.92</v>
      </c>
      <c r="K240" s="32" t="n">
        <v>287536</v>
      </c>
      <c r="L240" s="31" t="n">
        <v>80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80.94</v>
      </c>
      <c r="P240" s="32" t="n">
        <v>39.33</v>
      </c>
      <c r="Q240" s="32" t="n">
        <v>552.67</v>
      </c>
      <c r="R240" s="31" t="inlineStr">
        <is>
          <t>Near 52W High Breakout</t>
        </is>
      </c>
      <c r="S240" s="31" t="inlineStr">
        <is>
          <t>Nifty FMCG</t>
        </is>
      </c>
      <c r="T240" s="32" t="n">
        <v>-12.54</v>
      </c>
      <c r="U240" s="32" t="n">
        <v>56.11</v>
      </c>
      <c r="V240" s="32" t="n">
        <v>78.5</v>
      </c>
      <c r="W240" s="32" t="n">
        <v>23.25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B2C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Above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IF(B241=0,"",RANK(B241,$B$2:$B$360,0))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UGARSUGAR</t>
        </is>
      </c>
      <c r="D241" s="31" t="inlineStr">
        <is>
          <t>The Ugar Sugar Works Limited</t>
        </is>
      </c>
      <c r="E241" s="31" t="inlineStr">
        <is>
          <t>fmcg</t>
        </is>
      </c>
      <c r="F241" s="31" t="inlineStr">
        <is>
          <t>sugar</t>
        </is>
      </c>
      <c r="G241" s="31" t="inlineStr">
        <is>
          <t>smallcap</t>
        </is>
      </c>
      <c r="H241" s="32" t="n">
        <v>587.03</v>
      </c>
      <c r="I241" s="32" t="n">
        <v>50.77</v>
      </c>
      <c r="J241" s="32" t="n">
        <v>-2.7</v>
      </c>
      <c r="K241" s="32" t="n">
        <v>1577013</v>
      </c>
      <c r="L241" s="31" t="n">
        <v>32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74.45999999999999</v>
      </c>
      <c r="P241" s="32" t="n">
        <v>17.03</v>
      </c>
      <c r="Q241" s="32" t="n">
        <v>38.43</v>
      </c>
      <c r="R241" s="31" t="inlineStr">
        <is>
          <t>Volume Spike &amp; Near 52W High Breakout</t>
        </is>
      </c>
      <c r="S241" s="31" t="inlineStr">
        <is>
          <t>Nifty FMCG</t>
        </is>
      </c>
      <c r="T241" s="32" t="n">
        <v>-12.54</v>
      </c>
      <c r="U241" s="32" t="n">
        <v>12.97</v>
      </c>
      <c r="V241" s="32" t="n">
        <v>29.17</v>
      </c>
      <c r="W241" s="32" t="n">
        <v>7.13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B2C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IF(B242=0,"",RANK(B242,$B$2:$B$360,0))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PVP</t>
        </is>
      </c>
      <c r="D242" s="31" t="inlineStr">
        <is>
          <t>Pvp Ventures Limited</t>
        </is>
      </c>
      <c r="E242" s="31" t="inlineStr">
        <is>
          <t>realty</t>
        </is>
      </c>
      <c r="F242" s="31" t="inlineStr">
        <is>
          <t>construction</t>
        </is>
      </c>
      <c r="G242" s="31" t="inlineStr">
        <is>
          <t>smallcap</t>
        </is>
      </c>
      <c r="H242" s="32" t="n">
        <v>963.75</v>
      </c>
      <c r="I242" s="32" t="n">
        <v>40.2</v>
      </c>
      <c r="J242" s="32" t="n">
        <v>8.619999999999999</v>
      </c>
      <c r="K242" s="32" t="n">
        <v>3330520</v>
      </c>
      <c r="L242" s="31" t="inlineStr"/>
      <c r="M242" s="31" t="inlineStr"/>
      <c r="N242" s="32">
        <f>IF(M242="Underperforming",-5,IF(L242&gt;=95,15,IF(L242&gt;=90,10,IF(L242&gt;=80,5,0))))</f>
        <v/>
      </c>
      <c r="O242" s="32" t="n">
        <v>67.48999999999999</v>
      </c>
      <c r="P242" s="32" t="n">
        <v>14.48</v>
      </c>
      <c r="Q242" s="32" t="n">
        <v>27.9</v>
      </c>
      <c r="R242" s="31" t="inlineStr">
        <is>
          <t>Near 52W High Breakout</t>
        </is>
      </c>
      <c r="S242" s="31" t="inlineStr">
        <is>
          <t>Nifty Realty</t>
        </is>
      </c>
      <c r="T242" s="32" t="inlineStr"/>
      <c r="U242" s="32" t="inlineStr"/>
      <c r="V242" s="32" t="inlineStr"/>
      <c r="W242" s="32" t="inlineStr"/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IF(B243=0,"",RANK(B243,$B$2:$B$360,0))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RUBYMILLS</t>
        </is>
      </c>
      <c r="D243" s="31" t="inlineStr">
        <is>
          <t>The Ruby Mills Limited</t>
        </is>
      </c>
      <c r="E243" s="31" t="inlineStr">
        <is>
          <t>textiles</t>
        </is>
      </c>
      <c r="F243" s="31" t="inlineStr">
        <is>
          <t>textiles - composite</t>
        </is>
      </c>
      <c r="G243" s="31" t="inlineStr">
        <is>
          <t>smallcap</t>
        </is>
      </c>
      <c r="H243" s="32" t="n">
        <v>1278.91</v>
      </c>
      <c r="I243" s="32" t="n">
        <v>401.55</v>
      </c>
      <c r="J243" s="32" t="n">
        <v>4.99</v>
      </c>
      <c r="K243" s="32" t="n">
        <v>15496</v>
      </c>
      <c r="L243" s="31" t="n">
        <v>87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69.84999999999999</v>
      </c>
      <c r="P243" s="32" t="n">
        <v>53.75</v>
      </c>
      <c r="Q243" s="32" t="n">
        <v>303.16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-2.88</v>
      </c>
      <c r="U243" s="32" t="n">
        <v>73.29000000000001</v>
      </c>
      <c r="V243" s="32" t="n">
        <v>78.42</v>
      </c>
      <c r="W243" s="32" t="n">
        <v>30.72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IF(B244=0,"",RANK(B244,$B$2:$B$360,0))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AEROENTER</t>
        </is>
      </c>
      <c r="D244" s="33" t="inlineStr">
        <is>
          <t>Aeroflex Enterprises Ltd</t>
        </is>
      </c>
      <c r="E244" s="31" t="inlineStr">
        <is>
          <t>metals &amp; mining</t>
        </is>
      </c>
      <c r="F244" s="31" t="inlineStr">
        <is>
          <t>steel - medium / small</t>
        </is>
      </c>
      <c r="G244" s="31" t="inlineStr">
        <is>
          <t>smallcap</t>
        </is>
      </c>
      <c r="H244" s="32" t="n">
        <v>1422.81</v>
      </c>
      <c r="I244" s="32" t="n">
        <v>130.89</v>
      </c>
      <c r="J244" s="32" t="n">
        <v>4.1</v>
      </c>
      <c r="K244" s="32" t="n">
        <v>1139299</v>
      </c>
      <c r="L244" s="31" t="n">
        <v>63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63.53</v>
      </c>
      <c r="P244" s="32" t="n">
        <v>50.82</v>
      </c>
      <c r="Q244" s="32" t="n">
        <v>98.91</v>
      </c>
      <c r="R244" s="31" t="inlineStr">
        <is>
          <t>Near 52W High Breakout</t>
        </is>
      </c>
      <c r="S244" s="31" t="inlineStr">
        <is>
          <t>Nifty Metal</t>
        </is>
      </c>
      <c r="T244" s="32" t="n">
        <v>38.2</v>
      </c>
      <c r="U244" s="32" t="n">
        <v>27.52</v>
      </c>
      <c r="V244" s="32" t="n">
        <v>-7.73</v>
      </c>
      <c r="W244" s="32" t="n">
        <v>15.22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IF(B245=0,"",RANK(B245,$B$2:$B$360,0))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BOSCHLTD</t>
        </is>
      </c>
      <c r="D245" s="31" t="inlineStr">
        <is>
          <t>Bosch Limited</t>
        </is>
      </c>
      <c r="E245" s="31" t="inlineStr">
        <is>
          <t>auto</t>
        </is>
      </c>
      <c r="F245" s="31" t="inlineStr">
        <is>
          <t>auto ancillaries</t>
        </is>
      </c>
      <c r="G245" s="31" t="inlineStr">
        <is>
          <t>largecap</t>
        </is>
      </c>
      <c r="H245" s="32" t="n">
        <v>138543.18</v>
      </c>
      <c r="I245" s="32" t="n">
        <v>48730</v>
      </c>
      <c r="J245" s="32" t="n">
        <v>3.75</v>
      </c>
      <c r="K245" s="32" t="n">
        <v>280268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75.64</v>
      </c>
      <c r="P245" s="32" t="n">
        <v>33.64</v>
      </c>
      <c r="Q245" s="32" t="n">
        <v>41480.45</v>
      </c>
      <c r="R245" s="31" t="inlineStr">
        <is>
          <t>Near 52W High Breakout</t>
        </is>
      </c>
      <c r="S245" s="31" t="inlineStr">
        <is>
          <t>Nifty Auto</t>
        </is>
      </c>
      <c r="T245" s="32" t="inlineStr"/>
      <c r="U245" s="32" t="inlineStr"/>
      <c r="V245" s="32" t="inlineStr"/>
      <c r="W245" s="32" t="inlineStr"/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IF(B246=0,"",RANK(B246,$B$2:$B$360,0))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SAMBHV</t>
        </is>
      </c>
      <c r="D246" s="33" t="inlineStr">
        <is>
          <t>Sambhv Steel Tubes Ltd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smallcap</t>
        </is>
      </c>
      <c r="H246" s="32" t="n">
        <v>3532.52</v>
      </c>
      <c r="I246" s="32" t="n">
        <v>124.34</v>
      </c>
      <c r="J246" s="32" t="n">
        <v>3.72</v>
      </c>
      <c r="K246" s="32" t="n">
        <v>1781158</v>
      </c>
      <c r="L246" s="31" t="n">
        <v>12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63.75</v>
      </c>
      <c r="P246" s="32" t="n">
        <v>25.3</v>
      </c>
      <c r="Q246" s="32" t="n">
        <v>94.97</v>
      </c>
      <c r="R246" s="31" t="inlineStr">
        <is>
          <t>Near 52W High Breakout</t>
        </is>
      </c>
      <c r="S246" s="31" t="inlineStr">
        <is>
          <t>Nifty Metal</t>
        </is>
      </c>
      <c r="T246" s="32" t="n">
        <v>38.2</v>
      </c>
      <c r="U246" s="32" t="n">
        <v>-6.26</v>
      </c>
      <c r="V246" s="32" t="n">
        <v>-32.17</v>
      </c>
      <c r="W246" s="32" t="n">
        <v>1.78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IF(B247=0,"",RANK(B247,$B$2:$B$360,0))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SOTL</t>
        </is>
      </c>
      <c r="D247" s="31" t="inlineStr">
        <is>
          <t>Savita Oil Technologies Limited</t>
        </is>
      </c>
      <c r="E247" s="31" t="inlineStr">
        <is>
          <t>energy</t>
        </is>
      </c>
      <c r="F247" s="31" t="inlineStr">
        <is>
          <t>petrochemicals</t>
        </is>
      </c>
      <c r="G247" s="31" t="inlineStr">
        <is>
          <t>smallcap</t>
        </is>
      </c>
      <c r="H247" s="32" t="n">
        <v>4748.84</v>
      </c>
      <c r="I247" s="32" t="n">
        <v>718.4</v>
      </c>
      <c r="J247" s="32" t="n">
        <v>3.72</v>
      </c>
      <c r="K247" s="32" t="n">
        <v>353823</v>
      </c>
      <c r="L247" s="31" t="n">
        <v>91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67.45999999999999</v>
      </c>
      <c r="P247" s="32" t="n">
        <v>52.19</v>
      </c>
      <c r="Q247" s="32" t="n">
        <v>553.16</v>
      </c>
      <c r="R247" s="31" t="inlineStr">
        <is>
          <t>Earnings / Momentum Support</t>
        </is>
      </c>
      <c r="S247" s="31" t="inlineStr">
        <is>
          <t>Nifty Energy</t>
        </is>
      </c>
      <c r="T247" s="32" t="n">
        <v>9.44</v>
      </c>
      <c r="U247" s="32" t="n">
        <v>79.59</v>
      </c>
      <c r="V247" s="32" t="n">
        <v>64.09</v>
      </c>
      <c r="W247" s="32" t="n">
        <v>37.05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IF(B248=0,"",RANK(B248,$B$2:$B$360,0))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ETHOSLTD</t>
        </is>
      </c>
      <c r="D248" s="31" t="inlineStr">
        <is>
          <t>Ethos Ltd</t>
        </is>
      </c>
      <c r="E248" s="31" t="inlineStr">
        <is>
          <t>consumer discretionary</t>
        </is>
      </c>
      <c r="F248" s="31" t="inlineStr">
        <is>
          <t>trading</t>
        </is>
      </c>
      <c r="G248" s="31" t="inlineStr">
        <is>
          <t>midcap</t>
        </is>
      </c>
      <c r="H248" s="32" t="n">
        <v>7461.65</v>
      </c>
      <c r="I248" s="32" t="n">
        <v>2870</v>
      </c>
      <c r="J248" s="32" t="n">
        <v>2.92</v>
      </c>
      <c r="K248" s="32" t="n">
        <v>961244</v>
      </c>
      <c r="L248" s="31" t="n">
        <v>33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64.05</v>
      </c>
      <c r="P248" s="32" t="n">
        <v>18.67</v>
      </c>
      <c r="Q248" s="32" t="n">
        <v>2196.68</v>
      </c>
      <c r="R248" s="31" t="inlineStr">
        <is>
          <t>Volume Spike / Accumulation</t>
        </is>
      </c>
      <c r="S248" s="31" t="inlineStr">
        <is>
          <t>Nifty 50</t>
        </is>
      </c>
      <c r="T248" s="32" t="n">
        <v>-2.88</v>
      </c>
      <c r="U248" s="32" t="n">
        <v>13.66</v>
      </c>
      <c r="V248" s="32" t="n">
        <v>17.03</v>
      </c>
      <c r="W248" s="32" t="n">
        <v>7.38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IF(B249=0,"",RANK(B249,$B$2:$B$360,0))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SMARTWORKS</t>
        </is>
      </c>
      <c r="D249" s="31" t="inlineStr">
        <is>
          <t>Smartworks Coworking Spaces Ltd</t>
        </is>
      </c>
      <c r="E249" s="31" t="inlineStr">
        <is>
          <t>co-working</t>
        </is>
      </c>
      <c r="F249" s="31" t="inlineStr">
        <is>
          <t>miscellaneous</t>
        </is>
      </c>
      <c r="G249" s="31" t="inlineStr">
        <is>
          <t>midcap</t>
        </is>
      </c>
      <c r="H249" s="32" t="n">
        <v>5655.4</v>
      </c>
      <c r="I249" s="32" t="n">
        <v>507.75</v>
      </c>
      <c r="J249" s="32" t="n">
        <v>2.59</v>
      </c>
      <c r="K249" s="32" t="n">
        <v>140042</v>
      </c>
      <c r="L249" s="31" t="n">
        <v>20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58.77</v>
      </c>
      <c r="P249" s="32" t="n">
        <v>27.27</v>
      </c>
      <c r="Q249" s="32" t="n">
        <v>395.96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-2.88</v>
      </c>
      <c r="U249" s="32" t="n">
        <v>3.54</v>
      </c>
      <c r="V249" s="32" t="n">
        <v>6.61</v>
      </c>
      <c r="W249" s="32" t="n">
        <v>4.01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IF(B250=0,"",RANK(B250,$B$2:$B$360,0))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KAPSTON</t>
        </is>
      </c>
      <c r="D250" s="31" t="inlineStr">
        <is>
          <t>Kapston Services Ltd</t>
        </is>
      </c>
      <c r="E250" s="31" t="inlineStr">
        <is>
          <t>miscellaneous</t>
        </is>
      </c>
      <c r="F250" s="31" t="inlineStr">
        <is>
          <t>miscellaneous</t>
        </is>
      </c>
      <c r="G250" s="31" t="inlineStr">
        <is>
          <t>smallcap</t>
        </is>
      </c>
      <c r="H250" s="32" t="n">
        <v>1590.69</v>
      </c>
      <c r="I250" s="32" t="n">
        <v>535</v>
      </c>
      <c r="J250" s="32" t="n">
        <v>2.35</v>
      </c>
      <c r="K250" s="32" t="n">
        <v>93251</v>
      </c>
      <c r="L250" s="31" t="n">
        <v>88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69.98999999999999</v>
      </c>
      <c r="P250" s="32" t="n">
        <v>31.97</v>
      </c>
      <c r="Q250" s="32" t="n">
        <v>451.79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-2.88</v>
      </c>
      <c r="U250" s="32" t="n">
        <v>113.88</v>
      </c>
      <c r="V250" s="32" t="n">
        <v>120.21</v>
      </c>
      <c r="W250" s="32" t="n">
        <v>31.46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IF(B251=0,"",RANK(B251,$B$2:$B$360,0))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MANAKSTEEL</t>
        </is>
      </c>
      <c r="D251" s="31" t="inlineStr">
        <is>
          <t>Manaksia Steels Limited</t>
        </is>
      </c>
      <c r="E251" s="31" t="inlineStr">
        <is>
          <t>metals &amp; mining</t>
        </is>
      </c>
      <c r="F251" s="31" t="inlineStr">
        <is>
          <t>steel - medium / small</t>
        </is>
      </c>
      <c r="G251" s="31" t="inlineStr">
        <is>
          <t>smallcap</t>
        </is>
      </c>
      <c r="H251" s="32" t="n">
        <v>557.24</v>
      </c>
      <c r="I251" s="32" t="n">
        <v>87</v>
      </c>
      <c r="J251" s="32" t="n">
        <v>2.32</v>
      </c>
      <c r="K251" s="32" t="n">
        <v>51526</v>
      </c>
      <c r="L251" s="31" t="n">
        <v>47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66.67</v>
      </c>
      <c r="P251" s="32" t="n">
        <v>39.55</v>
      </c>
      <c r="Q251" s="32" t="n">
        <v>61.11</v>
      </c>
      <c r="R251" s="31" t="inlineStr">
        <is>
          <t>Near 52W High Breakout</t>
        </is>
      </c>
      <c r="S251" s="31" t="inlineStr">
        <is>
          <t>Nifty Metal</t>
        </is>
      </c>
      <c r="T251" s="32" t="n">
        <v>38.2</v>
      </c>
      <c r="U251" s="32" t="n">
        <v>39.79</v>
      </c>
      <c r="V251" s="32" t="n">
        <v>1.15</v>
      </c>
      <c r="W251" s="32" t="n">
        <v>10.4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IF(B252=0,"",RANK(B252,$B$2:$B$360,0))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BOSCH-HCIL</t>
        </is>
      </c>
      <c r="D252" s="31" t="inlineStr">
        <is>
          <t>Bosch Home Comfort India Ltd</t>
        </is>
      </c>
      <c r="E252" s="31" t="inlineStr">
        <is>
          <t>consumer discretionary</t>
        </is>
      </c>
      <c r="F252" s="31" t="inlineStr">
        <is>
          <t>air-conditioners</t>
        </is>
      </c>
      <c r="G252" s="31" t="inlineStr">
        <is>
          <t>smallcap</t>
        </is>
      </c>
      <c r="H252" s="32" t="n">
        <v>4623.54</v>
      </c>
      <c r="I252" s="32" t="n">
        <v>1732</v>
      </c>
      <c r="J252" s="32" t="n">
        <v>1.86</v>
      </c>
      <c r="K252" s="32" t="n">
        <v>77451</v>
      </c>
      <c r="L252" s="31" t="n">
        <v>28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69.04000000000001</v>
      </c>
      <c r="P252" s="32" t="n">
        <v>19.84</v>
      </c>
      <c r="Q252" s="32" t="n">
        <v>1399.84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-2.88</v>
      </c>
      <c r="U252" s="32" t="n">
        <v>-0.22</v>
      </c>
      <c r="V252" s="32" t="n">
        <v>2.73</v>
      </c>
      <c r="W252" s="32" t="n">
        <v>6.51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IF(B253=0,"",RANK(B253,$B$2:$B$360,0))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GLOBAL</t>
        </is>
      </c>
      <c r="D253" s="31" t="inlineStr">
        <is>
          <t>Global Education Ltd</t>
        </is>
      </c>
      <c r="E253" s="31" t="inlineStr">
        <is>
          <t>services</t>
        </is>
      </c>
      <c r="F253" s="31" t="inlineStr">
        <is>
          <t>miscellaneous</t>
        </is>
      </c>
      <c r="G253" s="31" t="inlineStr">
        <is>
          <t>smallcap</t>
        </is>
      </c>
      <c r="H253" s="32" t="n">
        <v>547.04</v>
      </c>
      <c r="I253" s="32" t="n">
        <v>109.25</v>
      </c>
      <c r="J253" s="32" t="n">
        <v>1.66</v>
      </c>
      <c r="K253" s="32" t="n">
        <v>160551</v>
      </c>
      <c r="L253" s="31" t="n">
        <v>57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59.42</v>
      </c>
      <c r="P253" s="32" t="n">
        <v>44.53</v>
      </c>
      <c r="Q253" s="32" t="n">
        <v>79.58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-2.88</v>
      </c>
      <c r="U253" s="32" t="n">
        <v>69.84999999999999</v>
      </c>
      <c r="V253" s="32" t="n">
        <v>74.88</v>
      </c>
      <c r="W253" s="32" t="n">
        <v>13.62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Less than 50%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IF(B254=0,"",RANK(B254,$B$2:$B$360,0))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MOTISONS</t>
        </is>
      </c>
      <c r="D254" s="33" t="inlineStr">
        <is>
          <t>Motisons Jewellers Ltd</t>
        </is>
      </c>
      <c r="E254" s="31" t="inlineStr">
        <is>
          <t>consumer discretionary</t>
        </is>
      </c>
      <c r="F254" s="31" t="inlineStr">
        <is>
          <t>diamond cutting / jewellery</t>
        </is>
      </c>
      <c r="G254" s="31" t="inlineStr">
        <is>
          <t>smallcap</t>
        </is>
      </c>
      <c r="H254" s="32" t="n">
        <v>1881.44</v>
      </c>
      <c r="I254" s="32" t="n">
        <v>16.78</v>
      </c>
      <c r="J254" s="32" t="n">
        <v>1.45</v>
      </c>
      <c r="K254" s="32" t="n">
        <v>134374269</v>
      </c>
      <c r="L254" s="31" t="n">
        <v>31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63.21</v>
      </c>
      <c r="P254" s="32" t="n">
        <v>19.57</v>
      </c>
      <c r="Q254" s="32" t="n">
        <v>11.69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-2.88</v>
      </c>
      <c r="U254" s="32" t="n">
        <v>-16.35</v>
      </c>
      <c r="V254" s="32" t="n">
        <v>-13.87</v>
      </c>
      <c r="W254" s="32" t="n">
        <v>7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IF(B255=0,"",RANK(B255,$B$2:$B$360,0))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SUNDRMFAST</t>
        </is>
      </c>
      <c r="D255" s="31" t="inlineStr">
        <is>
          <t>Sundram Fasteners Limited</t>
        </is>
      </c>
      <c r="E255" s="31" t="inlineStr">
        <is>
          <t>auto</t>
        </is>
      </c>
      <c r="F255" s="31" t="inlineStr">
        <is>
          <t>auto ancillaries</t>
        </is>
      </c>
      <c r="G255" s="31" t="inlineStr">
        <is>
          <t>largecap</t>
        </is>
      </c>
      <c r="H255" s="32" t="n">
        <v>25525.34</v>
      </c>
      <c r="I255" s="32" t="n">
        <v>1228.3</v>
      </c>
      <c r="J255" s="32" t="n">
        <v>1.12</v>
      </c>
      <c r="K255" s="32" t="n">
        <v>334446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82.09999999999999</v>
      </c>
      <c r="P255" s="32" t="n">
        <v>26.65</v>
      </c>
      <c r="Q255" s="32" t="n">
        <v>1045.47</v>
      </c>
      <c r="R255" s="31" t="inlineStr">
        <is>
          <t>Near 52W High Breakout</t>
        </is>
      </c>
      <c r="S255" s="31" t="inlineStr">
        <is>
          <t>Nifty Auto</t>
        </is>
      </c>
      <c r="T255" s="32" t="inlineStr"/>
      <c r="U255" s="32" t="inlineStr"/>
      <c r="V255" s="32" t="inlineStr"/>
      <c r="W255" s="32" t="inlineStr"/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Between 12 to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IF(B256=0,"",RANK(B256,$B$2:$B$360,0))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GRAPHITE</t>
        </is>
      </c>
      <c r="D256" s="31" t="inlineStr">
        <is>
          <t>Graphite India Limited</t>
        </is>
      </c>
      <c r="E256" s="31" t="inlineStr">
        <is>
          <t>industrials</t>
        </is>
      </c>
      <c r="F256" s="31" t="inlineStr">
        <is>
          <t>electrodes - graphites</t>
        </is>
      </c>
      <c r="G256" s="31" t="inlineStr">
        <is>
          <t>midcap</t>
        </is>
      </c>
      <c r="H256" s="32" t="n">
        <v>14252.65</v>
      </c>
      <c r="I256" s="32" t="n">
        <v>737.15</v>
      </c>
      <c r="J256" s="32" t="n">
        <v>1.05</v>
      </c>
      <c r="K256" s="32" t="n">
        <v>943997</v>
      </c>
      <c r="L256" s="31" t="n">
        <v>32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61.56</v>
      </c>
      <c r="P256" s="32" t="n">
        <v>15.88</v>
      </c>
      <c r="Q256" s="32" t="n">
        <v>567.24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-2.88</v>
      </c>
      <c r="U256" s="32" t="n">
        <v>38.74</v>
      </c>
      <c r="V256" s="32" t="n">
        <v>42.85</v>
      </c>
      <c r="W256" s="32" t="n">
        <v>7.25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IF(B257=0,"",RANK(B257,$B$2:$B$360,0))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SUMICHEM</t>
        </is>
      </c>
      <c r="D257" s="33" t="inlineStr">
        <is>
          <t>Sumitomo Chemical India Ltd</t>
        </is>
      </c>
      <c r="E257" s="31" t="inlineStr">
        <is>
          <t>chemicals</t>
        </is>
      </c>
      <c r="F257" s="31" t="inlineStr">
        <is>
          <t>pesticides / agrochemicals - indian</t>
        </is>
      </c>
      <c r="G257" s="31" t="inlineStr">
        <is>
          <t>largecap</t>
        </is>
      </c>
      <c r="H257" s="32" t="n">
        <v>27942.18</v>
      </c>
      <c r="I257" s="32" t="n">
        <v>561.9</v>
      </c>
      <c r="J257" s="32" t="n">
        <v>0.38</v>
      </c>
      <c r="K257" s="32" t="n">
        <v>359927</v>
      </c>
      <c r="L257" s="31" t="n">
        <v>21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64.88</v>
      </c>
      <c r="P257" s="32" t="n">
        <v>33.61</v>
      </c>
      <c r="Q257" s="32" t="n">
        <v>446.92</v>
      </c>
      <c r="R257" s="31" t="inlineStr">
        <is>
          <t>Earnings / Momentum Support</t>
        </is>
      </c>
      <c r="S257" s="31" t="inlineStr">
        <is>
          <t>Nifty 50</t>
        </is>
      </c>
      <c r="T257" s="32" t="n">
        <v>-2.88</v>
      </c>
      <c r="U257" s="32" t="n">
        <v>-5.62</v>
      </c>
      <c r="V257" s="32" t="n">
        <v>-2.82</v>
      </c>
      <c r="W257" s="32" t="n">
        <v>4.31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IF(B258=0,"",RANK(B258,$B$2:$B$360,0))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VSSL</t>
        </is>
      </c>
      <c r="D258" s="31" t="inlineStr">
        <is>
          <t>Vardhman Special Steels Limited</t>
        </is>
      </c>
      <c r="E258" s="31" t="inlineStr">
        <is>
          <t>metals &amp; mining</t>
        </is>
      </c>
      <c r="F258" s="31" t="inlineStr">
        <is>
          <t>steel - medium / small</t>
        </is>
      </c>
      <c r="G258" s="31" t="inlineStr">
        <is>
          <t>smallcap</t>
        </is>
      </c>
      <c r="H258" s="32" t="n">
        <v>3495.67</v>
      </c>
      <c r="I258" s="32" t="n">
        <v>359.95</v>
      </c>
      <c r="J258" s="32" t="n">
        <v>-0.44</v>
      </c>
      <c r="K258" s="32" t="n">
        <v>150777</v>
      </c>
      <c r="L258" s="31" t="n">
        <v>64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77.76000000000001</v>
      </c>
      <c r="P258" s="32" t="n">
        <v>28.56</v>
      </c>
      <c r="Q258" s="32" t="n">
        <v>288.11</v>
      </c>
      <c r="R258" s="31" t="inlineStr">
        <is>
          <t>Near 52W High Breakout</t>
        </is>
      </c>
      <c r="S258" s="31" t="inlineStr">
        <is>
          <t>Nifty Metal</t>
        </is>
      </c>
      <c r="T258" s="32" t="n">
        <v>38.2</v>
      </c>
      <c r="U258" s="32" t="n">
        <v>40.76</v>
      </c>
      <c r="V258" s="32" t="n">
        <v>1.86</v>
      </c>
      <c r="W258" s="32" t="n">
        <v>15.91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IF(B259=0,"",RANK(B259,$B$2:$B$360,0))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ROSSTECH</t>
        </is>
      </c>
      <c r="D259" s="31" t="inlineStr">
        <is>
          <t>Rossell Techsys Ltd</t>
        </is>
      </c>
      <c r="E259" s="31" t="inlineStr">
        <is>
          <t>aerospace &amp; defence</t>
        </is>
      </c>
      <c r="F259" s="31" t="inlineStr">
        <is>
          <t>engineering</t>
        </is>
      </c>
      <c r="G259" s="31" t="inlineStr">
        <is>
          <t>smallcap</t>
        </is>
      </c>
      <c r="H259" s="32" t="n">
        <v>4180.16</v>
      </c>
      <c r="I259" s="32" t="n">
        <v>1103.55</v>
      </c>
      <c r="J259" s="32" t="n">
        <v>-0.48</v>
      </c>
      <c r="K259" s="32" t="n">
        <v>899502</v>
      </c>
      <c r="L259" s="31" t="n">
        <v>62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63.13</v>
      </c>
      <c r="P259" s="32" t="n">
        <v>29.02</v>
      </c>
      <c r="Q259" s="32" t="n">
        <v>765.24</v>
      </c>
      <c r="R259" s="31" t="inlineStr">
        <is>
          <t>Near 52W High Breakout</t>
        </is>
      </c>
      <c r="S259" s="31" t="inlineStr">
        <is>
          <t>Nifty 50</t>
        </is>
      </c>
      <c r="T259" s="32" t="n">
        <v>-2.88</v>
      </c>
      <c r="U259" s="32" t="n">
        <v>61.83</v>
      </c>
      <c r="V259" s="32" t="n">
        <v>66.62</v>
      </c>
      <c r="W259" s="32" t="n">
        <v>15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More than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IF(B260=0,"",RANK(B260,$B$2:$B$360,0))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POWERINDIA</t>
        </is>
      </c>
      <c r="D260" s="31" t="inlineStr">
        <is>
          <t>Hitachi Energy India Ltd</t>
        </is>
      </c>
      <c r="E260" s="31" t="inlineStr">
        <is>
          <t>industrials</t>
        </is>
      </c>
      <c r="F260" s="31" t="inlineStr">
        <is>
          <t>electric equipment</t>
        </is>
      </c>
      <c r="G260" s="31" t="inlineStr">
        <is>
          <t>largecap</t>
        </is>
      </c>
      <c r="H260" s="32" t="n">
        <v>158009.03</v>
      </c>
      <c r="I260" s="32" t="n">
        <v>35275</v>
      </c>
      <c r="J260" s="32" t="n">
        <v>-0.49</v>
      </c>
      <c r="K260" s="32" t="n">
        <v>93678</v>
      </c>
      <c r="L260" s="31" t="n">
        <v>56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61.12</v>
      </c>
      <c r="P260" s="32" t="n">
        <v>39.91</v>
      </c>
      <c r="Q260" s="32" t="n">
        <v>30591.36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-2.88</v>
      </c>
      <c r="U260" s="32" t="n">
        <v>77.48</v>
      </c>
      <c r="V260" s="32" t="n">
        <v>82.73999999999999</v>
      </c>
      <c r="W260" s="32" t="n">
        <v>13.31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IF(B261=0,"",RANK(B261,$B$2:$B$360,0))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PITTIENG</t>
        </is>
      </c>
      <c r="D261" s="31" t="inlineStr">
        <is>
          <t>Pitti Engineering Ltd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smallcap</t>
        </is>
      </c>
      <c r="H261" s="32" t="n">
        <v>3940.64</v>
      </c>
      <c r="I261" s="32" t="n">
        <v>1035.8</v>
      </c>
      <c r="J261" s="32" t="n">
        <v>-1.03</v>
      </c>
      <c r="K261" s="32" t="n">
        <v>171313</v>
      </c>
      <c r="L261" s="31" t="n">
        <v>19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60.91</v>
      </c>
      <c r="P261" s="32" t="n">
        <v>8.949999999999999</v>
      </c>
      <c r="Q261" s="32" t="n">
        <v>832.45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-2.88</v>
      </c>
      <c r="U261" s="32" t="n">
        <v>9.460000000000001</v>
      </c>
      <c r="V261" s="32" t="n">
        <v>12.7</v>
      </c>
      <c r="W261" s="32" t="n">
        <v>3.99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IF(B262=0,"",RANK(B262,$B$2:$B$360,0))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ARE&amp;M</t>
        </is>
      </c>
      <c r="D262" s="31" t="inlineStr">
        <is>
          <t>Amara Raja Energy &amp; Mobility Ltd</t>
        </is>
      </c>
      <c r="E262" s="31" t="inlineStr">
        <is>
          <t>auto</t>
        </is>
      </c>
      <c r="F262" s="31" t="inlineStr">
        <is>
          <t>auto ancillaries</t>
        </is>
      </c>
      <c r="G262" s="31" t="inlineStr">
        <is>
          <t>midcap</t>
        </is>
      </c>
      <c r="H262" s="32" t="n">
        <v>17308.71</v>
      </c>
      <c r="I262" s="32" t="n">
        <v>935.8</v>
      </c>
      <c r="J262" s="32" t="n">
        <v>-1.05</v>
      </c>
      <c r="K262" s="32" t="n">
        <v>415661</v>
      </c>
      <c r="L262" s="31" t="inlineStr"/>
      <c r="M262" s="31" t="inlineStr"/>
      <c r="N262" s="32">
        <f>IF(M262="Underperforming",-5,IF(L262&gt;=95,15,IF(L262&gt;=90,10,IF(L262&gt;=80,5,0))))</f>
        <v/>
      </c>
      <c r="O262" s="32" t="n">
        <v>59.16</v>
      </c>
      <c r="P262" s="32" t="n">
        <v>17.27</v>
      </c>
      <c r="Q262" s="32" t="n">
        <v>771.04</v>
      </c>
      <c r="R262" s="31" t="inlineStr">
        <is>
          <t>Earnings / Momentum Support</t>
        </is>
      </c>
      <c r="S262" s="31" t="inlineStr">
        <is>
          <t>Nifty Auto</t>
        </is>
      </c>
      <c r="T262" s="32" t="inlineStr"/>
      <c r="U262" s="32" t="inlineStr"/>
      <c r="V262" s="32" t="inlineStr"/>
      <c r="W262" s="32" t="inlineStr"/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Between 12 to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IF(B263=0,"",RANK(B263,$B$2:$B$360,0))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MBAPL</t>
        </is>
      </c>
      <c r="D263" s="31" t="inlineStr">
        <is>
          <t>Madhya Bharat Agro Products Ltd</t>
        </is>
      </c>
      <c r="E263" s="31" t="inlineStr">
        <is>
          <t>chemicals</t>
        </is>
      </c>
      <c r="F263" s="31" t="inlineStr">
        <is>
          <t>fertilizers</t>
        </is>
      </c>
      <c r="G263" s="31" t="inlineStr">
        <is>
          <t>smallcap</t>
        </is>
      </c>
      <c r="H263" s="32" t="n">
        <v>1443.48</v>
      </c>
      <c r="I263" s="32" t="n">
        <v>162.47</v>
      </c>
      <c r="J263" s="32" t="n">
        <v>-1.37</v>
      </c>
      <c r="K263" s="32" t="n">
        <v>378222</v>
      </c>
      <c r="L263" s="31" t="n">
        <v>83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79.34999999999999</v>
      </c>
      <c r="P263" s="32" t="n">
        <v>67.92</v>
      </c>
      <c r="Q263" s="32" t="n">
        <v>135.25</v>
      </c>
      <c r="R263" s="31" t="inlineStr">
        <is>
          <t>Near 52W High Breakout</t>
        </is>
      </c>
      <c r="S263" s="31" t="inlineStr">
        <is>
          <t>Nifty 50</t>
        </is>
      </c>
      <c r="T263" s="32" t="n">
        <v>-2.88</v>
      </c>
      <c r="U263" s="32" t="n">
        <v>83.13</v>
      </c>
      <c r="V263" s="32" t="n">
        <v>88.55</v>
      </c>
      <c r="W263" s="32" t="n">
        <v>25.35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Between 12 to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IF(B264=0,"",RANK(B264,$B$2:$B$360,0))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KABRAEXTRU</t>
        </is>
      </c>
      <c r="D264" s="31" t="inlineStr">
        <is>
          <t>Kabra Extrusion Technik Limited</t>
        </is>
      </c>
      <c r="E264" s="31" t="inlineStr">
        <is>
          <t>industrials</t>
        </is>
      </c>
      <c r="F264" s="31" t="inlineStr">
        <is>
          <t>engineering</t>
        </is>
      </c>
      <c r="G264" s="31" t="inlineStr">
        <is>
          <t>smallcap</t>
        </is>
      </c>
      <c r="H264" s="32" t="n">
        <v>1820.34</v>
      </c>
      <c r="I264" s="32" t="n">
        <v>509</v>
      </c>
      <c r="J264" s="32" t="n">
        <v>-2.21</v>
      </c>
      <c r="K264" s="32" t="n">
        <v>124007</v>
      </c>
      <c r="L264" s="31" t="inlineStr"/>
      <c r="M264" s="31" t="inlineStr"/>
      <c r="N264" s="32">
        <f>IF(M264="Underperforming",-5,IF(L264&gt;=95,15,IF(L264&gt;=90,10,IF(L264&gt;=80,5,0))))</f>
        <v/>
      </c>
      <c r="O264" s="32" t="n">
        <v>85.44</v>
      </c>
      <c r="P264" s="32" t="n">
        <v>39.04</v>
      </c>
      <c r="Q264" s="32" t="n">
        <v>400.36</v>
      </c>
      <c r="R264" s="31" t="inlineStr">
        <is>
          <t>Near 52W High Breakout</t>
        </is>
      </c>
      <c r="S264" s="31" t="inlineStr">
        <is>
          <t>Nifty Infra</t>
        </is>
      </c>
      <c r="T264" s="32" t="inlineStr"/>
      <c r="U264" s="32" t="inlineStr"/>
      <c r="V264" s="32" t="inlineStr"/>
      <c r="W264" s="32" t="inlineStr"/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Above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IF(B265=0,"",RANK(B265,$B$2:$B$360,0))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AARTIPHARM</t>
        </is>
      </c>
      <c r="D265" s="33" t="inlineStr">
        <is>
          <t>Aarti Pharmalabs Ltd</t>
        </is>
      </c>
      <c r="E265" s="31" t="inlineStr">
        <is>
          <t>healthcare</t>
        </is>
      </c>
      <c r="F265" s="31" t="inlineStr">
        <is>
          <t>pharmaceuticals - indian - bulk drugs &amp; formln</t>
        </is>
      </c>
      <c r="G265" s="31" t="inlineStr">
        <is>
          <t>midcap</t>
        </is>
      </c>
      <c r="H265" s="32" t="n">
        <v>7816.15</v>
      </c>
      <c r="I265" s="32" t="n">
        <v>874.55</v>
      </c>
      <c r="J265" s="32" t="n">
        <v>1.46</v>
      </c>
      <c r="K265" s="32" t="n">
        <v>316830</v>
      </c>
      <c r="L265" s="31" t="n">
        <v>26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68.02</v>
      </c>
      <c r="P265" s="32" t="n">
        <v>13.23</v>
      </c>
      <c r="Q265" s="32" t="n">
        <v>674.78</v>
      </c>
      <c r="R265" s="31" t="inlineStr">
        <is>
          <t>Earnings / Momentum Support</t>
        </is>
      </c>
      <c r="S265" s="31" t="inlineStr">
        <is>
          <t>Nifty Pharma</t>
        </is>
      </c>
      <c r="T265" s="32" t="n">
        <v>18.4</v>
      </c>
      <c r="U265" s="32" t="n">
        <v>1.8</v>
      </c>
      <c r="V265" s="32" t="n">
        <v>-14.02</v>
      </c>
      <c r="W265" s="32" t="n">
        <v>5.77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IF(B266=0,"",RANK(B266,$B$2:$B$360,0))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APOLLOPIPE</t>
        </is>
      </c>
      <c r="D266" s="31" t="inlineStr">
        <is>
          <t>Apollo Pipes Ltd</t>
        </is>
      </c>
      <c r="E266" s="31" t="inlineStr">
        <is>
          <t>plastic products</t>
        </is>
      </c>
      <c r="F266" s="31" t="inlineStr">
        <is>
          <t>plastics products</t>
        </is>
      </c>
      <c r="G266" s="31" t="inlineStr">
        <is>
          <t>smallcap</t>
        </is>
      </c>
      <c r="H266" s="32" t="n">
        <v>2401.95</v>
      </c>
      <c r="I266" s="32" t="n">
        <v>551.3</v>
      </c>
      <c r="J266" s="32" t="n">
        <v>1.1</v>
      </c>
      <c r="K266" s="32" t="n">
        <v>368155</v>
      </c>
      <c r="L266" s="31" t="n">
        <v>48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70.37</v>
      </c>
      <c r="P266" s="32" t="n">
        <v>44.49</v>
      </c>
      <c r="Q266" s="32" t="n">
        <v>427.56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-2.88</v>
      </c>
      <c r="U266" s="32" t="n">
        <v>36.89</v>
      </c>
      <c r="V266" s="32" t="n">
        <v>40.94</v>
      </c>
      <c r="W266" s="32" t="n">
        <v>10.82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Oligopoly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B2C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Fully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Above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Yes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IF(B267=0,"",RANK(B267,$B$2:$B$360,0))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TI</t>
        </is>
      </c>
      <c r="D267" s="31" t="inlineStr">
        <is>
          <t>Tilaknagar Industries Limited</t>
        </is>
      </c>
      <c r="E267" s="31" t="inlineStr">
        <is>
          <t>fmcg</t>
        </is>
      </c>
      <c r="F267" s="31" t="inlineStr">
        <is>
          <t>breweries &amp; distilleries</t>
        </is>
      </c>
      <c r="G267" s="31" t="inlineStr">
        <is>
          <t>midcap</t>
        </is>
      </c>
      <c r="H267" s="32" t="n">
        <v>14367.1</v>
      </c>
      <c r="I267" s="32" t="n">
        <v>582.8</v>
      </c>
      <c r="J267" s="32" t="n">
        <v>0.39</v>
      </c>
      <c r="K267" s="32" t="n">
        <v>917349</v>
      </c>
      <c r="L267" s="31" t="n">
        <v>44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74.26000000000001</v>
      </c>
      <c r="P267" s="32" t="n">
        <v>13.65</v>
      </c>
      <c r="Q267" s="32" t="n">
        <v>474.31</v>
      </c>
      <c r="R267" s="31" t="inlineStr">
        <is>
          <t>Near 52W High Breakout</t>
        </is>
      </c>
      <c r="S267" s="31" t="inlineStr">
        <is>
          <t>Nifty FMCG</t>
        </is>
      </c>
      <c r="T267" s="32" t="n">
        <v>-12.54</v>
      </c>
      <c r="U267" s="32" t="n">
        <v>17.42</v>
      </c>
      <c r="V267" s="32" t="n">
        <v>34.26</v>
      </c>
      <c r="W267" s="32" t="n">
        <v>10.1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IF(B268=0,"",RANK(B268,$B$2:$B$360,0))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MMP</t>
        </is>
      </c>
      <c r="D268" s="31" t="inlineStr">
        <is>
          <t>MMP Industries Ltd</t>
        </is>
      </c>
      <c r="E268" s="31" t="inlineStr">
        <is>
          <t>metals &amp; mining</t>
        </is>
      </c>
      <c r="F268" s="31" t="inlineStr">
        <is>
          <t>aluminium and aluminium products</t>
        </is>
      </c>
      <c r="G268" s="31" t="inlineStr">
        <is>
          <t>smallcap</t>
        </is>
      </c>
      <c r="H268" s="32" t="n">
        <v>662.23</v>
      </c>
      <c r="I268" s="32" t="n">
        <v>379.8</v>
      </c>
      <c r="J268" s="32" t="n">
        <v>8.51</v>
      </c>
      <c r="K268" s="32" t="n">
        <v>191409</v>
      </c>
      <c r="L268" s="31" t="n">
        <v>72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76.23</v>
      </c>
      <c r="P268" s="32" t="n">
        <v>39.97</v>
      </c>
      <c r="Q268" s="32" t="n">
        <v>290.29</v>
      </c>
      <c r="R268" s="31" t="inlineStr">
        <is>
          <t>Near 52W High Breakout</t>
        </is>
      </c>
      <c r="S268" s="31" t="inlineStr">
        <is>
          <t>Nifty Metal</t>
        </is>
      </c>
      <c r="T268" s="32" t="n">
        <v>38.2</v>
      </c>
      <c r="U268" s="32" t="n">
        <v>39.39</v>
      </c>
      <c r="V268" s="32" t="n">
        <v>0.86</v>
      </c>
      <c r="W268" s="32" t="n">
        <v>18.71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Above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IF(B269=0,"",RANK(B269,$B$2:$B$360,0))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RBA</t>
        </is>
      </c>
      <c r="D269" s="31" t="inlineStr">
        <is>
          <t>Restaurant Brands Asia Ltd</t>
        </is>
      </c>
      <c r="E269" s="31" t="inlineStr">
        <is>
          <t>consumer discretionary</t>
        </is>
      </c>
      <c r="F269" s="31" t="inlineStr">
        <is>
          <t>hotels</t>
        </is>
      </c>
      <c r="G269" s="31" t="inlineStr">
        <is>
          <t>midcap</t>
        </is>
      </c>
      <c r="H269" s="32" t="n">
        <v>7088.01</v>
      </c>
      <c r="I269" s="32" t="n">
        <v>106.34</v>
      </c>
      <c r="J269" s="32" t="n">
        <v>6.78</v>
      </c>
      <c r="K269" s="32" t="n">
        <v>17134006</v>
      </c>
      <c r="L269" s="31" t="n">
        <v>74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78.28</v>
      </c>
      <c r="P269" s="32" t="n">
        <v>31.75</v>
      </c>
      <c r="Q269" s="32" t="n">
        <v>85.09999999999999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-2.88</v>
      </c>
      <c r="U269" s="32" t="n">
        <v>32.64</v>
      </c>
      <c r="V269" s="32" t="n">
        <v>36.57</v>
      </c>
      <c r="W269" s="32" t="n">
        <v>20.12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Above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IF(B270=0,"",RANK(B270,$B$2:$B$360,0))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DEEPINDS</t>
        </is>
      </c>
      <c r="D270" s="31" t="inlineStr">
        <is>
          <t>Deep Industries Ltd</t>
        </is>
      </c>
      <c r="E270" s="31" t="inlineStr">
        <is>
          <t>energy</t>
        </is>
      </c>
      <c r="F270" s="31" t="inlineStr">
        <is>
          <t>oil drilling / allied services</t>
        </is>
      </c>
      <c r="G270" s="31" t="inlineStr">
        <is>
          <t>smallcap</t>
        </is>
      </c>
      <c r="H270" s="32" t="n">
        <v>4356.48</v>
      </c>
      <c r="I270" s="32" t="n">
        <v>717.95</v>
      </c>
      <c r="J270" s="32" t="n">
        <v>5.47</v>
      </c>
      <c r="K270" s="32" t="n">
        <v>721273</v>
      </c>
      <c r="L270" s="31" t="n">
        <v>78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78.40000000000001</v>
      </c>
      <c r="P270" s="32" t="n">
        <v>22.99</v>
      </c>
      <c r="Q270" s="32" t="n">
        <v>567.11</v>
      </c>
      <c r="R270" s="31" t="inlineStr">
        <is>
          <t>Near 52W High Breakout</t>
        </is>
      </c>
      <c r="S270" s="31" t="inlineStr">
        <is>
          <t>Nifty Energy</t>
        </is>
      </c>
      <c r="T270" s="32" t="n">
        <v>9.44</v>
      </c>
      <c r="U270" s="32" t="n">
        <v>60.12</v>
      </c>
      <c r="V270" s="32" t="n">
        <v>46.31</v>
      </c>
      <c r="W270" s="32" t="n">
        <v>22.39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Above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IF(B271=0,"",RANK(B271,$B$2:$B$360,0))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RATNAVEER</t>
        </is>
      </c>
      <c r="D271" s="31" t="inlineStr">
        <is>
          <t>Ratnaveer Precision Engineering Ltd</t>
        </is>
      </c>
      <c r="E271" s="31" t="inlineStr">
        <is>
          <t>metals &amp; mining</t>
        </is>
      </c>
      <c r="F271" s="31" t="inlineStr">
        <is>
          <t>steel - medium / small</t>
        </is>
      </c>
      <c r="G271" s="31" t="inlineStr">
        <is>
          <t>smallcap</t>
        </is>
      </c>
      <c r="H271" s="32" t="n">
        <v>1749.03</v>
      </c>
      <c r="I271" s="32" t="n">
        <v>252.19</v>
      </c>
      <c r="J271" s="32" t="n">
        <v>2.99</v>
      </c>
      <c r="K271" s="32" t="n">
        <v>11984494</v>
      </c>
      <c r="L271" s="31" t="n">
        <v>85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76.63</v>
      </c>
      <c r="P271" s="32" t="n">
        <v>50.84</v>
      </c>
      <c r="Q271" s="32" t="n">
        <v>189.39</v>
      </c>
      <c r="R271" s="31" t="inlineStr">
        <is>
          <t>Near 52W High Breakout</t>
        </is>
      </c>
      <c r="S271" s="31" t="inlineStr">
        <is>
          <t>Nifty Metal</t>
        </is>
      </c>
      <c r="T271" s="32" t="n">
        <v>38.2</v>
      </c>
      <c r="U271" s="32" t="n">
        <v>62.56</v>
      </c>
      <c r="V271" s="32" t="n">
        <v>17.63</v>
      </c>
      <c r="W271" s="32" t="n">
        <v>28.39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Volatile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Above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IF(B272=0,"",RANK(B272,$B$2:$B$360,0))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MARINE</t>
        </is>
      </c>
      <c r="D272" s="31" t="inlineStr">
        <is>
          <t>Marine Electricals (India) Ltd</t>
        </is>
      </c>
      <c r="E272" s="31" t="inlineStr">
        <is>
          <t>industrials</t>
        </is>
      </c>
      <c r="F272" s="31" t="inlineStr">
        <is>
          <t>electric equipment</t>
        </is>
      </c>
      <c r="G272" s="31" t="inlineStr">
        <is>
          <t>midcap</t>
        </is>
      </c>
      <c r="H272" s="32" t="n">
        <v>5137.36</v>
      </c>
      <c r="I272" s="32" t="n">
        <v>376.8</v>
      </c>
      <c r="J272" s="32" t="n">
        <v>2.64</v>
      </c>
      <c r="K272" s="32" t="n">
        <v>813579</v>
      </c>
      <c r="L272" s="31" t="n">
        <v>90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76.15000000000001</v>
      </c>
      <c r="P272" s="32" t="n">
        <v>37.18</v>
      </c>
      <c r="Q272" s="32" t="n">
        <v>284.12</v>
      </c>
      <c r="R272" s="31" t="inlineStr">
        <is>
          <t>Near 52W High Breakout</t>
        </is>
      </c>
      <c r="S272" s="31" t="inlineStr">
        <is>
          <t>Nifty 50</t>
        </is>
      </c>
      <c r="T272" s="32" t="n">
        <v>-2.88</v>
      </c>
      <c r="U272" s="32" t="n">
        <v>119.77</v>
      </c>
      <c r="V272" s="32" t="n">
        <v>126.28</v>
      </c>
      <c r="W272" s="32" t="n">
        <v>32.97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Above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Negative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IF(B273=0,"",RANK(B273,$B$2:$B$360,0))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RGL</t>
        </is>
      </c>
      <c r="D273" s="31" t="inlineStr">
        <is>
          <t>Renaissance Global Ltd</t>
        </is>
      </c>
      <c r="E273" s="31" t="inlineStr">
        <is>
          <t>consumer discretionary</t>
        </is>
      </c>
      <c r="F273" s="31" t="inlineStr">
        <is>
          <t>diamond cutting / jewellery</t>
        </is>
      </c>
      <c r="G273" s="31" t="inlineStr">
        <is>
          <t>smallcap</t>
        </is>
      </c>
      <c r="H273" s="32" t="n">
        <v>1308.82</v>
      </c>
      <c r="I273" s="32" t="n">
        <v>124.9</v>
      </c>
      <c r="J273" s="32" t="n">
        <v>2.46</v>
      </c>
      <c r="K273" s="32" t="n">
        <v>434403</v>
      </c>
      <c r="L273" s="31" t="n">
        <v>33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59.44</v>
      </c>
      <c r="P273" s="32" t="n">
        <v>15.18</v>
      </c>
      <c r="Q273" s="32" t="n">
        <v>92.54000000000001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-2.88</v>
      </c>
      <c r="U273" s="32" t="n">
        <v>8.890000000000001</v>
      </c>
      <c r="V273" s="32" t="n">
        <v>12.12</v>
      </c>
      <c r="W273" s="32" t="n">
        <v>7.39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IF(B274=0,"",RANK(B274,$B$2:$B$360,0))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PRINCEPIPE</t>
        </is>
      </c>
      <c r="D274" s="31" t="inlineStr">
        <is>
          <t>Prince Pipes &amp; Fittings Ltd</t>
        </is>
      </c>
      <c r="E274" s="31" t="inlineStr">
        <is>
          <t>plastic products</t>
        </is>
      </c>
      <c r="F274" s="31" t="inlineStr">
        <is>
          <t>plastics products</t>
        </is>
      </c>
      <c r="G274" s="31" t="inlineStr">
        <is>
          <t>smallcap</t>
        </is>
      </c>
      <c r="H274" s="32" t="n">
        <v>3142.7</v>
      </c>
      <c r="I274" s="32" t="n">
        <v>289.75</v>
      </c>
      <c r="J274" s="32" t="n">
        <v>1.93</v>
      </c>
      <c r="K274" s="32" t="n">
        <v>278635</v>
      </c>
      <c r="L274" s="31" t="inlineStr"/>
      <c r="M274" s="31" t="inlineStr"/>
      <c r="N274" s="32">
        <f>IF(M274="Underperforming",-5,IF(L274&gt;=95,15,IF(L274&gt;=90,10,IF(L274&gt;=80,5,0))))</f>
        <v/>
      </c>
      <c r="O274" s="32" t="n">
        <v>59.92</v>
      </c>
      <c r="P274" s="32" t="n">
        <v>19.38</v>
      </c>
      <c r="Q274" s="32" t="n">
        <v>229.48</v>
      </c>
      <c r="R274" s="31" t="inlineStr">
        <is>
          <t>Earnings / Momentum Support</t>
        </is>
      </c>
      <c r="S274" s="31" t="inlineStr">
        <is>
          <t>Nifty Infra</t>
        </is>
      </c>
      <c r="T274" s="32" t="inlineStr"/>
      <c r="U274" s="32" t="inlineStr"/>
      <c r="V274" s="32" t="inlineStr"/>
      <c r="W274" s="32" t="inlineStr"/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IF(B275=0,"",RANK(B275,$B$2:$B$360,0))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RAMRAT</t>
        </is>
      </c>
      <c r="D275" s="33" t="inlineStr">
        <is>
          <t>Ram Ratna Wires Ltd</t>
        </is>
      </c>
      <c r="E275" s="31" t="inlineStr">
        <is>
          <t>metals &amp; mining</t>
        </is>
      </c>
      <c r="F275" s="31" t="inlineStr">
        <is>
          <t>mining / minerals / metals</t>
        </is>
      </c>
      <c r="G275" s="31" t="inlineStr">
        <is>
          <t>smallcap</t>
        </is>
      </c>
      <c r="H275" s="32" t="n">
        <v>4364.07</v>
      </c>
      <c r="I275" s="32" t="n">
        <v>475.8</v>
      </c>
      <c r="J275" s="32" t="n">
        <v>1.78</v>
      </c>
      <c r="K275" s="32" t="n">
        <v>158032</v>
      </c>
      <c r="L275" s="31" t="n">
        <v>53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68.84999999999999</v>
      </c>
      <c r="P275" s="32" t="n">
        <v>42.22</v>
      </c>
      <c r="Q275" s="32" t="n">
        <v>356.48</v>
      </c>
      <c r="R275" s="31" t="inlineStr">
        <is>
          <t>Near 52W High Breakout</t>
        </is>
      </c>
      <c r="S275" s="31" t="inlineStr">
        <is>
          <t>Nifty Metal</t>
        </is>
      </c>
      <c r="T275" s="32" t="n">
        <v>38.2</v>
      </c>
      <c r="U275" s="32" t="n">
        <v>35.84</v>
      </c>
      <c r="V275" s="32" t="n">
        <v>-1.71</v>
      </c>
      <c r="W275" s="32" t="n">
        <v>12.4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Above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IF(B276=0,"",RANK(B276,$B$2:$B$360,0))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QPOWER</t>
        </is>
      </c>
      <c r="D276" s="31" t="inlineStr">
        <is>
          <t>Quality Power Electrical Equipments Ltd</t>
        </is>
      </c>
      <c r="E276" s="31" t="inlineStr">
        <is>
          <t>industrials</t>
        </is>
      </c>
      <c r="F276" s="31" t="inlineStr">
        <is>
          <t>electric equipment</t>
        </is>
      </c>
      <c r="G276" s="31" t="inlineStr">
        <is>
          <t>midcap</t>
        </is>
      </c>
      <c r="H276" s="32" t="n">
        <v>10087.87</v>
      </c>
      <c r="I276" s="32" t="n">
        <v>1325.1</v>
      </c>
      <c r="J276" s="32" t="n">
        <v>1.73</v>
      </c>
      <c r="K276" s="32" t="n">
        <v>369802</v>
      </c>
      <c r="L276" s="31" t="n">
        <v>62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61.75</v>
      </c>
      <c r="P276" s="32" t="n">
        <v>13.79</v>
      </c>
      <c r="Q276" s="32" t="n">
        <v>933.1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-2.88</v>
      </c>
      <c r="U276" s="32" t="n">
        <v>68.20999999999999</v>
      </c>
      <c r="V276" s="32" t="n">
        <v>73.19</v>
      </c>
      <c r="W276" s="32" t="n">
        <v>15.06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IF(B277=0,"",RANK(B277,$B$2:$B$360,0))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ENDURANCE</t>
        </is>
      </c>
      <c r="D277" s="31" t="inlineStr">
        <is>
          <t>Endurance Technologies Limited</t>
        </is>
      </c>
      <c r="E277" s="31" t="inlineStr">
        <is>
          <t>auto</t>
        </is>
      </c>
      <c r="F277" s="31" t="inlineStr">
        <is>
          <t>auto ancillaries</t>
        </is>
      </c>
      <c r="G277" s="31" t="inlineStr">
        <is>
          <t>largecap</t>
        </is>
      </c>
      <c r="H277" s="32" t="n">
        <v>41892.21</v>
      </c>
      <c r="I277" s="32" t="n">
        <v>3018.3</v>
      </c>
      <c r="J277" s="32" t="n">
        <v>1.35</v>
      </c>
      <c r="K277" s="32" t="n">
        <v>130419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66.81</v>
      </c>
      <c r="P277" s="32" t="n">
        <v>18.41</v>
      </c>
      <c r="Q277" s="32" t="n">
        <v>2472.49</v>
      </c>
      <c r="R277" s="31" t="inlineStr">
        <is>
          <t>Near 52W High Breakout</t>
        </is>
      </c>
      <c r="S277" s="31" t="inlineStr">
        <is>
          <t>Nifty Auto</t>
        </is>
      </c>
      <c r="T277" s="32" t="inlineStr"/>
      <c r="U277" s="32" t="inlineStr"/>
      <c r="V277" s="32" t="inlineStr"/>
      <c r="W277" s="32" t="inlineStr"/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IF(B278=0,"",RANK(B278,$B$2:$B$360,0))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GANESHHOU</t>
        </is>
      </c>
      <c r="D278" s="31" t="inlineStr">
        <is>
          <t>Ganesh Housing Ltd</t>
        </is>
      </c>
      <c r="E278" s="31" t="inlineStr">
        <is>
          <t>realty</t>
        </is>
      </c>
      <c r="F278" s="31" t="inlineStr">
        <is>
          <t>construction</t>
        </is>
      </c>
      <c r="G278" s="31" t="inlineStr">
        <is>
          <t>midcap</t>
        </is>
      </c>
      <c r="H278" s="32" t="n">
        <v>6987.84</v>
      </c>
      <c r="I278" s="32" t="n">
        <v>846</v>
      </c>
      <c r="J278" s="32" t="n">
        <v>0.95</v>
      </c>
      <c r="K278" s="32" t="n">
        <v>38097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60.12</v>
      </c>
      <c r="P278" s="32" t="n">
        <v>19.23</v>
      </c>
      <c r="Q278" s="32" t="n">
        <v>670.27</v>
      </c>
      <c r="R278" s="31" t="inlineStr">
        <is>
          <t>Near 52W High Breakout</t>
        </is>
      </c>
      <c r="S278" s="31" t="inlineStr">
        <is>
          <t>Nifty Realty</t>
        </is>
      </c>
      <c r="T278" s="32" t="inlineStr"/>
      <c r="U278" s="32" t="inlineStr"/>
      <c r="V278" s="32" t="inlineStr"/>
      <c r="W278" s="32" t="inlineStr"/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IF(B279=0,"",RANK(B279,$B$2:$B$360,0))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UNOMINDA</t>
        </is>
      </c>
      <c r="D279" s="31" t="inlineStr">
        <is>
          <t>Uno Minda Ltd</t>
        </is>
      </c>
      <c r="E279" s="31" t="inlineStr">
        <is>
          <t>auto</t>
        </is>
      </c>
      <c r="F279" s="31" t="inlineStr">
        <is>
          <t>auto ancillaries</t>
        </is>
      </c>
      <c r="G279" s="31" t="inlineStr">
        <is>
          <t>largecap</t>
        </is>
      </c>
      <c r="H279" s="32" t="n">
        <v>73332.56</v>
      </c>
      <c r="I279" s="32" t="n">
        <v>1273</v>
      </c>
      <c r="J279" s="32" t="n">
        <v>0.24</v>
      </c>
      <c r="K279" s="32" t="n">
        <v>887630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61.12</v>
      </c>
      <c r="P279" s="32" t="n">
        <v>19.32</v>
      </c>
      <c r="Q279" s="32" t="n">
        <v>1057.27</v>
      </c>
      <c r="R279" s="31" t="inlineStr">
        <is>
          <t>Near 52W High Breakout</t>
        </is>
      </c>
      <c r="S279" s="31" t="inlineStr">
        <is>
          <t>Nifty Auto</t>
        </is>
      </c>
      <c r="T279" s="32" t="inlineStr"/>
      <c r="U279" s="32" t="inlineStr"/>
      <c r="V279" s="32" t="inlineStr"/>
      <c r="W279" s="32" t="inlineStr"/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IF(B280=0,"",RANK(B280,$B$2:$B$360,0))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NATIONALUM</t>
        </is>
      </c>
      <c r="D280" s="31" t="inlineStr">
        <is>
          <t>National Aluminium Company Limited</t>
        </is>
      </c>
      <c r="E280" s="31" t="inlineStr">
        <is>
          <t>metals &amp; mining</t>
        </is>
      </c>
      <c r="F280" s="31" t="inlineStr">
        <is>
          <t>aluminium and aluminium products</t>
        </is>
      </c>
      <c r="G280" s="31" t="inlineStr">
        <is>
          <t>largecap</t>
        </is>
      </c>
      <c r="H280" s="32" t="n">
        <v>71178.66</v>
      </c>
      <c r="I280" s="32" t="n">
        <v>388</v>
      </c>
      <c r="J280" s="32" t="n">
        <v>0.12</v>
      </c>
      <c r="K280" s="32" t="n">
        <v>8262664</v>
      </c>
      <c r="L280" s="31" t="n">
        <v>66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57.03</v>
      </c>
      <c r="P280" s="32" t="n">
        <v>24.58</v>
      </c>
      <c r="Q280" s="32" t="n">
        <v>334.49</v>
      </c>
      <c r="R280" s="31" t="inlineStr">
        <is>
          <t>Earnings / Momentum Support</t>
        </is>
      </c>
      <c r="S280" s="31" t="inlineStr">
        <is>
          <t>Nifty Metal</t>
        </is>
      </c>
      <c r="T280" s="32" t="n">
        <v>38.2</v>
      </c>
      <c r="U280" s="32" t="n">
        <v>109.4</v>
      </c>
      <c r="V280" s="32" t="n">
        <v>51.52</v>
      </c>
      <c r="W280" s="32" t="n">
        <v>16.11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IF(B281=0,"",RANK(B281,$B$2:$B$360,0))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DEEPAKNTR</t>
        </is>
      </c>
      <c r="D281" s="31" t="inlineStr">
        <is>
          <t>Deepak Nitrite Limited</t>
        </is>
      </c>
      <c r="E281" s="31" t="inlineStr">
        <is>
          <t>chemicals</t>
        </is>
      </c>
      <c r="F281" s="31" t="inlineStr">
        <is>
          <t>chemicals</t>
        </is>
      </c>
      <c r="G281" s="31" t="inlineStr">
        <is>
          <t>largecap</t>
        </is>
      </c>
      <c r="H281" s="32" t="n">
        <v>24284.78</v>
      </c>
      <c r="I281" s="32" t="n">
        <v>1771</v>
      </c>
      <c r="J281" s="32" t="n">
        <v>-0.53</v>
      </c>
      <c r="K281" s="32" t="n">
        <v>229384</v>
      </c>
      <c r="L281" s="31" t="n">
        <v>7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56.78</v>
      </c>
      <c r="P281" s="32" t="n">
        <v>13.94</v>
      </c>
      <c r="Q281" s="32" t="n">
        <v>1464.53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-2.88</v>
      </c>
      <c r="U281" s="32" t="n">
        <v>-1.45</v>
      </c>
      <c r="V281" s="32" t="n">
        <v>1.47</v>
      </c>
      <c r="W281" s="32" t="n">
        <v>0.3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IF(B282=0,"",RANK(B282,$B$2:$B$360,0))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BASF</t>
        </is>
      </c>
      <c r="D282" s="31" t="inlineStr">
        <is>
          <t>Basf India Limited</t>
        </is>
      </c>
      <c r="E282" s="31" t="inlineStr">
        <is>
          <t>chemicals</t>
        </is>
      </c>
      <c r="F282" s="31" t="inlineStr">
        <is>
          <t>chemicals</t>
        </is>
      </c>
      <c r="G282" s="31" t="inlineStr">
        <is>
          <t>midcap</t>
        </is>
      </c>
      <c r="H282" s="32" t="n">
        <v>17492.59</v>
      </c>
      <c r="I282" s="32" t="n">
        <v>3979.8</v>
      </c>
      <c r="J282" s="32" t="n">
        <v>-1.52</v>
      </c>
      <c r="K282" s="32" t="n">
        <v>30797</v>
      </c>
      <c r="L282" s="31" t="n">
        <v>9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58.04</v>
      </c>
      <c r="P282" s="32" t="n">
        <v>17.06</v>
      </c>
      <c r="Q282" s="32" t="n">
        <v>3303.39</v>
      </c>
      <c r="R282" s="31" t="inlineStr">
        <is>
          <t>Earnings / Momentum Support</t>
        </is>
      </c>
      <c r="S282" s="31" t="inlineStr">
        <is>
          <t>Nifty IT</t>
        </is>
      </c>
      <c r="T282" s="32" t="n">
        <v>-14.75</v>
      </c>
      <c r="U282" s="32" t="n">
        <v>-12.93</v>
      </c>
      <c r="V282" s="32" t="n">
        <v>2.13</v>
      </c>
      <c r="W282" s="32" t="n">
        <v>0.82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IF(B283=0,"",RANK(B283,$B$2:$B$360,0))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LUMAXTECH</t>
        </is>
      </c>
      <c r="D283" s="31" t="inlineStr">
        <is>
          <t>Lumax Auto Technologies Limited</t>
        </is>
      </c>
      <c r="E283" s="31" t="inlineStr">
        <is>
          <t>auto</t>
        </is>
      </c>
      <c r="F283" s="31" t="inlineStr">
        <is>
          <t>auto ancillaries</t>
        </is>
      </c>
      <c r="G283" s="31" t="inlineStr">
        <is>
          <t>midcap</t>
        </is>
      </c>
      <c r="H283" s="32" t="n">
        <v>13965.51</v>
      </c>
      <c r="I283" s="32" t="n">
        <v>2014.7</v>
      </c>
      <c r="J283" s="32" t="n">
        <v>-1.67</v>
      </c>
      <c r="K283" s="32" t="n">
        <v>101260</v>
      </c>
      <c r="L283" s="31" t="inlineStr"/>
      <c r="M283" s="31" t="inlineStr"/>
      <c r="N283" s="32">
        <f>IF(M283="Underperforming",-5,IF(L283&gt;=95,15,IF(L283&gt;=90,10,IF(L283&gt;=80,5,0))))</f>
        <v/>
      </c>
      <c r="O283" s="32" t="n">
        <v>67.04000000000001</v>
      </c>
      <c r="P283" s="32" t="n">
        <v>16.31</v>
      </c>
      <c r="Q283" s="32" t="n">
        <v>1536.57</v>
      </c>
      <c r="R283" s="31" t="inlineStr">
        <is>
          <t>Near 52W High Breakout</t>
        </is>
      </c>
      <c r="S283" s="31" t="inlineStr">
        <is>
          <t>Nifty Auto</t>
        </is>
      </c>
      <c r="T283" s="32" t="inlineStr"/>
      <c r="U283" s="32" t="inlineStr"/>
      <c r="V283" s="32" t="inlineStr"/>
      <c r="W283" s="32" t="inlineStr"/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IF(B284=0,"",RANK(B284,$B$2:$B$360,0))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PTCIL</t>
        </is>
      </c>
      <c r="D284" s="31" t="inlineStr">
        <is>
          <t>PTC Industries Ltd</t>
        </is>
      </c>
      <c r="E284" s="31" t="inlineStr">
        <is>
          <t>industrials</t>
        </is>
      </c>
      <c r="F284" s="31" t="inlineStr">
        <is>
          <t>castings &amp; forgings</t>
        </is>
      </c>
      <c r="G284" s="31" t="inlineStr">
        <is>
          <t>largecap</t>
        </is>
      </c>
      <c r="H284" s="32" t="n">
        <v>30860.66</v>
      </c>
      <c r="I284" s="32" t="n">
        <v>19791</v>
      </c>
      <c r="J284" s="32" t="n">
        <v>-3.85</v>
      </c>
      <c r="K284" s="32" t="n">
        <v>64775</v>
      </c>
      <c r="L284" s="31" t="n">
        <v>56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65.55</v>
      </c>
      <c r="P284" s="32" t="n">
        <v>22.37</v>
      </c>
      <c r="Q284" s="32" t="n">
        <v>15954.98</v>
      </c>
      <c r="R284" s="31" t="inlineStr">
        <is>
          <t>Volume Spike &amp; Near 52W High Breakout</t>
        </is>
      </c>
      <c r="S284" s="31" t="inlineStr">
        <is>
          <t>Nifty 50</t>
        </is>
      </c>
      <c r="T284" s="32" t="n">
        <v>-2.88</v>
      </c>
      <c r="U284" s="32" t="n">
        <v>43.79</v>
      </c>
      <c r="V284" s="32" t="n">
        <v>48.05</v>
      </c>
      <c r="W284" s="32" t="n">
        <v>13.39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IF(B285=0,"",RANK(B285,$B$2:$B$360,0))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AARTISURF</t>
        </is>
      </c>
      <c r="D285" s="31" t="inlineStr">
        <is>
          <t>Aarti Surfactants Ltd</t>
        </is>
      </c>
      <c r="E285" s="31" t="inlineStr">
        <is>
          <t>chemicals</t>
        </is>
      </c>
      <c r="F285" s="31" t="inlineStr">
        <is>
          <t>chemicals</t>
        </is>
      </c>
      <c r="G285" s="31" t="inlineStr">
        <is>
          <t>smallcap</t>
        </is>
      </c>
      <c r="H285" s="32" t="n">
        <v>529.98</v>
      </c>
      <c r="I285" s="32" t="n">
        <v>594.4</v>
      </c>
      <c r="J285" s="32" t="n">
        <v>-4.99</v>
      </c>
      <c r="K285" s="32" t="n">
        <v>7065</v>
      </c>
      <c r="L285" s="31" t="n">
        <v>70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68.15000000000001</v>
      </c>
      <c r="P285" s="32" t="n">
        <v>17.98</v>
      </c>
      <c r="Q285" s="32" t="n">
        <v>495.68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-2.88</v>
      </c>
      <c r="U285" s="32" t="n">
        <v>25.59</v>
      </c>
      <c r="V285" s="32" t="n">
        <v>29.31</v>
      </c>
      <c r="W285" s="32" t="n">
        <v>18.05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IF(B286=0,"",RANK(B286,$B$2:$B$360,0))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UTTAMSUGAR</t>
        </is>
      </c>
      <c r="D286" s="31" t="inlineStr">
        <is>
          <t>Uttam Sugar Mills Limited</t>
        </is>
      </c>
      <c r="E286" s="31" t="inlineStr">
        <is>
          <t>fmcg</t>
        </is>
      </c>
      <c r="F286" s="31" t="inlineStr">
        <is>
          <t>sugar</t>
        </is>
      </c>
      <c r="G286" s="31" t="inlineStr">
        <is>
          <t>smallcap</t>
        </is>
      </c>
      <c r="H286" s="32" t="n">
        <v>1079.31</v>
      </c>
      <c r="I286" s="32" t="n">
        <v>290.32</v>
      </c>
      <c r="J286" s="32" t="n">
        <v>2.59</v>
      </c>
      <c r="K286" s="32" t="n">
        <v>559831</v>
      </c>
      <c r="L286" s="31" t="n">
        <v>23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66.53</v>
      </c>
      <c r="P286" s="32" t="n">
        <v>14.04</v>
      </c>
      <c r="Q286" s="32" t="n">
        <v>218.17</v>
      </c>
      <c r="R286" s="31" t="inlineStr">
        <is>
          <t>Volume Spike &amp; Near 52W High Breakout</t>
        </is>
      </c>
      <c r="S286" s="31" t="inlineStr">
        <is>
          <t>Nifty FMCG</t>
        </is>
      </c>
      <c r="T286" s="32" t="n">
        <v>-12.54</v>
      </c>
      <c r="U286" s="32" t="n">
        <v>8.970000000000001</v>
      </c>
      <c r="V286" s="32" t="n">
        <v>24.6</v>
      </c>
      <c r="W286" s="32" t="n">
        <v>5.03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B2C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IF(B287=0,"",RANK(B287,$B$2:$B$360,0))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BECTORFOOD</t>
        </is>
      </c>
      <c r="D287" s="33" t="inlineStr">
        <is>
          <t>Mrs Bectors Food Specialities Ltd</t>
        </is>
      </c>
      <c r="E287" s="31" t="inlineStr">
        <is>
          <t>fmcg</t>
        </is>
      </c>
      <c r="F287" s="31" t="inlineStr">
        <is>
          <t>food - processing - indian</t>
        </is>
      </c>
      <c r="G287" s="31" t="inlineStr">
        <is>
          <t>midcap</t>
        </is>
      </c>
      <c r="H287" s="32" t="n">
        <v>7837.47</v>
      </c>
      <c r="I287" s="32" t="n">
        <v>260.92</v>
      </c>
      <c r="J287" s="32" t="n">
        <v>2.2</v>
      </c>
      <c r="K287" s="32" t="n">
        <v>2984615</v>
      </c>
      <c r="L287" s="31" t="n">
        <v>23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70.56999999999999</v>
      </c>
      <c r="P287" s="32" t="n">
        <v>17.78</v>
      </c>
      <c r="Q287" s="32" t="n">
        <v>203.43</v>
      </c>
      <c r="R287" s="31" t="inlineStr">
        <is>
          <t>Earnings / Momentum Support</t>
        </is>
      </c>
      <c r="S287" s="31" t="inlineStr">
        <is>
          <t>Nifty FMCG</t>
        </is>
      </c>
      <c r="T287" s="32" t="n">
        <v>-12.54</v>
      </c>
      <c r="U287" s="32" t="n">
        <v>-13.83</v>
      </c>
      <c r="V287" s="32" t="n">
        <v>-1.47</v>
      </c>
      <c r="W287" s="32" t="n">
        <v>5.45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B2C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IF(B288=0,"",RANK(B288,$B$2:$B$360,0))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APLAPOLLO</t>
        </is>
      </c>
      <c r="D288" s="33" t="inlineStr">
        <is>
          <t>Apl Apollo Tubes Limited</t>
        </is>
      </c>
      <c r="E288" s="31" t="inlineStr">
        <is>
          <t>industrials</t>
        </is>
      </c>
      <c r="F288" s="31" t="inlineStr">
        <is>
          <t>steel - large</t>
        </is>
      </c>
      <c r="G288" s="31" t="inlineStr">
        <is>
          <t>largecap</t>
        </is>
      </c>
      <c r="H288" s="32" t="n">
        <v>57789.04</v>
      </c>
      <c r="I288" s="32" t="n">
        <v>2115</v>
      </c>
      <c r="J288" s="32" t="n">
        <v>1.62</v>
      </c>
      <c r="K288" s="32" t="n">
        <v>1229441</v>
      </c>
      <c r="L288" s="31" t="n">
        <v>35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63.63</v>
      </c>
      <c r="P288" s="32" t="n">
        <v>13.44</v>
      </c>
      <c r="Q288" s="32" t="n">
        <v>1790.67</v>
      </c>
      <c r="R288" s="31" t="inlineStr">
        <is>
          <t>Earnings / Momentum Support</t>
        </is>
      </c>
      <c r="S288" s="31" t="inlineStr">
        <is>
          <t>Nifty Metal</t>
        </is>
      </c>
      <c r="T288" s="32" t="n">
        <v>38.2</v>
      </c>
      <c r="U288" s="32" t="n">
        <v>37.54</v>
      </c>
      <c r="V288" s="32" t="n">
        <v>-0.48</v>
      </c>
      <c r="W288" s="32" t="n">
        <v>7.87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B2C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Fully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Above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Yes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Between 1.5 to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IF(B289=0,"",RANK(B289,$B$2:$B$360,0))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PVRINOX</t>
        </is>
      </c>
      <c r="D289" s="31" t="inlineStr">
        <is>
          <t>PVR Inox Ltd</t>
        </is>
      </c>
      <c r="E289" s="31" t="inlineStr">
        <is>
          <t>media</t>
        </is>
      </c>
      <c r="F289" s="31" t="inlineStr">
        <is>
          <t>entertainment / electronic media software</t>
        </is>
      </c>
      <c r="G289" s="31" t="inlineStr">
        <is>
          <t>midcap</t>
        </is>
      </c>
      <c r="H289" s="32" t="n">
        <v>11705.44</v>
      </c>
      <c r="I289" s="32" t="n">
        <v>1198.1</v>
      </c>
      <c r="J289" s="32" t="n">
        <v>0.51</v>
      </c>
      <c r="K289" s="32" t="n">
        <v>463276</v>
      </c>
      <c r="L289" s="31" t="n">
        <v>27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70.86</v>
      </c>
      <c r="P289" s="32" t="n">
        <v>17.83</v>
      </c>
      <c r="Q289" s="32" t="n">
        <v>1008.03</v>
      </c>
      <c r="R289" s="31" t="inlineStr">
        <is>
          <t>Near 52W High Breakout</t>
        </is>
      </c>
      <c r="S289" s="31" t="inlineStr">
        <is>
          <t>Nifty IT</t>
        </is>
      </c>
      <c r="T289" s="32" t="n">
        <v>-14.75</v>
      </c>
      <c r="U289" s="32" t="n">
        <v>6.52</v>
      </c>
      <c r="V289" s="32" t="n">
        <v>24.95</v>
      </c>
      <c r="W289" s="32" t="n">
        <v>6.39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IF(B290=0,"",RANK(B290,$B$2:$B$360,0))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DHAMPURSUG</t>
        </is>
      </c>
      <c r="D290" s="31" t="inlineStr">
        <is>
          <t>Dhampur Sugar Mills Limited</t>
        </is>
      </c>
      <c r="E290" s="31" t="inlineStr">
        <is>
          <t>fmcg</t>
        </is>
      </c>
      <c r="F290" s="31" t="inlineStr">
        <is>
          <t>sugar</t>
        </is>
      </c>
      <c r="G290" s="31" t="inlineStr">
        <is>
          <t>smallcap</t>
        </is>
      </c>
      <c r="H290" s="32" t="n">
        <v>1098.81</v>
      </c>
      <c r="I290" s="32" t="n">
        <v>168.65</v>
      </c>
      <c r="J290" s="32" t="n">
        <v>-1.3</v>
      </c>
      <c r="K290" s="32" t="n">
        <v>1604098</v>
      </c>
      <c r="L290" s="31" t="n">
        <v>37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70.33</v>
      </c>
      <c r="P290" s="32" t="n">
        <v>15.79</v>
      </c>
      <c r="Q290" s="32" t="n">
        <v>131.67</v>
      </c>
      <c r="R290" s="31" t="inlineStr">
        <is>
          <t>Volume Spike &amp; Near 52W High Breakout</t>
        </is>
      </c>
      <c r="S290" s="31" t="inlineStr">
        <is>
          <t>Nifty FMCG</t>
        </is>
      </c>
      <c r="T290" s="32" t="n">
        <v>-12.54</v>
      </c>
      <c r="U290" s="32" t="n">
        <v>17.58</v>
      </c>
      <c r="V290" s="32" t="n">
        <v>34.44</v>
      </c>
      <c r="W290" s="32" t="n">
        <v>8.609999999999999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B2C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IF(B291=0,"",RANK(B291,$B$2:$B$360,0))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DOLPHIN</t>
        </is>
      </c>
      <c r="D291" s="31" t="inlineStr">
        <is>
          <t>Dolphin Offshore Enterprises (India) Ltd</t>
        </is>
      </c>
      <c r="E291" s="31" t="inlineStr">
        <is>
          <t>energy</t>
        </is>
      </c>
      <c r="F291" s="31" t="inlineStr">
        <is>
          <t>oil drilling / allied services</t>
        </is>
      </c>
      <c r="G291" s="31" t="inlineStr">
        <is>
          <t>smallcap</t>
        </is>
      </c>
      <c r="H291" s="32" t="n">
        <v>2307.66</v>
      </c>
      <c r="I291" s="32" t="n">
        <v>619.4</v>
      </c>
      <c r="J291" s="32" t="n">
        <v>7.38</v>
      </c>
      <c r="K291" s="32" t="n">
        <v>553661</v>
      </c>
      <c r="L291" s="31" t="n">
        <v>73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80.98999999999999</v>
      </c>
      <c r="P291" s="32" t="n">
        <v>29.95</v>
      </c>
      <c r="Q291" s="32" t="n">
        <v>466.03</v>
      </c>
      <c r="R291" s="31" t="inlineStr">
        <is>
          <t>Volume Spike &amp; Near 52W High Breakout</t>
        </is>
      </c>
      <c r="S291" s="31" t="inlineStr">
        <is>
          <t>Nifty Energy</t>
        </is>
      </c>
      <c r="T291" s="32" t="n">
        <v>9.44</v>
      </c>
      <c r="U291" s="32" t="n">
        <v>40.18</v>
      </c>
      <c r="V291" s="32" t="n">
        <v>28.09</v>
      </c>
      <c r="W291" s="32" t="n">
        <v>19.07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Oligopoly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Yes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Cyclical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Volatile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IF(B292=0,"",RANK(B292,$B$2:$B$360,0))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RITCO</t>
        </is>
      </c>
      <c r="D292" s="31" t="inlineStr">
        <is>
          <t>Ritco Logistics Ltd</t>
        </is>
      </c>
      <c r="E292" s="31" t="inlineStr">
        <is>
          <t>transportation</t>
        </is>
      </c>
      <c r="F292" s="31" t="inlineStr">
        <is>
          <t>miscellaneous</t>
        </is>
      </c>
      <c r="G292" s="31" t="inlineStr">
        <is>
          <t>smallcap</t>
        </is>
      </c>
      <c r="H292" s="32" t="n">
        <v>837.22</v>
      </c>
      <c r="I292" s="32" t="n">
        <v>313</v>
      </c>
      <c r="J292" s="32" t="n">
        <v>7.01</v>
      </c>
      <c r="K292" s="32" t="n">
        <v>381642</v>
      </c>
      <c r="L292" s="31" t="n">
        <v>30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67.15000000000001</v>
      </c>
      <c r="P292" s="32" t="n">
        <v>36.57</v>
      </c>
      <c r="Q292" s="32" t="n">
        <v>235.28</v>
      </c>
      <c r="R292" s="31" t="inlineStr">
        <is>
          <t>Near 52W High Breakout</t>
        </is>
      </c>
      <c r="S292" s="31" t="inlineStr">
        <is>
          <t>Nifty 50</t>
        </is>
      </c>
      <c r="T292" s="32" t="n">
        <v>-2.88</v>
      </c>
      <c r="U292" s="32" t="n">
        <v>11.07</v>
      </c>
      <c r="V292" s="32" t="n">
        <v>14.36</v>
      </c>
      <c r="W292" s="32" t="n">
        <v>6.87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More than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IF(B293=0,"",RANK(B293,$B$2:$B$360,0))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TIIL</t>
        </is>
      </c>
      <c r="D293" s="33" t="inlineStr">
        <is>
          <t>Technocraft Industries (india)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midcap</t>
        </is>
      </c>
      <c r="H293" s="32" t="n">
        <v>7022.22</v>
      </c>
      <c r="I293" s="32" t="n">
        <v>3279.9</v>
      </c>
      <c r="J293" s="32" t="n">
        <v>5.9</v>
      </c>
      <c r="K293" s="32" t="n">
        <v>190168</v>
      </c>
      <c r="L293" s="31" t="n">
        <v>39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75.52</v>
      </c>
      <c r="P293" s="32" t="n">
        <v>29.78</v>
      </c>
      <c r="Q293" s="32" t="n">
        <v>2596.6</v>
      </c>
      <c r="R293" s="31" t="inlineStr">
        <is>
          <t>Volume Spike &amp; Near 52W High Breakout</t>
        </is>
      </c>
      <c r="S293" s="31" t="inlineStr">
        <is>
          <t>Nifty Metal</t>
        </is>
      </c>
      <c r="T293" s="32" t="n">
        <v>38.2</v>
      </c>
      <c r="U293" s="32" t="n">
        <v>-0.41</v>
      </c>
      <c r="V293" s="32" t="n">
        <v>-27.94</v>
      </c>
      <c r="W293" s="32" t="n">
        <v>9.1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IF(B294=0,"",RANK(B294,$B$2:$B$360,0))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DYNAMATECH</t>
        </is>
      </c>
      <c r="D294" s="31" t="inlineStr">
        <is>
          <t>Dynamatic Technologies Limited</t>
        </is>
      </c>
      <c r="E294" s="31" t="inlineStr">
        <is>
          <t>industrials</t>
        </is>
      </c>
      <c r="F294" s="31" t="inlineStr">
        <is>
          <t>engineering</t>
        </is>
      </c>
      <c r="G294" s="31" t="inlineStr">
        <is>
          <t>midcap</t>
        </is>
      </c>
      <c r="H294" s="32" t="n">
        <v>7554.12</v>
      </c>
      <c r="I294" s="32" t="n">
        <v>11770</v>
      </c>
      <c r="J294" s="32" t="n">
        <v>5.82</v>
      </c>
      <c r="K294" s="32" t="n">
        <v>33740</v>
      </c>
      <c r="L294" s="31" t="n">
        <v>59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60.1</v>
      </c>
      <c r="P294" s="32" t="n">
        <v>20.68</v>
      </c>
      <c r="Q294" s="32" t="n">
        <v>8552.799999999999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-2.88</v>
      </c>
      <c r="U294" s="32" t="n">
        <v>80.31</v>
      </c>
      <c r="V294" s="32" t="n">
        <v>85.64</v>
      </c>
      <c r="W294" s="32" t="n">
        <v>14.43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IF(B295=0,"",RANK(B295,$B$2:$B$360,0))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BEML</t>
        </is>
      </c>
      <c r="D295" s="31" t="inlineStr">
        <is>
          <t>Beml Limited</t>
        </is>
      </c>
      <c r="E295" s="31" t="inlineStr">
        <is>
          <t>aerospace &amp; defence</t>
        </is>
      </c>
      <c r="F295" s="31" t="inlineStr">
        <is>
          <t>engineering</t>
        </is>
      </c>
      <c r="G295" s="31" t="inlineStr">
        <is>
          <t>midcap</t>
        </is>
      </c>
      <c r="H295" s="32" t="n">
        <v>15895.71</v>
      </c>
      <c r="I295" s="32" t="n">
        <v>1965.5</v>
      </c>
      <c r="J295" s="32" t="n">
        <v>2.99</v>
      </c>
      <c r="K295" s="32" t="n">
        <v>724005</v>
      </c>
      <c r="L295" s="31" t="n">
        <v>10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60.33</v>
      </c>
      <c r="P295" s="32" t="n">
        <v>11.69</v>
      </c>
      <c r="Q295" s="32" t="n">
        <v>1548.16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-2.88</v>
      </c>
      <c r="U295" s="32" t="n">
        <v>-2.25</v>
      </c>
      <c r="V295" s="32" t="n">
        <v>0.64</v>
      </c>
      <c r="W295" s="32" t="n">
        <v>1.3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IF(B296=0,"",RANK(B296,$B$2:$B$360,0))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NAVINFLUOR</t>
        </is>
      </c>
      <c r="D296" s="31" t="inlineStr">
        <is>
          <t>Navin Fluorine International Limited</t>
        </is>
      </c>
      <c r="E296" s="31" t="inlineStr">
        <is>
          <t>chemicals</t>
        </is>
      </c>
      <c r="F296" s="31" t="inlineStr">
        <is>
          <t>chemicals</t>
        </is>
      </c>
      <c r="G296" s="31" t="inlineStr">
        <is>
          <t>largecap</t>
        </is>
      </c>
      <c r="H296" s="32" t="n">
        <v>41807.42</v>
      </c>
      <c r="I296" s="32" t="n">
        <v>8255</v>
      </c>
      <c r="J296" s="32" t="n">
        <v>1.28</v>
      </c>
      <c r="K296" s="32" t="n">
        <v>107263</v>
      </c>
      <c r="L296" s="31" t="n">
        <v>58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75.61</v>
      </c>
      <c r="P296" s="32" t="n">
        <v>56.87</v>
      </c>
      <c r="Q296" s="32" t="n">
        <v>6894.23</v>
      </c>
      <c r="R296" s="31" t="inlineStr">
        <is>
          <t>Near 52W High Breakout</t>
        </is>
      </c>
      <c r="S296" s="31" t="inlineStr">
        <is>
          <t>Nifty 50</t>
        </is>
      </c>
      <c r="T296" s="32" t="n">
        <v>-2.88</v>
      </c>
      <c r="U296" s="32" t="n">
        <v>64.47</v>
      </c>
      <c r="V296" s="32" t="n">
        <v>69.34</v>
      </c>
      <c r="W296" s="32" t="n">
        <v>13.86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Shallow Cyclical (2 to 3 Years Growth)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Between 50% to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IF(B297=0,"",RANK(B297,$B$2:$B$360,0))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EPL</t>
        </is>
      </c>
      <c r="D297" s="31" t="inlineStr">
        <is>
          <t>EPL Ltd</t>
        </is>
      </c>
      <c r="E297" s="31" t="inlineStr">
        <is>
          <t>industrials</t>
        </is>
      </c>
      <c r="F297" s="31" t="inlineStr">
        <is>
          <t>packaging</t>
        </is>
      </c>
      <c r="G297" s="31" t="inlineStr">
        <is>
          <t>midcap</t>
        </is>
      </c>
      <c r="H297" s="32" t="n">
        <v>7782.48</v>
      </c>
      <c r="I297" s="32" t="n">
        <v>246</v>
      </c>
      <c r="J297" s="32" t="n">
        <v>1.24</v>
      </c>
      <c r="K297" s="32" t="n">
        <v>823343</v>
      </c>
      <c r="L297" s="31" t="n">
        <v>21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61.33</v>
      </c>
      <c r="P297" s="32" t="n">
        <v>11.82</v>
      </c>
      <c r="Q297" s="32" t="n">
        <v>196.34</v>
      </c>
      <c r="R297" s="31" t="inlineStr">
        <is>
          <t>Near 52W High Breakout</t>
        </is>
      </c>
      <c r="S297" s="31" t="inlineStr">
        <is>
          <t>Nifty 50</t>
        </is>
      </c>
      <c r="T297" s="32" t="n">
        <v>-2.88</v>
      </c>
      <c r="U297" s="32" t="n">
        <v>6</v>
      </c>
      <c r="V297" s="32" t="n">
        <v>9.130000000000001</v>
      </c>
      <c r="W297" s="32" t="n">
        <v>4.39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IF(B298=0,"",RANK(B298,$B$2:$B$360,0))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MAHASTEEL</t>
        </is>
      </c>
      <c r="D298" s="31" t="inlineStr">
        <is>
          <t>Mahamaya Steel Industries Limited</t>
        </is>
      </c>
      <c r="E298" s="31" t="inlineStr">
        <is>
          <t>metals &amp; mining</t>
        </is>
      </c>
      <c r="F298" s="31" t="inlineStr">
        <is>
          <t>steel - medium / small</t>
        </is>
      </c>
      <c r="G298" s="31" t="inlineStr">
        <is>
          <t>smallcap</t>
        </is>
      </c>
      <c r="H298" s="32" t="n">
        <v>1806.3</v>
      </c>
      <c r="I298" s="32" t="n">
        <v>1112</v>
      </c>
      <c r="J298" s="32" t="n">
        <v>1.17</v>
      </c>
      <c r="K298" s="32" t="n">
        <v>41352</v>
      </c>
      <c r="L298" s="31" t="n">
        <v>90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67.43000000000001</v>
      </c>
      <c r="P298" s="32" t="n">
        <v>18.21</v>
      </c>
      <c r="Q298" s="32" t="n">
        <v>812.4299999999999</v>
      </c>
      <c r="R298" s="31" t="inlineStr">
        <is>
          <t>Near 52W High Breakout</t>
        </is>
      </c>
      <c r="S298" s="31" t="inlineStr">
        <is>
          <t>Nifty Metal</t>
        </is>
      </c>
      <c r="T298" s="32" t="n">
        <v>38.2</v>
      </c>
      <c r="U298" s="32" t="n">
        <v>212.14</v>
      </c>
      <c r="V298" s="32" t="n">
        <v>125.86</v>
      </c>
      <c r="W298" s="32" t="n">
        <v>34.22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IF(B299=0,"",RANK(B299,$B$2:$B$360,0))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EMIL</t>
        </is>
      </c>
      <c r="D299" s="31" t="inlineStr">
        <is>
          <t>Electronics Mart India Ltd</t>
        </is>
      </c>
      <c r="E299" s="31" t="inlineStr">
        <is>
          <t>consumer discretionary</t>
        </is>
      </c>
      <c r="F299" s="31" t="inlineStr">
        <is>
          <t>trading</t>
        </is>
      </c>
      <c r="G299" s="31" t="inlineStr">
        <is>
          <t>midcap</t>
        </is>
      </c>
      <c r="H299" s="32" t="n">
        <v>7403.34</v>
      </c>
      <c r="I299" s="32" t="n">
        <v>191.35</v>
      </c>
      <c r="J299" s="32" t="n">
        <v>-0.5600000000000001</v>
      </c>
      <c r="K299" s="32" t="n">
        <v>2203530</v>
      </c>
      <c r="L299" s="31" t="n">
        <v>79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77.87</v>
      </c>
      <c r="P299" s="32" t="n">
        <v>30.41</v>
      </c>
      <c r="Q299" s="32" t="n">
        <v>147.62</v>
      </c>
      <c r="R299" s="31" t="inlineStr">
        <is>
          <t>Near 52W High Breakout</t>
        </is>
      </c>
      <c r="S299" s="31" t="inlineStr">
        <is>
          <t>Nifty 50</t>
        </is>
      </c>
      <c r="T299" s="32" t="n">
        <v>-2.88</v>
      </c>
      <c r="U299" s="32" t="n">
        <v>45.61</v>
      </c>
      <c r="V299" s="32" t="n">
        <v>49.92</v>
      </c>
      <c r="W299" s="32" t="n">
        <v>22.52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Above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IF(B300=0,"",RANK(B300,$B$2:$B$360,0))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FOSECOIND</t>
        </is>
      </c>
      <c r="D300" s="33" t="inlineStr">
        <is>
          <t>Foseco India Limited</t>
        </is>
      </c>
      <c r="E300" s="31" t="inlineStr">
        <is>
          <t>chemicals</t>
        </is>
      </c>
      <c r="F300" s="31" t="inlineStr">
        <is>
          <t>chemicals</t>
        </is>
      </c>
      <c r="G300" s="31" t="inlineStr">
        <is>
          <t>smallcap</t>
        </is>
      </c>
      <c r="H300" s="32" t="n">
        <v>4251.77</v>
      </c>
      <c r="I300" s="32" t="n">
        <v>5500</v>
      </c>
      <c r="J300" s="32" t="n">
        <v>-2.5</v>
      </c>
      <c r="K300" s="32" t="n">
        <v>4542</v>
      </c>
      <c r="L300" s="31" t="n">
        <v>3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59.82</v>
      </c>
      <c r="P300" s="32" t="n">
        <v>20.27</v>
      </c>
      <c r="Q300" s="32" t="n">
        <v>4505.71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-2.88</v>
      </c>
      <c r="U300" s="32" t="n">
        <v>-14.38</v>
      </c>
      <c r="V300" s="32" t="n">
        <v>-11.84</v>
      </c>
      <c r="W300" s="32" t="n">
        <v>-0.61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IF(B301=0,"",RANK(B301,$B$2:$B$360,0))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APCOTEXIND</t>
        </is>
      </c>
      <c r="D301" s="31" t="inlineStr">
        <is>
          <t>Apcotex Industries Limited</t>
        </is>
      </c>
      <c r="E301" s="31" t="inlineStr">
        <is>
          <t>chemicals</t>
        </is>
      </c>
      <c r="F301" s="31" t="inlineStr">
        <is>
          <t>miscellaneous</t>
        </is>
      </c>
      <c r="G301" s="31" t="inlineStr">
        <is>
          <t>smallcap</t>
        </is>
      </c>
      <c r="H301" s="32" t="n">
        <v>3138.95</v>
      </c>
      <c r="I301" s="32" t="n">
        <v>632.55</v>
      </c>
      <c r="J301" s="32" t="n">
        <v>4.48</v>
      </c>
      <c r="K301" s="32" t="n">
        <v>404224</v>
      </c>
      <c r="L301" s="31" t="inlineStr"/>
      <c r="M301" s="31" t="inlineStr"/>
      <c r="N301" s="32">
        <f>IF(M301="Underperforming",-5,IF(L301&gt;=95,15,IF(L301&gt;=90,10,IF(L301&gt;=80,5,0))))</f>
        <v/>
      </c>
      <c r="O301" s="32" t="n">
        <v>73.29000000000001</v>
      </c>
      <c r="P301" s="32" t="n">
        <v>64.3</v>
      </c>
      <c r="Q301" s="32" t="n">
        <v>481.71</v>
      </c>
      <c r="R301" s="31" t="inlineStr">
        <is>
          <t>Near 52W High Breakout</t>
        </is>
      </c>
      <c r="S301" s="31" t="inlineStr">
        <is>
          <t>Nifty Infra</t>
        </is>
      </c>
      <c r="T301" s="32" t="inlineStr"/>
      <c r="U301" s="32" t="inlineStr"/>
      <c r="V301" s="32" t="inlineStr"/>
      <c r="W301" s="32" t="inlineStr"/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Fully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Above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1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Sideways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Overhead supply in last 2 years in last 2 years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Between 50% to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IF(B302=0,"",RANK(B302,$B$2:$B$360,0))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CONCORDBIO</t>
        </is>
      </c>
      <c r="D302" s="33" t="inlineStr">
        <is>
          <t>Concord Biotech Ltd</t>
        </is>
      </c>
      <c r="E302" s="31" t="inlineStr">
        <is>
          <t>healthcare</t>
        </is>
      </c>
      <c r="F302" s="31" t="inlineStr">
        <is>
          <t>pharmaceuticals - indian - bulk drugs &amp; formln</t>
        </is>
      </c>
      <c r="G302" s="31" t="inlineStr">
        <is>
          <t>midcap</t>
        </is>
      </c>
      <c r="H302" s="32" t="n">
        <v>15849.35</v>
      </c>
      <c r="I302" s="32" t="n">
        <v>1565.7</v>
      </c>
      <c r="J302" s="32" t="n">
        <v>3.35</v>
      </c>
      <c r="K302" s="32" t="n">
        <v>489172</v>
      </c>
      <c r="L302" s="31" t="n">
        <v>32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64.14</v>
      </c>
      <c r="P302" s="32" t="n">
        <v>17.8</v>
      </c>
      <c r="Q302" s="32" t="n">
        <v>1201.05</v>
      </c>
      <c r="R302" s="31" t="inlineStr">
        <is>
          <t>Earnings / Momentum Support</t>
        </is>
      </c>
      <c r="S302" s="31" t="inlineStr">
        <is>
          <t>Nifty Pharma</t>
        </is>
      </c>
      <c r="T302" s="32" t="n">
        <v>18.4</v>
      </c>
      <c r="U302" s="32" t="n">
        <v>-10.32</v>
      </c>
      <c r="V302" s="32" t="n">
        <v>-24.26</v>
      </c>
      <c r="W302" s="32" t="n">
        <v>7.27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Between 1.5 to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IF(B303=0,"",RANK(B303,$B$2:$B$360,0))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POLYMED</t>
        </is>
      </c>
      <c r="D303" s="33" t="inlineStr">
        <is>
          <t>Poly Medicure Limited</t>
        </is>
      </c>
      <c r="E303" s="31" t="inlineStr">
        <is>
          <t>healthcare</t>
        </is>
      </c>
      <c r="F303" s="31" t="inlineStr">
        <is>
          <t>healthcare</t>
        </is>
      </c>
      <c r="G303" s="31" t="inlineStr">
        <is>
          <t>midcap</t>
        </is>
      </c>
      <c r="H303" s="32" t="n">
        <v>17571.68</v>
      </c>
      <c r="I303" s="32" t="n">
        <v>1784.7</v>
      </c>
      <c r="J303" s="32" t="n">
        <v>2.95</v>
      </c>
      <c r="K303" s="32" t="n">
        <v>224900</v>
      </c>
      <c r="L303" s="31" t="n">
        <v>12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60.61</v>
      </c>
      <c r="P303" s="32" t="n">
        <v>23.47</v>
      </c>
      <c r="Q303" s="32" t="n">
        <v>1350.18</v>
      </c>
      <c r="R303" s="31" t="inlineStr">
        <is>
          <t>Earnings / Momentum Support</t>
        </is>
      </c>
      <c r="S303" s="31" t="inlineStr">
        <is>
          <t>Nifty Pharma</t>
        </is>
      </c>
      <c r="T303" s="32" t="n">
        <v>18.4</v>
      </c>
      <c r="U303" s="32" t="n">
        <v>-13.66</v>
      </c>
      <c r="V303" s="32" t="n">
        <v>-27.07</v>
      </c>
      <c r="W303" s="32" t="n">
        <v>1.66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IF(B304=0,"",RANK(B304,$B$2:$B$360,0))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INDGN</t>
        </is>
      </c>
      <c r="D304" s="33" t="inlineStr">
        <is>
          <t>Indegene Ltd</t>
        </is>
      </c>
      <c r="E304" s="31" t="inlineStr">
        <is>
          <t>healthcare</t>
        </is>
      </c>
      <c r="F304" s="31" t="inlineStr">
        <is>
          <t>miscellaneous</t>
        </is>
      </c>
      <c r="G304" s="31" t="inlineStr">
        <is>
          <t>midcap</t>
        </is>
      </c>
      <c r="H304" s="32" t="n">
        <v>13535.61</v>
      </c>
      <c r="I304" s="32" t="n">
        <v>567.7</v>
      </c>
      <c r="J304" s="32" t="n">
        <v>1.06</v>
      </c>
      <c r="K304" s="32" t="n">
        <v>161898</v>
      </c>
      <c r="L304" s="31" t="n">
        <v>15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64.53</v>
      </c>
      <c r="P304" s="32" t="n">
        <v>17.24</v>
      </c>
      <c r="Q304" s="32" t="n">
        <v>469.73</v>
      </c>
      <c r="R304" s="31" t="inlineStr">
        <is>
          <t>Near 52W High Breakout</t>
        </is>
      </c>
      <c r="S304" s="31" t="inlineStr">
        <is>
          <t>Nifty Pharma</t>
        </is>
      </c>
      <c r="T304" s="32" t="n">
        <v>18.4</v>
      </c>
      <c r="U304" s="32" t="n">
        <v>-0.4</v>
      </c>
      <c r="V304" s="32" t="n">
        <v>-15.88</v>
      </c>
      <c r="W304" s="32" t="n">
        <v>2.66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IF(B305=0,"",RANK(B305,$B$2:$B$360,0))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JINDRILL</t>
        </is>
      </c>
      <c r="D305" s="33" t="inlineStr">
        <is>
          <t>Jindal Drilling And Industries Limited</t>
        </is>
      </c>
      <c r="E305" s="31" t="inlineStr">
        <is>
          <t>energy</t>
        </is>
      </c>
      <c r="F305" s="31" t="inlineStr">
        <is>
          <t>oil drilling / allied services</t>
        </is>
      </c>
      <c r="G305" s="31" t="inlineStr">
        <is>
          <t>smallcap</t>
        </is>
      </c>
      <c r="H305" s="32" t="n">
        <v>1698.87</v>
      </c>
      <c r="I305" s="32" t="n">
        <v>651.15</v>
      </c>
      <c r="J305" s="32" t="n">
        <v>11.08</v>
      </c>
      <c r="K305" s="32" t="n">
        <v>17885822</v>
      </c>
      <c r="L305" s="31" t="n">
        <v>25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59.05</v>
      </c>
      <c r="P305" s="32" t="n">
        <v>46.71</v>
      </c>
      <c r="Q305" s="32" t="n">
        <v>486.11</v>
      </c>
      <c r="R305" s="31" t="inlineStr">
        <is>
          <t>Volume Spike &amp; Near 52W High Breakout</t>
        </is>
      </c>
      <c r="S305" s="31" t="inlineStr">
        <is>
          <t>Nifty Energy</t>
        </is>
      </c>
      <c r="T305" s="32" t="n">
        <v>9.44</v>
      </c>
      <c r="U305" s="32" t="n">
        <v>4.37</v>
      </c>
      <c r="V305" s="32" t="n">
        <v>-4.63</v>
      </c>
      <c r="W305" s="32" t="n">
        <v>5.72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IF(B306=0,"",RANK(B306,$B$2:$B$360,0))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YUKEN</t>
        </is>
      </c>
      <c r="D306" s="31" t="inlineStr">
        <is>
          <t>Yuken India Ltd</t>
        </is>
      </c>
      <c r="E306" s="31" t="inlineStr">
        <is>
          <t>industrials</t>
        </is>
      </c>
      <c r="F306" s="31" t="inlineStr">
        <is>
          <t>engineering</t>
        </is>
      </c>
      <c r="G306" s="31" t="inlineStr">
        <is>
          <t>smallcap</t>
        </is>
      </c>
      <c r="H306" s="32" t="n">
        <v>1116.54</v>
      </c>
      <c r="I306" s="32" t="n">
        <v>880</v>
      </c>
      <c r="J306" s="32" t="n">
        <v>7.06</v>
      </c>
      <c r="K306" s="32" t="n">
        <v>23830</v>
      </c>
      <c r="L306" s="31" t="inlineStr"/>
      <c r="M306" s="31" t="inlineStr"/>
      <c r="N306" s="32">
        <f>IF(M306="Underperforming",-5,IF(L306&gt;=95,15,IF(L306&gt;=90,10,IF(L306&gt;=80,5,0))))</f>
        <v/>
      </c>
      <c r="O306" s="32" t="n">
        <v>63.58</v>
      </c>
      <c r="P306" s="32" t="n">
        <v>18.28</v>
      </c>
      <c r="Q306" s="32" t="n">
        <v>691.37</v>
      </c>
      <c r="R306" s="31" t="inlineStr">
        <is>
          <t>Earnings / Momentum Support</t>
        </is>
      </c>
      <c r="S306" s="31" t="inlineStr">
        <is>
          <t>Nifty Infra</t>
        </is>
      </c>
      <c r="T306" s="32" t="inlineStr"/>
      <c r="U306" s="32" t="inlineStr"/>
      <c r="V306" s="32" t="inlineStr"/>
      <c r="W306" s="32" t="inlineStr"/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IF(B307=0,"",RANK(B307,$B$2:$B$360,0))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MANALIPETC</t>
        </is>
      </c>
      <c r="D307" s="33" t="inlineStr">
        <is>
          <t>Manali Petrochemicals Limited</t>
        </is>
      </c>
      <c r="E307" s="31" t="inlineStr">
        <is>
          <t>energy</t>
        </is>
      </c>
      <c r="F307" s="31" t="inlineStr">
        <is>
          <t>petrochemicals</t>
        </is>
      </c>
      <c r="G307" s="31" t="inlineStr">
        <is>
          <t>smallcap</t>
        </is>
      </c>
      <c r="H307" s="32" t="n">
        <v>1163.4</v>
      </c>
      <c r="I307" s="32" t="n">
        <v>71.06</v>
      </c>
      <c r="J307" s="32" t="n">
        <v>5.06</v>
      </c>
      <c r="K307" s="32" t="n">
        <v>2000257</v>
      </c>
      <c r="L307" s="31" t="n">
        <v>35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64.48999999999999</v>
      </c>
      <c r="P307" s="32" t="n">
        <v>33.61</v>
      </c>
      <c r="Q307" s="32" t="n">
        <v>53.21</v>
      </c>
      <c r="R307" s="31" t="inlineStr">
        <is>
          <t>Near 52W High Breakout</t>
        </is>
      </c>
      <c r="S307" s="31" t="inlineStr">
        <is>
          <t>Nifty Energy</t>
        </is>
      </c>
      <c r="T307" s="32" t="n">
        <v>9.44</v>
      </c>
      <c r="U307" s="32" t="n">
        <v>-1.84</v>
      </c>
      <c r="V307" s="32" t="n">
        <v>-10.31</v>
      </c>
      <c r="W307" s="32" t="n">
        <v>8.140000000000001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Oligopoly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Yes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IF(B308=0,"",RANK(B308,$B$2:$B$360,0))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GRSE</t>
        </is>
      </c>
      <c r="D308" s="31" t="inlineStr">
        <is>
          <t>Garden Reach Shipbuilders &amp; Engineers Ltd</t>
        </is>
      </c>
      <c r="E308" s="31" t="inlineStr">
        <is>
          <t>aerospace &amp; defence</t>
        </is>
      </c>
      <c r="F308" s="31" t="inlineStr">
        <is>
          <t>miscellaneous</t>
        </is>
      </c>
      <c r="G308" s="31" t="inlineStr">
        <is>
          <t>largecap</t>
        </is>
      </c>
      <c r="H308" s="32" t="n">
        <v>29784.67</v>
      </c>
      <c r="I308" s="32" t="n">
        <v>2677</v>
      </c>
      <c r="J308" s="32" t="n">
        <v>2.96</v>
      </c>
      <c r="K308" s="32" t="n">
        <v>1266390</v>
      </c>
      <c r="L308" s="31" t="n">
        <v>10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52.96</v>
      </c>
      <c r="P308" s="32" t="n">
        <v>17.57</v>
      </c>
      <c r="Q308" s="32" t="n">
        <v>2201.16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-2.88</v>
      </c>
      <c r="U308" s="32" t="n">
        <v>5.6</v>
      </c>
      <c r="V308" s="32" t="n">
        <v>8.73</v>
      </c>
      <c r="W308" s="32" t="n">
        <v>1.3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IF(B309=0,"",RANK(B309,$B$2:$B$360,0))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EMAMIPAP</t>
        </is>
      </c>
      <c r="D309" s="31" t="inlineStr">
        <is>
          <t>Emami Paper Mills Ltd</t>
        </is>
      </c>
      <c r="E309" s="31" t="inlineStr">
        <is>
          <t>building materials</t>
        </is>
      </c>
      <c r="F309" s="31" t="inlineStr">
        <is>
          <t>paper</t>
        </is>
      </c>
      <c r="G309" s="31" t="inlineStr">
        <is>
          <t>smallcap</t>
        </is>
      </c>
      <c r="H309" s="32" t="n">
        <v>689.14</v>
      </c>
      <c r="I309" s="32" t="n">
        <v>116</v>
      </c>
      <c r="J309" s="32" t="n">
        <v>1.83</v>
      </c>
      <c r="K309" s="32" t="n">
        <v>59060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69.06</v>
      </c>
      <c r="P309" s="32" t="n">
        <v>23.51</v>
      </c>
      <c r="Q309" s="32" t="n">
        <v>87.66</v>
      </c>
      <c r="R309" s="31" t="inlineStr">
        <is>
          <t>Near 52W High Breakout</t>
        </is>
      </c>
      <c r="S309" s="31" t="inlineStr">
        <is>
          <t>Nifty Infra</t>
        </is>
      </c>
      <c r="T309" s="32" t="inlineStr"/>
      <c r="U309" s="32" t="inlineStr"/>
      <c r="V309" s="32" t="inlineStr"/>
      <c r="W309" s="32" t="inlineStr"/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Blue sky scenario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IF(B310=0,"",RANK(B310,$B$2:$B$360,0))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M&amp;M</t>
        </is>
      </c>
      <c r="D310" s="31" t="inlineStr">
        <is>
          <t>Mahindra &amp; Mahindra Limited</t>
        </is>
      </c>
      <c r="E310" s="31" t="inlineStr">
        <is>
          <t>auto</t>
        </is>
      </c>
      <c r="F310" s="31" t="inlineStr">
        <is>
          <t>automobiles - passenger cars</t>
        </is>
      </c>
      <c r="G310" s="31" t="inlineStr">
        <is>
          <t>largecap</t>
        </is>
      </c>
      <c r="H310" s="32" t="n">
        <v>421606.01</v>
      </c>
      <c r="I310" s="32" t="n">
        <v>3421.5</v>
      </c>
      <c r="J310" s="32" t="n">
        <v>0.92</v>
      </c>
      <c r="K310" s="32" t="n">
        <v>3886133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58.41</v>
      </c>
      <c r="P310" s="32" t="n">
        <v>14.56</v>
      </c>
      <c r="Q310" s="32" t="n">
        <v>3000.87</v>
      </c>
      <c r="R310" s="31" t="inlineStr">
        <is>
          <t>Earnings / Momentum Support</t>
        </is>
      </c>
      <c r="S310" s="31" t="inlineStr">
        <is>
          <t>Nifty Auto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IF(B311=0,"",RANK(B311,$B$2:$B$360,0))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HEROMOTOCO</t>
        </is>
      </c>
      <c r="D311" s="31" t="inlineStr">
        <is>
          <t>Hero Motocorp Limited</t>
        </is>
      </c>
      <c r="E311" s="31" t="inlineStr">
        <is>
          <t>auto</t>
        </is>
      </c>
      <c r="F311" s="31" t="inlineStr">
        <is>
          <t>automobiles - motorcycles / mopeds</t>
        </is>
      </c>
      <c r="G311" s="31" t="inlineStr">
        <is>
          <t>largecap</t>
        </is>
      </c>
      <c r="H311" s="32" t="n">
        <v>114953.39</v>
      </c>
      <c r="I311" s="32" t="n">
        <v>5745.5</v>
      </c>
      <c r="J311" s="32" t="n">
        <v>0.01</v>
      </c>
      <c r="K311" s="32" t="n">
        <v>1402925</v>
      </c>
      <c r="L311" s="31" t="inlineStr"/>
      <c r="M311" s="31" t="inlineStr"/>
      <c r="N311" s="32">
        <f>IF(M311="Underperforming",-5,IF(L311&gt;=95,15,IF(L311&gt;=90,10,IF(L311&gt;=80,5,0))))</f>
        <v/>
      </c>
      <c r="O311" s="32" t="n">
        <v>63.23</v>
      </c>
      <c r="P311" s="32" t="n">
        <v>14.17</v>
      </c>
      <c r="Q311" s="32" t="n">
        <v>5004.93</v>
      </c>
      <c r="R311" s="31" t="inlineStr">
        <is>
          <t>Earnings / Momentum Support</t>
        </is>
      </c>
      <c r="S311" s="31" t="inlineStr">
        <is>
          <t>Nifty Auto</t>
        </is>
      </c>
      <c r="T311" s="32" t="inlineStr"/>
      <c r="U311" s="32" t="inlineStr"/>
      <c r="V311" s="32" t="inlineStr"/>
      <c r="W311" s="32" t="inlineStr"/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IF(B312=0,"",RANK(B312,$B$2:$B$360,0))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RKFORGE</t>
        </is>
      </c>
      <c r="D312" s="31" t="inlineStr">
        <is>
          <t>Ramkrishna Forgings Limited</t>
        </is>
      </c>
      <c r="E312" s="31" t="inlineStr">
        <is>
          <t>industrials</t>
        </is>
      </c>
      <c r="F312" s="31" t="inlineStr">
        <is>
          <t>castings &amp; forgings</t>
        </is>
      </c>
      <c r="G312" s="31" t="inlineStr">
        <is>
          <t>midcap</t>
        </is>
      </c>
      <c r="H312" s="32" t="n">
        <v>13753.84</v>
      </c>
      <c r="I312" s="32" t="n">
        <v>754.35</v>
      </c>
      <c r="J312" s="32" t="n">
        <v>-0.09</v>
      </c>
      <c r="K312" s="32" t="n">
        <v>858534</v>
      </c>
      <c r="L312" s="31" t="n">
        <v>58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74.23</v>
      </c>
      <c r="P312" s="32" t="n">
        <v>15.08</v>
      </c>
      <c r="Q312" s="32" t="n">
        <v>621.15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-2.88</v>
      </c>
      <c r="U312" s="32" t="n">
        <v>32</v>
      </c>
      <c r="V312" s="32" t="n">
        <v>35.91</v>
      </c>
      <c r="W312" s="32" t="n">
        <v>13.83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IF(B313=0,"",RANK(B313,$B$2:$B$360,0))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SALSTEEL</t>
        </is>
      </c>
      <c r="D313" s="31" t="inlineStr">
        <is>
          <t>SAL Steel</t>
        </is>
      </c>
      <c r="E313" s="31" t="inlineStr">
        <is>
          <t>metals &amp; mining</t>
        </is>
      </c>
      <c r="F313" s="31" t="inlineStr">
        <is>
          <t>steel - sponge iron</t>
        </is>
      </c>
      <c r="G313" s="31" t="inlineStr">
        <is>
          <t>smallcap</t>
        </is>
      </c>
      <c r="H313" s="32" t="n">
        <v>1040.44</v>
      </c>
      <c r="I313" s="32" t="n">
        <v>71.7</v>
      </c>
      <c r="J313" s="32" t="n">
        <v>-0.24</v>
      </c>
      <c r="K313" s="32" t="n">
        <v>1744512</v>
      </c>
      <c r="L313" s="31" t="n">
        <v>96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73.45999999999999</v>
      </c>
      <c r="P313" s="32" t="n">
        <v>24.57</v>
      </c>
      <c r="Q313" s="32" t="n">
        <v>50.57</v>
      </c>
      <c r="R313" s="31" t="inlineStr">
        <is>
          <t>Volume Spike &amp; Near 52W High Breakout</t>
        </is>
      </c>
      <c r="S313" s="31" t="inlineStr">
        <is>
          <t>Nifty Metal</t>
        </is>
      </c>
      <c r="T313" s="32" t="n">
        <v>38.2</v>
      </c>
      <c r="U313" s="32" t="n">
        <v>352.1</v>
      </c>
      <c r="V313" s="32" t="n">
        <v>227.14</v>
      </c>
      <c r="W313" s="32" t="n">
        <v>46.63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Blue sky scenario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Negative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More than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IF(B314=0,"",RANK(B314,$B$2:$B$360,0))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HINDALCO</t>
        </is>
      </c>
      <c r="D314" s="31" t="inlineStr">
        <is>
          <t>Hindalco Industries Limited</t>
        </is>
      </c>
      <c r="E314" s="31" t="inlineStr">
        <is>
          <t>metals &amp; mining</t>
        </is>
      </c>
      <c r="F314" s="31" t="inlineStr">
        <is>
          <t>aluminium and aluminium products</t>
        </is>
      </c>
      <c r="G314" s="31" t="inlineStr">
        <is>
          <t>largecap</t>
        </is>
      </c>
      <c r="H314" s="32" t="n">
        <v>235936.31</v>
      </c>
      <c r="I314" s="32" t="n">
        <v>1041.6</v>
      </c>
      <c r="J314" s="32" t="n">
        <v>-0.79</v>
      </c>
      <c r="K314" s="32" t="n">
        <v>7290434</v>
      </c>
      <c r="L314" s="31" t="n">
        <v>39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58.36</v>
      </c>
      <c r="P314" s="32" t="n">
        <v>33.01</v>
      </c>
      <c r="Q314" s="32" t="n">
        <v>947.37</v>
      </c>
      <c r="R314" s="31" t="inlineStr">
        <is>
          <t>Earnings / Momentum Support</t>
        </is>
      </c>
      <c r="S314" s="31" t="inlineStr">
        <is>
          <t>Nifty Metal</t>
        </is>
      </c>
      <c r="T314" s="32" t="n">
        <v>38.2</v>
      </c>
      <c r="U314" s="32" t="n">
        <v>52.1</v>
      </c>
      <c r="V314" s="32" t="n">
        <v>10.06</v>
      </c>
      <c r="W314" s="32" t="n">
        <v>9.02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IF(B315=0,"",RANK(B315,$B$2:$B$360,0))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BALKRISIND</t>
        </is>
      </c>
      <c r="D315" s="31" t="inlineStr">
        <is>
          <t>Balkrishna Industries Limited</t>
        </is>
      </c>
      <c r="E315" s="31" t="inlineStr">
        <is>
          <t>auto</t>
        </is>
      </c>
      <c r="F315" s="31" t="inlineStr">
        <is>
          <t>tyres</t>
        </is>
      </c>
      <c r="G315" s="31" t="inlineStr">
        <is>
          <t>largecap</t>
        </is>
      </c>
      <c r="H315" s="32" t="n">
        <v>46535.31</v>
      </c>
      <c r="I315" s="32" t="n">
        <v>2384.8</v>
      </c>
      <c r="J315" s="32" t="n">
        <v>-0.93</v>
      </c>
      <c r="K315" s="32" t="n">
        <v>54939</v>
      </c>
      <c r="L315" s="31" t="inlineStr"/>
      <c r="M315" s="31" t="inlineStr"/>
      <c r="N315" s="32">
        <f>IF(M315="Underperforming",-5,IF(L315&gt;=95,15,IF(L315&gt;=90,10,IF(L315&gt;=80,5,0))))</f>
        <v/>
      </c>
      <c r="O315" s="32" t="n">
        <v>54.32</v>
      </c>
      <c r="P315" s="32" t="n">
        <v>14.14</v>
      </c>
      <c r="Q315" s="32" t="n">
        <v>1952.48</v>
      </c>
      <c r="R315" s="31" t="inlineStr">
        <is>
          <t>Earnings / Momentum Support</t>
        </is>
      </c>
      <c r="S315" s="31" t="inlineStr">
        <is>
          <t>Nifty Auto</t>
        </is>
      </c>
      <c r="T315" s="32" t="inlineStr"/>
      <c r="U315" s="32" t="inlineStr"/>
      <c r="V315" s="32" t="inlineStr"/>
      <c r="W315" s="32" t="inlineStr"/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IF(B316=0,"",RANK(B316,$B$2:$B$360,0))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LUMAXIND</t>
        </is>
      </c>
      <c r="D316" s="31" t="inlineStr">
        <is>
          <t>Lumax Industries Limited</t>
        </is>
      </c>
      <c r="E316" s="31" t="inlineStr">
        <is>
          <t>auto</t>
        </is>
      </c>
      <c r="F316" s="31" t="inlineStr">
        <is>
          <t>auto ancillaries</t>
        </is>
      </c>
      <c r="G316" s="31" t="inlineStr">
        <is>
          <t>midcap</t>
        </is>
      </c>
      <c r="H316" s="32" t="n">
        <v>5414.21</v>
      </c>
      <c r="I316" s="32" t="n">
        <v>5726</v>
      </c>
      <c r="J316" s="32" t="n">
        <v>-1.14</v>
      </c>
      <c r="K316" s="32" t="n">
        <v>5666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57.97</v>
      </c>
      <c r="P316" s="32" t="n">
        <v>11.38</v>
      </c>
      <c r="Q316" s="32" t="n">
        <v>4422.34</v>
      </c>
      <c r="R316" s="31" t="inlineStr">
        <is>
          <t>Earnings / Momentum Support</t>
        </is>
      </c>
      <c r="S316" s="31" t="inlineStr">
        <is>
          <t>Nifty Auto</t>
        </is>
      </c>
      <c r="T316" s="32" t="inlineStr"/>
      <c r="U316" s="32" t="inlineStr"/>
      <c r="V316" s="32" t="inlineStr"/>
      <c r="W316" s="32" t="inlineStr"/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IF(B317=0,"",RANK(B317,$B$2:$B$360,0))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ASTRAL</t>
        </is>
      </c>
      <c r="D317" s="31" t="inlineStr">
        <is>
          <t>Astral Ltd</t>
        </is>
      </c>
      <c r="E317" s="31" t="inlineStr">
        <is>
          <t>plastic products</t>
        </is>
      </c>
      <c r="F317" s="31" t="inlineStr">
        <is>
          <t>plastics products</t>
        </is>
      </c>
      <c r="G317" s="31" t="inlineStr">
        <is>
          <t>largecap</t>
        </is>
      </c>
      <c r="H317" s="32" t="n">
        <v>41326.45</v>
      </c>
      <c r="I317" s="32" t="n">
        <v>1520</v>
      </c>
      <c r="J317" s="32" t="n">
        <v>-1.19</v>
      </c>
      <c r="K317" s="32" t="n">
        <v>508274</v>
      </c>
      <c r="L317" s="31" t="n">
        <v>10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51.93</v>
      </c>
      <c r="P317" s="32" t="n">
        <v>22.32</v>
      </c>
      <c r="Q317" s="32" t="n">
        <v>1288.79</v>
      </c>
      <c r="R317" s="31" t="inlineStr">
        <is>
          <t>Earnings / Momentum Support</t>
        </is>
      </c>
      <c r="S317" s="31" t="inlineStr">
        <is>
          <t>Nifty 50</t>
        </is>
      </c>
      <c r="T317" s="32" t="n">
        <v>-2.88</v>
      </c>
      <c r="U317" s="32" t="n">
        <v>6.93</v>
      </c>
      <c r="V317" s="32" t="n">
        <v>10.1</v>
      </c>
      <c r="W317" s="32" t="n">
        <v>1.28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1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IF(B318=0,"",RANK(B318,$B$2:$B$360,0))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DICIND</t>
        </is>
      </c>
      <c r="D318" s="31" t="inlineStr">
        <is>
          <t>Dic India Limited</t>
        </is>
      </c>
      <c r="E318" s="31" t="inlineStr">
        <is>
          <t>chemicals</t>
        </is>
      </c>
      <c r="F318" s="31" t="inlineStr">
        <is>
          <t>chemicals</t>
        </is>
      </c>
      <c r="G318" s="31" t="inlineStr">
        <is>
          <t>smallcap</t>
        </is>
      </c>
      <c r="H318" s="32" t="n">
        <v>543.35</v>
      </c>
      <c r="I318" s="32" t="n">
        <v>583.2</v>
      </c>
      <c r="J318" s="32" t="n">
        <v>-1.48</v>
      </c>
      <c r="K318" s="32" t="n">
        <v>2948</v>
      </c>
      <c r="L318" s="31" t="n">
        <v>15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65.61</v>
      </c>
      <c r="P318" s="32" t="n">
        <v>13.74</v>
      </c>
      <c r="Q318" s="32" t="n">
        <v>443.76</v>
      </c>
      <c r="R318" s="31" t="inlineStr">
        <is>
          <t>Near 52W High Breakout</t>
        </is>
      </c>
      <c r="S318" s="31" t="inlineStr">
        <is>
          <t>Nifty 50</t>
        </is>
      </c>
      <c r="T318" s="32" t="n">
        <v>-2.88</v>
      </c>
      <c r="U318" s="32" t="n">
        <v>-0.72</v>
      </c>
      <c r="V318" s="32" t="n">
        <v>2.22</v>
      </c>
      <c r="W318" s="32" t="n">
        <v>2.76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Negative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IF(B319=0,"",RANK(B319,$B$2:$B$360,0))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SURAKSHA</t>
        </is>
      </c>
      <c r="D319" s="33" t="inlineStr">
        <is>
          <t>Suraksha Diagnostic Ltd</t>
        </is>
      </c>
      <c r="E319" s="31" t="inlineStr">
        <is>
          <t>healthcare</t>
        </is>
      </c>
      <c r="F319" s="31" t="inlineStr">
        <is>
          <t>healthcare</t>
        </is>
      </c>
      <c r="G319" s="31" t="inlineStr">
        <is>
          <t>smallcap</t>
        </is>
      </c>
      <c r="H319" s="32" t="n">
        <v>1606.43</v>
      </c>
      <c r="I319" s="32" t="n">
        <v>318.3</v>
      </c>
      <c r="J319" s="32" t="n">
        <v>3.19</v>
      </c>
      <c r="K319" s="32" t="n">
        <v>239783</v>
      </c>
      <c r="L319" s="31" t="n">
        <v>9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64.45</v>
      </c>
      <c r="P319" s="32" t="n">
        <v>15.5</v>
      </c>
      <c r="Q319" s="32" t="n">
        <v>248.76</v>
      </c>
      <c r="R319" s="31" t="inlineStr">
        <is>
          <t>Near 52W High Breakout</t>
        </is>
      </c>
      <c r="S319" s="31" t="inlineStr">
        <is>
          <t>Nifty Pharma</t>
        </is>
      </c>
      <c r="T319" s="32" t="n">
        <v>18.4</v>
      </c>
      <c r="U319" s="32" t="n">
        <v>1.29</v>
      </c>
      <c r="V319" s="32" t="n">
        <v>-14.45</v>
      </c>
      <c r="W319" s="32" t="n">
        <v>0.77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IF(B320=0,"",RANK(B320,$B$2:$B$360,0))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PRICOLLTD</t>
        </is>
      </c>
      <c r="D320" s="31" t="inlineStr">
        <is>
          <t>Pricol Ltd.</t>
        </is>
      </c>
      <c r="E320" s="31" t="inlineStr">
        <is>
          <t>auto</t>
        </is>
      </c>
      <c r="F320" s="31" t="inlineStr">
        <is>
          <t>auto ancillaries</t>
        </is>
      </c>
      <c r="G320" s="31" t="inlineStr">
        <is>
          <t>midcap</t>
        </is>
      </c>
      <c r="H320" s="32" t="n">
        <v>9830.35</v>
      </c>
      <c r="I320" s="32" t="n">
        <v>800.05</v>
      </c>
      <c r="J320" s="32" t="n">
        <v>-0.8100000000000001</v>
      </c>
      <c r="K320" s="32" t="n">
        <v>323410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75.84999999999999</v>
      </c>
      <c r="P320" s="32" t="n">
        <v>28.08</v>
      </c>
      <c r="Q320" s="32" t="n">
        <v>652.8099999999999</v>
      </c>
      <c r="R320" s="31" t="inlineStr">
        <is>
          <t>Near 52W High Breakout</t>
        </is>
      </c>
      <c r="S320" s="31" t="inlineStr">
        <is>
          <t>Nifty Auto</t>
        </is>
      </c>
      <c r="T320" s="32" t="inlineStr"/>
      <c r="U320" s="32" t="inlineStr"/>
      <c r="V320" s="32" t="inlineStr"/>
      <c r="W320" s="32" t="inlineStr"/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Oligopoly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Shallow Cyclical (2 to 3 Years Growth)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Fully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Allocated capital in Non-core Areas</t>
        </is>
      </c>
      <c r="AU320" s="31">
        <f>IF(AT320="Good",10,0)</f>
        <v/>
      </c>
      <c r="AV320" s="31" t="inlineStr">
        <is>
          <t>Yes only for next 1 to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Between 12 to 20%</t>
        </is>
      </c>
      <c r="BO320" s="31">
        <f>IF(BN320="More than 20%",10,IF(BN320="Between 12 to 20%",5,IF(BN320="Less than 12%",0,0)))</f>
        <v/>
      </c>
      <c r="BP320" s="31" t="inlineStr">
        <is>
          <t>Yes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Between 1.5 to 2</t>
        </is>
      </c>
      <c r="BU320" s="31">
        <f>IF(BT320="Above 2",0,IF(BT320="Between 1.5 to 2",5,IF(BT320="Less than 1.5",10,0)))</f>
        <v/>
      </c>
      <c r="BV320" s="31" t="inlineStr">
        <is>
          <t>Between 50% to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IF(B321=0,"",RANK(B321,$B$2:$B$360,0))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LINCOLN</t>
        </is>
      </c>
      <c r="D321" s="33" t="inlineStr">
        <is>
          <t>Lincoln Pharmaceuticals Limited</t>
        </is>
      </c>
      <c r="E321" s="31" t="inlineStr">
        <is>
          <t>healthcare</t>
        </is>
      </c>
      <c r="F321" s="31" t="inlineStr">
        <is>
          <t>pharmaceuticals - indian - formulations</t>
        </is>
      </c>
      <c r="G321" s="31" t="inlineStr">
        <is>
          <t>smallcap</t>
        </is>
      </c>
      <c r="H321" s="32" t="n">
        <v>1248.55</v>
      </c>
      <c r="I321" s="32" t="n">
        <v>617.5</v>
      </c>
      <c r="J321" s="32" t="n">
        <v>-0.9399999999999999</v>
      </c>
      <c r="K321" s="32" t="n">
        <v>28720</v>
      </c>
      <c r="L321" s="31" t="n">
        <v>5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52.93</v>
      </c>
      <c r="P321" s="32" t="n">
        <v>32.86</v>
      </c>
      <c r="Q321" s="32" t="n">
        <v>583.33</v>
      </c>
      <c r="R321" s="31" t="inlineStr">
        <is>
          <t>Earnings / Momentum Support</t>
        </is>
      </c>
      <c r="S321" s="31" t="inlineStr">
        <is>
          <t>Nifty Pharma</t>
        </is>
      </c>
      <c r="T321" s="32" t="n">
        <v>18.4</v>
      </c>
      <c r="U321" s="32" t="n">
        <v>12.81</v>
      </c>
      <c r="V321" s="32" t="n">
        <v>-4.72</v>
      </c>
      <c r="W321" s="32" t="n">
        <v>0.13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Yes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Annuity, Lower One Time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IF(B322=0,"",RANK(B322,$B$2:$B$360,0))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ASIANENE</t>
        </is>
      </c>
      <c r="D322" s="31" t="inlineStr">
        <is>
          <t>Asian Energy Services Ltd</t>
        </is>
      </c>
      <c r="E322" s="31" t="inlineStr">
        <is>
          <t>energy</t>
        </is>
      </c>
      <c r="F322" s="31" t="inlineStr">
        <is>
          <t>oil drilling / allied services</t>
        </is>
      </c>
      <c r="G322" s="31" t="inlineStr">
        <is>
          <t>smallcap</t>
        </is>
      </c>
      <c r="H322" s="32" t="n">
        <v>2067.98</v>
      </c>
      <c r="I322" s="32" t="n">
        <v>463.05</v>
      </c>
      <c r="J322" s="32" t="n">
        <v>8.890000000000001</v>
      </c>
      <c r="K322" s="32" t="n">
        <v>3647876</v>
      </c>
      <c r="L322" s="31" t="n">
        <v>81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69.26000000000001</v>
      </c>
      <c r="P322" s="32" t="n">
        <v>18.83</v>
      </c>
      <c r="Q322" s="32" t="n">
        <v>339.62</v>
      </c>
      <c r="R322" s="31" t="inlineStr">
        <is>
          <t>Volume Spike &amp; Near 52W High Breakout</t>
        </is>
      </c>
      <c r="S322" s="31" t="inlineStr">
        <is>
          <t>Nifty Energy</t>
        </is>
      </c>
      <c r="T322" s="32" t="n">
        <v>9.44</v>
      </c>
      <c r="U322" s="32" t="n">
        <v>62.85</v>
      </c>
      <c r="V322" s="32" t="n">
        <v>48.8</v>
      </c>
      <c r="W322" s="32" t="n">
        <v>23.98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Blue sky scenario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IF(B323=0,"",RANK(B323,$B$2:$B$360,0))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MAHSEAMLES</t>
        </is>
      </c>
      <c r="D323" s="33" t="inlineStr">
        <is>
          <t>Maharashtra Seamless Limited</t>
        </is>
      </c>
      <c r="E323" s="31" t="inlineStr">
        <is>
          <t>industrials</t>
        </is>
      </c>
      <c r="F323" s="31" t="inlineStr">
        <is>
          <t>steel - large</t>
        </is>
      </c>
      <c r="G323" s="31" t="inlineStr">
        <is>
          <t>midcap</t>
        </is>
      </c>
      <c r="H323" s="32" t="n">
        <v>8334.75</v>
      </c>
      <c r="I323" s="32" t="n">
        <v>620.9</v>
      </c>
      <c r="J323" s="32" t="n">
        <v>-0.18</v>
      </c>
      <c r="K323" s="32" t="n">
        <v>127322</v>
      </c>
      <c r="L323" s="31" t="n">
        <v>1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56.18</v>
      </c>
      <c r="P323" s="32" t="n">
        <v>16.91</v>
      </c>
      <c r="Q323" s="32" t="n">
        <v>534.8099999999999</v>
      </c>
      <c r="R323" s="31" t="inlineStr">
        <is>
          <t>Near 52W High Breakout</t>
        </is>
      </c>
      <c r="S323" s="31" t="inlineStr">
        <is>
          <t>Nifty Metal</t>
        </is>
      </c>
      <c r="T323" s="32" t="n">
        <v>38.2</v>
      </c>
      <c r="U323" s="32" t="n">
        <v>-10.76</v>
      </c>
      <c r="V323" s="32" t="n">
        <v>-35.42</v>
      </c>
      <c r="W323" s="32" t="n">
        <v>-1.85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1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Between 12 to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IF(B324=0,"",RANK(B324,$B$2:$B$360,0))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SMLMAH</t>
        </is>
      </c>
      <c r="D324" s="31" t="inlineStr">
        <is>
          <t>SML Mahindra Ltd</t>
        </is>
      </c>
      <c r="E324" s="31" t="inlineStr">
        <is>
          <t>auto</t>
        </is>
      </c>
      <c r="F324" s="31" t="inlineStr">
        <is>
          <t>automobiles - lcvs / hcvs</t>
        </is>
      </c>
      <c r="G324" s="31" t="inlineStr">
        <is>
          <t>midcap</t>
        </is>
      </c>
      <c r="H324" s="32" t="n">
        <v>7700.36</v>
      </c>
      <c r="I324" s="32" t="n">
        <v>5309.5</v>
      </c>
      <c r="J324" s="32" t="n">
        <v>-0.22</v>
      </c>
      <c r="K324" s="32" t="n">
        <v>90518</v>
      </c>
      <c r="L324" s="31" t="inlineStr"/>
      <c r="M324" s="31" t="inlineStr"/>
      <c r="N324" s="32">
        <f>IF(M324="Underperforming",-5,IF(L324&gt;=95,15,IF(L324&gt;=90,10,IF(L324&gt;=80,5,0))))</f>
        <v/>
      </c>
      <c r="O324" s="32" t="n">
        <v>63.66</v>
      </c>
      <c r="P324" s="32" t="n">
        <v>13.75</v>
      </c>
      <c r="Q324" s="32" t="n">
        <v>4075.09</v>
      </c>
      <c r="R324" s="31" t="inlineStr">
        <is>
          <t>Earnings / Momentum Support</t>
        </is>
      </c>
      <c r="S324" s="31" t="inlineStr">
        <is>
          <t>Nifty Auto</t>
        </is>
      </c>
      <c r="T324" s="32" t="inlineStr"/>
      <c r="U324" s="32" t="inlineStr"/>
      <c r="V324" s="32" t="inlineStr"/>
      <c r="W324" s="32" t="inlineStr"/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IF(B325=0,"",RANK(B325,$B$2:$B$360,0))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CONCOR</t>
        </is>
      </c>
      <c r="D325" s="33" t="inlineStr">
        <is>
          <t>Container Corporation Of India Limited</t>
        </is>
      </c>
      <c r="E325" s="31" t="inlineStr">
        <is>
          <t>transportation</t>
        </is>
      </c>
      <c r="F325" s="31" t="inlineStr">
        <is>
          <t>miscellaneous</t>
        </is>
      </c>
      <c r="G325" s="31" t="inlineStr">
        <is>
          <t>largecap</t>
        </is>
      </c>
      <c r="H325" s="32" t="n">
        <v>39946.86</v>
      </c>
      <c r="I325" s="32" t="n">
        <v>518.25</v>
      </c>
      <c r="J325" s="32" t="n">
        <v>-1.19</v>
      </c>
      <c r="K325" s="32" t="n">
        <v>1200480</v>
      </c>
      <c r="L325" s="31" t="n">
        <v>4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55.27</v>
      </c>
      <c r="P325" s="32" t="n">
        <v>14.16</v>
      </c>
      <c r="Q325" s="32" t="n">
        <v>435.34</v>
      </c>
      <c r="R325" s="31" t="inlineStr">
        <is>
          <t>Earnings / Momentum Support</t>
        </is>
      </c>
      <c r="S325" s="31" t="inlineStr">
        <is>
          <t>Nifty 500</t>
        </is>
      </c>
      <c r="T325" s="32" t="n">
        <v>2.09</v>
      </c>
      <c r="U325" s="32" t="n">
        <v>-4</v>
      </c>
      <c r="V325" s="32" t="n">
        <v>-5.97</v>
      </c>
      <c r="W325" s="32" t="n">
        <v>-0.22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IF(B326=0,"",RANK(B326,$B$2:$B$360,0))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TNPETRO</t>
        </is>
      </c>
      <c r="D326" s="31" t="inlineStr">
        <is>
          <t>Tamilnadu Petroproducts Limited</t>
        </is>
      </c>
      <c r="E326" s="31" t="inlineStr">
        <is>
          <t>energy</t>
        </is>
      </c>
      <c r="F326" s="31" t="inlineStr">
        <is>
          <t>petrochemicals</t>
        </is>
      </c>
      <c r="G326" s="31" t="inlineStr">
        <is>
          <t>smallcap</t>
        </is>
      </c>
      <c r="H326" s="32" t="n">
        <v>1027.11</v>
      </c>
      <c r="I326" s="32" t="n">
        <v>112.45</v>
      </c>
      <c r="J326" s="32" t="n">
        <v>-1.5</v>
      </c>
      <c r="K326" s="32" t="n">
        <v>834956</v>
      </c>
      <c r="L326" s="31" t="n">
        <v>38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71.37</v>
      </c>
      <c r="P326" s="32" t="n">
        <v>23.37</v>
      </c>
      <c r="Q326" s="32" t="n">
        <v>87.51000000000001</v>
      </c>
      <c r="R326" s="31" t="inlineStr">
        <is>
          <t>Earnings / Momentum Support</t>
        </is>
      </c>
      <c r="S326" s="31" t="inlineStr">
        <is>
          <t>Nifty Energy</t>
        </is>
      </c>
      <c r="T326" s="32" t="n">
        <v>9.44</v>
      </c>
      <c r="U326" s="32" t="n">
        <v>11.02</v>
      </c>
      <c r="V326" s="32" t="n">
        <v>1.44</v>
      </c>
      <c r="W326" s="32" t="n">
        <v>8.960000000000001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Oligopoly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20 to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IF(B327=0,"",RANK(B327,$B$2:$B$360,0))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BIL</t>
        </is>
      </c>
      <c r="D327" s="31" t="inlineStr">
        <is>
          <t>Bhartiya International Limited</t>
        </is>
      </c>
      <c r="E327" s="31" t="inlineStr">
        <is>
          <t>consumer discretionary</t>
        </is>
      </c>
      <c r="F327" s="31" t="inlineStr">
        <is>
          <t>leather / leather products</t>
        </is>
      </c>
      <c r="G327" s="31" t="inlineStr">
        <is>
          <t>smallcap</t>
        </is>
      </c>
      <c r="H327" s="32" t="n">
        <v>1146.46</v>
      </c>
      <c r="I327" s="32" t="n">
        <v>830.1</v>
      </c>
      <c r="J327" s="32" t="n">
        <v>-2.9</v>
      </c>
      <c r="K327" s="32" t="n">
        <v>11084</v>
      </c>
      <c r="L327" s="31" t="n">
        <v>18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58.14</v>
      </c>
      <c r="P327" s="32" t="n">
        <v>15.57</v>
      </c>
      <c r="Q327" s="32" t="n">
        <v>599.91</v>
      </c>
      <c r="R327" s="31" t="inlineStr">
        <is>
          <t>Earnings / Momentum Support</t>
        </is>
      </c>
      <c r="S327" s="31" t="inlineStr">
        <is>
          <t>Nifty 50</t>
        </is>
      </c>
      <c r="T327" s="32" t="n">
        <v>-2.88</v>
      </c>
      <c r="U327" s="32" t="n">
        <v>-0.8</v>
      </c>
      <c r="V327" s="32" t="n">
        <v>2.14</v>
      </c>
      <c r="W327" s="32" t="n">
        <v>3.52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IF(B328=0,"",RANK(B328,$B$2:$B$360,0))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SYNCOMF</t>
        </is>
      </c>
      <c r="D328" s="33" t="inlineStr">
        <is>
          <t>Syncom Formulations (India) Ltd</t>
        </is>
      </c>
      <c r="E328" s="31" t="inlineStr">
        <is>
          <t>healthcare</t>
        </is>
      </c>
      <c r="F328" s="31" t="inlineStr">
        <is>
          <t>pharmaceuticals - indian - bulk drugs &amp; formln</t>
        </is>
      </c>
      <c r="G328" s="31" t="inlineStr">
        <is>
          <t>smallcap</t>
        </is>
      </c>
      <c r="H328" s="32" t="n">
        <v>1430.68</v>
      </c>
      <c r="I328" s="32" t="n">
        <v>15.57</v>
      </c>
      <c r="J328" s="32" t="n">
        <v>2.3</v>
      </c>
      <c r="K328" s="32" t="n">
        <v>5350211</v>
      </c>
      <c r="L328" s="31" t="n">
        <v>6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60.52</v>
      </c>
      <c r="P328" s="32" t="n">
        <v>16.4</v>
      </c>
      <c r="Q328" s="32" t="n">
        <v>11.74</v>
      </c>
      <c r="R328" s="31" t="inlineStr">
        <is>
          <t>Earnings / Momentum Support</t>
        </is>
      </c>
      <c r="S328" s="31" t="inlineStr">
        <is>
          <t>Nifty Pharma</t>
        </is>
      </c>
      <c r="T328" s="32" t="n">
        <v>18.4</v>
      </c>
      <c r="U328" s="32" t="n">
        <v>-10.1</v>
      </c>
      <c r="V328" s="32" t="n">
        <v>-24.07</v>
      </c>
      <c r="W328" s="32" t="n">
        <v>0.15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Annuity, Lower One Time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IF(B329=0,"",RANK(B329,$B$2:$B$360,0))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HATSUN</t>
        </is>
      </c>
      <c r="D329" s="31" t="inlineStr">
        <is>
          <t>Hatsun Agro Product Limited</t>
        </is>
      </c>
      <c r="E329" s="31" t="inlineStr">
        <is>
          <t>fmcg</t>
        </is>
      </c>
      <c r="F329" s="31" t="inlineStr">
        <is>
          <t>food - processing - indian</t>
        </is>
      </c>
      <c r="G329" s="31" t="inlineStr">
        <is>
          <t>largecap</t>
        </is>
      </c>
      <c r="H329" s="32" t="n">
        <v>21579.85</v>
      </c>
      <c r="I329" s="32" t="n">
        <v>985.35</v>
      </c>
      <c r="J329" s="32" t="n">
        <v>1.71</v>
      </c>
      <c r="K329" s="32" t="n">
        <v>59772</v>
      </c>
      <c r="L329" s="31" t="n">
        <v>12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59.73</v>
      </c>
      <c r="P329" s="32" t="n">
        <v>11.15</v>
      </c>
      <c r="Q329" s="32" t="n">
        <v>826.99</v>
      </c>
      <c r="R329" s="31" t="inlineStr">
        <is>
          <t>Earnings / Momentum Support</t>
        </is>
      </c>
      <c r="S329" s="31" t="inlineStr">
        <is>
          <t>Nifty FMCG</t>
        </is>
      </c>
      <c r="T329" s="32" t="n">
        <v>-12.54</v>
      </c>
      <c r="U329" s="32" t="n">
        <v>7.95</v>
      </c>
      <c r="V329" s="32" t="n">
        <v>23.43</v>
      </c>
      <c r="W329" s="32" t="n">
        <v>1.79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B2C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Annuity, Lower One Time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Between 0.7 to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IF(B330=0,"",RANK(B330,$B$2:$B$360,0))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HCG</t>
        </is>
      </c>
      <c r="D330" s="33" t="inlineStr">
        <is>
          <t>Healthcare Global Enterprises Limited</t>
        </is>
      </c>
      <c r="E330" s="31" t="inlineStr">
        <is>
          <t>healthcare</t>
        </is>
      </c>
      <c r="F330" s="31" t="inlineStr">
        <is>
          <t>healthcare</t>
        </is>
      </c>
      <c r="G330" s="31" t="inlineStr">
        <is>
          <t>midcap</t>
        </is>
      </c>
      <c r="H330" s="32" t="n">
        <v>10635.54</v>
      </c>
      <c r="I330" s="32" t="n">
        <v>713</v>
      </c>
      <c r="J330" s="32" t="n">
        <v>0.09</v>
      </c>
      <c r="K330" s="32" t="n">
        <v>101694</v>
      </c>
      <c r="L330" s="31" t="n">
        <v>18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68.42</v>
      </c>
      <c r="P330" s="32" t="n">
        <v>30.4</v>
      </c>
      <c r="Q330" s="32" t="n">
        <v>588.5</v>
      </c>
      <c r="R330" s="31" t="inlineStr">
        <is>
          <t>Earnings / Momentum Support</t>
        </is>
      </c>
      <c r="S330" s="31" t="inlineStr">
        <is>
          <t>Nifty Pharma</t>
        </is>
      </c>
      <c r="T330" s="32" t="n">
        <v>18.4</v>
      </c>
      <c r="U330" s="32" t="n">
        <v>5.3</v>
      </c>
      <c r="V330" s="32" t="n">
        <v>-11.06</v>
      </c>
      <c r="W330" s="32" t="n">
        <v>3.49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More than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IF(B331=0,"",RANK(B331,$B$2:$B$360,0))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DWARKESH</t>
        </is>
      </c>
      <c r="D331" s="31" t="inlineStr">
        <is>
          <t>Dwarikesh Sugar Industries Limited</t>
        </is>
      </c>
      <c r="E331" s="31" t="inlineStr">
        <is>
          <t>fmcg</t>
        </is>
      </c>
      <c r="F331" s="31" t="inlineStr">
        <is>
          <t>sugar</t>
        </is>
      </c>
      <c r="G331" s="31" t="inlineStr">
        <is>
          <t>smallcap</t>
        </is>
      </c>
      <c r="H331" s="32" t="n">
        <v>832.74</v>
      </c>
      <c r="I331" s="32" t="n">
        <v>44.64</v>
      </c>
      <c r="J331" s="32" t="n">
        <v>-0.67</v>
      </c>
      <c r="K331" s="32" t="n">
        <v>3757490</v>
      </c>
      <c r="L331" s="31" t="n">
        <v>14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54.5</v>
      </c>
      <c r="P331" s="32" t="n">
        <v>10.31</v>
      </c>
      <c r="Q331" s="32" t="n">
        <v>32.2</v>
      </c>
      <c r="R331" s="31" t="inlineStr">
        <is>
          <t>Earnings / Momentum Support</t>
        </is>
      </c>
      <c r="S331" s="31" t="inlineStr">
        <is>
          <t>Nifty FMCG</t>
        </is>
      </c>
      <c r="T331" s="32" t="n">
        <v>-12.54</v>
      </c>
      <c r="U331" s="32" t="n">
        <v>0.57</v>
      </c>
      <c r="V331" s="32" t="n">
        <v>15</v>
      </c>
      <c r="W331" s="32" t="n">
        <v>2.3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B2C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1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IF(B332=0,"",RANK(B332,$B$2:$B$360,0))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WINDLAS</t>
        </is>
      </c>
      <c r="D332" s="33" t="inlineStr">
        <is>
          <t>Windlas Biotech Ltd</t>
        </is>
      </c>
      <c r="E332" s="31" t="inlineStr">
        <is>
          <t>healthcare</t>
        </is>
      </c>
      <c r="F332" s="31" t="inlineStr">
        <is>
          <t>pharmaceuticals - indian - formulations</t>
        </is>
      </c>
      <c r="G332" s="31" t="inlineStr">
        <is>
          <t>smallcap</t>
        </is>
      </c>
      <c r="H332" s="32" t="n">
        <v>1926.19</v>
      </c>
      <c r="I332" s="32" t="n">
        <v>919.4</v>
      </c>
      <c r="J332" s="32" t="n">
        <v>-1.5</v>
      </c>
      <c r="K332" s="32" t="n">
        <v>36703</v>
      </c>
      <c r="L332" s="31" t="n">
        <v>14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60.64</v>
      </c>
      <c r="P332" s="32" t="n">
        <v>17.9</v>
      </c>
      <c r="Q332" s="32" t="n">
        <v>752.9400000000001</v>
      </c>
      <c r="R332" s="31" t="inlineStr">
        <is>
          <t>Earnings / Momentum Support</t>
        </is>
      </c>
      <c r="S332" s="31" t="inlineStr">
        <is>
          <t>Nifty Pharma</t>
        </is>
      </c>
      <c r="T332" s="32" t="n">
        <v>18.4</v>
      </c>
      <c r="U332" s="32" t="n">
        <v>-8.59</v>
      </c>
      <c r="V332" s="32" t="n">
        <v>-22.8</v>
      </c>
      <c r="W332" s="32" t="n">
        <v>2.43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Annuity, Lower One Time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IF(B333=0,"",RANK(B333,$B$2:$B$360,0))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JYOTICNC</t>
        </is>
      </c>
      <c r="D333" s="31" t="inlineStr">
        <is>
          <t>Jyoti CNC Automation Ltd</t>
        </is>
      </c>
      <c r="E333" s="31" t="inlineStr">
        <is>
          <t>industrials</t>
        </is>
      </c>
      <c r="F333" s="31" t="inlineStr">
        <is>
          <t>engineering</t>
        </is>
      </c>
      <c r="G333" s="31" t="inlineStr">
        <is>
          <t>midcap</t>
        </is>
      </c>
      <c r="H333" s="32" t="n">
        <v>19511.76</v>
      </c>
      <c r="I333" s="32" t="n">
        <v>929.2</v>
      </c>
      <c r="J333" s="32" t="n">
        <v>8.300000000000001</v>
      </c>
      <c r="K333" s="32" t="n">
        <v>5438972</v>
      </c>
      <c r="L333" s="31" t="n">
        <v>40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63.93</v>
      </c>
      <c r="P333" s="32" t="n">
        <v>18.91</v>
      </c>
      <c r="Q333" s="32" t="n">
        <v>704.08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-2.88</v>
      </c>
      <c r="U333" s="32" t="n">
        <v>-2.66</v>
      </c>
      <c r="V333" s="32" t="n">
        <v>0.22</v>
      </c>
      <c r="W333" s="32" t="n">
        <v>9.26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IF(B334=0,"",RANK(B334,$B$2:$B$360,0))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STYLEBAAZA</t>
        </is>
      </c>
      <c r="D334" s="31" t="inlineStr">
        <is>
          <t>Baazar Style Retail Ltd</t>
        </is>
      </c>
      <c r="E334" s="31" t="inlineStr">
        <is>
          <t>consumer discretionary</t>
        </is>
      </c>
      <c r="F334" s="31" t="inlineStr">
        <is>
          <t>trading</t>
        </is>
      </c>
      <c r="G334" s="31" t="inlineStr">
        <is>
          <t>smallcap</t>
        </is>
      </c>
      <c r="H334" s="32" t="n">
        <v>2919.1</v>
      </c>
      <c r="I334" s="32" t="n">
        <v>402.65</v>
      </c>
      <c r="J334" s="32" t="n">
        <v>4.99</v>
      </c>
      <c r="K334" s="32" t="n">
        <v>4855079</v>
      </c>
      <c r="L334" s="31" t="n">
        <v>38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61.3</v>
      </c>
      <c r="P334" s="32" t="n">
        <v>11.34</v>
      </c>
      <c r="Q334" s="32" t="n">
        <v>279.13</v>
      </c>
      <c r="R334" s="31" t="inlineStr">
        <is>
          <t>Volume Spike &amp; Near 52W High Breakout</t>
        </is>
      </c>
      <c r="S334" s="31" t="inlineStr">
        <is>
          <t>Nifty 50</t>
        </is>
      </c>
      <c r="T334" s="32" t="n">
        <v>-2.88</v>
      </c>
      <c r="U334" s="32" t="n">
        <v>27.85</v>
      </c>
      <c r="V334" s="32" t="n">
        <v>31.63</v>
      </c>
      <c r="W334" s="32" t="n">
        <v>8.859999999999999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Blue sky scenario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More than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IF(B335=0,"",RANK(B335,$B$2:$B$360,0))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GANDHAR</t>
        </is>
      </c>
      <c r="D335" s="31" t="inlineStr">
        <is>
          <t>Gandhar Oil Refinery (India) Ltd</t>
        </is>
      </c>
      <c r="E335" s="31" t="inlineStr">
        <is>
          <t>energy</t>
        </is>
      </c>
      <c r="F335" s="31" t="inlineStr">
        <is>
          <t>refineries</t>
        </is>
      </c>
      <c r="G335" s="31" t="inlineStr">
        <is>
          <t>smallcap</t>
        </is>
      </c>
      <c r="H335" s="32" t="n">
        <v>2414.59</v>
      </c>
      <c r="I335" s="32" t="n">
        <v>255.1</v>
      </c>
      <c r="J335" s="32" t="n">
        <v>3.41</v>
      </c>
      <c r="K335" s="32" t="n">
        <v>2220855</v>
      </c>
      <c r="L335" s="31" t="n">
        <v>89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67.84999999999999</v>
      </c>
      <c r="P335" s="32" t="n">
        <v>65.33</v>
      </c>
      <c r="Q335" s="32" t="n">
        <v>210.13</v>
      </c>
      <c r="R335" s="31" t="inlineStr">
        <is>
          <t>Earnings / Momentum Support</t>
        </is>
      </c>
      <c r="S335" s="31" t="inlineStr">
        <is>
          <t>Nifty Energy</t>
        </is>
      </c>
      <c r="T335" s="32" t="n">
        <v>9.44</v>
      </c>
      <c r="U335" s="32" t="n">
        <v>55.02</v>
      </c>
      <c r="V335" s="32" t="n">
        <v>41.64</v>
      </c>
      <c r="W335" s="32" t="n">
        <v>32.21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Oligopoly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Above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IF(B336=0,"",RANK(B336,$B$2:$B$360,0))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MAZDOCK</t>
        </is>
      </c>
      <c r="D336" s="33" t="inlineStr">
        <is>
          <t>Mazagon Dock Shipbuilders Ltd</t>
        </is>
      </c>
      <c r="E336" s="31" t="inlineStr">
        <is>
          <t>aerospace &amp; defence</t>
        </is>
      </c>
      <c r="F336" s="31" t="inlineStr">
        <is>
          <t>miscellaneous</t>
        </is>
      </c>
      <c r="G336" s="31" t="inlineStr">
        <is>
          <t>largecap</t>
        </is>
      </c>
      <c r="H336" s="32" t="n">
        <v>103656.56</v>
      </c>
      <c r="I336" s="32" t="n">
        <v>2587</v>
      </c>
      <c r="J336" s="32" t="n">
        <v>0.67</v>
      </c>
      <c r="K336" s="32" t="n">
        <v>3670755</v>
      </c>
      <c r="L336" s="31" t="n">
        <v>8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55.12</v>
      </c>
      <c r="P336" s="32" t="n">
        <v>7.98</v>
      </c>
      <c r="Q336" s="32" t="n">
        <v>2121.65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-2.88</v>
      </c>
      <c r="U336" s="32" t="n">
        <v>-3.6</v>
      </c>
      <c r="V336" s="32" t="n">
        <v>-0.75</v>
      </c>
      <c r="W336" s="32" t="n">
        <v>0.48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Between 1.5 to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IF(B337=0,"",RANK(B337,$B$2:$B$360,0))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ANTELOPUS</t>
        </is>
      </c>
      <c r="D337" s="31" t="inlineStr">
        <is>
          <t>Antelopus Selan Energy Ltd</t>
        </is>
      </c>
      <c r="E337" s="31" t="inlineStr">
        <is>
          <t>energy</t>
        </is>
      </c>
      <c r="F337" s="31" t="inlineStr">
        <is>
          <t>oil drilling / allied services</t>
        </is>
      </c>
      <c r="G337" s="31" t="inlineStr">
        <is>
          <t>smallcap</t>
        </is>
      </c>
      <c r="H337" s="32" t="n">
        <v>2816.15</v>
      </c>
      <c r="I337" s="32" t="n">
        <v>862.5</v>
      </c>
      <c r="J337" s="32" t="n">
        <v>7.69</v>
      </c>
      <c r="K337" s="32" t="n">
        <v>386388</v>
      </c>
      <c r="L337" s="31" t="n">
        <v>65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60.74</v>
      </c>
      <c r="P337" s="32" t="n">
        <v>47.14</v>
      </c>
      <c r="Q337" s="32" t="n">
        <v>630.4299999999999</v>
      </c>
      <c r="R337" s="31" t="inlineStr">
        <is>
          <t>Near 52W High Breakout</t>
        </is>
      </c>
      <c r="S337" s="31" t="inlineStr">
        <is>
          <t>Nifty Energy</t>
        </is>
      </c>
      <c r="T337" s="32" t="n">
        <v>9.44</v>
      </c>
      <c r="U337" s="32" t="n">
        <v>37.39</v>
      </c>
      <c r="V337" s="32" t="n">
        <v>25.54</v>
      </c>
      <c r="W337" s="32" t="n">
        <v>15.97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Oligopoly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Yes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Above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IF(B338=0,"",RANK(B338,$B$2:$B$360,0))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UFLEX</t>
        </is>
      </c>
      <c r="D338" s="31" t="inlineStr">
        <is>
          <t>Uflex Limited</t>
        </is>
      </c>
      <c r="E338" s="31" t="inlineStr">
        <is>
          <t>industrials</t>
        </is>
      </c>
      <c r="F338" s="31" t="inlineStr">
        <is>
          <t>packaging</t>
        </is>
      </c>
      <c r="G338" s="31" t="inlineStr">
        <is>
          <t>smallcap</t>
        </is>
      </c>
      <c r="H338" s="32" t="n">
        <v>4231.95</v>
      </c>
      <c r="I338" s="32" t="n">
        <v>613.3</v>
      </c>
      <c r="J338" s="32" t="n">
        <v>4.65</v>
      </c>
      <c r="K338" s="32" t="n">
        <v>6025632</v>
      </c>
      <c r="L338" s="31" t="inlineStr"/>
      <c r="M338" s="31" t="inlineStr"/>
      <c r="N338" s="32">
        <f>IF(M338="Underperforming",-5,IF(L338&gt;=95,15,IF(L338&gt;=90,10,IF(L338&gt;=80,5,0))))</f>
        <v/>
      </c>
      <c r="O338" s="32" t="n">
        <v>75.13</v>
      </c>
      <c r="P338" s="32" t="n">
        <v>19.21</v>
      </c>
      <c r="Q338" s="32" t="n">
        <v>485.36</v>
      </c>
      <c r="R338" s="31" t="inlineStr">
        <is>
          <t>Volume Spike &amp; Near 52W High Breakout</t>
        </is>
      </c>
      <c r="S338" s="31" t="inlineStr">
        <is>
          <t>Nifty Infra</t>
        </is>
      </c>
      <c r="T338" s="32" t="inlineStr"/>
      <c r="U338" s="32" t="inlineStr"/>
      <c r="V338" s="32" t="inlineStr"/>
      <c r="W338" s="32" t="inlineStr"/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Above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Between 12 to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Between 50% to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More than 1.2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IF(B339=0,"",RANK(B339,$B$2:$B$360,0))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MAXESTATES</t>
        </is>
      </c>
      <c r="D339" s="31" t="inlineStr">
        <is>
          <t>Max Estates Ltd</t>
        </is>
      </c>
      <c r="E339" s="31" t="inlineStr">
        <is>
          <t>realty</t>
        </is>
      </c>
      <c r="F339" s="31" t="inlineStr">
        <is>
          <t>construction</t>
        </is>
      </c>
      <c r="G339" s="31" t="inlineStr">
        <is>
          <t>midcap</t>
        </is>
      </c>
      <c r="H339" s="32" t="n">
        <v>7755.49</v>
      </c>
      <c r="I339" s="32" t="n">
        <v>475.2</v>
      </c>
      <c r="J339" s="32" t="n">
        <v>0.18</v>
      </c>
      <c r="K339" s="32" t="n">
        <v>324616</v>
      </c>
      <c r="L339" s="31" t="inlineStr"/>
      <c r="M339" s="31" t="inlineStr"/>
      <c r="N339" s="32">
        <f>IF(M339="Underperforming",-5,IF(L339&gt;=95,15,IF(L339&gt;=90,10,IF(L339&gt;=80,5,0))))</f>
        <v/>
      </c>
      <c r="O339" s="32" t="n">
        <v>61.73</v>
      </c>
      <c r="P339" s="32" t="n">
        <v>19.07</v>
      </c>
      <c r="Q339" s="32" t="n">
        <v>363.95</v>
      </c>
      <c r="R339" s="31" t="inlineStr">
        <is>
          <t>Volume Spike &amp; Near 52W High Breakout</t>
        </is>
      </c>
      <c r="S339" s="31" t="inlineStr">
        <is>
          <t>Nifty Realty</t>
        </is>
      </c>
      <c r="T339" s="32" t="inlineStr"/>
      <c r="U339" s="32" t="inlineStr"/>
      <c r="V339" s="32" t="inlineStr"/>
      <c r="W339" s="32" t="inlineStr"/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Between 0.7 to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IF(B340=0,"",RANK(B340,$B$2:$B$360,0))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SVLL</t>
        </is>
      </c>
      <c r="D340" s="31" t="inlineStr">
        <is>
          <t>Shree Vasu Logistics Ltd</t>
        </is>
      </c>
      <c r="E340" s="31" t="inlineStr">
        <is>
          <t>transportation</t>
        </is>
      </c>
      <c r="F340" s="31" t="inlineStr">
        <is>
          <t>miscellaneous</t>
        </is>
      </c>
      <c r="G340" s="31" t="inlineStr">
        <is>
          <t>smallcap</t>
        </is>
      </c>
      <c r="H340" s="32" t="n">
        <v>868.98</v>
      </c>
      <c r="I340" s="32" t="n">
        <v>756.05</v>
      </c>
      <c r="J340" s="32" t="n">
        <v>-0.02</v>
      </c>
      <c r="K340" s="32" t="n">
        <v>159</v>
      </c>
      <c r="L340" s="31" t="n">
        <v>42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60.91</v>
      </c>
      <c r="P340" s="32" t="n">
        <v>33.19</v>
      </c>
      <c r="Q340" s="32" t="n">
        <v>555.49</v>
      </c>
      <c r="R340" s="31" t="inlineStr">
        <is>
          <t>Near 52W High Breakout</t>
        </is>
      </c>
      <c r="S340" s="31" t="inlineStr">
        <is>
          <t>Nifty 50</t>
        </is>
      </c>
      <c r="T340" s="32" t="n">
        <v>-2.88</v>
      </c>
      <c r="U340" s="32" t="n">
        <v>0.26</v>
      </c>
      <c r="V340" s="32" t="n">
        <v>3.23</v>
      </c>
      <c r="W340" s="32" t="n">
        <v>9.65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Blue sky scenario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IF(B341=0,"",RANK(B341,$B$2:$B$360,0))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GRAVITA</t>
        </is>
      </c>
      <c r="D341" s="33" t="inlineStr">
        <is>
          <t>Gravita India Limited</t>
        </is>
      </c>
      <c r="E341" s="31" t="inlineStr">
        <is>
          <t>metals &amp; mining</t>
        </is>
      </c>
      <c r="F341" s="31" t="inlineStr">
        <is>
          <t>mining / minerals / metals</t>
        </is>
      </c>
      <c r="G341" s="31" t="inlineStr">
        <is>
          <t>midcap</t>
        </is>
      </c>
      <c r="H341" s="32" t="n">
        <v>13445.69</v>
      </c>
      <c r="I341" s="32" t="n">
        <v>1814.1</v>
      </c>
      <c r="J341" s="32" t="n">
        <v>-0.42</v>
      </c>
      <c r="K341" s="32" t="n">
        <v>138845</v>
      </c>
      <c r="L341" s="31" t="n">
        <v>16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56.6</v>
      </c>
      <c r="P341" s="32" t="n">
        <v>14.8</v>
      </c>
      <c r="Q341" s="32" t="n">
        <v>1455.77</v>
      </c>
      <c r="R341" s="31" t="inlineStr">
        <is>
          <t>Near 52W High Breakout</t>
        </is>
      </c>
      <c r="S341" s="31" t="inlineStr">
        <is>
          <t>Nifty Metal</t>
        </is>
      </c>
      <c r="T341" s="32" t="n">
        <v>38.2</v>
      </c>
      <c r="U341" s="32" t="n">
        <v>-3.84</v>
      </c>
      <c r="V341" s="32" t="n">
        <v>-30.42</v>
      </c>
      <c r="W341" s="32" t="n">
        <v>2.77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Between 12 to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IF(B342=0,"",RANK(B342,$B$2:$B$360,0))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LT</t>
        </is>
      </c>
      <c r="D342" s="31" t="inlineStr">
        <is>
          <t>Larsen &amp; Toubro Limited</t>
        </is>
      </c>
      <c r="E342" s="31" t="inlineStr">
        <is>
          <t>realty</t>
        </is>
      </c>
      <c r="F342" s="31" t="inlineStr">
        <is>
          <t>engineering - turnkey services</t>
        </is>
      </c>
      <c r="G342" s="31" t="inlineStr">
        <is>
          <t>largecap</t>
        </is>
      </c>
      <c r="H342" s="32" t="n">
        <v>562219.24</v>
      </c>
      <c r="I342" s="32" t="n">
        <v>4064.3</v>
      </c>
      <c r="J342" s="32" t="n">
        <v>-0.55</v>
      </c>
      <c r="K342" s="32" t="n">
        <v>3970780</v>
      </c>
      <c r="L342" s="31" t="inlineStr"/>
      <c r="M342" s="31" t="inlineStr"/>
      <c r="N342" s="32">
        <f>IF(M342="Underperforming",-5,IF(L342&gt;=95,15,IF(L342&gt;=90,10,IF(L342&gt;=80,5,0))))</f>
        <v/>
      </c>
      <c r="O342" s="32" t="n">
        <v>54.49</v>
      </c>
      <c r="P342" s="32" t="n">
        <v>6.99</v>
      </c>
      <c r="Q342" s="32" t="n">
        <v>3672.56</v>
      </c>
      <c r="R342" s="31" t="inlineStr">
        <is>
          <t>Earnings / Momentum Support</t>
        </is>
      </c>
      <c r="S342" s="31" t="inlineStr">
        <is>
          <t>Nifty Realty</t>
        </is>
      </c>
      <c r="T342" s="32" t="inlineStr"/>
      <c r="U342" s="32" t="inlineStr"/>
      <c r="V342" s="32" t="inlineStr"/>
      <c r="W342" s="32" t="inlineStr"/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Between 12 to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IF(B343=0,"",RANK(B343,$B$2:$B$360,0))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OIL</t>
        </is>
      </c>
      <c r="D343" s="31" t="inlineStr">
        <is>
          <t>Oil India Limited</t>
        </is>
      </c>
      <c r="E343" s="31" t="inlineStr">
        <is>
          <t>energy</t>
        </is>
      </c>
      <c r="F343" s="31" t="inlineStr">
        <is>
          <t>oil drilling / allied services</t>
        </is>
      </c>
      <c r="G343" s="31" t="inlineStr">
        <is>
          <t>largecap</t>
        </is>
      </c>
      <c r="H343" s="32" t="n">
        <v>77206.94</v>
      </c>
      <c r="I343" s="32" t="n">
        <v>480.5</v>
      </c>
      <c r="J343" s="32" t="n">
        <v>1.23</v>
      </c>
      <c r="K343" s="32" t="n">
        <v>9883285</v>
      </c>
      <c r="L343" s="31" t="n">
        <v>16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56.62</v>
      </c>
      <c r="P343" s="32" t="n">
        <v>15.31</v>
      </c>
      <c r="Q343" s="32" t="n">
        <v>412.05</v>
      </c>
      <c r="R343" s="31" t="inlineStr">
        <is>
          <t>Earnings / Momentum Support</t>
        </is>
      </c>
      <c r="S343" s="31" t="inlineStr">
        <is>
          <t>Nifty Energy</t>
        </is>
      </c>
      <c r="T343" s="32" t="n">
        <v>9.44</v>
      </c>
      <c r="U343" s="32" t="n">
        <v>13.54</v>
      </c>
      <c r="V343" s="32" t="n">
        <v>3.75</v>
      </c>
      <c r="W343" s="32" t="n">
        <v>2.96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IF(B344=0,"",RANK(B344,$B$2:$B$360,0))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SADHNANIQ</t>
        </is>
      </c>
      <c r="D344" s="33" t="inlineStr">
        <is>
          <t>Sadhana Nitro Chem Ltd</t>
        </is>
      </c>
      <c r="E344" s="31" t="inlineStr">
        <is>
          <t>chemicals</t>
        </is>
      </c>
      <c r="F344" s="31" t="inlineStr">
        <is>
          <t>chemicals</t>
        </is>
      </c>
      <c r="G344" s="31" t="inlineStr">
        <is>
          <t>smallcap</t>
        </is>
      </c>
      <c r="H344" s="32" t="n">
        <v>916.09</v>
      </c>
      <c r="I344" s="32" t="n">
        <v>3.09</v>
      </c>
      <c r="J344" s="32" t="n">
        <v>-1.59</v>
      </c>
      <c r="K344" s="32" t="n">
        <v>1434149</v>
      </c>
      <c r="L344" s="31" t="n">
        <v>7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45.52</v>
      </c>
      <c r="P344" s="32" t="n">
        <v>12.17</v>
      </c>
      <c r="Q344" s="32" t="n">
        <v>1.85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-2.88</v>
      </c>
      <c r="U344" s="32" t="n">
        <v>-56.21</v>
      </c>
      <c r="V344" s="32" t="n">
        <v>-54.92</v>
      </c>
      <c r="W344" s="32" t="n">
        <v>0.34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Below 45</t>
        </is>
      </c>
      <c r="BA344" s="31">
        <f>IF(AZ344="Between 50 to 75",10,IF(AZ344="Above 75",0,0))</f>
        <v/>
      </c>
      <c r="BB344" s="31" t="inlineStr">
        <is>
          <t>Stage 4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Less than 1.5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IF(B345=0,"",RANK(B345,$B$2:$B$360,0))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TIINDIA</t>
        </is>
      </c>
      <c r="D345" s="33" t="inlineStr">
        <is>
          <t>Tube Investments of India Ltd</t>
        </is>
      </c>
      <c r="E345" s="31" t="inlineStr">
        <is>
          <t>industrials</t>
        </is>
      </c>
      <c r="F345" s="31" t="inlineStr">
        <is>
          <t>steel - large</t>
        </is>
      </c>
      <c r="G345" s="31" t="inlineStr">
        <is>
          <t>largecap</t>
        </is>
      </c>
      <c r="H345" s="32" t="n">
        <v>53064.82</v>
      </c>
      <c r="I345" s="32" t="n">
        <v>2959</v>
      </c>
      <c r="J345" s="32" t="n">
        <v>7.94</v>
      </c>
      <c r="K345" s="32" t="n">
        <v>8348347</v>
      </c>
      <c r="L345" s="31" t="n">
        <v>14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53.82</v>
      </c>
      <c r="P345" s="32" t="n">
        <v>14.88</v>
      </c>
      <c r="Q345" s="32" t="n">
        <v>2634.13</v>
      </c>
      <c r="R345" s="31" t="inlineStr">
        <is>
          <t>Volume Spike / Accumulation</t>
        </is>
      </c>
      <c r="S345" s="31" t="inlineStr">
        <is>
          <t>Nifty Metal</t>
        </is>
      </c>
      <c r="T345" s="32" t="n">
        <v>38.2</v>
      </c>
      <c r="U345" s="32" t="n">
        <v>2.57</v>
      </c>
      <c r="V345" s="32" t="n">
        <v>-25.78</v>
      </c>
      <c r="W345" s="32" t="n">
        <v>2.59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1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IF(B346=0,"",RANK(B346,$B$2:$B$360,0))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PETRONET</t>
        </is>
      </c>
      <c r="D346" s="33" t="inlineStr">
        <is>
          <t>Petronet Lng Limited</t>
        </is>
      </c>
      <c r="E346" s="31" t="inlineStr">
        <is>
          <t>energy</t>
        </is>
      </c>
      <c r="F346" s="31" t="inlineStr">
        <is>
          <t>miscellaneous</t>
        </is>
      </c>
      <c r="G346" s="31" t="inlineStr">
        <is>
          <t>largecap</t>
        </is>
      </c>
      <c r="H346" s="32" t="n">
        <v>42270</v>
      </c>
      <c r="I346" s="32" t="n">
        <v>286.25</v>
      </c>
      <c r="J346" s="32" t="n">
        <v>1.58</v>
      </c>
      <c r="K346" s="32" t="n">
        <v>8597775</v>
      </c>
      <c r="L346" s="31" t="n">
        <v>9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55.76</v>
      </c>
      <c r="P346" s="32" t="n">
        <v>5.15</v>
      </c>
      <c r="Q346" s="32" t="n">
        <v>246.01</v>
      </c>
      <c r="R346" s="31" t="inlineStr">
        <is>
          <t>Earnings / Momentum Support</t>
        </is>
      </c>
      <c r="S346" s="31" t="inlineStr">
        <is>
          <t>Nifty Energy</t>
        </is>
      </c>
      <c r="T346" s="32" t="n">
        <v>9.44</v>
      </c>
      <c r="U346" s="32" t="n">
        <v>-1.57</v>
      </c>
      <c r="V346" s="32" t="n">
        <v>-10.06</v>
      </c>
      <c r="W346" s="32" t="n">
        <v>0.95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IF(B347=0,"",RANK(B347,$B$2:$B$360,0))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CESC</t>
        </is>
      </c>
      <c r="D347" s="31" t="inlineStr">
        <is>
          <t>Cesc Limited</t>
        </is>
      </c>
      <c r="E347" s="31" t="inlineStr">
        <is>
          <t>power &amp; utilities</t>
        </is>
      </c>
      <c r="F347" s="31" t="inlineStr">
        <is>
          <t>power generation and supply</t>
        </is>
      </c>
      <c r="G347" s="31" t="inlineStr">
        <is>
          <t>largecap</t>
        </is>
      </c>
      <c r="H347" s="32" t="n">
        <v>22563.86</v>
      </c>
      <c r="I347" s="32" t="n">
        <v>167.98</v>
      </c>
      <c r="J347" s="32" t="n">
        <v>-1.32</v>
      </c>
      <c r="K347" s="32" t="n">
        <v>2560043</v>
      </c>
      <c r="L347" s="31" t="n">
        <v>5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50.78</v>
      </c>
      <c r="P347" s="32" t="n">
        <v>16.08</v>
      </c>
      <c r="Q347" s="32" t="n">
        <v>153.99</v>
      </c>
      <c r="R347" s="31" t="inlineStr">
        <is>
          <t>Earnings / Momentum Support</t>
        </is>
      </c>
      <c r="S347" s="31" t="inlineStr">
        <is>
          <t>Nifty IT</t>
        </is>
      </c>
      <c r="T347" s="32" t="n">
        <v>-14.75</v>
      </c>
      <c r="U347" s="32" t="n">
        <v>4.08</v>
      </c>
      <c r="V347" s="32" t="n">
        <v>22.09</v>
      </c>
      <c r="W347" s="32" t="n">
        <v>0.11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Between 12 to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IF(B348=0,"",RANK(B348,$B$2:$B$360,0))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BDL</t>
        </is>
      </c>
      <c r="D348" s="33" t="inlineStr">
        <is>
          <t>Bharat Dynamics Ltd</t>
        </is>
      </c>
      <c r="E348" s="31" t="inlineStr">
        <is>
          <t>aerospace &amp; defence</t>
        </is>
      </c>
      <c r="F348" s="31" t="inlineStr">
        <is>
          <t>engineering</t>
        </is>
      </c>
      <c r="G348" s="31" t="inlineStr">
        <is>
          <t>largecap</t>
        </is>
      </c>
      <c r="H348" s="32" t="n">
        <v>50585.63</v>
      </c>
      <c r="I348" s="32" t="n">
        <v>1393</v>
      </c>
      <c r="J348" s="32" t="n">
        <v>0.9399999999999999</v>
      </c>
      <c r="K348" s="32" t="n">
        <v>7785438</v>
      </c>
      <c r="L348" s="31" t="n">
        <v>4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54.28</v>
      </c>
      <c r="P348" s="32" t="n">
        <v>9.390000000000001</v>
      </c>
      <c r="Q348" s="32" t="n">
        <v>1090.72</v>
      </c>
      <c r="R348" s="31" t="inlineStr">
        <is>
          <t>Earnings / Momentum Support</t>
        </is>
      </c>
      <c r="S348" s="31" t="inlineStr">
        <is>
          <t>Nifty 500</t>
        </is>
      </c>
      <c r="T348" s="32" t="n">
        <v>2.09</v>
      </c>
      <c r="U348" s="32" t="n">
        <v>-7.85</v>
      </c>
      <c r="V348" s="32" t="n">
        <v>-9.74</v>
      </c>
      <c r="W348" s="32" t="n">
        <v>-0.18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IF(B349=0,"",RANK(B349,$B$2:$B$360,0))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SIRCA</t>
        </is>
      </c>
      <c r="D349" s="31" t="inlineStr">
        <is>
          <t>Sirca Paints India Ltd</t>
        </is>
      </c>
      <c r="E349" s="31" t="inlineStr">
        <is>
          <t>building materials</t>
        </is>
      </c>
      <c r="F349" s="31" t="inlineStr">
        <is>
          <t>paints / varnishes</t>
        </is>
      </c>
      <c r="G349" s="31" t="inlineStr">
        <is>
          <t>smallcap</t>
        </is>
      </c>
      <c r="H349" s="32" t="n">
        <v>2495.76</v>
      </c>
      <c r="I349" s="32" t="n">
        <v>442.7</v>
      </c>
      <c r="J349" s="32" t="n">
        <v>0.74</v>
      </c>
      <c r="K349" s="32" t="n">
        <v>920331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55.25</v>
      </c>
      <c r="P349" s="32" t="n">
        <v>17.94</v>
      </c>
      <c r="Q349" s="32" t="n">
        <v>369.14</v>
      </c>
      <c r="R349" s="31" t="inlineStr">
        <is>
          <t>Earnings / Momentum Support</t>
        </is>
      </c>
      <c r="S349" s="31" t="inlineStr">
        <is>
          <t>Nifty Infra</t>
        </is>
      </c>
      <c r="T349" s="32" t="inlineStr"/>
      <c r="U349" s="32" t="inlineStr"/>
      <c r="V349" s="32" t="inlineStr"/>
      <c r="W349" s="32" t="inlineStr"/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IF(B350=0,"",RANK(B350,$B$2:$B$360,0))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ASHOKLEY</t>
        </is>
      </c>
      <c r="D350" s="31" t="inlineStr">
        <is>
          <t>Ashok Leyland Limited</t>
        </is>
      </c>
      <c r="E350" s="31" t="inlineStr">
        <is>
          <t>auto</t>
        </is>
      </c>
      <c r="F350" s="31" t="inlineStr">
        <is>
          <t>automobiles - lcvs / hcvs</t>
        </is>
      </c>
      <c r="G350" s="31" t="inlineStr">
        <is>
          <t>largecap</t>
        </is>
      </c>
      <c r="H350" s="32" t="n">
        <v>104025.96</v>
      </c>
      <c r="I350" s="32" t="n">
        <v>176.35</v>
      </c>
      <c r="J350" s="32" t="n">
        <v>-0.42</v>
      </c>
      <c r="K350" s="32" t="n">
        <v>41879185</v>
      </c>
      <c r="L350" s="31" t="inlineStr"/>
      <c r="M350" s="31" t="inlineStr"/>
      <c r="N350" s="32">
        <f>IF(M350="Underperforming",-5,IF(L350&gt;=95,15,IF(L350&gt;=90,10,IF(L350&gt;=80,5,0))))</f>
        <v/>
      </c>
      <c r="O350" s="32" t="n">
        <v>57.04</v>
      </c>
      <c r="P350" s="32" t="n">
        <v>14.7</v>
      </c>
      <c r="Q350" s="32" t="n">
        <v>141.37</v>
      </c>
      <c r="R350" s="31" t="inlineStr">
        <is>
          <t>Earnings / Momentum Support</t>
        </is>
      </c>
      <c r="S350" s="31" t="inlineStr">
        <is>
          <t>Nifty Auto</t>
        </is>
      </c>
      <c r="T350" s="32" t="inlineStr"/>
      <c r="U350" s="32" t="inlineStr"/>
      <c r="V350" s="32" t="inlineStr"/>
      <c r="W350" s="32" t="inlineStr"/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More than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IF(B351=0,"",RANK(B351,$B$2:$B$360,0))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MRPL</t>
        </is>
      </c>
      <c r="D351" s="31" t="inlineStr">
        <is>
          <t>Mangalore Refinery And Petrochemicals Limited</t>
        </is>
      </c>
      <c r="E351" s="31" t="inlineStr">
        <is>
          <t>energy</t>
        </is>
      </c>
      <c r="F351" s="31" t="inlineStr">
        <is>
          <t>refineries</t>
        </is>
      </c>
      <c r="G351" s="31" t="inlineStr">
        <is>
          <t>largecap</t>
        </is>
      </c>
      <c r="H351" s="32" t="n">
        <v>31047.29</v>
      </c>
      <c r="I351" s="32" t="n">
        <v>177.44</v>
      </c>
      <c r="J351" s="32" t="n">
        <v>0.16</v>
      </c>
      <c r="K351" s="32" t="n">
        <v>48280540</v>
      </c>
      <c r="L351" s="31" t="n">
        <v>22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57.23</v>
      </c>
      <c r="P351" s="32" t="n">
        <v>17.29</v>
      </c>
      <c r="Q351" s="32" t="n">
        <v>128.05</v>
      </c>
      <c r="R351" s="31" t="inlineStr">
        <is>
          <t>Earnings / Momentum Support</t>
        </is>
      </c>
      <c r="S351" s="31" t="inlineStr">
        <is>
          <t>Nifty Energy</t>
        </is>
      </c>
      <c r="T351" s="32" t="n">
        <v>9.44</v>
      </c>
      <c r="U351" s="32" t="n">
        <v>28.66</v>
      </c>
      <c r="V351" s="32" t="n">
        <v>17.56</v>
      </c>
      <c r="W351" s="32" t="n">
        <v>4.6</v>
      </c>
      <c r="X351" s="31" t="inlineStr">
        <is>
          <t>Cyclical in an Upturn</t>
        </is>
      </c>
      <c r="Y351" s="31">
        <f>IF(X351="Growing Industry",10,IF(X351="Cyclical in an Upturn",5,0))</f>
        <v/>
      </c>
      <c r="Z351" s="31" t="inlineStr">
        <is>
          <t>Oligopoly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Cyclical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Between 0.7 to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IF(B352=0,"",RANK(B352,$B$2:$B$360,0))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TEGA</t>
        </is>
      </c>
      <c r="D352" s="33" t="inlineStr">
        <is>
          <t>Tega Industries Ltd</t>
        </is>
      </c>
      <c r="E352" s="31" t="inlineStr">
        <is>
          <t>industrials</t>
        </is>
      </c>
      <c r="F352" s="31" t="inlineStr">
        <is>
          <t>engineering</t>
        </is>
      </c>
      <c r="G352" s="31" t="inlineStr">
        <is>
          <t>midcap</t>
        </is>
      </c>
      <c r="H352" s="32" t="n">
        <v>13102.27</v>
      </c>
      <c r="I352" s="32" t="n">
        <v>1733.9</v>
      </c>
      <c r="J352" s="32" t="n">
        <v>-0.58</v>
      </c>
      <c r="K352" s="32" t="n">
        <v>68894</v>
      </c>
      <c r="L352" s="31" t="n">
        <v>8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52.32</v>
      </c>
      <c r="P352" s="32" t="n">
        <v>11.73</v>
      </c>
      <c r="Q352" s="32" t="n">
        <v>1459.95</v>
      </c>
      <c r="R352" s="31" t="inlineStr">
        <is>
          <t>Earnings / Momentum Support</t>
        </is>
      </c>
      <c r="S352" s="31" t="inlineStr">
        <is>
          <t>Nifty 50</t>
        </is>
      </c>
      <c r="T352" s="32" t="n">
        <v>-2.88</v>
      </c>
      <c r="U352" s="32" t="n">
        <v>-7.33</v>
      </c>
      <c r="V352" s="32" t="n">
        <v>-4.59</v>
      </c>
      <c r="W352" s="32" t="n">
        <v>0.42</v>
      </c>
      <c r="X352" s="31" t="inlineStr">
        <is>
          <t>Cyclical in an Upturn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IF(B353=0,"",RANK(B353,$B$2:$B$360,0))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BEL</t>
        </is>
      </c>
      <c r="D353" s="31" t="inlineStr">
        <is>
          <t>Bharat Electronics Limited</t>
        </is>
      </c>
      <c r="E353" s="31" t="inlineStr">
        <is>
          <t>aerospace &amp; defence</t>
        </is>
      </c>
      <c r="F353" s="31" t="inlineStr">
        <is>
          <t>electronics - components</t>
        </is>
      </c>
      <c r="G353" s="31" t="inlineStr">
        <is>
          <t>largecap</t>
        </is>
      </c>
      <c r="H353" s="32" t="n">
        <v>301491.83</v>
      </c>
      <c r="I353" s="32" t="n">
        <v>412</v>
      </c>
      <c r="J353" s="32" t="n">
        <v>-0.11</v>
      </c>
      <c r="K353" s="32" t="n">
        <v>26537039</v>
      </c>
      <c r="L353" s="31" t="n">
        <v>13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49.42</v>
      </c>
      <c r="P353" s="32" t="n">
        <v>7.56</v>
      </c>
      <c r="Q353" s="32" t="n">
        <v>366.66</v>
      </c>
      <c r="R353" s="31" t="inlineStr">
        <is>
          <t>Earnings / Momentum Support</t>
        </is>
      </c>
      <c r="S353" s="31" t="inlineStr">
        <is>
          <t>Nifty 50</t>
        </is>
      </c>
      <c r="T353" s="32" t="n">
        <v>-2.88</v>
      </c>
      <c r="U353" s="32" t="n">
        <v>10.53</v>
      </c>
      <c r="V353" s="32" t="n">
        <v>13.8</v>
      </c>
      <c r="W353" s="32" t="n">
        <v>1.99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Below 45</t>
        </is>
      </c>
      <c r="BA353" s="31">
        <f>IF(AZ353="Between 50 to 75",10,IF(AZ353="Above 75",0,0))</f>
        <v/>
      </c>
      <c r="BB353" s="31" t="inlineStr">
        <is>
          <t>Stage 4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IF(B354=0,"",RANK(B354,$B$2:$B$360,0))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GAEL</t>
        </is>
      </c>
      <c r="D354" s="31" t="inlineStr">
        <is>
          <t>Gujarat Ambuja Exports Limited</t>
        </is>
      </c>
      <c r="E354" s="31" t="inlineStr">
        <is>
          <t>fmcg</t>
        </is>
      </c>
      <c r="F354" s="31" t="inlineStr">
        <is>
          <t>miscellaneous</t>
        </is>
      </c>
      <c r="G354" s="31" t="inlineStr">
        <is>
          <t>midcap</t>
        </is>
      </c>
      <c r="H354" s="32" t="n">
        <v>7923.54</v>
      </c>
      <c r="I354" s="32" t="n">
        <v>177.76</v>
      </c>
      <c r="J354" s="32" t="n">
        <v>2.9</v>
      </c>
      <c r="K354" s="32" t="n">
        <v>1908213</v>
      </c>
      <c r="L354" s="31" t="n">
        <v>63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65.55</v>
      </c>
      <c r="P354" s="32" t="n">
        <v>35.03</v>
      </c>
      <c r="Q354" s="32" t="n">
        <v>141.71</v>
      </c>
      <c r="R354" s="31" t="inlineStr">
        <is>
          <t>Near 52W High Breakout</t>
        </is>
      </c>
      <c r="S354" s="31" t="inlineStr">
        <is>
          <t>Nifty FMCG</t>
        </is>
      </c>
      <c r="T354" s="32" t="n">
        <v>-12.54</v>
      </c>
      <c r="U354" s="32" t="n">
        <v>68.91</v>
      </c>
      <c r="V354" s="32" t="n">
        <v>93.13</v>
      </c>
      <c r="W354" s="32" t="n">
        <v>15.11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Oligopoly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Shallow Cyclical (2 to 3 Years Growth)</t>
        </is>
      </c>
      <c r="AG354" s="31">
        <f>IF(AF354="Structural (10 Years Consistency)",10,IF(AF354="Shallow Cyclical (2 to 3 years growth)",5,0))</f>
        <v/>
      </c>
      <c r="AH354" s="31" t="inlineStr">
        <is>
          <t>Yes due to Product Mix change or Operating Leverage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Allocated capital in Non-core Areas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Above 40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Sideways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Overhead supply in last 2 years in last 2 years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Less than 1.5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More than 15%</t>
        </is>
      </c>
      <c r="CC354" s="31">
        <f>IF(CB354="More than 15%",-10,IF(CB354="Less than 15%",10,0))</f>
        <v/>
      </c>
      <c r="CD354" s="31" t="inlineStr">
        <is>
          <t>Yes Upto 10%</t>
        </is>
      </c>
      <c r="CE354" s="31">
        <f>IF(CD354="Yes, more than 10%",-10,IF(CD354="No",10,0))</f>
        <v/>
      </c>
    </row>
    <row r="355">
      <c r="A355" s="31">
        <f>IF(B355=0,"",RANK(B355,$B$2:$B$360,0))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GNFC</t>
        </is>
      </c>
      <c r="D355" s="31" t="inlineStr">
        <is>
          <t>Gujarat Narmada Valley Fertilizers And Chemicals Limited</t>
        </is>
      </c>
      <c r="E355" s="31" t="inlineStr">
        <is>
          <t>chemicals</t>
        </is>
      </c>
      <c r="F355" s="31" t="inlineStr">
        <is>
          <t>chemicals</t>
        </is>
      </c>
      <c r="G355" s="31" t="inlineStr">
        <is>
          <t>midcap</t>
        </is>
      </c>
      <c r="H355" s="32" t="n">
        <v>8825.99</v>
      </c>
      <c r="I355" s="32" t="n">
        <v>609.75</v>
      </c>
      <c r="J355" s="32" t="n">
        <v>1.52</v>
      </c>
      <c r="K355" s="32" t="n">
        <v>1478157</v>
      </c>
      <c r="L355" s="31" t="n">
        <v>35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70.77</v>
      </c>
      <c r="P355" s="32" t="n">
        <v>34.31</v>
      </c>
      <c r="Q355" s="32" t="n">
        <v>497.94</v>
      </c>
      <c r="R355" s="31" t="inlineStr">
        <is>
          <t>Near 52W High Breakout</t>
        </is>
      </c>
      <c r="S355" s="31" t="inlineStr">
        <is>
          <t>Nifty 50</t>
        </is>
      </c>
      <c r="T355" s="32" t="n">
        <v>-2.88</v>
      </c>
      <c r="U355" s="32" t="n">
        <v>18.69</v>
      </c>
      <c r="V355" s="32" t="n">
        <v>22.2</v>
      </c>
      <c r="W355" s="32" t="n">
        <v>7.99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Shallow Cyclical (2 to 3 Years Growth)</t>
        </is>
      </c>
      <c r="AG355" s="31">
        <f>IF(AF355="Structural (10 Years Consistency)",10,IF(AF355="Shallow Cyclical (2 to 3 years growth)",5,0))</f>
        <v/>
      </c>
      <c r="AH355" s="31" t="inlineStr">
        <is>
          <t>Yes due to Product Mix change or Operating Leverage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Allocated capital in Non-core Areas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Above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Sideways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Overhead supply in last 2 years in last 2 years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More than 15%</t>
        </is>
      </c>
      <c r="CC355" s="31">
        <f>IF(CB355="More than 15%",-10,IF(CB355="Less than 15%",10,0))</f>
        <v/>
      </c>
      <c r="CD355" s="31" t="inlineStr">
        <is>
          <t>Yes Upto 10%</t>
        </is>
      </c>
      <c r="CE355" s="31">
        <f>IF(CD355="Yes, more than 10%",-10,IF(CD355="No",10,0))</f>
        <v/>
      </c>
    </row>
    <row r="356">
      <c r="A356" s="31">
        <f>IF(B356=0,"",RANK(B356,$B$2:$B$360,0))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GPPL</t>
        </is>
      </c>
      <c r="D356" s="31" t="inlineStr">
        <is>
          <t>Gujarat Pipavav Port Limited</t>
        </is>
      </c>
      <c r="E356" s="31" t="inlineStr">
        <is>
          <t>transportation</t>
        </is>
      </c>
      <c r="F356" s="31" t="inlineStr">
        <is>
          <t>miscellaneous</t>
        </is>
      </c>
      <c r="G356" s="31" t="inlineStr">
        <is>
          <t>midcap</t>
        </is>
      </c>
      <c r="H356" s="32" t="n">
        <v>7714.25</v>
      </c>
      <c r="I356" s="32" t="n">
        <v>160.48</v>
      </c>
      <c r="J356" s="32" t="n">
        <v>0.57</v>
      </c>
      <c r="K356" s="32" t="n">
        <v>1891030</v>
      </c>
      <c r="L356" s="31" t="n">
        <v>18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54.42</v>
      </c>
      <c r="P356" s="32" t="n">
        <v>5.42</v>
      </c>
      <c r="Q356" s="32" t="n">
        <v>135.82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-2.88</v>
      </c>
      <c r="U356" s="32" t="n">
        <v>8.949999999999999</v>
      </c>
      <c r="V356" s="32" t="n">
        <v>12.17</v>
      </c>
      <c r="W356" s="32" t="n">
        <v>3.4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Shallow Cyclical (2 to 3 Years Growth)</t>
        </is>
      </c>
      <c r="AG356" s="31">
        <f>IF(AF356="Structural (10 Years Consistency)",10,IF(AF356="Shallow Cyclical (2 to 3 years growth)",5,0))</f>
        <v/>
      </c>
      <c r="AH356" s="31" t="inlineStr">
        <is>
          <t>Yes due to Product Mix change or Operating Leverage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Yes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Allocated capital in Non-core Areas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Above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Sideways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Overhead supply in last 2 years in last 2 years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More than 15%</t>
        </is>
      </c>
      <c r="CC356" s="31">
        <f>IF(CB356="More than 15%",-10,IF(CB356="Less than 15%",10,0))</f>
        <v/>
      </c>
      <c r="CD356" s="31" t="inlineStr">
        <is>
          <t>Yes Upto 10%</t>
        </is>
      </c>
      <c r="CE356" s="31">
        <f>IF(CD356="Yes, more than 10%",-10,IF(CD356="No",10,0))</f>
        <v/>
      </c>
    </row>
    <row r="357">
      <c r="A357" s="31">
        <f>IF(B357=0,"",RANK(B357,$B$2:$B$360,0))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GUJALKALI</t>
        </is>
      </c>
      <c r="D357" s="31" t="inlineStr">
        <is>
          <t>Gujarat Alkalies And Chemicals Limited</t>
        </is>
      </c>
      <c r="E357" s="31" t="inlineStr">
        <is>
          <t>chemicals</t>
        </is>
      </c>
      <c r="F357" s="31" t="inlineStr">
        <is>
          <t>chemicals</t>
        </is>
      </c>
      <c r="G357" s="31" t="inlineStr">
        <is>
          <t>smallcap</t>
        </is>
      </c>
      <c r="H357" s="32" t="n">
        <v>4997.02</v>
      </c>
      <c r="I357" s="32" t="n">
        <v>683.5</v>
      </c>
      <c r="J357" s="32" t="n">
        <v>0.45</v>
      </c>
      <c r="K357" s="32" t="n">
        <v>48455</v>
      </c>
      <c r="L357" s="31" t="n">
        <v>24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57.51</v>
      </c>
      <c r="P357" s="32" t="n">
        <v>28.5</v>
      </c>
      <c r="Q357" s="32" t="n">
        <v>528.2</v>
      </c>
      <c r="R357" s="31" t="inlineStr">
        <is>
          <t>Earnings / Momentum Support</t>
        </is>
      </c>
      <c r="S357" s="31" t="inlineStr">
        <is>
          <t>Nifty IT</t>
        </is>
      </c>
      <c r="T357" s="32" t="n">
        <v>-14.75</v>
      </c>
      <c r="U357" s="32" t="n">
        <v>21.22</v>
      </c>
      <c r="V357" s="32" t="n">
        <v>42.19</v>
      </c>
      <c r="W357" s="32" t="n">
        <v>5.61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Oligopoly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Shallow Cyclical (2 to 3 Years Growth)</t>
        </is>
      </c>
      <c r="AG357" s="31">
        <f>IF(AF357="Structural (10 Years Consistency)",10,IF(AF357="Shallow Cyclical (2 to 3 years growth)",5,0))</f>
        <v/>
      </c>
      <c r="AH357" s="31" t="inlineStr">
        <is>
          <t>Yes due to Product Mix change or Operating Leverage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Yes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Allocated capital in Non-core Areas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Above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Sideways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Overhead supply in last 2 years in last 2 years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More than 15%</t>
        </is>
      </c>
      <c r="CC357" s="31">
        <f>IF(CB357="More than 15%",-10,IF(CB357="Less than 15%",10,0))</f>
        <v/>
      </c>
      <c r="CD357" s="31" t="inlineStr">
        <is>
          <t>Yes Upto 10%</t>
        </is>
      </c>
      <c r="CE357" s="31">
        <f>IF(CD357="Yes, more than 10%",-10,IF(CD357="No",10,0))</f>
        <v/>
      </c>
    </row>
    <row r="358">
      <c r="A358" s="31">
        <f>IF(B358=0,"",RANK(B358,$B$2:$B$360,0))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FLUOROCHEM</t>
        </is>
      </c>
      <c r="D358" s="31" t="inlineStr">
        <is>
          <t>Gujarat Fluorochemicals Ltd</t>
        </is>
      </c>
      <c r="E358" s="31" t="inlineStr">
        <is>
          <t>chemicals</t>
        </is>
      </c>
      <c r="F358" s="31" t="inlineStr">
        <is>
          <t>chemicals</t>
        </is>
      </c>
      <c r="G358" s="31" t="inlineStr">
        <is>
          <t>largecap</t>
        </is>
      </c>
      <c r="H358" s="32" t="n">
        <v>51711.89</v>
      </c>
      <c r="I358" s="32" t="n">
        <v>4674.8</v>
      </c>
      <c r="J358" s="32" t="n">
        <v>-0.6899999999999999</v>
      </c>
      <c r="K358" s="32" t="n">
        <v>123083</v>
      </c>
      <c r="L358" s="31" t="n">
        <v>49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70.48999999999999</v>
      </c>
      <c r="P358" s="32" t="n">
        <v>33.12</v>
      </c>
      <c r="Q358" s="32" t="n">
        <v>3910.54</v>
      </c>
      <c r="R358" s="31" t="inlineStr">
        <is>
          <t>Near 52W High Breakout</t>
        </is>
      </c>
      <c r="S358" s="31" t="inlineStr">
        <is>
          <t>Nifty 50</t>
        </is>
      </c>
      <c r="T358" s="32" t="n">
        <v>-2.88</v>
      </c>
      <c r="U358" s="32" t="n">
        <v>36.63</v>
      </c>
      <c r="V358" s="32" t="n">
        <v>40.68</v>
      </c>
      <c r="W358" s="32" t="n">
        <v>11.19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Oligopoly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Shallow Cyclical (2 to 3 Years Growth)</t>
        </is>
      </c>
      <c r="AG358" s="31">
        <f>IF(AF358="Structural (10 Years Consistency)",10,IF(AF358="Shallow Cyclical (2 to 3 years growth)",5,0))</f>
        <v/>
      </c>
      <c r="AH358" s="31" t="inlineStr">
        <is>
          <t>Yes due to Product Mix change or Operating Leverage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Yes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Allocated capital in Non-core Areas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Above 40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Sideways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Overhead supply in last 2 years in last 2 years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Less than 1.5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More than 15%</t>
        </is>
      </c>
      <c r="CC358" s="31">
        <f>IF(CB358="More than 15%",-10,IF(CB358="Less than 15%",10,0))</f>
        <v/>
      </c>
      <c r="CD358" s="31" t="inlineStr">
        <is>
          <t>Yes Upto 10%</t>
        </is>
      </c>
      <c r="CE358" s="31">
        <f>IF(CD358="Yes, more than 10%",-10,IF(CD358="No",10,0))</f>
        <v/>
      </c>
    </row>
    <row r="359">
      <c r="A359" s="31">
        <f>IF(B359=0,"",RANK(B359,$B$2:$B$360,0))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GIPCL</t>
        </is>
      </c>
      <c r="D359" s="31" t="inlineStr">
        <is>
          <t>Gujarat Industries Power Company Limited</t>
        </is>
      </c>
      <c r="E359" s="31" t="inlineStr">
        <is>
          <t>power &amp; utilities</t>
        </is>
      </c>
      <c r="F359" s="31" t="inlineStr">
        <is>
          <t>power generation and supply</t>
        </is>
      </c>
      <c r="G359" s="31" t="inlineStr">
        <is>
          <t>smallcap</t>
        </is>
      </c>
      <c r="H359" s="32" t="n">
        <v>2707.59</v>
      </c>
      <c r="I359" s="32" t="n">
        <v>172.05</v>
      </c>
      <c r="J359" s="32" t="n">
        <v>-1.37</v>
      </c>
      <c r="K359" s="32" t="n">
        <v>442744</v>
      </c>
      <c r="L359" s="31" t="n">
        <v>13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58.76</v>
      </c>
      <c r="P359" s="32" t="n">
        <v>13.51</v>
      </c>
      <c r="Q359" s="32" t="n">
        <v>142.33</v>
      </c>
      <c r="R359" s="31" t="inlineStr">
        <is>
          <t>Earnings / Momentum Support</t>
        </is>
      </c>
      <c r="S359" s="31" t="inlineStr">
        <is>
          <t>Nifty IT</t>
        </is>
      </c>
      <c r="T359" s="32" t="n">
        <v>-14.75</v>
      </c>
      <c r="U359" s="32" t="n">
        <v>-6.6</v>
      </c>
      <c r="V359" s="32" t="n">
        <v>9.56</v>
      </c>
      <c r="W359" s="32" t="n">
        <v>2.2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Shallow Cyclical (2 to 3 Years Growth)</t>
        </is>
      </c>
      <c r="AG359" s="31">
        <f>IF(AF359="Structural (10 Years Consistency)",10,IF(AF359="Shallow Cyclical (2 to 3 years growth)",5,0))</f>
        <v/>
      </c>
      <c r="AH359" s="31" t="inlineStr">
        <is>
          <t>Yes due to Product Mix change or Operating Leverage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Yes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Allocated capital in Non-core Areas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Above 40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Sideways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Overhead supply in last 2 years in last 2 years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Less than 1.5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More than 15%</t>
        </is>
      </c>
      <c r="CC359" s="31">
        <f>IF(CB359="More than 15%",-10,IF(CB359="Less than 15%",10,0))</f>
        <v/>
      </c>
      <c r="CD359" s="31" t="inlineStr">
        <is>
          <t>Yes Upto 10%</t>
        </is>
      </c>
      <c r="CE359" s="31">
        <f>IF(CD359="Yes, more than 10%",-10,IF(CD359="No",10,0))</f>
        <v/>
      </c>
    </row>
    <row r="360">
      <c r="A360" s="31">
        <f>IF(B360=0,"",RANK(B360,$B$2:$B$360,0))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POLICYBZR</t>
        </is>
      </c>
      <c r="D360" s="31" t="inlineStr">
        <is>
          <t>PB Fintech Ltd</t>
        </is>
      </c>
      <c r="E360" s="31" t="inlineStr">
        <is>
          <t>i.t</t>
        </is>
      </c>
      <c r="F360" s="31" t="inlineStr">
        <is>
          <t>miscellaneous</t>
        </is>
      </c>
      <c r="G360" s="31" t="inlineStr">
        <is>
          <t>largecap</t>
        </is>
      </c>
      <c r="H360" s="32" t="n">
        <v>79958.3</v>
      </c>
      <c r="I360" s="32" t="n">
        <v>1747</v>
      </c>
      <c r="J360" s="32" t="n">
        <v>1.09</v>
      </c>
      <c r="K360" s="32" t="n">
        <v>2503985</v>
      </c>
      <c r="L360" s="31" t="n">
        <v>1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58.86</v>
      </c>
      <c r="P360" s="32" t="n">
        <v>8.279999999999999</v>
      </c>
      <c r="Q360" s="32" t="n">
        <v>1458.68</v>
      </c>
      <c r="R360" s="31" t="inlineStr">
        <is>
          <t>Earnings / Momentum Support</t>
        </is>
      </c>
      <c r="S360" s="31" t="inlineStr">
        <is>
          <t>Nifty IT</t>
        </is>
      </c>
      <c r="T360" s="32" t="n">
        <v>-14.75</v>
      </c>
      <c r="U360" s="32" t="n">
        <v>-8.59</v>
      </c>
      <c r="V360" s="32" t="n">
        <v>7.22</v>
      </c>
      <c r="W360" s="32" t="n">
        <v>-1.66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Monopoly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Yes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B2C</t>
        </is>
      </c>
      <c r="AO360" s="31">
        <f>IF(AN360="B2C",10,IF(AN360="B2B",5,0))</f>
        <v/>
      </c>
      <c r="AP360" s="31" t="inlineStr">
        <is>
          <t>Yes</t>
        </is>
      </c>
      <c r="AQ360" s="31">
        <f>IF(AP360="Yes",10,0)</f>
        <v/>
      </c>
      <c r="AR360" s="31" t="inlineStr">
        <is>
          <t>Fully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Allocated capital in Non-core Areas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20 to 40</t>
        </is>
      </c>
      <c r="AY360" s="31">
        <f>IF(AX360="Above 40",20,IF(AX360="20 to 40",10,IF(AX360="0 to 20",-5,0)))</f>
        <v/>
      </c>
      <c r="AZ360" s="31" t="inlineStr">
        <is>
          <t>Below 45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Downtrend</t>
        </is>
      </c>
      <c r="BG360" s="31">
        <f>IF(BF360="Uptrend",10,IF(BF360="Sideways",5,0))</f>
        <v/>
      </c>
      <c r="BH360" s="31" t="inlineStr">
        <is>
          <t>Downtrend</t>
        </is>
      </c>
      <c r="BI360" s="31">
        <f>IF(BH360="Uptrend",10,IF(BH360="Sideways",5,0))</f>
        <v/>
      </c>
      <c r="BJ360" s="31" t="inlineStr">
        <is>
          <t>Overhead supply in last 2 years in last 2 years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Yes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</sheetData>
  <autoFilter ref="A1:CE360"/>
  <conditionalFormatting sqref="B2:B36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0">
    <cfRule type="cellIs" priority="36" operator="equal" dxfId="3" stopIfTrue="1">
      <formula>"Underperforming"</formula>
    </cfRule>
  </conditionalFormatting>
  <conditionalFormatting sqref="N2:N360">
    <cfRule type="cellIs" priority="37" operator="equal" dxfId="3" stopIfTrue="1">
      <formula>-5</formula>
    </cfRule>
  </conditionalFormatting>
  <conditionalFormatting sqref="Q2:Q36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0" showDropDown="0" showInputMessage="0" showErrorMessage="0" allowBlank="1" type="list">
      <formula1>"Growing Industry,Stagnant Industry,Cyclical in an Upturn"</formula1>
    </dataValidation>
    <dataValidation sqref="Z2:Z36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0" showDropDown="0" showInputMessage="0" showErrorMessage="0" allowBlank="1" type="list">
      <formula1>"Yes,No"</formula1>
    </dataValidation>
    <dataValidation sqref="AD2:AD360" showDropDown="0" showInputMessage="0" showErrorMessage="0" allowBlank="1" type="list">
      <formula1>"Tailwind,Headwind"</formula1>
    </dataValidation>
    <dataValidation sqref="AF2:AF360" showDropDown="0" showInputMessage="0" showErrorMessage="0" allowBlank="1" type="list">
      <formula1>"Structural (10 Years Consistency),Shallow Cyclical (2 to 3 Years Growth),Cyclical"</formula1>
    </dataValidation>
    <dataValidation sqref="AH2:AH360" showDropDown="0" showInputMessage="0" showErrorMessage="0" allowBlank="1" type="list">
      <formula1>"Yes due to Product Mix change or Operating Leverage,Yes, these are peak margins,No"</formula1>
    </dataValidation>
    <dataValidation sqref="AJ2:AJ360" showDropDown="0" showInputMessage="0" showErrorMessage="0" allowBlank="1" type="list">
      <formula1>"Stable,Volatile"</formula1>
    </dataValidation>
    <dataValidation sqref="AL2:AL360" showDropDown="0" showInputMessage="0" showErrorMessage="0" allowBlank="1" type="list">
      <formula1>"Yes,No"</formula1>
    </dataValidation>
    <dataValidation sqref="AN2:AN360" showDropDown="0" showInputMessage="0" showErrorMessage="0" allowBlank="1" type="list">
      <formula1>"B2C,B2B,B2G"</formula1>
    </dataValidation>
    <dataValidation sqref="AP2:AP360" showDropDown="0" showInputMessage="0" showErrorMessage="0" allowBlank="1" type="list">
      <formula1>"Yes,No"</formula1>
    </dataValidation>
    <dataValidation sqref="AR2:AR360" showDropDown="0" showInputMessage="0" showErrorMessage="0" allowBlank="1" type="list">
      <formula1>"Fully Annuity,Higher Annuity, Lower One time,Higher One Time, Lower Annuity,Fully One Time"</formula1>
    </dataValidation>
    <dataValidation sqref="AT2:AT360" showDropDown="0" showInputMessage="0" showErrorMessage="0" allowBlank="1" type="list">
      <formula1>"Good,Allocated capital in Non-core Areas"</formula1>
    </dataValidation>
    <dataValidation sqref="AV2:AV360" showDropDown="0" showInputMessage="0" showErrorMessage="0" allowBlank="1" type="list">
      <formula1>"Yes for more than 2 years,Yes only for next 1 to 2 years,No"</formula1>
    </dataValidation>
    <dataValidation sqref="AX2:AX360" showDropDown="0" showInputMessage="0" showErrorMessage="0" allowBlank="1" type="list">
      <formula1>"Above 40,20 to 40,0 to 20"</formula1>
    </dataValidation>
    <dataValidation sqref="AZ2:AZ360" showDropDown="0" showInputMessage="0" showErrorMessage="0" allowBlank="1" type="list">
      <formula1>"Between 50 to 75,Above 75,Below 45"</formula1>
    </dataValidation>
    <dataValidation sqref="BB2:BB360" showDropDown="0" showInputMessage="0" showErrorMessage="0" allowBlank="1" type="list">
      <formula1>"Stage 1,Stage 2,Stage 3,Stage 4"</formula1>
    </dataValidation>
    <dataValidation sqref="BD2:BD360" showDropDown="0" showInputMessage="0" showErrorMessage="0" allowBlank="1" type="list">
      <formula1>"Positive Trend,Negative Trend"</formula1>
    </dataValidation>
    <dataValidation sqref="BF2:BF360" showDropDown="0" showInputMessage="0" showErrorMessage="0" allowBlank="1" type="list">
      <formula1>"Uptrend,Sideways,Downtrend"</formula1>
    </dataValidation>
    <dataValidation sqref="BH2:BH360" showDropDown="0" showInputMessage="0" showErrorMessage="0" allowBlank="1" type="list">
      <formula1>"Uptrend,Sideways,Downtrend"</formula1>
    </dataValidation>
    <dataValidation sqref="BJ2:BJ36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0" showDropDown="0" showInputMessage="0" showErrorMessage="0" allowBlank="1" type="list">
      <formula1>"Yes,No"</formula1>
    </dataValidation>
    <dataValidation sqref="BN2:BN360" showDropDown="0" showInputMessage="0" showErrorMessage="0" allowBlank="1" type="list">
      <formula1>"More than 20%,Between 12 to 20%,Less than 12%"</formula1>
    </dataValidation>
    <dataValidation sqref="BP2:BP360" showDropDown="0" showInputMessage="0" showErrorMessage="0" allowBlank="1" type="list">
      <formula1>"Yes,No"</formula1>
    </dataValidation>
    <dataValidation sqref="BR2:BR360" showDropDown="0" showInputMessage="0" showErrorMessage="0" allowBlank="1" type="list">
      <formula1>"Yes,No"</formula1>
    </dataValidation>
    <dataValidation sqref="BT2:BT360" showDropDown="0" showInputMessage="0" showErrorMessage="0" allowBlank="1" type="list">
      <formula1>"Above 2,Between 1.5 to 2,Less than 1.5"</formula1>
    </dataValidation>
    <dataValidation sqref="BV2:BV360" showDropDown="0" showInputMessage="0" showErrorMessage="0" allowBlank="1" type="list">
      <formula1>"Above 70%,Between 50% to 70%,Less than 50%,Less than 50% and Borrowings are increasing,Negative"</formula1>
    </dataValidation>
    <dataValidation sqref="BX2:BX360" showDropDown="0" showInputMessage="0" showErrorMessage="0" allowBlank="1" type="list">
      <formula1>"More than 1.2,Between 0.7 to 1.2,Less than 0.7"</formula1>
    </dataValidation>
    <dataValidation sqref="BZ2:BZ360" showDropDown="0" showInputMessage="0" showErrorMessage="0" allowBlank="1" type="list">
      <formula1>"Yes,No"</formula1>
    </dataValidation>
    <dataValidation sqref="CB2:CB360" showDropDown="0" showInputMessage="0" showErrorMessage="0" allowBlank="1" type="list">
      <formula1>"More than 15%,Less than 15%"</formula1>
    </dataValidation>
    <dataValidation sqref="CD2:CD36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11591.93</v>
      </c>
      <c r="I2" s="32" t="n">
        <v>310.75</v>
      </c>
      <c r="J2" s="32" t="n">
        <v>1.39</v>
      </c>
      <c r="K2" s="32" t="n">
        <v>2278078</v>
      </c>
      <c r="L2" s="31" t="n">
        <v>69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74.64</v>
      </c>
      <c r="P2" s="32" t="n">
        <v>46.45</v>
      </c>
      <c r="Q2" s="32" t="n">
        <v>257.88</v>
      </c>
      <c r="R2" s="31" t="inlineStr">
        <is>
          <t>Near 52W High Breakout</t>
        </is>
      </c>
      <c r="S2" s="31" t="inlineStr">
        <is>
          <t>Nifty Bank</t>
        </is>
      </c>
      <c r="T2" s="32" t="n">
        <v>3.83</v>
      </c>
      <c r="U2" s="32" t="n">
        <v>85.28</v>
      </c>
      <c r="V2" s="32" t="n">
        <v>78.45</v>
      </c>
      <c r="W2" s="32" t="n">
        <v>17.08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JSFB</t>
        </is>
      </c>
      <c r="D3" s="31" t="inlineStr">
        <is>
          <t>Jana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5781.64</v>
      </c>
      <c r="I3" s="32" t="n">
        <v>575</v>
      </c>
      <c r="J3" s="32" t="n">
        <v>4.76</v>
      </c>
      <c r="K3" s="32" t="n">
        <v>899345</v>
      </c>
      <c r="L3" s="31" t="n">
        <v>43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69.5</v>
      </c>
      <c r="P3" s="32" t="n">
        <v>37.37</v>
      </c>
      <c r="Q3" s="32" t="n">
        <v>445.45</v>
      </c>
      <c r="R3" s="31" t="inlineStr">
        <is>
          <t>Near 52W High Breakout</t>
        </is>
      </c>
      <c r="S3" s="31" t="inlineStr">
        <is>
          <t>Nifty Bank</t>
        </is>
      </c>
      <c r="T3" s="32" t="n">
        <v>3.83</v>
      </c>
      <c r="U3" s="32" t="n">
        <v>15.86</v>
      </c>
      <c r="V3" s="32" t="n">
        <v>11.58</v>
      </c>
      <c r="W3" s="32" t="n">
        <v>9.74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CUB</t>
        </is>
      </c>
      <c r="D4" s="31" t="inlineStr">
        <is>
          <t>City Union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21321.74</v>
      </c>
      <c r="I4" s="32" t="n">
        <v>222.18</v>
      </c>
      <c r="J4" s="32" t="n">
        <v>3.24</v>
      </c>
      <c r="K4" s="32" t="n">
        <v>3912795</v>
      </c>
      <c r="L4" s="31" t="n">
        <v>52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60.02</v>
      </c>
      <c r="P4" s="32" t="n">
        <v>29.59</v>
      </c>
      <c r="Q4" s="32" t="n">
        <v>176.46</v>
      </c>
      <c r="R4" s="31" t="inlineStr">
        <is>
          <t>Near 52W High Breakout</t>
        </is>
      </c>
      <c r="S4" s="31" t="inlineStr">
        <is>
          <t>Nifty Bank</t>
        </is>
      </c>
      <c r="T4" s="32" t="n">
        <v>3.83</v>
      </c>
      <c r="U4" s="32" t="n">
        <v>41.27</v>
      </c>
      <c r="V4" s="32" t="n">
        <v>36.06</v>
      </c>
      <c r="W4" s="32" t="n">
        <v>12.04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FEDERALBNK</t>
        </is>
      </c>
      <c r="D5" s="31" t="inlineStr">
        <is>
          <t>The Federal Bank 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87393.25999999999</v>
      </c>
      <c r="I5" s="32" t="n">
        <v>357.8</v>
      </c>
      <c r="J5" s="32" t="n">
        <v>1.04</v>
      </c>
      <c r="K5" s="32" t="n">
        <v>8210252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76.79000000000001</v>
      </c>
      <c r="P5" s="32" t="n">
        <v>41.53</v>
      </c>
      <c r="Q5" s="32" t="n">
        <v>315.08</v>
      </c>
      <c r="R5" s="31" t="inlineStr">
        <is>
          <t>Near 52W High Breakout</t>
        </is>
      </c>
      <c r="S5" s="31" t="inlineStr">
        <is>
          <t>Nifty Bank</t>
        </is>
      </c>
      <c r="T5" s="32" t="n">
        <v>3.83</v>
      </c>
      <c r="U5" s="32" t="n">
        <v>82.86</v>
      </c>
      <c r="V5" s="32" t="n">
        <v>76.11</v>
      </c>
      <c r="W5" s="32" t="n">
        <v>18.48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RBLBANK</t>
        </is>
      </c>
      <c r="D6" s="31" t="inlineStr">
        <is>
          <t>Rbl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59077.49</v>
      </c>
      <c r="I6" s="32" t="n">
        <v>383</v>
      </c>
      <c r="J6" s="32" t="n">
        <v>0.39</v>
      </c>
      <c r="K6" s="32" t="n">
        <v>4634407</v>
      </c>
      <c r="L6" s="31" t="n">
        <v>52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62.78</v>
      </c>
      <c r="P6" s="32" t="n">
        <v>36.64</v>
      </c>
      <c r="Q6" s="32" t="n">
        <v>331.07</v>
      </c>
      <c r="R6" s="31" t="inlineStr">
        <is>
          <t>Near 52W High Breakout</t>
        </is>
      </c>
      <c r="S6" s="31" t="inlineStr">
        <is>
          <t>Nifty Bank</t>
        </is>
      </c>
      <c r="T6" s="32" t="n">
        <v>3.83</v>
      </c>
      <c r="U6" s="32" t="n">
        <v>52.24</v>
      </c>
      <c r="V6" s="32" t="n">
        <v>46.62</v>
      </c>
      <c r="W6" s="32" t="n">
        <v>12.1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UJJIVANSFB</t>
        </is>
      </c>
      <c r="D7" s="31" t="inlineStr">
        <is>
          <t>Ujjivan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14046.69</v>
      </c>
      <c r="I7" s="32" t="n">
        <v>72.33</v>
      </c>
      <c r="J7" s="32" t="n">
        <v>0.17</v>
      </c>
      <c r="K7" s="32" t="n">
        <v>11368833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67.94</v>
      </c>
      <c r="P7" s="32" t="n">
        <v>38.21</v>
      </c>
      <c r="Q7" s="32" t="n">
        <v>58.43</v>
      </c>
      <c r="R7" s="31" t="inlineStr">
        <is>
          <t>Near 52W High Breakout</t>
        </is>
      </c>
      <c r="S7" s="31" t="inlineStr">
        <is>
          <t>Nifty Bank</t>
        </is>
      </c>
      <c r="T7" s="32" t="n">
        <v>3.83</v>
      </c>
      <c r="U7" s="32" t="n">
        <v>65.48</v>
      </c>
      <c r="V7" s="32" t="n">
        <v>59.37</v>
      </c>
      <c r="W7" s="32" t="n">
        <v>19.78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IIFL</t>
        </is>
      </c>
      <c r="D8" s="31" t="inlineStr">
        <is>
          <t>IIFL Finance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26797.6</v>
      </c>
      <c r="I8" s="32" t="n">
        <v>622.35</v>
      </c>
      <c r="J8" s="32" t="n">
        <v>-1.22</v>
      </c>
      <c r="K8" s="32" t="n">
        <v>1373767</v>
      </c>
      <c r="L8" s="31" t="n">
        <v>61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68.73999999999999</v>
      </c>
      <c r="P8" s="32" t="n">
        <v>21.91</v>
      </c>
      <c r="Q8" s="32" t="n">
        <v>511.28</v>
      </c>
      <c r="R8" s="31" t="inlineStr">
        <is>
          <t>Near 52W High Breakout</t>
        </is>
      </c>
      <c r="S8" s="31" t="inlineStr">
        <is>
          <t>Nifty Bank</t>
        </is>
      </c>
      <c r="T8" s="32" t="n">
        <v>3.83</v>
      </c>
      <c r="U8" s="32" t="n">
        <v>38.98</v>
      </c>
      <c r="V8" s="32" t="n">
        <v>33.86</v>
      </c>
      <c r="W8" s="32" t="n">
        <v>14.91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ESAFSFB</t>
        </is>
      </c>
      <c r="D9" s="31" t="inlineStr">
        <is>
          <t>ESAF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smallcap</t>
        </is>
      </c>
      <c r="H9" s="32" t="n">
        <v>2025.63</v>
      </c>
      <c r="I9" s="32" t="n">
        <v>40.41</v>
      </c>
      <c r="J9" s="32" t="n">
        <v>2.93</v>
      </c>
      <c r="K9" s="32" t="n">
        <v>1072727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66.23</v>
      </c>
      <c r="P9" s="32" t="n">
        <v>33.19</v>
      </c>
      <c r="Q9" s="32" t="n">
        <v>31.54</v>
      </c>
      <c r="R9" s="31" t="inlineStr">
        <is>
          <t>Near 52W High Breakout</t>
        </is>
      </c>
      <c r="S9" s="31" t="inlineStr">
        <is>
          <t>Nifty Bank</t>
        </is>
      </c>
      <c r="T9" s="32" t="n">
        <v>3.83</v>
      </c>
      <c r="U9" s="32" t="n">
        <v>37.12</v>
      </c>
      <c r="V9" s="32" t="n">
        <v>32.06</v>
      </c>
      <c r="W9" s="32" t="n">
        <v>16.65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midcap</t>
        </is>
      </c>
      <c r="H10" s="32" t="n">
        <v>5568.69</v>
      </c>
      <c r="I10" s="32" t="n">
        <v>123.7</v>
      </c>
      <c r="J10" s="32" t="n">
        <v>2.84</v>
      </c>
      <c r="K10" s="32" t="n">
        <v>17194399</v>
      </c>
      <c r="L10" s="31" t="n">
        <v>88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81.72</v>
      </c>
      <c r="P10" s="32" t="n">
        <v>54.37</v>
      </c>
      <c r="Q10" s="32" t="n">
        <v>98.31999999999999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3.83</v>
      </c>
      <c r="U10" s="32" t="n">
        <v>101.18</v>
      </c>
      <c r="V10" s="32" t="n">
        <v>93.75</v>
      </c>
      <c r="W10" s="32" t="n">
        <v>31.26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LTF</t>
        </is>
      </c>
      <c r="D11" s="31" t="inlineStr">
        <is>
          <t>L&amp;T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78923.45</v>
      </c>
      <c r="I11" s="32" t="n">
        <v>325.1</v>
      </c>
      <c r="J11" s="32" t="n">
        <v>3.21</v>
      </c>
      <c r="K11" s="32" t="n">
        <v>30240108</v>
      </c>
      <c r="L11" s="31" t="n">
        <v>54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61.07</v>
      </c>
      <c r="P11" s="32" t="n">
        <v>25.13</v>
      </c>
      <c r="Q11" s="32" t="n">
        <v>264.63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3.83</v>
      </c>
      <c r="U11" s="32" t="n">
        <v>47.48</v>
      </c>
      <c r="V11" s="32" t="n">
        <v>42.04</v>
      </c>
      <c r="W11" s="32" t="n">
        <v>13.02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AUBANK</t>
        </is>
      </c>
      <c r="D12" s="31" t="inlineStr">
        <is>
          <t>AU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80304.77</v>
      </c>
      <c r="I12" s="32" t="n">
        <v>1075.7</v>
      </c>
      <c r="J12" s="32" t="n">
        <v>0.33</v>
      </c>
      <c r="K12" s="32" t="n">
        <v>879847</v>
      </c>
      <c r="L12" s="31" t="n">
        <v>45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60.14</v>
      </c>
      <c r="P12" s="32" t="n">
        <v>23.75</v>
      </c>
      <c r="Q12" s="32" t="n">
        <v>905.79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3.83</v>
      </c>
      <c r="U12" s="32" t="n">
        <v>45.1</v>
      </c>
      <c r="V12" s="32" t="n">
        <v>39.75</v>
      </c>
      <c r="W12" s="32" t="n">
        <v>10.21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MUFIN</t>
        </is>
      </c>
      <c r="D13" s="31" t="inlineStr">
        <is>
          <t>Mufin Green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2692.43</v>
      </c>
      <c r="I13" s="32" t="n">
        <v>135.82</v>
      </c>
      <c r="J13" s="32" t="n">
        <v>-0.04</v>
      </c>
      <c r="K13" s="32" t="n">
        <v>718967</v>
      </c>
      <c r="L13" s="31" t="n">
        <v>51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63.46</v>
      </c>
      <c r="P13" s="32" t="n">
        <v>36.19</v>
      </c>
      <c r="Q13" s="32" t="n">
        <v>112.67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3.83</v>
      </c>
      <c r="U13" s="32" t="n">
        <v>54.48</v>
      </c>
      <c r="V13" s="32" t="n">
        <v>48.78</v>
      </c>
      <c r="W13" s="32" t="n">
        <v>11.88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IDFCFIRSTB</t>
        </is>
      </c>
      <c r="D14" s="31" t="inlineStr">
        <is>
          <t>IDFC First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73268.33</v>
      </c>
      <c r="I14" s="32" t="n">
        <v>84.76000000000001</v>
      </c>
      <c r="J14" s="32" t="n">
        <v>-0.34</v>
      </c>
      <c r="K14" s="32" t="n">
        <v>25611529</v>
      </c>
      <c r="L14" s="31" t="n">
        <v>42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65.73999999999999</v>
      </c>
      <c r="P14" s="32" t="n">
        <v>24.1</v>
      </c>
      <c r="Q14" s="32" t="n">
        <v>73.90000000000001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3.83</v>
      </c>
      <c r="U14" s="32" t="n">
        <v>22</v>
      </c>
      <c r="V14" s="32" t="n">
        <v>17.5</v>
      </c>
      <c r="W14" s="32" t="n">
        <v>9.67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PNBHOUSING</t>
        </is>
      </c>
      <c r="D15" s="31" t="inlineStr">
        <is>
          <t>Pnb Housing Finance Limited</t>
        </is>
      </c>
      <c r="E15" s="31" t="inlineStr">
        <is>
          <t>financials</t>
        </is>
      </c>
      <c r="F15" s="31" t="inlineStr">
        <is>
          <t>finance - housing</t>
        </is>
      </c>
      <c r="G15" s="31" t="inlineStr">
        <is>
          <t>largecap</t>
        </is>
      </c>
      <c r="H15" s="32" t="n">
        <v>29988.69</v>
      </c>
      <c r="I15" s="32" t="n">
        <v>1145.8</v>
      </c>
      <c r="J15" s="32" t="n">
        <v>-0.43</v>
      </c>
      <c r="K15" s="32" t="n">
        <v>2213551</v>
      </c>
      <c r="L15" s="31" t="n">
        <v>43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66.97</v>
      </c>
      <c r="P15" s="32" t="n">
        <v>33.19</v>
      </c>
      <c r="Q15" s="32" t="n">
        <v>958.28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3.83</v>
      </c>
      <c r="U15" s="32" t="n">
        <v>44.39</v>
      </c>
      <c r="V15" s="32" t="n">
        <v>39.06</v>
      </c>
      <c r="W15" s="32" t="n">
        <v>9.880000000000001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M&amp;MFIN</t>
        </is>
      </c>
      <c r="D16" s="31" t="inlineStr">
        <is>
          <t>Mahindra &amp; Mahindra Financial Services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54055.98</v>
      </c>
      <c r="I16" s="32" t="n">
        <v>386.1</v>
      </c>
      <c r="J16" s="32" t="n">
        <v>-0.72</v>
      </c>
      <c r="K16" s="32" t="n">
        <v>1441684</v>
      </c>
      <c r="L16" s="31" t="n">
        <v>67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62.84</v>
      </c>
      <c r="P16" s="32" t="n">
        <v>23.89</v>
      </c>
      <c r="Q16" s="32" t="n">
        <v>326.28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3.83</v>
      </c>
      <c r="U16" s="32" t="n">
        <v>50.15</v>
      </c>
      <c r="V16" s="32" t="n">
        <v>44.61</v>
      </c>
      <c r="W16" s="32" t="n">
        <v>16.64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GEECEE</t>
        </is>
      </c>
      <c r="D17" s="31" t="inlineStr">
        <is>
          <t>Geecee Ventures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771.22</v>
      </c>
      <c r="I17" s="32" t="n">
        <v>365.05</v>
      </c>
      <c r="J17" s="32" t="n">
        <v>-1.02</v>
      </c>
      <c r="K17" s="32" t="n">
        <v>214</v>
      </c>
      <c r="L17" s="31" t="n">
        <v>19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60.34</v>
      </c>
      <c r="P17" s="32" t="n">
        <v>35.5</v>
      </c>
      <c r="Q17" s="32" t="n">
        <v>287.77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3.83</v>
      </c>
      <c r="U17" s="32" t="n">
        <v>4.32</v>
      </c>
      <c r="V17" s="32" t="n">
        <v>0.47</v>
      </c>
      <c r="W17" s="32" t="n">
        <v>3.69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STEL</t>
        </is>
      </c>
      <c r="D18" s="31" t="inlineStr">
        <is>
          <t>Stel Holdings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1091.45</v>
      </c>
      <c r="I18" s="32" t="n">
        <v>585</v>
      </c>
      <c r="J18" s="32" t="n">
        <v>-1.08</v>
      </c>
      <c r="K18" s="32" t="n">
        <v>6585</v>
      </c>
      <c r="L18" s="31" t="n">
        <v>57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63.14</v>
      </c>
      <c r="P18" s="32" t="n">
        <v>20.38</v>
      </c>
      <c r="Q18" s="32" t="n">
        <v>450.02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3.83</v>
      </c>
      <c r="U18" s="32" t="n">
        <v>35.36</v>
      </c>
      <c r="V18" s="32" t="n">
        <v>30.36</v>
      </c>
      <c r="W18" s="32" t="n">
        <v>13.54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IFCI</t>
        </is>
      </c>
      <c r="D19" s="31" t="inlineStr">
        <is>
          <t>Ifci Limited</t>
        </is>
      </c>
      <c r="E19" s="31" t="inlineStr">
        <is>
          <t>financials</t>
        </is>
      </c>
      <c r="F19" s="31" t="inlineStr">
        <is>
          <t>finance - term-lending institutions</t>
        </is>
      </c>
      <c r="G19" s="31" t="inlineStr">
        <is>
          <t>largecap</t>
        </is>
      </c>
      <c r="H19" s="32" t="n">
        <v>21266.22</v>
      </c>
      <c r="I19" s="32" t="n">
        <v>81.36</v>
      </c>
      <c r="J19" s="32" t="n">
        <v>3.08</v>
      </c>
      <c r="K19" s="32" t="n">
        <v>49975029</v>
      </c>
      <c r="L19" s="31" t="n">
        <v>66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62.2</v>
      </c>
      <c r="P19" s="32" t="n">
        <v>43.23</v>
      </c>
      <c r="Q19" s="32" t="n">
        <v>64.16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3.83</v>
      </c>
      <c r="U19" s="32" t="n">
        <v>50.56</v>
      </c>
      <c r="V19" s="32" t="n">
        <v>45</v>
      </c>
      <c r="W19" s="32" t="n">
        <v>16.11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ANANDRATHI</t>
        </is>
      </c>
      <c r="D20" s="31" t="inlineStr">
        <is>
          <t>Anand Rathi Wealth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36130.58</v>
      </c>
      <c r="I20" s="32" t="n">
        <v>2194.8</v>
      </c>
      <c r="J20" s="32" t="n">
        <v>0.86</v>
      </c>
      <c r="K20" s="32" t="n">
        <v>132304</v>
      </c>
      <c r="L20" s="31" t="n">
        <v>59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75.75</v>
      </c>
      <c r="P20" s="32" t="n">
        <v>53.39</v>
      </c>
      <c r="Q20" s="32" t="n">
        <v>1898.54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3.83</v>
      </c>
      <c r="U20" s="32" t="n">
        <v>57.04</v>
      </c>
      <c r="V20" s="32" t="n">
        <v>51.24</v>
      </c>
      <c r="W20" s="32" t="n">
        <v>14.38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PRUDENT</t>
        </is>
      </c>
      <c r="D21" s="31" t="inlineStr">
        <is>
          <t>Prudent Corporate Advisory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midcap</t>
        </is>
      </c>
      <c r="H21" s="32" t="n">
        <v>13821.55</v>
      </c>
      <c r="I21" s="32" t="n">
        <v>3365</v>
      </c>
      <c r="J21" s="32" t="n">
        <v>0.8100000000000001</v>
      </c>
      <c r="K21" s="32" t="n">
        <v>16403</v>
      </c>
      <c r="L21" s="31" t="n">
        <v>40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67.59</v>
      </c>
      <c r="P21" s="32" t="n">
        <v>29.73</v>
      </c>
      <c r="Q21" s="32" t="n">
        <v>2739.76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3.83</v>
      </c>
      <c r="U21" s="32" t="n">
        <v>16.12</v>
      </c>
      <c r="V21" s="32" t="n">
        <v>11.84</v>
      </c>
      <c r="W21" s="32" t="n">
        <v>9.300000000000001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BAJFINANCE</t>
        </is>
      </c>
      <c r="D22" s="31" t="inlineStr">
        <is>
          <t>Bajaj Finance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678193.2</v>
      </c>
      <c r="I22" s="32" t="n">
        <v>1094.3</v>
      </c>
      <c r="J22" s="32" t="n">
        <v>0.46</v>
      </c>
      <c r="K22" s="32" t="n">
        <v>9448095</v>
      </c>
      <c r="L22" s="31" t="n">
        <v>38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61.41</v>
      </c>
      <c r="P22" s="32" t="n">
        <v>23.71</v>
      </c>
      <c r="Q22" s="32" t="n">
        <v>953.04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3.83</v>
      </c>
      <c r="U22" s="32" t="n">
        <v>23.09</v>
      </c>
      <c r="V22" s="32" t="n">
        <v>18.55</v>
      </c>
      <c r="W22" s="32" t="n">
        <v>8.81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SHRIRAMFIN</t>
        </is>
      </c>
      <c r="D23" s="31" t="inlineStr">
        <is>
          <t>Shriram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263997.08</v>
      </c>
      <c r="I23" s="32" t="n">
        <v>1108.4</v>
      </c>
      <c r="J23" s="32" t="n">
        <v>-1.21</v>
      </c>
      <c r="K23" s="32" t="n">
        <v>5203850</v>
      </c>
      <c r="L23" s="31" t="n">
        <v>70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63.1</v>
      </c>
      <c r="P23" s="32" t="n">
        <v>17.85</v>
      </c>
      <c r="Q23" s="32" t="n">
        <v>921.38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3.83</v>
      </c>
      <c r="U23" s="32" t="n">
        <v>82.09999999999999</v>
      </c>
      <c r="V23" s="32" t="n">
        <v>75.38</v>
      </c>
      <c r="W23" s="32" t="n">
        <v>17.78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SMCGLOBAL</t>
        </is>
      </c>
      <c r="D24" s="31" t="inlineStr">
        <is>
          <t>SMC Global Securities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1683.79</v>
      </c>
      <c r="I24" s="32" t="n">
        <v>80.75</v>
      </c>
      <c r="J24" s="32" t="n">
        <v>0.42</v>
      </c>
      <c r="K24" s="32" t="n">
        <v>433331</v>
      </c>
      <c r="L24" s="31" t="n">
        <v>54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59.46</v>
      </c>
      <c r="P24" s="32" t="n">
        <v>18.75</v>
      </c>
      <c r="Q24" s="32" t="n">
        <v>62.9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3.83</v>
      </c>
      <c r="U24" s="32" t="n">
        <v>20.85</v>
      </c>
      <c r="V24" s="32" t="n">
        <v>16.39</v>
      </c>
      <c r="W24" s="32" t="n">
        <v>12.71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KARURVYSYA</t>
        </is>
      </c>
      <c r="D25" s="31" t="inlineStr">
        <is>
          <t>Karur Vysya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32286.74</v>
      </c>
      <c r="I25" s="32" t="n">
        <v>333.9</v>
      </c>
      <c r="J25" s="32" t="n">
        <v>-0.03</v>
      </c>
      <c r="K25" s="32" t="n">
        <v>1036705</v>
      </c>
      <c r="L25" s="31" t="n">
        <v>58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65.33</v>
      </c>
      <c r="P25" s="32" t="n">
        <v>21.77</v>
      </c>
      <c r="Q25" s="32" t="n">
        <v>285.94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3.83</v>
      </c>
      <c r="U25" s="32" t="n">
        <v>56.39</v>
      </c>
      <c r="V25" s="32" t="n">
        <v>50.62</v>
      </c>
      <c r="W25" s="32" t="n">
        <v>13.67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MONARCH</t>
        </is>
      </c>
      <c r="D26" s="31" t="inlineStr">
        <is>
          <t>Monarch Networth Capital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3085.49</v>
      </c>
      <c r="I26" s="32" t="n">
        <v>385.05</v>
      </c>
      <c r="J26" s="32" t="n">
        <v>-1.03</v>
      </c>
      <c r="K26" s="32" t="n">
        <v>118299</v>
      </c>
      <c r="L26" s="31" t="n">
        <v>34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70.11</v>
      </c>
      <c r="P26" s="32" t="n">
        <v>33.79</v>
      </c>
      <c r="Q26" s="32" t="n">
        <v>316.86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3.83</v>
      </c>
      <c r="U26" s="32" t="n">
        <v>16.11</v>
      </c>
      <c r="V26" s="32" t="n">
        <v>11.82</v>
      </c>
      <c r="W26" s="32" t="n">
        <v>7.78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GEOJITFSL</t>
        </is>
      </c>
      <c r="D27" s="31" t="inlineStr">
        <is>
          <t>Geojit Financial Services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2213.72</v>
      </c>
      <c r="I27" s="32" t="n">
        <v>80.5</v>
      </c>
      <c r="J27" s="32" t="n">
        <v>1.5</v>
      </c>
      <c r="K27" s="32" t="n">
        <v>250678</v>
      </c>
      <c r="L27" s="31" t="n">
        <v>22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61.72</v>
      </c>
      <c r="P27" s="32" t="n">
        <v>12.99</v>
      </c>
      <c r="Q27" s="32" t="n">
        <v>64.19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3.83</v>
      </c>
      <c r="U27" s="32" t="n">
        <v>11.34</v>
      </c>
      <c r="V27" s="32" t="n">
        <v>7.23</v>
      </c>
      <c r="W27" s="32" t="n">
        <v>4.76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5PAISA</t>
        </is>
      </c>
      <c r="D28" s="31" t="inlineStr">
        <is>
          <t>5Paisa Capital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1785.28</v>
      </c>
      <c r="I28" s="32" t="n">
        <v>385</v>
      </c>
      <c r="J28" s="32" t="n">
        <v>1.1</v>
      </c>
      <c r="K28" s="32" t="n">
        <v>191663</v>
      </c>
      <c r="L28" s="31" t="n">
        <v>26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61.18</v>
      </c>
      <c r="P28" s="32" t="n">
        <v>18.51</v>
      </c>
      <c r="Q28" s="32" t="n">
        <v>290.18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3.83</v>
      </c>
      <c r="U28" s="32" t="n">
        <v>5.23</v>
      </c>
      <c r="V28" s="32" t="n">
        <v>1.35</v>
      </c>
      <c r="W28" s="32" t="n">
        <v>5.99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IF(B29=0,"",RANK(B29,$B$2:$B$37,0))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NIACL</t>
        </is>
      </c>
      <c r="D29" s="33" t="inlineStr">
        <is>
          <t>New India Assurance Company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30263.87</v>
      </c>
      <c r="I29" s="32" t="n">
        <v>184.08</v>
      </c>
      <c r="J29" s="32" t="n">
        <v>0.24</v>
      </c>
      <c r="K29" s="32" t="n">
        <v>1033947</v>
      </c>
      <c r="L29" s="31" t="n">
        <v>13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59.33</v>
      </c>
      <c r="P29" s="32" t="n">
        <v>25.16</v>
      </c>
      <c r="Q29" s="32" t="n">
        <v>155.84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3.83</v>
      </c>
      <c r="U29" s="32" t="n">
        <v>-4.51</v>
      </c>
      <c r="V29" s="32" t="n">
        <v>-8.039999999999999</v>
      </c>
      <c r="W29" s="32" t="n">
        <v>2.2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MCX</t>
        </is>
      </c>
      <c r="D30" s="31" t="inlineStr">
        <is>
          <t>Multi Commodity Exchange Of India Limited</t>
        </is>
      </c>
      <c r="E30" s="31" t="inlineStr">
        <is>
          <t>financials</t>
        </is>
      </c>
      <c r="F30" s="31" t="inlineStr">
        <is>
          <t>miscellaneous</t>
        </is>
      </c>
      <c r="G30" s="31" t="inlineStr">
        <is>
          <t>largecap</t>
        </is>
      </c>
      <c r="H30" s="32" t="n">
        <v>74791.66</v>
      </c>
      <c r="I30" s="32" t="n">
        <v>3040</v>
      </c>
      <c r="J30" s="32" t="n">
        <v>3.64</v>
      </c>
      <c r="K30" s="32" t="n">
        <v>9502744</v>
      </c>
      <c r="L30" s="31" t="n">
        <v>57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63</v>
      </c>
      <c r="P30" s="32" t="n">
        <v>23.22</v>
      </c>
      <c r="Q30" s="32" t="n">
        <v>2619.48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3.83</v>
      </c>
      <c r="U30" s="32" t="n">
        <v>90.95</v>
      </c>
      <c r="V30" s="32" t="n">
        <v>83.91</v>
      </c>
      <c r="W30" s="32" t="n">
        <v>13.56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POONAWALLA</t>
        </is>
      </c>
      <c r="D31" s="31" t="inlineStr">
        <is>
          <t>Poonawalla Fincorp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43800.41</v>
      </c>
      <c r="I31" s="32" t="n">
        <v>497.9</v>
      </c>
      <c r="J31" s="32" t="n">
        <v>0.09</v>
      </c>
      <c r="K31" s="32" t="n">
        <v>600609</v>
      </c>
      <c r="L31" s="31" t="n">
        <v>31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63.18</v>
      </c>
      <c r="P31" s="32" t="n">
        <v>16.98</v>
      </c>
      <c r="Q31" s="32" t="n">
        <v>402.75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3.83</v>
      </c>
      <c r="U31" s="32" t="n">
        <v>6.96</v>
      </c>
      <c r="V31" s="32" t="n">
        <v>3.01</v>
      </c>
      <c r="W31" s="32" t="n">
        <v>7.03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INDIANB</t>
        </is>
      </c>
      <c r="D32" s="31" t="inlineStr">
        <is>
          <t>Indian Bank Ltd</t>
        </is>
      </c>
      <c r="E32" s="31" t="inlineStr">
        <is>
          <t>bank</t>
        </is>
      </c>
      <c r="F32" s="31" t="inlineStr">
        <is>
          <t>banks - public sector</t>
        </is>
      </c>
      <c r="G32" s="31" t="inlineStr">
        <is>
          <t>largecap</t>
        </is>
      </c>
      <c r="H32" s="32" t="n">
        <v>118694.47</v>
      </c>
      <c r="I32" s="32" t="n">
        <v>875</v>
      </c>
      <c r="J32" s="32" t="n">
        <v>-0.7</v>
      </c>
      <c r="K32" s="32" t="n">
        <v>1355064</v>
      </c>
      <c r="L32" s="31" t="n">
        <v>36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54.13</v>
      </c>
      <c r="P32" s="32" t="n">
        <v>9.67</v>
      </c>
      <c r="Q32" s="32" t="n">
        <v>735.22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3.83</v>
      </c>
      <c r="U32" s="32" t="n">
        <v>33.33</v>
      </c>
      <c r="V32" s="32" t="n">
        <v>28.41</v>
      </c>
      <c r="W32" s="32" t="n">
        <v>8.369999999999999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SHAREINDIA</t>
        </is>
      </c>
      <c r="D33" s="31" t="inlineStr">
        <is>
          <t>Share India Securities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3828.57</v>
      </c>
      <c r="I33" s="32" t="n">
        <v>178.08</v>
      </c>
      <c r="J33" s="32" t="n">
        <v>1.78</v>
      </c>
      <c r="K33" s="32" t="n">
        <v>753662</v>
      </c>
      <c r="L33" s="31" t="n">
        <v>41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60.68</v>
      </c>
      <c r="P33" s="32" t="n">
        <v>21.34</v>
      </c>
      <c r="Q33" s="32" t="n">
        <v>144.26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3.83</v>
      </c>
      <c r="U33" s="32" t="n">
        <v>18.08</v>
      </c>
      <c r="V33" s="32" t="n">
        <v>13.73</v>
      </c>
      <c r="W33" s="32" t="n">
        <v>9.449999999999999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PNB</t>
        </is>
      </c>
      <c r="D34" s="31" t="inlineStr">
        <is>
          <t>Punjab National Bank Ltd</t>
        </is>
      </c>
      <c r="E34" s="31" t="inlineStr">
        <is>
          <t>bank</t>
        </is>
      </c>
      <c r="F34" s="31" t="inlineStr">
        <is>
          <t>banks - public sector</t>
        </is>
      </c>
      <c r="G34" s="31" t="inlineStr">
        <is>
          <t>largecap</t>
        </is>
      </c>
      <c r="H34" s="32" t="n">
        <v>134835.21</v>
      </c>
      <c r="I34" s="32" t="n">
        <v>116.5</v>
      </c>
      <c r="J34" s="32" t="n">
        <v>-0.7</v>
      </c>
      <c r="K34" s="32" t="n">
        <v>23117862</v>
      </c>
      <c r="L34" s="31" t="n">
        <v>30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59.16</v>
      </c>
      <c r="P34" s="32" t="n">
        <v>10.03</v>
      </c>
      <c r="Q34" s="32" t="n">
        <v>101.69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3.83</v>
      </c>
      <c r="U34" s="32" t="n">
        <v>13.86</v>
      </c>
      <c r="V34" s="32" t="n">
        <v>9.66</v>
      </c>
      <c r="W34" s="32" t="n">
        <v>6.98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UNIONBANK</t>
        </is>
      </c>
      <c r="D35" s="31" t="inlineStr">
        <is>
          <t>Union Bank Of India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144198.81</v>
      </c>
      <c r="I35" s="32" t="n">
        <v>185.5</v>
      </c>
      <c r="J35" s="32" t="n">
        <v>-1.8</v>
      </c>
      <c r="K35" s="32" t="n">
        <v>13048472</v>
      </c>
      <c r="L35" s="31" t="n">
        <v>52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63.43</v>
      </c>
      <c r="P35" s="32" t="n">
        <v>18.67</v>
      </c>
      <c r="Q35" s="32" t="n">
        <v>155.5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3.83</v>
      </c>
      <c r="U35" s="32" t="n">
        <v>41.72</v>
      </c>
      <c r="V35" s="32" t="n">
        <v>36.49</v>
      </c>
      <c r="W35" s="32" t="n">
        <v>12.21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IF(B36=0,"",RANK(B36,$B$2:$B$37,0))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BAJAJFINSV</t>
        </is>
      </c>
      <c r="D36" s="33" t="inlineStr">
        <is>
          <t>Bajaj Finserv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320910.27</v>
      </c>
      <c r="I36" s="32" t="n">
        <v>2011.2</v>
      </c>
      <c r="J36" s="32" t="n">
        <v>0.31</v>
      </c>
      <c r="K36" s="32" t="n">
        <v>1172273</v>
      </c>
      <c r="L36" s="31" t="n">
        <v>19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59.92</v>
      </c>
      <c r="P36" s="32" t="n">
        <v>17.86</v>
      </c>
      <c r="Q36" s="32" t="n">
        <v>1750.08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3.83</v>
      </c>
      <c r="U36" s="32" t="n">
        <v>2.39</v>
      </c>
      <c r="V36" s="32" t="n">
        <v>-1.39</v>
      </c>
      <c r="W36" s="32" t="n">
        <v>3.69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IF(B37=0,"",RANK(B37,$B$2:$B$37,0))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MOTILALOFS</t>
        </is>
      </c>
      <c r="D37" s="33" t="inlineStr">
        <is>
          <t>Motilal Oswal Financial Services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57505.01</v>
      </c>
      <c r="I37" s="32" t="n">
        <v>938</v>
      </c>
      <c r="J37" s="32" t="n">
        <v>-1.78</v>
      </c>
      <c r="K37" s="32" t="n">
        <v>3103009</v>
      </c>
      <c r="L37" s="31" t="n">
        <v>17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57.95</v>
      </c>
      <c r="P37" s="32" t="n">
        <v>15.44</v>
      </c>
      <c r="Q37" s="32" t="n">
        <v>792.99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3.83</v>
      </c>
      <c r="U37" s="32" t="n">
        <v>1.76</v>
      </c>
      <c r="V37" s="32" t="n">
        <v>-2</v>
      </c>
      <c r="W37" s="32" t="n">
        <v>3.02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</sheetData>
  <autoFilter ref="A1:CA37"/>
  <conditionalFormatting sqref="B2:B3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7">
    <cfRule type="cellIs" priority="34" operator="equal" dxfId="3" stopIfTrue="1">
      <formula>"Underperforming"</formula>
    </cfRule>
  </conditionalFormatting>
  <conditionalFormatting sqref="N2:N37">
    <cfRule type="cellIs" priority="35" operator="equal" dxfId="3" stopIfTrue="1">
      <formula>-5</formula>
    </cfRule>
  </conditionalFormatting>
  <conditionalFormatting sqref="Q2:Q3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7" showDropDown="0" showInputMessage="0" showErrorMessage="0" allowBlank="1" type="list">
      <formula1>"Growing Industry,Stagnant Industry,Cyclical in an Upturn"</formula1>
    </dataValidation>
    <dataValidation sqref="Z2:Z37" showDropDown="0" showInputMessage="0" showErrorMessage="0" allowBlank="1" type="list">
      <formula1>"Fragmented with Low ROE,Fragmented with High ROE,Highly Cyclical"</formula1>
    </dataValidation>
    <dataValidation sqref="AB2:AB37" showDropDown="0" showInputMessage="0" showErrorMessage="0" allowBlank="1" type="list">
      <formula1>"Yes,No"</formula1>
    </dataValidation>
    <dataValidation sqref="AD2:AD37" showDropDown="0" showInputMessage="0" showErrorMessage="0" allowBlank="1" type="list">
      <formula1>"Tailwind,Headwind"</formula1>
    </dataValidation>
    <dataValidation sqref="AF2:AF3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7" showDropDown="0" showInputMessage="0" showErrorMessage="0" allowBlank="1" type="list">
      <formula1>"Yes,No"</formula1>
    </dataValidation>
    <dataValidation sqref="AJ2:AJ37" showDropDown="0" showInputMessage="0" showErrorMessage="0" allowBlank="1" type="list">
      <formula1>"Yes,No,Not Applicable"</formula1>
    </dataValidation>
    <dataValidation sqref="AL2:AL37" showDropDown="0" showInputMessage="0" showErrorMessage="0" allowBlank="1" type="list">
      <formula1>"Yes,No"</formula1>
    </dataValidation>
    <dataValidation sqref="AN2:AN37" showDropDown="0" showInputMessage="0" showErrorMessage="0" allowBlank="1" type="list">
      <formula1>"Yes,No"</formula1>
    </dataValidation>
    <dataValidation sqref="AP2:AP37" showDropDown="0" showInputMessage="0" showErrorMessage="0" allowBlank="1" type="list">
      <formula1>"Yes,No"</formula1>
    </dataValidation>
    <dataValidation sqref="AR2:AR37" showDropDown="0" showInputMessage="0" showErrorMessage="0" allowBlank="1" type="list">
      <formula1>"Yes,No"</formula1>
    </dataValidation>
    <dataValidation sqref="AT2:AT37" showDropDown="0" showInputMessage="0" showErrorMessage="0" allowBlank="1" type="list">
      <formula1>"No,Yes"</formula1>
    </dataValidation>
    <dataValidation sqref="AV2:AV37" showDropDown="0" showInputMessage="0" showErrorMessage="0" allowBlank="1" type="list">
      <formula1>"No,Yes"</formula1>
    </dataValidation>
    <dataValidation sqref="AX2:AX37" showDropDown="0" showInputMessage="0" showErrorMessage="0" allowBlank="1" type="list">
      <formula1>"No,Yes CEO Resignation,Yes CEO Retirement"</formula1>
    </dataValidation>
    <dataValidation sqref="AZ2:AZ37" showDropDown="0" showInputMessage="0" showErrorMessage="0" allowBlank="1" type="list">
      <formula1>"No,Yes"</formula1>
    </dataValidation>
    <dataValidation sqref="BB2:BB37" showDropDown="0" showInputMessage="0" showErrorMessage="0" allowBlank="1" type="list">
      <formula1>"No,Yes"</formula1>
    </dataValidation>
    <dataValidation sqref="BD2:BD37" showDropDown="0" showInputMessage="0" showErrorMessage="0" allowBlank="1" type="list">
      <formula1>"Yes,No"</formula1>
    </dataValidation>
    <dataValidation sqref="BF2:BF37" showDropDown="0" showInputMessage="0" showErrorMessage="0" allowBlank="1" type="list">
      <formula1>"Yes,No"</formula1>
    </dataValidation>
    <dataValidation sqref="BH2:BH37" showDropDown="0" showInputMessage="0" showErrorMessage="0" allowBlank="1" type="list">
      <formula1>"Yes,No"</formula1>
    </dataValidation>
    <dataValidation sqref="BJ2:BJ3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7" showDropDown="0" showInputMessage="0" showErrorMessage="0" allowBlank="1" type="list">
      <formula1>"Above 40,20 to 40,0 to 20"</formula1>
    </dataValidation>
    <dataValidation sqref="BN2:BN37" showDropDown="0" showInputMessage="0" showErrorMessage="0" allowBlank="1" type="list">
      <formula1>"Between 50 to 75,Above 75,Below 45"</formula1>
    </dataValidation>
    <dataValidation sqref="BP2:BP37" showDropDown="0" showInputMessage="0" showErrorMessage="0" allowBlank="1" type="list">
      <formula1>"Stage 1,Stage 2,Stage 3,Stage 4"</formula1>
    </dataValidation>
    <dataValidation sqref="BR2:BR37" showDropDown="0" showInputMessage="0" showErrorMessage="0" allowBlank="1" type="list">
      <formula1>"Positive Trend,Negative Trend"</formula1>
    </dataValidation>
    <dataValidation sqref="BT2:BT37" showDropDown="0" showInputMessage="0" showErrorMessage="0" allowBlank="1" type="list">
      <formula1>"Uptrend,Sideways,Downtrend"</formula1>
    </dataValidation>
    <dataValidation sqref="BV2:BV37" showDropDown="0" showInputMessage="0" showErrorMessage="0" allowBlank="1" type="list">
      <formula1>"Uptrend,Sideways,Downtrend"</formula1>
    </dataValidation>
    <dataValidation sqref="BX2:BX3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10</v>
      </c>
      <c r="H2" s="31" t="inlineStr">
        <is>
          <t>RADICO</t>
        </is>
      </c>
      <c r="I2" s="31" t="inlineStr">
        <is>
          <t>Radico Khaitan Limited</t>
        </is>
      </c>
      <c r="J2" s="31" t="inlineStr">
        <is>
          <t>fmcg</t>
        </is>
      </c>
      <c r="K2" s="31" t="inlineStr">
        <is>
          <t>breweries &amp; distilleries</t>
        </is>
      </c>
      <c r="L2" s="31" t="inlineStr">
        <is>
          <t>largecap</t>
        </is>
      </c>
      <c r="M2" s="32" t="n">
        <v>62859.34</v>
      </c>
      <c r="N2" s="32" t="n">
        <v>4732.9</v>
      </c>
      <c r="O2" s="32" t="n">
        <v>0.84</v>
      </c>
      <c r="P2" s="32" t="n">
        <v>810934</v>
      </c>
      <c r="Q2" s="31" t="n">
        <v>80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87.75</v>
      </c>
      <c r="U2" s="32" t="n">
        <v>65.58</v>
      </c>
      <c r="V2" s="32" t="n">
        <v>4086.02</v>
      </c>
      <c r="W2" s="31" t="inlineStr">
        <is>
          <t>Near 52W High Breakout</t>
        </is>
      </c>
      <c r="X2" s="31" t="inlineStr">
        <is>
          <t>Nifty FMCG</t>
        </is>
      </c>
      <c r="Y2" s="32" t="n">
        <v>-12.54</v>
      </c>
      <c r="Z2" s="32" t="n">
        <v>75.54000000000001</v>
      </c>
      <c r="AA2" s="32" t="n">
        <v>100.72</v>
      </c>
      <c r="AB2" s="32" t="n">
        <v>23.28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32</v>
      </c>
      <c r="H3" s="31" t="inlineStr">
        <is>
          <t>PARAS</t>
        </is>
      </c>
      <c r="I3" s="31" t="inlineStr">
        <is>
          <t>Paras Defence and Space Technologies Ltd</t>
        </is>
      </c>
      <c r="J3" s="31" t="inlineStr">
        <is>
          <t>aerospace &amp; defence</t>
        </is>
      </c>
      <c r="K3" s="31" t="inlineStr">
        <is>
          <t>engineering</t>
        </is>
      </c>
      <c r="L3" s="31" t="inlineStr">
        <is>
          <t>midcap</t>
        </is>
      </c>
      <c r="M3" s="32" t="n">
        <v>11189.55</v>
      </c>
      <c r="N3" s="32" t="n">
        <v>1527.3</v>
      </c>
      <c r="O3" s="32" t="n">
        <v>10</v>
      </c>
      <c r="P3" s="32" t="n">
        <v>5405217</v>
      </c>
      <c r="Q3" s="31" t="n">
        <v>93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74.11</v>
      </c>
      <c r="U3" s="32" t="n">
        <v>62.14</v>
      </c>
      <c r="V3" s="32" t="n">
        <v>1138.24</v>
      </c>
      <c r="W3" s="31" t="inlineStr">
        <is>
          <t>Near 52W High Breakout</t>
        </is>
      </c>
      <c r="X3" s="31" t="inlineStr">
        <is>
          <t>Nifty 50</t>
        </is>
      </c>
      <c r="Y3" s="32" t="n">
        <v>-2.88</v>
      </c>
      <c r="Z3" s="32" t="n">
        <v>123.34</v>
      </c>
      <c r="AA3" s="32" t="n">
        <v>129.95</v>
      </c>
      <c r="AB3" s="32" t="n">
        <v>39.43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139.6</v>
      </c>
      <c r="E4" s="32" t="inlineStr">
        <is>
          <t>5%</t>
        </is>
      </c>
      <c r="F4" s="32" t="n">
        <v>50000</v>
      </c>
      <c r="G4" s="32" t="n">
        <v>197</v>
      </c>
      <c r="H4" s="31" t="inlineStr">
        <is>
          <t>MENONBE</t>
        </is>
      </c>
      <c r="I4" s="31" t="inlineStr">
        <is>
          <t>Menon Bearings Limited</t>
        </is>
      </c>
      <c r="J4" s="31" t="inlineStr">
        <is>
          <t>auto</t>
        </is>
      </c>
      <c r="K4" s="31" t="inlineStr">
        <is>
          <t>auto ancillaries</t>
        </is>
      </c>
      <c r="L4" s="31" t="inlineStr">
        <is>
          <t>smallcap</t>
        </is>
      </c>
      <c r="M4" s="32" t="n">
        <v>1351.46</v>
      </c>
      <c r="N4" s="32" t="n">
        <v>253.21</v>
      </c>
      <c r="O4" s="32" t="n">
        <v>5</v>
      </c>
      <c r="P4" s="32" t="n">
        <v>34069</v>
      </c>
      <c r="Q4" s="31" t="inlineStr"/>
      <c r="R4" s="31" t="inlineStr"/>
      <c r="S4" s="32">
        <f>IF(R4="Underperforming",-5,IF(Q4&gt;=95,15,IF(Q4&gt;=90,10,IF(Q4&gt;=80,5,0))))</f>
        <v/>
      </c>
      <c r="T4" s="32" t="n">
        <v>80.01000000000001</v>
      </c>
      <c r="U4" s="32" t="n">
        <v>55.7</v>
      </c>
      <c r="V4" s="32" t="n">
        <v>194.29</v>
      </c>
      <c r="W4" s="31" t="inlineStr">
        <is>
          <t>Near 52W High Breakout</t>
        </is>
      </c>
      <c r="X4" s="31" t="inlineStr">
        <is>
          <t>Nifty Auto</t>
        </is>
      </c>
      <c r="Y4" s="32" t="inlineStr"/>
      <c r="Z4" s="32" t="inlineStr"/>
      <c r="AA4" s="32" t="inlineStr"/>
      <c r="AB4" s="32" t="inlineStr"/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139.4</v>
      </c>
      <c r="E5" s="32" t="inlineStr">
        <is>
          <t>5%</t>
        </is>
      </c>
      <c r="F5" s="32" t="n">
        <v>50000</v>
      </c>
      <c r="G5" s="32" t="n">
        <v>576</v>
      </c>
      <c r="H5" s="31" t="inlineStr">
        <is>
          <t>FILATEX</t>
        </is>
      </c>
      <c r="I5" s="31" t="inlineStr">
        <is>
          <t>Filatex India Limited</t>
        </is>
      </c>
      <c r="J5" s="31" t="inlineStr">
        <is>
          <t>textiles</t>
        </is>
      </c>
      <c r="K5" s="31" t="inlineStr">
        <is>
          <t>textiles - manmade</t>
        </is>
      </c>
      <c r="L5" s="31" t="inlineStr">
        <is>
          <t>smallcap</t>
        </is>
      </c>
      <c r="M5" s="32" t="n">
        <v>3673.25</v>
      </c>
      <c r="N5" s="32" t="n">
        <v>86.75</v>
      </c>
      <c r="O5" s="32" t="n">
        <v>4.87</v>
      </c>
      <c r="P5" s="32" t="n">
        <v>5428534</v>
      </c>
      <c r="Q5" s="31" t="n">
        <v>92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80.29000000000001</v>
      </c>
      <c r="U5" s="32" t="n">
        <v>37.49</v>
      </c>
      <c r="V5" s="32" t="n">
        <v>67.01000000000001</v>
      </c>
      <c r="W5" s="31" t="inlineStr">
        <is>
          <t>Near 52W High Breakout</t>
        </is>
      </c>
      <c r="X5" s="31" t="inlineStr">
        <is>
          <t>Nifty 50</t>
        </is>
      </c>
      <c r="Y5" s="32" t="n">
        <v>-2.88</v>
      </c>
      <c r="Z5" s="32" t="n">
        <v>63.87</v>
      </c>
      <c r="AA5" s="32" t="n">
        <v>68.73</v>
      </c>
      <c r="AB5" s="32" t="n">
        <v>38.26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Between 12 to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139.3</v>
      </c>
      <c r="E6" s="32" t="inlineStr">
        <is>
          <t>5%</t>
        </is>
      </c>
      <c r="F6" s="32" t="n">
        <v>50000</v>
      </c>
      <c r="G6" s="32" t="n">
        <v>31</v>
      </c>
      <c r="H6" s="31" t="inlineStr">
        <is>
          <t>TDPOWERSYS</t>
        </is>
      </c>
      <c r="I6" s="31" t="inlineStr">
        <is>
          <t>Td Power Systems Limited</t>
        </is>
      </c>
      <c r="J6" s="31" t="inlineStr">
        <is>
          <t>industrials</t>
        </is>
      </c>
      <c r="K6" s="31" t="inlineStr">
        <is>
          <t>electric equipment</t>
        </is>
      </c>
      <c r="L6" s="31" t="inlineStr">
        <is>
          <t>largecap</t>
        </is>
      </c>
      <c r="M6" s="32" t="n">
        <v>24196.66</v>
      </c>
      <c r="N6" s="32" t="n">
        <v>1586.6</v>
      </c>
      <c r="O6" s="32" t="n">
        <v>2.44</v>
      </c>
      <c r="P6" s="32" t="n">
        <v>1797899</v>
      </c>
      <c r="Q6" s="31" t="n">
        <v>87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74.84999999999999</v>
      </c>
      <c r="U6" s="32" t="n">
        <v>29.63</v>
      </c>
      <c r="V6" s="32" t="n">
        <v>1172.4</v>
      </c>
      <c r="W6" s="31" t="inlineStr">
        <is>
          <t>Near 52W High Breakout</t>
        </is>
      </c>
      <c r="X6" s="31" t="inlineStr">
        <is>
          <t>Nifty 50</t>
        </is>
      </c>
      <c r="Y6" s="32" t="n">
        <v>-2.88</v>
      </c>
      <c r="Z6" s="32" t="n">
        <v>207</v>
      </c>
      <c r="AA6" s="32" t="n">
        <v>216.09</v>
      </c>
      <c r="AB6" s="32" t="n">
        <v>30.78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139.1</v>
      </c>
      <c r="E7" s="32" t="inlineStr">
        <is>
          <t>5%</t>
        </is>
      </c>
      <c r="F7" s="32" t="n">
        <v>50000</v>
      </c>
      <c r="G7" s="32" t="n">
        <v>26</v>
      </c>
      <c r="H7" s="31" t="inlineStr">
        <is>
          <t>WELCORP</t>
        </is>
      </c>
      <c r="I7" s="31" t="inlineStr">
        <is>
          <t>Welspun Corp Limited</t>
        </is>
      </c>
      <c r="J7" s="31" t="inlineStr">
        <is>
          <t>industrials</t>
        </is>
      </c>
      <c r="K7" s="31" t="inlineStr">
        <is>
          <t>steel - large</t>
        </is>
      </c>
      <c r="L7" s="31" t="inlineStr">
        <is>
          <t>largecap</t>
        </is>
      </c>
      <c r="M7" s="32" t="n">
        <v>49645.4</v>
      </c>
      <c r="N7" s="32" t="n">
        <v>1917.1</v>
      </c>
      <c r="O7" s="32" t="n">
        <v>1.87</v>
      </c>
      <c r="P7" s="32" t="n">
        <v>712596</v>
      </c>
      <c r="Q7" s="31" t="n">
        <v>90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89.51000000000001</v>
      </c>
      <c r="U7" s="32" t="n">
        <v>71.5</v>
      </c>
      <c r="V7" s="32" t="n">
        <v>1606.57</v>
      </c>
      <c r="W7" s="31" t="inlineStr">
        <is>
          <t>Near 52W High Breakout</t>
        </is>
      </c>
      <c r="X7" s="31" t="inlineStr">
        <is>
          <t>Nifty Metal</t>
        </is>
      </c>
      <c r="Y7" s="32" t="n">
        <v>38.2</v>
      </c>
      <c r="Z7" s="32" t="n">
        <v>116.88</v>
      </c>
      <c r="AA7" s="32" t="n">
        <v>56.93</v>
      </c>
      <c r="AB7" s="32" t="n">
        <v>33.1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</v>
      </c>
      <c r="E8" s="32" t="inlineStr">
        <is>
          <t>5%</t>
        </is>
      </c>
      <c r="F8" s="32" t="n">
        <v>50000</v>
      </c>
      <c r="G8" s="32" t="n">
        <v>91</v>
      </c>
      <c r="H8" s="31" t="inlineStr">
        <is>
          <t>BLISSGVS</t>
        </is>
      </c>
      <c r="I8" s="31" t="inlineStr">
        <is>
          <t>Bliss Gvs Pharma Limited</t>
        </is>
      </c>
      <c r="J8" s="31" t="inlineStr">
        <is>
          <t>healthcare</t>
        </is>
      </c>
      <c r="K8" s="31" t="inlineStr">
        <is>
          <t>pharmaceuticals - indian - formulations</t>
        </is>
      </c>
      <c r="L8" s="31" t="inlineStr">
        <is>
          <t>midcap</t>
        </is>
      </c>
      <c r="M8" s="32" t="n">
        <v>5520.23</v>
      </c>
      <c r="N8" s="32" t="n">
        <v>546.5</v>
      </c>
      <c r="O8" s="32" t="n">
        <v>5</v>
      </c>
      <c r="P8" s="32" t="n">
        <v>957967</v>
      </c>
      <c r="Q8" s="31" t="n">
        <v>97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80.33</v>
      </c>
      <c r="U8" s="32" t="n">
        <v>74.76000000000001</v>
      </c>
      <c r="V8" s="32" t="n">
        <v>413.65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18.4</v>
      </c>
      <c r="Z8" s="32" t="n">
        <v>240.21</v>
      </c>
      <c r="AA8" s="32" t="n">
        <v>187.34</v>
      </c>
      <c r="AB8" s="32" t="n">
        <v>47.65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Between 12 to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139.6</v>
      </c>
      <c r="E9" s="32" t="inlineStr">
        <is>
          <t>5%</t>
        </is>
      </c>
      <c r="F9" s="32" t="n">
        <v>50000</v>
      </c>
      <c r="G9" s="32" t="n">
        <v>217</v>
      </c>
      <c r="H9" s="31" t="inlineStr">
        <is>
          <t>HFCL</t>
        </is>
      </c>
      <c r="I9" s="31" t="inlineStr">
        <is>
          <t>HFCL Ltd</t>
        </is>
      </c>
      <c r="J9" s="31" t="inlineStr">
        <is>
          <t>telecom</t>
        </is>
      </c>
      <c r="K9" s="31" t="inlineStr">
        <is>
          <t>cables - telephone</t>
        </is>
      </c>
      <c r="L9" s="31" t="inlineStr">
        <is>
          <t>largecap</t>
        </is>
      </c>
      <c r="M9" s="32" t="n">
        <v>33596.72</v>
      </c>
      <c r="N9" s="32" t="n">
        <v>230.03</v>
      </c>
      <c r="O9" s="32" t="n">
        <v>4.8</v>
      </c>
      <c r="P9" s="32" t="n">
        <v>35739524</v>
      </c>
      <c r="Q9" s="31" t="inlineStr"/>
      <c r="R9" s="31" t="inlineStr"/>
      <c r="S9" s="32">
        <f>IF(R9="Underperforming",-5,IF(Q9&gt;=95,15,IF(Q9&gt;=90,10,IF(Q9&gt;=80,5,0))))</f>
        <v/>
      </c>
      <c r="T9" s="32" t="n">
        <v>74.95</v>
      </c>
      <c r="U9" s="32" t="n">
        <v>64.5</v>
      </c>
      <c r="V9" s="32" t="n">
        <v>172.04</v>
      </c>
      <c r="W9" s="31" t="inlineStr">
        <is>
          <t>Near 52W High Breakout</t>
        </is>
      </c>
      <c r="X9" s="31" t="inlineStr">
        <is>
          <t>Nifty Infra</t>
        </is>
      </c>
      <c r="Y9" s="32" t="inlineStr"/>
      <c r="Z9" s="32" t="inlineStr"/>
      <c r="AA9" s="32" t="inlineStr"/>
      <c r="AB9" s="32" t="inlineStr"/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Oligopoly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390</v>
      </c>
      <c r="H10" s="31" t="inlineStr">
        <is>
          <t>GHCLTEXTIL</t>
        </is>
      </c>
      <c r="I10" s="31" t="inlineStr">
        <is>
          <t>GHCL Textiles Ltd</t>
        </is>
      </c>
      <c r="J10" s="31" t="inlineStr">
        <is>
          <t>textiles</t>
        </is>
      </c>
      <c r="K10" s="31" t="inlineStr">
        <is>
          <t>textiles - spinning - synthetic / blended</t>
        </is>
      </c>
      <c r="L10" s="31" t="inlineStr">
        <is>
          <t>smallcap</t>
        </is>
      </c>
      <c r="M10" s="32" t="n">
        <v>1147.79</v>
      </c>
      <c r="N10" s="32" t="n">
        <v>127.94</v>
      </c>
      <c r="O10" s="32" t="n">
        <v>6.55</v>
      </c>
      <c r="P10" s="32" t="n">
        <v>2134661</v>
      </c>
      <c r="Q10" s="31" t="n">
        <v>74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73.84</v>
      </c>
      <c r="U10" s="32" t="n">
        <v>36.56</v>
      </c>
      <c r="V10" s="32" t="n">
        <v>100</v>
      </c>
      <c r="W10" s="31" t="inlineStr">
        <is>
          <t>Near 52W High Breakout</t>
        </is>
      </c>
      <c r="X10" s="31" t="inlineStr">
        <is>
          <t>Nifty 50</t>
        </is>
      </c>
      <c r="Y10" s="32" t="n">
        <v>-2.88</v>
      </c>
      <c r="Z10" s="32" t="n">
        <v>60.84</v>
      </c>
      <c r="AA10" s="32" t="n">
        <v>65.59999999999999</v>
      </c>
      <c r="AB10" s="32" t="n">
        <v>19.56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139.2</v>
      </c>
      <c r="E11" s="32" t="inlineStr">
        <is>
          <t>5%</t>
        </is>
      </c>
      <c r="F11" s="32" t="n">
        <v>50000</v>
      </c>
      <c r="G11" s="32" t="n">
        <v>9</v>
      </c>
      <c r="H11" s="31" t="inlineStr">
        <is>
          <t>NETWEB</t>
        </is>
      </c>
      <c r="I11" s="31" t="inlineStr">
        <is>
          <t>Netweb Technologies India Ltd</t>
        </is>
      </c>
      <c r="J11" s="31" t="inlineStr">
        <is>
          <t>i.t</t>
        </is>
      </c>
      <c r="K11" s="31" t="inlineStr">
        <is>
          <t>computers - hardware</t>
        </is>
      </c>
      <c r="L11" s="31" t="inlineStr">
        <is>
          <t>largecap</t>
        </is>
      </c>
      <c r="M11" s="32" t="n">
        <v>29679.76</v>
      </c>
      <c r="N11" s="32" t="n">
        <v>5354.5</v>
      </c>
      <c r="O11" s="32" t="n">
        <v>2.73</v>
      </c>
      <c r="P11" s="32" t="n">
        <v>2395703</v>
      </c>
      <c r="Q11" s="31" t="n">
        <v>85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67.58</v>
      </c>
      <c r="U11" s="32" t="n">
        <v>38.36</v>
      </c>
      <c r="V11" s="32" t="n">
        <v>4010.71</v>
      </c>
      <c r="W11" s="31" t="inlineStr">
        <is>
          <t>Near 52W High Breakout</t>
        </is>
      </c>
      <c r="X11" s="31" t="inlineStr">
        <is>
          <t>Nifty IT</t>
        </is>
      </c>
      <c r="Y11" s="32" t="n">
        <v>-14.75</v>
      </c>
      <c r="Z11" s="32" t="n">
        <v>130.7</v>
      </c>
      <c r="AA11" s="32" t="n">
        <v>170.62</v>
      </c>
      <c r="AB11" s="32" t="n">
        <v>27.3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139.9</v>
      </c>
      <c r="E12" s="32" t="inlineStr">
        <is>
          <t>5%</t>
        </is>
      </c>
      <c r="F12" s="32" t="n">
        <v>50000</v>
      </c>
      <c r="G12" s="32" t="n">
        <v>282</v>
      </c>
      <c r="H12" s="31" t="inlineStr">
        <is>
          <t>UNIVASTU</t>
        </is>
      </c>
      <c r="I12" s="31" t="inlineStr">
        <is>
          <t>Univastu India Ltd</t>
        </is>
      </c>
      <c r="J12" s="31" t="inlineStr">
        <is>
          <t>realty</t>
        </is>
      </c>
      <c r="K12" s="31" t="inlineStr">
        <is>
          <t>construction</t>
        </is>
      </c>
      <c r="L12" s="31" t="inlineStr">
        <is>
          <t>smallcap</t>
        </is>
      </c>
      <c r="M12" s="32" t="n">
        <v>637.52</v>
      </c>
      <c r="N12" s="32" t="n">
        <v>176.89</v>
      </c>
      <c r="O12" s="32" t="n">
        <v>4.85</v>
      </c>
      <c r="P12" s="32" t="n">
        <v>223661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90.64</v>
      </c>
      <c r="U12" s="32" t="n">
        <v>71.62</v>
      </c>
      <c r="V12" s="32" t="n">
        <v>138.83</v>
      </c>
      <c r="W12" s="31" t="inlineStr">
        <is>
          <t>Near 52W High Breakout</t>
        </is>
      </c>
      <c r="X12" s="31" t="inlineStr">
        <is>
          <t>Nifty Realty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4</v>
      </c>
      <c r="H13" s="31" t="inlineStr">
        <is>
          <t>CRAFTSMAN</t>
        </is>
      </c>
      <c r="I13" s="31" t="inlineStr">
        <is>
          <t>Craftsman Automation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largecap</t>
        </is>
      </c>
      <c r="M13" s="32" t="n">
        <v>27409.85</v>
      </c>
      <c r="N13" s="32" t="n">
        <v>10900</v>
      </c>
      <c r="O13" s="32" t="n">
        <v>4.01</v>
      </c>
      <c r="P13" s="32" t="n">
        <v>58181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71.5</v>
      </c>
      <c r="U13" s="32" t="n">
        <v>63.44</v>
      </c>
      <c r="V13" s="32" t="n">
        <v>8891.889999999999</v>
      </c>
      <c r="W13" s="31" t="inlineStr">
        <is>
          <t>Near 52W High Breakout</t>
        </is>
      </c>
      <c r="X13" s="31" t="inlineStr">
        <is>
          <t>Nifty Auto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12</v>
      </c>
      <c r="H14" s="31" t="inlineStr">
        <is>
          <t>SANSERA</t>
        </is>
      </c>
      <c r="I14" s="31" t="inlineStr">
        <is>
          <t>Sansera Engineering Ltd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largecap</t>
        </is>
      </c>
      <c r="M14" s="32" t="n">
        <v>24973.91</v>
      </c>
      <c r="N14" s="32" t="n">
        <v>3990</v>
      </c>
      <c r="O14" s="32" t="n">
        <v>-0.3</v>
      </c>
      <c r="P14" s="32" t="n">
        <v>172483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84.14</v>
      </c>
      <c r="U14" s="32" t="n">
        <v>59.59</v>
      </c>
      <c r="V14" s="32" t="n">
        <v>3235.14</v>
      </c>
      <c r="W14" s="31" t="inlineStr">
        <is>
          <t>Near 52W High Breakout</t>
        </is>
      </c>
      <c r="X14" s="31" t="inlineStr">
        <is>
          <t>Nifty Auto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139.2</v>
      </c>
      <c r="E15" s="32" t="inlineStr">
        <is>
          <t>5%</t>
        </is>
      </c>
      <c r="F15" s="32" t="n">
        <v>50000</v>
      </c>
      <c r="G15" s="32" t="n">
        <v>25</v>
      </c>
      <c r="H15" s="31" t="inlineStr">
        <is>
          <t>MACPOWER</t>
        </is>
      </c>
      <c r="I15" s="31" t="inlineStr">
        <is>
          <t>Macpower CNC Machines Ltd</t>
        </is>
      </c>
      <c r="J15" s="31" t="inlineStr">
        <is>
          <t>industrials</t>
        </is>
      </c>
      <c r="K15" s="31" t="inlineStr">
        <is>
          <t>engineering</t>
        </is>
      </c>
      <c r="L15" s="31" t="inlineStr">
        <is>
          <t>smallcap</t>
        </is>
      </c>
      <c r="M15" s="32" t="n">
        <v>1782.14</v>
      </c>
      <c r="N15" s="32" t="n">
        <v>1983.6</v>
      </c>
      <c r="O15" s="32" t="n">
        <v>11.35</v>
      </c>
      <c r="P15" s="32" t="n">
        <v>190859</v>
      </c>
      <c r="Q15" s="31" t="n">
        <v>92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79.52</v>
      </c>
      <c r="U15" s="32" t="n">
        <v>33.55</v>
      </c>
      <c r="V15" s="32" t="n">
        <v>1466.57</v>
      </c>
      <c r="W15" s="31" t="inlineStr">
        <is>
          <t>Near 52W High Breakout</t>
        </is>
      </c>
      <c r="X15" s="31" t="inlineStr">
        <is>
          <t>Nifty 50</t>
        </is>
      </c>
      <c r="Y15" s="32" t="n">
        <v>-2.88</v>
      </c>
      <c r="Z15" s="32" t="n">
        <v>140.96</v>
      </c>
      <c r="AA15" s="32" t="n">
        <v>148.09</v>
      </c>
      <c r="AB15" s="32" t="n">
        <v>37.56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139.3</v>
      </c>
      <c r="E16" s="32" t="inlineStr">
        <is>
          <t>5%</t>
        </is>
      </c>
      <c r="F16" s="32" t="n">
        <v>50000</v>
      </c>
      <c r="G16" s="32" t="n">
        <v>77</v>
      </c>
      <c r="H16" s="31" t="inlineStr">
        <is>
          <t>MANINDS</t>
        </is>
      </c>
      <c r="I16" s="31" t="inlineStr">
        <is>
          <t>Man Industries (india) Limited</t>
        </is>
      </c>
      <c r="J16" s="31" t="inlineStr">
        <is>
          <t>metals &amp; mining</t>
        </is>
      </c>
      <c r="K16" s="31" t="inlineStr">
        <is>
          <t>steel - medium / small</t>
        </is>
      </c>
      <c r="L16" s="31" t="inlineStr">
        <is>
          <t>smallcap</t>
        </is>
      </c>
      <c r="M16" s="32" t="n">
        <v>4728.23</v>
      </c>
      <c r="N16" s="32" t="n">
        <v>645.15</v>
      </c>
      <c r="O16" s="32" t="n">
        <v>2.35</v>
      </c>
      <c r="P16" s="32" t="n">
        <v>768808</v>
      </c>
      <c r="Q16" s="31" t="n">
        <v>67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67.06999999999999</v>
      </c>
      <c r="U16" s="32" t="n">
        <v>28.42</v>
      </c>
      <c r="V16" s="32" t="n">
        <v>483.33</v>
      </c>
      <c r="W16" s="31" t="inlineStr">
        <is>
          <t>Near 52W High Breakout</t>
        </is>
      </c>
      <c r="X16" s="31" t="inlineStr">
        <is>
          <t>Nifty Metal</t>
        </is>
      </c>
      <c r="Y16" s="32" t="n">
        <v>38.2</v>
      </c>
      <c r="Z16" s="32" t="n">
        <v>51.43</v>
      </c>
      <c r="AA16" s="32" t="n">
        <v>9.57</v>
      </c>
      <c r="AB16" s="32" t="n">
        <v>16.47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139.2</v>
      </c>
      <c r="E17" s="32" t="inlineStr">
        <is>
          <t>5%</t>
        </is>
      </c>
      <c r="F17" s="32" t="n">
        <v>50000</v>
      </c>
      <c r="G17" s="32" t="n">
        <v>139</v>
      </c>
      <c r="H17" s="31" t="inlineStr">
        <is>
          <t>STEELCAS</t>
        </is>
      </c>
      <c r="I17" s="31" t="inlineStr">
        <is>
          <t>Steelcast Ltd</t>
        </is>
      </c>
      <c r="J17" s="31" t="inlineStr">
        <is>
          <t>industrials</t>
        </is>
      </c>
      <c r="K17" s="31" t="inlineStr">
        <is>
          <t>castings &amp; forgings</t>
        </is>
      </c>
      <c r="L17" s="31" t="inlineStr">
        <is>
          <t>smallcap</t>
        </is>
      </c>
      <c r="M17" s="32" t="n">
        <v>3563.25</v>
      </c>
      <c r="N17" s="32" t="n">
        <v>358.3</v>
      </c>
      <c r="O17" s="32" t="n">
        <v>1.76</v>
      </c>
      <c r="P17" s="32" t="n">
        <v>105528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80.31</v>
      </c>
      <c r="U17" s="32" t="n">
        <v>42.18</v>
      </c>
      <c r="V17" s="32" t="n">
        <v>280.64</v>
      </c>
      <c r="W17" s="31" t="inlineStr">
        <is>
          <t>Near 52W High Breakout</t>
        </is>
      </c>
      <c r="X17" s="31" t="inlineStr">
        <is>
          <t>Nifty Infra</t>
        </is>
      </c>
      <c r="Y17" s="32" t="inlineStr"/>
      <c r="Z17" s="32" t="inlineStr"/>
      <c r="AA17" s="32" t="inlineStr"/>
      <c r="AB17" s="32" t="inlineStr"/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Between 12 to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139.1</v>
      </c>
      <c r="E18" s="32" t="inlineStr">
        <is>
          <t>5%</t>
        </is>
      </c>
      <c r="F18" s="32" t="n">
        <v>50000</v>
      </c>
      <c r="G18" s="32" t="n">
        <v>293</v>
      </c>
      <c r="H18" s="31" t="inlineStr">
        <is>
          <t>MOTHERSON</t>
        </is>
      </c>
      <c r="I18" s="31" t="inlineStr">
        <is>
          <t>Samvardhana Motherson International Ltd</t>
        </is>
      </c>
      <c r="J18" s="31" t="inlineStr">
        <is>
          <t>auto</t>
        </is>
      </c>
      <c r="K18" s="31" t="inlineStr">
        <is>
          <t>auto ancillaries</t>
        </is>
      </c>
      <c r="L18" s="31" t="inlineStr">
        <is>
          <t>largecap</t>
        </is>
      </c>
      <c r="M18" s="32" t="n">
        <v>177377.96</v>
      </c>
      <c r="N18" s="32" t="n">
        <v>170.4</v>
      </c>
      <c r="O18" s="32" t="n">
        <v>1.39</v>
      </c>
      <c r="P18" s="32" t="n">
        <v>36841473</v>
      </c>
      <c r="Q18" s="31" t="inlineStr"/>
      <c r="R18" s="31" t="inlineStr"/>
      <c r="S18" s="32">
        <f>IF(R18="Underperforming",-5,IF(Q18&gt;=95,15,IF(Q18&gt;=90,10,IF(Q18&gt;=80,5,0))))</f>
        <v/>
      </c>
      <c r="T18" s="32" t="n">
        <v>75.14</v>
      </c>
      <c r="U18" s="32" t="n">
        <v>39.59</v>
      </c>
      <c r="V18" s="32" t="n">
        <v>142.33</v>
      </c>
      <c r="W18" s="31" t="inlineStr">
        <is>
          <t>Near 52W High Breakout</t>
        </is>
      </c>
      <c r="X18" s="31" t="inlineStr">
        <is>
          <t>Nifty Auto</t>
        </is>
      </c>
      <c r="Y18" s="32" t="inlineStr"/>
      <c r="Z18" s="32" t="inlineStr"/>
      <c r="AA18" s="32" t="inlineStr"/>
      <c r="AB18" s="32" t="inlineStr"/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139.6</v>
      </c>
      <c r="E19" s="32" t="inlineStr">
        <is>
          <t>5%</t>
        </is>
      </c>
      <c r="F19" s="32" t="n">
        <v>50000</v>
      </c>
      <c r="G19" s="32" t="n">
        <v>1</v>
      </c>
      <c r="H19" s="31" t="inlineStr">
        <is>
          <t>BOSCHLTD</t>
        </is>
      </c>
      <c r="I19" s="31" t="inlineStr">
        <is>
          <t>Bosch Limited</t>
        </is>
      </c>
      <c r="J19" s="31" t="inlineStr">
        <is>
          <t>auto</t>
        </is>
      </c>
      <c r="K19" s="31" t="inlineStr">
        <is>
          <t>auto ancillaries</t>
        </is>
      </c>
      <c r="L19" s="31" t="inlineStr">
        <is>
          <t>largecap</t>
        </is>
      </c>
      <c r="M19" s="32" t="n">
        <v>138543.18</v>
      </c>
      <c r="N19" s="32" t="n">
        <v>48730</v>
      </c>
      <c r="O19" s="32" t="n">
        <v>3.75</v>
      </c>
      <c r="P19" s="32" t="n">
        <v>280268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75.64</v>
      </c>
      <c r="U19" s="32" t="n">
        <v>33.64</v>
      </c>
      <c r="V19" s="32" t="n">
        <v>41480.45</v>
      </c>
      <c r="W19" s="31" t="inlineStr">
        <is>
          <t>Near 52W High Breakout</t>
        </is>
      </c>
      <c r="X19" s="31" t="inlineStr">
        <is>
          <t>Nifty Auto</t>
        </is>
      </c>
      <c r="Y19" s="32" t="inlineStr"/>
      <c r="Z19" s="32" t="inlineStr"/>
      <c r="AA19" s="32" t="inlineStr"/>
      <c r="AB19" s="32" t="inlineStr"/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139.7</v>
      </c>
      <c r="E20" s="32" t="inlineStr">
        <is>
          <t>5%</t>
        </is>
      </c>
      <c r="F20" s="32" t="n">
        <v>50000</v>
      </c>
      <c r="G20" s="32" t="n">
        <v>69</v>
      </c>
      <c r="H20" s="31" t="inlineStr">
        <is>
          <t>DEEPINDS</t>
        </is>
      </c>
      <c r="I20" s="31" t="inlineStr">
        <is>
          <t>Deep Industries Ltd</t>
        </is>
      </c>
      <c r="J20" s="31" t="inlineStr">
        <is>
          <t>energy</t>
        </is>
      </c>
      <c r="K20" s="31" t="inlineStr">
        <is>
          <t>oil drilling / allied services</t>
        </is>
      </c>
      <c r="L20" s="31" t="inlineStr">
        <is>
          <t>smallcap</t>
        </is>
      </c>
      <c r="M20" s="32" t="n">
        <v>4356.48</v>
      </c>
      <c r="N20" s="32" t="n">
        <v>717.95</v>
      </c>
      <c r="O20" s="32" t="n">
        <v>5.47</v>
      </c>
      <c r="P20" s="32" t="n">
        <v>721273</v>
      </c>
      <c r="Q20" s="31" t="n">
        <v>78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78.40000000000001</v>
      </c>
      <c r="U20" s="32" t="n">
        <v>22.99</v>
      </c>
      <c r="V20" s="32" t="n">
        <v>567.11</v>
      </c>
      <c r="W20" s="31" t="inlineStr">
        <is>
          <t>Near 52W High Breakout</t>
        </is>
      </c>
      <c r="X20" s="31" t="inlineStr">
        <is>
          <t>Nifty Energy</t>
        </is>
      </c>
      <c r="Y20" s="32" t="n">
        <v>9.44</v>
      </c>
      <c r="Z20" s="32" t="n">
        <v>60.12</v>
      </c>
      <c r="AA20" s="32" t="n">
        <v>46.31</v>
      </c>
      <c r="AB20" s="32" t="n">
        <v>22.39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Oligopoly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</v>
      </c>
      <c r="E21" s="32" t="inlineStr">
        <is>
          <t>5%</t>
        </is>
      </c>
      <c r="F21" s="32" t="n">
        <v>50000</v>
      </c>
      <c r="G21" s="32" t="n">
        <v>44</v>
      </c>
      <c r="H21" s="31" t="inlineStr">
        <is>
          <t>MAHASTEEL</t>
        </is>
      </c>
      <c r="I21" s="31" t="inlineStr">
        <is>
          <t>Mahamaya Steel Industries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1806.3</v>
      </c>
      <c r="N21" s="32" t="n">
        <v>1112</v>
      </c>
      <c r="O21" s="32" t="n">
        <v>1.17</v>
      </c>
      <c r="P21" s="32" t="n">
        <v>41352</v>
      </c>
      <c r="Q21" s="31" t="n">
        <v>90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67.43000000000001</v>
      </c>
      <c r="U21" s="32" t="n">
        <v>18.21</v>
      </c>
      <c r="V21" s="32" t="n">
        <v>812.4299999999999</v>
      </c>
      <c r="W21" s="31" t="inlineStr">
        <is>
          <t>Near 52W High Breakout</t>
        </is>
      </c>
      <c r="X21" s="31" t="inlineStr">
        <is>
          <t>Nifty Metal</t>
        </is>
      </c>
      <c r="Y21" s="32" t="n">
        <v>38.2</v>
      </c>
      <c r="Z21" s="32" t="n">
        <v>212.14</v>
      </c>
      <c r="AA21" s="32" t="n">
        <v>125.86</v>
      </c>
      <c r="AB21" s="32" t="n">
        <v>34.22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139.6</v>
      </c>
      <c r="E22" s="32" t="inlineStr">
        <is>
          <t>5%</t>
        </is>
      </c>
      <c r="F22" s="32" t="n">
        <v>50000</v>
      </c>
      <c r="G22" s="32" t="n">
        <v>107</v>
      </c>
      <c r="H22" s="31" t="inlineStr">
        <is>
          <t>ASIANENE</t>
        </is>
      </c>
      <c r="I22" s="31" t="inlineStr">
        <is>
          <t>Asian Energy Services Ltd</t>
        </is>
      </c>
      <c r="J22" s="31" t="inlineStr">
        <is>
          <t>energy</t>
        </is>
      </c>
      <c r="K22" s="31" t="inlineStr">
        <is>
          <t>oil drilling / allied services</t>
        </is>
      </c>
      <c r="L22" s="31" t="inlineStr">
        <is>
          <t>smallcap</t>
        </is>
      </c>
      <c r="M22" s="32" t="n">
        <v>2067.98</v>
      </c>
      <c r="N22" s="32" t="n">
        <v>463.05</v>
      </c>
      <c r="O22" s="32" t="n">
        <v>8.890000000000001</v>
      </c>
      <c r="P22" s="32" t="n">
        <v>3647876</v>
      </c>
      <c r="Q22" s="31" t="n">
        <v>81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69.26000000000001</v>
      </c>
      <c r="U22" s="32" t="n">
        <v>18.83</v>
      </c>
      <c r="V22" s="32" t="n">
        <v>339.62</v>
      </c>
      <c r="W22" s="31" t="inlineStr">
        <is>
          <t>Volume Spike &amp; Near 52W High Breakout</t>
        </is>
      </c>
      <c r="X22" s="31" t="inlineStr">
        <is>
          <t>Nifty Energy</t>
        </is>
      </c>
      <c r="Y22" s="32" t="n">
        <v>9.44</v>
      </c>
      <c r="Z22" s="32" t="n">
        <v>62.85</v>
      </c>
      <c r="AA22" s="32" t="n">
        <v>48.8</v>
      </c>
      <c r="AB22" s="32" t="n">
        <v>23.98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Oligopoly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Yes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EMA Crossover</t>
        </is>
      </c>
      <c r="D23" s="32" t="n">
        <v>144.1</v>
      </c>
      <c r="E23" s="32" t="inlineStr">
        <is>
          <t>7%</t>
        </is>
      </c>
      <c r="F23" s="32" t="n">
        <v>70000</v>
      </c>
      <c r="G23" s="32" t="n">
        <v>21</v>
      </c>
      <c r="H23" s="31" t="inlineStr">
        <is>
          <t>TIMKEN</t>
        </is>
      </c>
      <c r="I23" s="31" t="inlineStr">
        <is>
          <t>Timken India Limited</t>
        </is>
      </c>
      <c r="J23" s="31" t="inlineStr">
        <is>
          <t>Industrials</t>
        </is>
      </c>
      <c r="K23" s="31" t="inlineStr">
        <is>
          <t>Tools &amp; Accessories</t>
        </is>
      </c>
      <c r="L23" s="31" t="inlineStr">
        <is>
          <t>largecap</t>
        </is>
      </c>
      <c r="M23" s="32" t="n">
        <v>24818.42</v>
      </c>
      <c r="N23" s="32" t="n">
        <v>3290.5</v>
      </c>
      <c r="O23" s="32" t="n">
        <v>0</v>
      </c>
      <c r="P23" s="32" t="n">
        <v>10814</v>
      </c>
      <c r="Q23" s="31" t="n">
        <v>4</v>
      </c>
      <c r="R23" s="31" t="inlineStr">
        <is>
          <t>Outperforming</t>
        </is>
      </c>
      <c r="S23" s="32">
        <f>IF(R23="Underperforming",-5,IF(Q23&gt;=95,15,IF(Q23&gt;=90,10,IF(Q23&gt;=80,5,0))))</f>
        <v/>
      </c>
      <c r="T23" s="32" t="n">
        <v>48.54</v>
      </c>
      <c r="U23" s="32" t="n">
        <v>20.83</v>
      </c>
      <c r="V23" s="32" t="n">
        <v>3123.28</v>
      </c>
      <c r="W23" s="31" t="inlineStr">
        <is>
          <t>Earnings / Momentum Support</t>
        </is>
      </c>
      <c r="X23" s="31" t="inlineStr">
        <is>
          <t>Nifty 50</t>
        </is>
      </c>
      <c r="Y23" s="32" t="n">
        <v>-2.88</v>
      </c>
      <c r="Z23" s="32" t="n">
        <v>10.01</v>
      </c>
      <c r="AA23" s="32" t="n">
        <v>13.27</v>
      </c>
      <c r="AB23" s="32" t="n">
        <v>0</v>
      </c>
      <c r="AC23" s="31" t="inlineStr">
        <is>
          <t>Cyclical in an Upturn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Headwind</t>
        </is>
      </c>
      <c r="AJ23" s="31">
        <f>IF(AI23="Tailwind",10,0)</f>
        <v/>
      </c>
      <c r="AK23" s="31" t="inlineStr">
        <is>
          <t>Structural (10 Years Consistency)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Stable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No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20 to 40</t>
        </is>
      </c>
      <c r="BD23" s="31">
        <f>IF(BC23="Above 40",20,IF(BC23="20 to 40",10,IF(BC23="0 to 20",-5,0)))</f>
        <v/>
      </c>
      <c r="BE23" s="31" t="inlineStr">
        <is>
          <t>Below 45</t>
        </is>
      </c>
      <c r="BF23" s="31">
        <f>IF(BE23="Between 50 to 75",10,IF(BE23="Above 75",0,0))</f>
        <v/>
      </c>
      <c r="BG23" s="31" t="inlineStr">
        <is>
          <t>Stage 4</t>
        </is>
      </c>
      <c r="BH23" s="31">
        <f>IF(BG23="Stage 2",20,IF(BG23="Stage 1",0,IF(BG23="Stage 3",5,IF(BG23="Stage 4",-5,0))))</f>
        <v/>
      </c>
      <c r="BI23" s="31" t="inlineStr">
        <is>
          <t>Positive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Close to 52 week high or retracement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Between 12 to 20%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Yes</t>
        </is>
      </c>
      <c r="BX23" s="31">
        <f>IF(BW23="NO",5,0)</f>
        <v/>
      </c>
      <c r="BY23" s="31" t="inlineStr">
        <is>
          <t>Above 2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Less than 0.7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IF(B2=0,"",RANK(B2,$B$2:$B$99,0))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5323.31</v>
      </c>
      <c r="I2" s="32" t="n">
        <v>7406</v>
      </c>
      <c r="J2" s="32" t="n">
        <v>-0.07000000000000001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72.34</v>
      </c>
      <c r="P2" s="32" t="n">
        <v>45.32</v>
      </c>
      <c r="Q2" s="32" t="n">
        <v>6145.11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-12.54</v>
      </c>
      <c r="U2" s="32" t="n">
        <v>35.81</v>
      </c>
      <c r="V2" s="32" t="n">
        <v>55.29</v>
      </c>
      <c r="W2" s="32" t="n">
        <v>23.7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IF(B3=0,"",RANK(B3,$B$2:$B$99,0))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midcap</t>
        </is>
      </c>
      <c r="H3" s="32" t="n">
        <v>5703.59</v>
      </c>
      <c r="I3" s="32" t="n">
        <v>858.9</v>
      </c>
      <c r="J3" s="32" t="n">
        <v>-1.49</v>
      </c>
      <c r="K3" s="32" t="n">
        <v>0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74.92</v>
      </c>
      <c r="P3" s="32" t="n">
        <v>80.58</v>
      </c>
      <c r="Q3" s="32" t="n">
        <v>691.75</v>
      </c>
      <c r="R3" s="31" t="inlineStr">
        <is>
          <t>Near 52W High Breakout</t>
        </is>
      </c>
      <c r="S3" s="31" t="inlineStr">
        <is>
          <t>Nifty 50</t>
        </is>
      </c>
      <c r="T3" s="32" t="n">
        <v>-2.88</v>
      </c>
      <c r="U3" s="32" t="n">
        <v>205.03</v>
      </c>
      <c r="V3" s="32" t="n">
        <v>214.06</v>
      </c>
      <c r="W3" s="32" t="n">
        <v>38.75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IF(B4=0,"",RANK(B4,$B$2:$B$99,0))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MODISONLTD</t>
        </is>
      </c>
      <c r="D4" s="31" t="inlineStr">
        <is>
          <t>Modison Ltd</t>
        </is>
      </c>
      <c r="E4" s="31" t="inlineStr">
        <is>
          <t>industrials</t>
        </is>
      </c>
      <c r="F4" s="31" t="inlineStr">
        <is>
          <t>Capital Goods - Electric General</t>
        </is>
      </c>
      <c r="G4" s="31" t="inlineStr">
        <is>
          <t>smallcap</t>
        </is>
      </c>
      <c r="H4" s="32" t="n">
        <v>1213.31</v>
      </c>
      <c r="I4" s="32" t="n">
        <v>373.9</v>
      </c>
      <c r="J4" s="32" t="n">
        <v>5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73.48</v>
      </c>
      <c r="P4" s="32" t="n">
        <v>57.74</v>
      </c>
      <c r="Q4" s="32" t="n">
        <v>276.55</v>
      </c>
      <c r="R4" s="31" t="inlineStr">
        <is>
          <t>Near 52W High Breakout</t>
        </is>
      </c>
      <c r="S4" s="31" t="inlineStr">
        <is>
          <t>Nifty 50</t>
        </is>
      </c>
      <c r="T4" s="32" t="n">
        <v>-2.88</v>
      </c>
      <c r="U4" s="32" t="n">
        <v>139.78</v>
      </c>
      <c r="V4" s="32" t="n">
        <v>146.88</v>
      </c>
      <c r="W4" s="32" t="n">
        <v>49.22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29</t>
        </is>
      </c>
      <c r="CG4" s="31">
        <f>IF(CF4&gt;20,10,IF(CF4&gt;=10,5,2))</f>
        <v/>
      </c>
    </row>
    <row r="5">
      <c r="A5" s="31">
        <f>IF(B5=0,"",RANK(B5,$B$2:$B$99,0))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PGIL</t>
        </is>
      </c>
      <c r="D5" s="31" t="inlineStr">
        <is>
          <t>Pearl Global Industries Ltd</t>
        </is>
      </c>
      <c r="E5" s="31" t="inlineStr">
        <is>
          <t>consumer discretionary</t>
        </is>
      </c>
      <c r="F5" s="31" t="inlineStr">
        <is>
          <t>Textiles - Readymade Apparel</t>
        </is>
      </c>
      <c r="G5" s="31" t="inlineStr">
        <is>
          <t>midcap</t>
        </is>
      </c>
      <c r="H5" s="32" t="n">
        <v>10903.28</v>
      </c>
      <c r="I5" s="32" t="n">
        <v>2360.5</v>
      </c>
      <c r="J5" s="32" t="n">
        <v>-0.74</v>
      </c>
      <c r="K5" s="32" t="n">
        <v>0</v>
      </c>
      <c r="L5" s="31" t="n">
        <v>79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69.51000000000001</v>
      </c>
      <c r="P5" s="32" t="n">
        <v>55.77</v>
      </c>
      <c r="Q5" s="32" t="n">
        <v>1940.34</v>
      </c>
      <c r="R5" s="31" t="inlineStr">
        <is>
          <t>Near 52W High Breakout</t>
        </is>
      </c>
      <c r="S5" s="31" t="inlineStr">
        <is>
          <t>Nifty 50</t>
        </is>
      </c>
      <c r="T5" s="32" t="n">
        <v>-2.88</v>
      </c>
      <c r="U5" s="32" t="n">
        <v>75.8</v>
      </c>
      <c r="V5" s="32" t="n">
        <v>81.01000000000001</v>
      </c>
      <c r="W5" s="32" t="n">
        <v>22.9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25</t>
        </is>
      </c>
      <c r="CG5" s="31">
        <f>IF(CF5&gt;20,10,IF(CF5&gt;=10,5,2))</f>
        <v/>
      </c>
    </row>
    <row r="6">
      <c r="A6" s="31">
        <f>IF(B6=0,"",RANK(B6,$B$2:$B$99,0))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AEGISLOG</t>
        </is>
      </c>
      <c r="D6" s="31" t="inlineStr">
        <is>
          <t>Aegis Logistics Ltd</t>
        </is>
      </c>
      <c r="E6" s="31" t="inlineStr">
        <is>
          <t>services</t>
        </is>
      </c>
      <c r="F6" s="31" t="inlineStr">
        <is>
          <t>Logistics</t>
        </is>
      </c>
      <c r="G6" s="31" t="inlineStr">
        <is>
          <t>largecap</t>
        </is>
      </c>
      <c r="H6" s="32" t="n">
        <v>48122.1</v>
      </c>
      <c r="I6" s="32" t="n">
        <v>1371</v>
      </c>
      <c r="J6" s="32" t="n">
        <v>6.51</v>
      </c>
      <c r="K6" s="32" t="n">
        <v>0</v>
      </c>
      <c r="L6" s="31" t="n">
        <v>91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70.67</v>
      </c>
      <c r="P6" s="32" t="n">
        <v>54.45</v>
      </c>
      <c r="Q6" s="32" t="n">
        <v>1007.67</v>
      </c>
      <c r="R6" s="31" t="inlineStr">
        <is>
          <t>Near 52W High Breakout</t>
        </is>
      </c>
      <c r="S6" s="31" t="inlineStr">
        <is>
          <t>Nifty 50</t>
        </is>
      </c>
      <c r="T6" s="32" t="n">
        <v>-2.88</v>
      </c>
      <c r="U6" s="32" t="n">
        <v>87.06</v>
      </c>
      <c r="V6" s="32" t="n">
        <v>92.59999999999999</v>
      </c>
      <c r="W6" s="32" t="n">
        <v>35.76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23</t>
        </is>
      </c>
      <c r="CG6" s="31">
        <f>IF(CF6&gt;20,10,IF(CF6&gt;=10,5,2))</f>
        <v/>
      </c>
    </row>
    <row r="7">
      <c r="A7" s="31">
        <f>IF(B7=0,"",RANK(B7,$B$2:$B$99,0))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SYRMA</t>
        </is>
      </c>
      <c r="D7" s="31" t="inlineStr">
        <is>
          <t>Syrma SGS Technology Ltd</t>
        </is>
      </c>
      <c r="E7" s="31" t="inlineStr">
        <is>
          <t>consumer discretionary</t>
        </is>
      </c>
      <c r="F7" s="31" t="inlineStr">
        <is>
          <t>Consumer Electronics - EMS</t>
        </is>
      </c>
      <c r="G7" s="31" t="inlineStr">
        <is>
          <t>largecap</t>
        </is>
      </c>
      <c r="H7" s="32" t="n">
        <v>28922.64</v>
      </c>
      <c r="I7" s="32" t="n">
        <v>1499.9</v>
      </c>
      <c r="J7" s="32" t="n">
        <v>2.18</v>
      </c>
      <c r="K7" s="32" t="n">
        <v>0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70.7</v>
      </c>
      <c r="P7" s="32" t="n">
        <v>60.52</v>
      </c>
      <c r="Q7" s="32" t="n">
        <v>1173.78</v>
      </c>
      <c r="R7" s="31" t="inlineStr">
        <is>
          <t>Near 52W High Breakout</t>
        </is>
      </c>
      <c r="S7" s="31" t="inlineStr">
        <is>
          <t>Nifty 50</t>
        </is>
      </c>
      <c r="T7" s="32" t="n">
        <v>-2.88</v>
      </c>
      <c r="U7" s="32" t="n">
        <v>101.68</v>
      </c>
      <c r="V7" s="32" t="n">
        <v>107.65</v>
      </c>
      <c r="W7" s="32" t="n">
        <v>25.15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IF(B8=0,"",RANK(B8,$B$2:$B$99,0))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INDOTECH</t>
        </is>
      </c>
      <c r="D8" s="34" t="inlineStr">
        <is>
          <t>Indo Tech Transformers Ltd</t>
        </is>
      </c>
      <c r="E8" s="31" t="inlineStr">
        <is>
          <t>industrials</t>
        </is>
      </c>
      <c r="F8" s="31" t="inlineStr">
        <is>
          <t>Capital Goods - Transformers</t>
        </is>
      </c>
      <c r="G8" s="31" t="inlineStr">
        <is>
          <t>smallcap</t>
        </is>
      </c>
      <c r="H8" s="32" t="n">
        <v>4023.71</v>
      </c>
      <c r="I8" s="32" t="n">
        <v>3788.8</v>
      </c>
      <c r="J8" s="32" t="n">
        <v>5</v>
      </c>
      <c r="K8" s="32" t="n">
        <v>0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74.27</v>
      </c>
      <c r="P8" s="32" t="n">
        <v>50.07</v>
      </c>
      <c r="Q8" s="32" t="n">
        <v>2783.5</v>
      </c>
      <c r="R8" s="31" t="inlineStr">
        <is>
          <t>Near 52W High Breakout</t>
        </is>
      </c>
      <c r="S8" s="31" t="inlineStr">
        <is>
          <t>Nifty 50</t>
        </is>
      </c>
      <c r="T8" s="32" t="n">
        <v>-2.88</v>
      </c>
      <c r="U8" s="32" t="n">
        <v>103.14</v>
      </c>
      <c r="V8" s="32" t="n">
        <v>109.16</v>
      </c>
      <c r="W8" s="32" t="n">
        <v>32.93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IF(B9=0,"",RANK(B9,$B$2:$B$99,0))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CUPID</t>
        </is>
      </c>
      <c r="D9" s="31" t="inlineStr">
        <is>
          <t>Cupid Ltd</t>
        </is>
      </c>
      <c r="E9" s="31" t="inlineStr">
        <is>
          <t>fmcg</t>
        </is>
      </c>
      <c r="F9" s="31" t="inlineStr">
        <is>
          <t>Contraceptives/Protectives</t>
        </is>
      </c>
      <c r="G9" s="31" t="inlineStr">
        <is>
          <t>largecap</t>
        </is>
      </c>
      <c r="H9" s="32" t="n">
        <v>38052.55</v>
      </c>
      <c r="I9" s="32" t="n">
        <v>282.99</v>
      </c>
      <c r="J9" s="32" t="n">
        <v>5.86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87.76000000000001</v>
      </c>
      <c r="P9" s="32" t="n">
        <v>71.51000000000001</v>
      </c>
      <c r="Q9" s="32" t="n">
        <v>226.8</v>
      </c>
      <c r="R9" s="31" t="inlineStr">
        <is>
          <t>Near 52W High Breakout</t>
        </is>
      </c>
      <c r="S9" s="31" t="inlineStr">
        <is>
          <t>Nifty FMCG</t>
        </is>
      </c>
      <c r="T9" s="32" t="n">
        <v>-12.54</v>
      </c>
      <c r="U9" s="32" t="n">
        <v>860.14</v>
      </c>
      <c r="V9" s="32" t="n">
        <v>997.83</v>
      </c>
      <c r="W9" s="32" t="n">
        <v>94.51000000000001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25</t>
        </is>
      </c>
      <c r="CG9" s="31">
        <f>IF(CF9&gt;20,10,IF(CF9&gt;=10,5,2))</f>
        <v/>
      </c>
    </row>
    <row r="10">
      <c r="A10" s="31">
        <f>IF(B10=0,"",RANK(B10,$B$2:$B$99,0))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AXISOL</t>
        </is>
      </c>
      <c r="D10" s="31" t="inlineStr">
        <is>
          <t>Axis Solutions Ltd</t>
        </is>
      </c>
      <c r="E10" s="31" t="inlineStr">
        <is>
          <t>Industrials</t>
        </is>
      </c>
      <c r="F10" s="31" t="inlineStr">
        <is>
          <t>Engineering - Light - General</t>
        </is>
      </c>
      <c r="G10" s="31" t="inlineStr">
        <is>
          <t>smallcap</t>
        </is>
      </c>
      <c r="H10" s="32" t="n">
        <v>2946.91</v>
      </c>
      <c r="I10" s="32" t="n">
        <v>623.55</v>
      </c>
      <c r="J10" s="32" t="n">
        <v>4.99</v>
      </c>
      <c r="K10" s="32" t="n">
        <v>0</v>
      </c>
      <c r="L10" s="31" t="n">
        <v>99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90.70999999999999</v>
      </c>
      <c r="P10" s="32" t="n">
        <v>66.22</v>
      </c>
      <c r="Q10" s="32" t="n">
        <v>518.13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-2.88</v>
      </c>
      <c r="U10" s="32" t="n">
        <v>2633.87</v>
      </c>
      <c r="V10" s="32" t="n">
        <v>2714.82</v>
      </c>
      <c r="W10" s="32" t="n">
        <v>139.56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23</t>
        </is>
      </c>
      <c r="CG10" s="31">
        <f>IF(CF10&gt;20,10,IF(CF10&gt;=10,5,2))</f>
        <v/>
      </c>
    </row>
    <row r="11">
      <c r="A11" s="31">
        <f>IF(B11=0,"",RANK(B11,$B$2:$B$99,0))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PARAS</t>
        </is>
      </c>
      <c r="D11" s="31" t="inlineStr">
        <is>
          <t>Paras Defence and Space Technologies Ltd</t>
        </is>
      </c>
      <c r="E11" s="31" t="inlineStr">
        <is>
          <t>aerospace &amp; defence</t>
        </is>
      </c>
      <c r="F11" s="31" t="inlineStr">
        <is>
          <t>Aerospace &amp; Defence - Equipments</t>
        </is>
      </c>
      <c r="G11" s="31" t="inlineStr">
        <is>
          <t>midcap</t>
        </is>
      </c>
      <c r="H11" s="32" t="n">
        <v>12308.1</v>
      </c>
      <c r="I11" s="32" t="n">
        <v>1527.3</v>
      </c>
      <c r="J11" s="32" t="n">
        <v>10</v>
      </c>
      <c r="K11" s="32" t="n">
        <v>0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74.11</v>
      </c>
      <c r="P11" s="32" t="n">
        <v>62.14</v>
      </c>
      <c r="Q11" s="32" t="n">
        <v>1138.24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-2.88</v>
      </c>
      <c r="U11" s="32" t="n">
        <v>123.34</v>
      </c>
      <c r="V11" s="32" t="n">
        <v>129.95</v>
      </c>
      <c r="W11" s="32" t="n">
        <v>39.43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23</t>
        </is>
      </c>
      <c r="CG11" s="31">
        <f>IF(CF11&gt;20,10,IF(CF11&gt;=10,5,2))</f>
        <v/>
      </c>
    </row>
    <row r="12">
      <c r="A12" s="31">
        <f>IF(B12=0,"",RANK(B12,$B$2:$B$99,0))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SJS</t>
        </is>
      </c>
      <c r="D12" s="31" t="inlineStr">
        <is>
          <t>S J S Enterprises Ltd</t>
        </is>
      </c>
      <c r="E12" s="31" t="inlineStr">
        <is>
          <t>auto</t>
        </is>
      </c>
      <c r="F12" s="31" t="inlineStr">
        <is>
          <t>Auto Ancillaries - Diversified</t>
        </is>
      </c>
      <c r="G12" s="31" t="inlineStr">
        <is>
          <t>midcap</t>
        </is>
      </c>
      <c r="H12" s="32" t="n">
        <v>7986.81</v>
      </c>
      <c r="I12" s="32" t="n">
        <v>2493.8</v>
      </c>
      <c r="J12" s="32" t="n">
        <v>-1.61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71.7</v>
      </c>
      <c r="P12" s="32" t="n">
        <v>45.03</v>
      </c>
      <c r="Q12" s="32" t="n">
        <v>2036.5</v>
      </c>
      <c r="R12" s="31" t="inlineStr">
        <is>
          <t>Near 52W High Breakout</t>
        </is>
      </c>
      <c r="S12" s="31" t="inlineStr">
        <is>
          <t>Nifty Auto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26</t>
        </is>
      </c>
      <c r="CG12" s="31">
        <f>IF(CF12&gt;20,10,IF(CF12&gt;=10,5,2))</f>
        <v/>
      </c>
    </row>
    <row r="13">
      <c r="A13" s="31">
        <f>IF(B13=0,"",RANK(B13,$B$2:$B$99,0))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UNIPARTS</t>
        </is>
      </c>
      <c r="D13" s="31" t="inlineStr">
        <is>
          <t>Uniparts India Ltd</t>
        </is>
      </c>
      <c r="E13" s="31" t="inlineStr">
        <is>
          <t>industrials</t>
        </is>
      </c>
      <c r="F13" s="31" t="inlineStr">
        <is>
          <t>Castings, Forgings &amp; Fastners</t>
        </is>
      </c>
      <c r="G13" s="31" t="inlineStr">
        <is>
          <t>smallcap</t>
        </is>
      </c>
      <c r="H13" s="32" t="n">
        <v>3743.85</v>
      </c>
      <c r="I13" s="32" t="n">
        <v>829</v>
      </c>
      <c r="J13" s="32" t="n">
        <v>3.48</v>
      </c>
      <c r="K13" s="32" t="n">
        <v>0</v>
      </c>
      <c r="L13" s="31" t="n">
        <v>84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80.03</v>
      </c>
      <c r="P13" s="32" t="n">
        <v>63.76</v>
      </c>
      <c r="Q13" s="32" t="n">
        <v>665.9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-2.88</v>
      </c>
      <c r="U13" s="32" t="n">
        <v>110.36</v>
      </c>
      <c r="V13" s="32" t="n">
        <v>116.59</v>
      </c>
      <c r="W13" s="32" t="n">
        <v>26.94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26</t>
        </is>
      </c>
      <c r="CG13" s="31">
        <f>IF(CF13&gt;20,10,IF(CF13&gt;=10,5,2))</f>
        <v/>
      </c>
    </row>
    <row r="14">
      <c r="A14" s="31">
        <f>IF(B14=0,"",RANK(B14,$B$2:$B$99,0))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UNIVCABLES</t>
        </is>
      </c>
      <c r="D14" s="31" t="inlineStr">
        <is>
          <t>Universal Cables Ltd</t>
        </is>
      </c>
      <c r="E14" s="31" t="inlineStr">
        <is>
          <t>industrials</t>
        </is>
      </c>
      <c r="F14" s="31" t="inlineStr">
        <is>
          <t>Cables - Power</t>
        </is>
      </c>
      <c r="G14" s="31" t="inlineStr">
        <is>
          <t>midcap</t>
        </is>
      </c>
      <c r="H14" s="32" t="n">
        <v>6002.3</v>
      </c>
      <c r="I14" s="32" t="n">
        <v>1730</v>
      </c>
      <c r="J14" s="32" t="n">
        <v>0.31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78.87</v>
      </c>
      <c r="P14" s="32" t="n">
        <v>58.83</v>
      </c>
      <c r="Q14" s="32" t="n">
        <v>1287.53</v>
      </c>
      <c r="R14" s="31" t="inlineStr">
        <is>
          <t>Near 52W High Breakout</t>
        </is>
      </c>
      <c r="S14" s="31" t="inlineStr">
        <is>
          <t>Nifty Energy</t>
        </is>
      </c>
      <c r="T14" s="32" t="n">
        <v>9.44</v>
      </c>
      <c r="U14" s="32" t="n">
        <v>136.17</v>
      </c>
      <c r="V14" s="32" t="n">
        <v>115.8</v>
      </c>
      <c r="W14" s="32" t="n">
        <v>48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25</t>
        </is>
      </c>
      <c r="CG14" s="31">
        <f>IF(CF14&gt;20,10,IF(CF14&gt;=10,5,2))</f>
        <v/>
      </c>
    </row>
    <row r="15">
      <c r="A15" s="31">
        <f>IF(B15=0,"",RANK(B15,$B$2:$B$99,0))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GOLDIAM</t>
        </is>
      </c>
      <c r="D15" s="31" t="inlineStr">
        <is>
          <t>Goldiam International Ltd</t>
        </is>
      </c>
      <c r="E15" s="31" t="inlineStr">
        <is>
          <t>Consumer Cyclical</t>
        </is>
      </c>
      <c r="F15" s="31" t="inlineStr">
        <is>
          <t>Lab Grown Diamonds</t>
        </is>
      </c>
      <c r="G15" s="31" t="inlineStr">
        <is>
          <t>midcap</t>
        </is>
      </c>
      <c r="H15" s="32" t="n">
        <v>5450.17</v>
      </c>
      <c r="I15" s="32" t="n">
        <v>362</v>
      </c>
      <c r="J15" s="32" t="n">
        <v>-3.31</v>
      </c>
      <c r="K15" s="32" t="n">
        <v>0</v>
      </c>
      <c r="L15" s="31" t="n">
        <v>49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59.45</v>
      </c>
      <c r="P15" s="32" t="n">
        <v>42.33</v>
      </c>
      <c r="Q15" s="32" t="n">
        <v>270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-2.88</v>
      </c>
      <c r="U15" s="32" t="n">
        <v>35.92</v>
      </c>
      <c r="V15" s="32" t="n">
        <v>39.95</v>
      </c>
      <c r="W15" s="32" t="n">
        <v>11.35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25</t>
        </is>
      </c>
      <c r="CG15" s="31">
        <f>IF(CF15&gt;20,10,IF(CF15&gt;=10,5,2))</f>
        <v/>
      </c>
    </row>
    <row r="16">
      <c r="A16" s="31">
        <f>IF(B16=0,"",RANK(B16,$B$2:$B$99,0))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MENONBE</t>
        </is>
      </c>
      <c r="D16" s="34" t="inlineStr">
        <is>
          <t>Menon Bearings Ltd</t>
        </is>
      </c>
      <c r="E16" s="31" t="inlineStr">
        <is>
          <t>auto</t>
        </is>
      </c>
      <c r="F16" s="31" t="inlineStr">
        <is>
          <t>Auto Ancillaries - Bearings</t>
        </is>
      </c>
      <c r="G16" s="31" t="inlineStr">
        <is>
          <t>smallcap</t>
        </is>
      </c>
      <c r="H16" s="32" t="n">
        <v>1418.99</v>
      </c>
      <c r="I16" s="32" t="n">
        <v>253.21</v>
      </c>
      <c r="J16" s="32" t="n">
        <v>5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80.01000000000001</v>
      </c>
      <c r="P16" s="32" t="n">
        <v>55.7</v>
      </c>
      <c r="Q16" s="32" t="n">
        <v>194.29</v>
      </c>
      <c r="R16" s="31" t="inlineStr">
        <is>
          <t>Near 52W High Breakout</t>
        </is>
      </c>
      <c r="S16" s="31" t="inlineStr">
        <is>
          <t>Nifty Auto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IF(B17=0,"",RANK(B17,$B$2:$B$99,0))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BHEL</t>
        </is>
      </c>
      <c r="D17" s="31" t="inlineStr">
        <is>
          <t>Bharat Heavy Electricals Ltd</t>
        </is>
      </c>
      <c r="E17" s="31" t="inlineStr">
        <is>
          <t>industrials</t>
        </is>
      </c>
      <c r="F17" s="31" t="inlineStr">
        <is>
          <t>Capital Goods - Engineering Heavy</t>
        </is>
      </c>
      <c r="G17" s="31" t="inlineStr">
        <is>
          <t>largecap</t>
        </is>
      </c>
      <c r="H17" s="32" t="n">
        <v>148161.8</v>
      </c>
      <c r="I17" s="32" t="n">
        <v>425.5</v>
      </c>
      <c r="J17" s="32" t="n">
        <v>-2.4</v>
      </c>
      <c r="K17" s="32" t="n">
        <v>0</v>
      </c>
      <c r="L17" s="31" t="n">
        <v>69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66.23</v>
      </c>
      <c r="P17" s="32" t="n">
        <v>40.28</v>
      </c>
      <c r="Q17" s="32" t="n">
        <v>343.15</v>
      </c>
      <c r="R17" s="31" t="inlineStr">
        <is>
          <t>Near 52W High Breakout</t>
        </is>
      </c>
      <c r="S17" s="31" t="inlineStr">
        <is>
          <t>Nifty 500</t>
        </is>
      </c>
      <c r="T17" s="32" t="n">
        <v>2.09</v>
      </c>
      <c r="U17" s="32" t="n">
        <v>95.06</v>
      </c>
      <c r="V17" s="32" t="n">
        <v>91.06</v>
      </c>
      <c r="W17" s="32" t="n">
        <v>17.56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IF(B18=0,"",RANK(B18,$B$2:$B$99,0))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KMCSHIL</t>
        </is>
      </c>
      <c r="D18" s="31" t="inlineStr">
        <is>
          <t>KMC Speciality Hospitals (India) Ltd</t>
        </is>
      </c>
      <c r="E18" s="31" t="inlineStr">
        <is>
          <t>Healthcare</t>
        </is>
      </c>
      <c r="F18" s="31" t="inlineStr">
        <is>
          <t>Hospitals</t>
        </is>
      </c>
      <c r="G18" s="31" t="inlineStr">
        <is>
          <t>smallcap</t>
        </is>
      </c>
      <c r="H18" s="32" t="n">
        <v>2325.59</v>
      </c>
      <c r="I18" s="32" t="n">
        <v>142.6</v>
      </c>
      <c r="J18" s="32" t="n">
        <v>-0.31</v>
      </c>
      <c r="K18" s="32" t="n">
        <v>0</v>
      </c>
      <c r="L18" s="31" t="n">
        <v>84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74.02</v>
      </c>
      <c r="P18" s="32" t="n">
        <v>63.46</v>
      </c>
      <c r="Q18" s="32" t="n">
        <v>108.61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18.4</v>
      </c>
      <c r="U18" s="32" t="n">
        <v>103.78</v>
      </c>
      <c r="V18" s="32" t="n">
        <v>72.11</v>
      </c>
      <c r="W18" s="32" t="n">
        <v>26.41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27</t>
        </is>
      </c>
      <c r="CG18" s="31">
        <f>IF(CF18&gt;20,10,IF(CF18&gt;=10,5,2))</f>
        <v/>
      </c>
    </row>
    <row r="19">
      <c r="A19" s="31">
        <f>IF(B19=0,"",RANK(B19,$B$2:$B$99,0))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INDSWFTLAB</t>
        </is>
      </c>
      <c r="D19" s="31" t="inlineStr">
        <is>
          <t>Ind-Swift Laboratories Ltd</t>
        </is>
      </c>
      <c r="E19" s="31" t="inlineStr">
        <is>
          <t>healthcare</t>
        </is>
      </c>
      <c r="F19" s="31" t="inlineStr">
        <is>
          <t>Pharma - API</t>
        </is>
      </c>
      <c r="G19" s="31" t="inlineStr">
        <is>
          <t>smallcap</t>
        </is>
      </c>
      <c r="H19" s="32" t="n">
        <v>3043.65</v>
      </c>
      <c r="I19" s="32" t="n">
        <v>350</v>
      </c>
      <c r="J19" s="32" t="n">
        <v>11.81</v>
      </c>
      <c r="K19" s="32" t="n">
        <v>0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88.33</v>
      </c>
      <c r="P19" s="32" t="n">
        <v>63.85</v>
      </c>
      <c r="Q19" s="32" t="n">
        <v>266.57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18.4</v>
      </c>
      <c r="U19" s="32" t="n">
        <v>254.02</v>
      </c>
      <c r="V19" s="32" t="n">
        <v>199</v>
      </c>
      <c r="W19" s="32" t="n">
        <v>72.59999999999999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26</t>
        </is>
      </c>
      <c r="CG19" s="31">
        <f>IF(CF19&gt;20,10,IF(CF19&gt;=10,5,2))</f>
        <v/>
      </c>
    </row>
    <row r="20">
      <c r="A20" s="31">
        <f>IF(B20=0,"",RANK(B20,$B$2:$B$99,0))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KPL</t>
        </is>
      </c>
      <c r="D20" s="31" t="inlineStr">
        <is>
          <t>Kwality Pharmaceuticals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smallcap</t>
        </is>
      </c>
      <c r="H20" s="32" t="n">
        <v>3647.23</v>
      </c>
      <c r="I20" s="32" t="n">
        <v>3515</v>
      </c>
      <c r="J20" s="32" t="n">
        <v>-2.11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81.03</v>
      </c>
      <c r="P20" s="32" t="n">
        <v>69.02</v>
      </c>
      <c r="Q20" s="32" t="n">
        <v>2664.3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18.4</v>
      </c>
      <c r="U20" s="32" t="n">
        <v>248.47</v>
      </c>
      <c r="V20" s="32" t="n">
        <v>194.32</v>
      </c>
      <c r="W20" s="32" t="n">
        <v>44.83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26</t>
        </is>
      </c>
      <c r="CG20" s="31">
        <f>IF(CF20&gt;20,10,IF(CF20&gt;=10,5,2))</f>
        <v/>
      </c>
    </row>
    <row r="21">
      <c r="A21" s="31">
        <f>IF(B21=0,"",RANK(B21,$B$2:$B$99,0))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RATEGAIN</t>
        </is>
      </c>
      <c r="D21" s="31" t="inlineStr">
        <is>
          <t>Rategain Travel Technologies Ltd</t>
        </is>
      </c>
      <c r="E21" s="31" t="inlineStr">
        <is>
          <t>Technology</t>
        </is>
      </c>
      <c r="F21" s="31" t="inlineStr">
        <is>
          <t>IT Product Companies</t>
        </is>
      </c>
      <c r="G21" s="31" t="inlineStr">
        <is>
          <t>midcap</t>
        </is>
      </c>
      <c r="H21" s="32" t="n">
        <v>11111.83</v>
      </c>
      <c r="I21" s="32" t="n">
        <v>938</v>
      </c>
      <c r="J21" s="32" t="n">
        <v>-1.21</v>
      </c>
      <c r="K21" s="32" t="n">
        <v>0</v>
      </c>
      <c r="L21" s="31" t="n">
        <v>78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71.01000000000001</v>
      </c>
      <c r="P21" s="32" t="n">
        <v>45.23</v>
      </c>
      <c r="Q21" s="32" t="n">
        <v>728.55</v>
      </c>
      <c r="R21" s="31" t="inlineStr">
        <is>
          <t>Near 52W High Breakout</t>
        </is>
      </c>
      <c r="S21" s="31" t="inlineStr">
        <is>
          <t>Nifty IT</t>
        </is>
      </c>
      <c r="T21" s="32" t="n">
        <v>-14.75</v>
      </c>
      <c r="U21" s="32" t="n">
        <v>89.06</v>
      </c>
      <c r="V21" s="32" t="n">
        <v>121.77</v>
      </c>
      <c r="W21" s="32" t="n">
        <v>22.14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IF(B22=0,"",RANK(B22,$B$2:$B$99,0))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KENNAMET</t>
        </is>
      </c>
      <c r="D22" s="31" t="inlineStr">
        <is>
          <t>Kennametal India Ltd</t>
        </is>
      </c>
      <c r="E22" s="31" t="inlineStr">
        <is>
          <t>industrials</t>
        </is>
      </c>
      <c r="F22" s="31" t="inlineStr">
        <is>
          <t>Castings, Forgings &amp; Fastners</t>
        </is>
      </c>
      <c r="G22" s="31" t="inlineStr">
        <is>
          <t>midcap</t>
        </is>
      </c>
      <c r="H22" s="32" t="n">
        <v>7650.85</v>
      </c>
      <c r="I22" s="32" t="n">
        <v>3481.1</v>
      </c>
      <c r="J22" s="32" t="n">
        <v>-1.99</v>
      </c>
      <c r="K22" s="32" t="n">
        <v>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73.98</v>
      </c>
      <c r="P22" s="32" t="n">
        <v>43.33</v>
      </c>
      <c r="Q22" s="32" t="n">
        <v>2755.6</v>
      </c>
      <c r="R22" s="31" t="inlineStr">
        <is>
          <t>Near 52W High Breakout</t>
        </is>
      </c>
      <c r="S22" s="31" t="inlineStr">
        <is>
          <t>Nifty Infra</t>
        </is>
      </c>
      <c r="T22" s="32" t="inlineStr"/>
      <c r="U22" s="32" t="inlineStr"/>
      <c r="V22" s="32" t="inlineStr"/>
      <c r="W22" s="32" t="inlineStr"/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27</t>
        </is>
      </c>
      <c r="CG22" s="31">
        <f>IF(CF22&gt;20,10,IF(CF22&gt;=10,5,2))</f>
        <v/>
      </c>
    </row>
    <row r="23">
      <c r="A23" s="31">
        <f>IF(B23=0,"",RANK(B23,$B$2:$B$99,0))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DIVGIITTS</t>
        </is>
      </c>
      <c r="D23" s="31" t="inlineStr">
        <is>
          <t>Divgi Torqtransfer Systems Ltd</t>
        </is>
      </c>
      <c r="E23" s="31" t="inlineStr">
        <is>
          <t>auto</t>
        </is>
      </c>
      <c r="F23" s="31" t="inlineStr">
        <is>
          <t>Auto Ancillaries - Transmission</t>
        </is>
      </c>
      <c r="G23" s="31" t="inlineStr">
        <is>
          <t>smallcap</t>
        </is>
      </c>
      <c r="H23" s="32" t="n">
        <v>3851.92</v>
      </c>
      <c r="I23" s="32" t="n">
        <v>1259.5</v>
      </c>
      <c r="J23" s="32" t="n">
        <v>-1.94</v>
      </c>
      <c r="K23" s="32" t="n">
        <v>0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74.18000000000001</v>
      </c>
      <c r="P23" s="32" t="n">
        <v>49.24</v>
      </c>
      <c r="Q23" s="32" t="n">
        <v>1008.81</v>
      </c>
      <c r="R23" s="31" t="inlineStr">
        <is>
          <t>Near 52W High Breakout</t>
        </is>
      </c>
      <c r="S23" s="31" t="inlineStr">
        <is>
          <t>Nifty Auto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IF(B24=0,"",RANK(B24,$B$2:$B$99,0))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SUNRAKSHAK</t>
        </is>
      </c>
      <c r="D24" s="31" t="inlineStr">
        <is>
          <t>Sunrakshakk Industries India Ltd</t>
        </is>
      </c>
      <c r="E24" s="31" t="inlineStr">
        <is>
          <t>Consumer Cyclical</t>
        </is>
      </c>
      <c r="F24" s="31" t="inlineStr">
        <is>
          <t>Textiles - Processing/Texturising</t>
        </is>
      </c>
      <c r="G24" s="31" t="inlineStr">
        <is>
          <t>smallcap</t>
        </is>
      </c>
      <c r="H24" s="32" t="n">
        <v>1174.85</v>
      </c>
      <c r="I24" s="32" t="n">
        <v>378.9</v>
      </c>
      <c r="J24" s="32" t="n">
        <v>1.49</v>
      </c>
      <c r="K24" s="32" t="n">
        <v>0</v>
      </c>
      <c r="L24" s="31" t="n">
        <v>60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69.12</v>
      </c>
      <c r="P24" s="32" t="n">
        <v>47.3</v>
      </c>
      <c r="Q24" s="32" t="n">
        <v>292.97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-2.88</v>
      </c>
      <c r="U24" s="32" t="n">
        <v>61.7</v>
      </c>
      <c r="V24" s="32" t="n">
        <v>66.48999999999999</v>
      </c>
      <c r="W24" s="32" t="n">
        <v>14.55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Negative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IF(B25=0,"",RANK(B25,$B$2:$B$99,0))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TDPOWERSYS</t>
        </is>
      </c>
      <c r="D25" s="31" t="inlineStr">
        <is>
          <t>TD Power Systems Ltd</t>
        </is>
      </c>
      <c r="E25" s="31" t="inlineStr">
        <is>
          <t>industrials</t>
        </is>
      </c>
      <c r="F25" s="31" t="inlineStr">
        <is>
          <t>Capital Goods - Gensets/Turbines</t>
        </is>
      </c>
      <c r="G25" s="31" t="inlineStr">
        <is>
          <t>largecap</t>
        </is>
      </c>
      <c r="H25" s="32" t="n">
        <v>24812.2</v>
      </c>
      <c r="I25" s="32" t="n">
        <v>1588.2</v>
      </c>
      <c r="J25" s="32" t="n">
        <v>2.54</v>
      </c>
      <c r="K25" s="32" t="n">
        <v>0</v>
      </c>
      <c r="L25" s="31" t="n">
        <v>87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74.84999999999999</v>
      </c>
      <c r="P25" s="32" t="n">
        <v>29.63</v>
      </c>
      <c r="Q25" s="32" t="n">
        <v>1172.4</v>
      </c>
      <c r="R25" s="31" t="inlineStr">
        <is>
          <t>Near 52W High Breakout</t>
        </is>
      </c>
      <c r="S25" s="31" t="inlineStr">
        <is>
          <t>Nifty 50</t>
        </is>
      </c>
      <c r="T25" s="32" t="n">
        <v>-2.88</v>
      </c>
      <c r="U25" s="32" t="n">
        <v>207</v>
      </c>
      <c r="V25" s="32" t="n">
        <v>216.09</v>
      </c>
      <c r="W25" s="32" t="n">
        <v>30.78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IF(B26=0,"",RANK(B26,$B$2:$B$99,0))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IRISDOREME</t>
        </is>
      </c>
      <c r="D26" s="31" t="inlineStr">
        <is>
          <t>Iris Clothings Ltd</t>
        </is>
      </c>
      <c r="E26" s="31" t="inlineStr">
        <is>
          <t>consumer discretionary</t>
        </is>
      </c>
      <c r="F26" s="31" t="inlineStr">
        <is>
          <t>Textiles - Readymade Apparel</t>
        </is>
      </c>
      <c r="G26" s="31" t="inlineStr">
        <is>
          <t>smallcap</t>
        </is>
      </c>
      <c r="H26" s="32" t="n">
        <v>1126</v>
      </c>
      <c r="I26" s="32" t="n">
        <v>59.16</v>
      </c>
      <c r="J26" s="32" t="n">
        <v>1.48</v>
      </c>
      <c r="K26" s="32" t="n">
        <v>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85.34999999999999</v>
      </c>
      <c r="P26" s="32" t="n">
        <v>42.78</v>
      </c>
      <c r="Q26" s="32" t="n">
        <v>46.86</v>
      </c>
      <c r="R26" s="31" t="inlineStr">
        <is>
          <t>Near 52W High Breakout</t>
        </is>
      </c>
      <c r="S26" s="31" t="inlineStr">
        <is>
          <t>Nifty 50</t>
        </is>
      </c>
      <c r="T26" s="32" t="n">
        <v>-2.88</v>
      </c>
      <c r="U26" s="32" t="n">
        <v>84.90000000000001</v>
      </c>
      <c r="V26" s="32" t="n">
        <v>90.37</v>
      </c>
      <c r="W26" s="32" t="n">
        <v>28.4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IF(B27=0,"",RANK(B27,$B$2:$B$99,0))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KDDL</t>
        </is>
      </c>
      <c r="D27" s="31" t="inlineStr">
        <is>
          <t>KDDL Ltd</t>
        </is>
      </c>
      <c r="E27" s="31" t="inlineStr">
        <is>
          <t>consumer discretionary</t>
        </is>
      </c>
      <c r="F27" s="31" t="inlineStr">
        <is>
          <t>Watches</t>
        </is>
      </c>
      <c r="G27" s="31" t="inlineStr">
        <is>
          <t>smallcap</t>
        </is>
      </c>
      <c r="H27" s="32" t="n">
        <v>4998.43</v>
      </c>
      <c r="I27" s="32" t="n">
        <v>4064</v>
      </c>
      <c r="J27" s="32" t="n">
        <v>-0.5</v>
      </c>
      <c r="K27" s="32" t="n">
        <v>0</v>
      </c>
      <c r="L27" s="31" t="n">
        <v>76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79.31999999999999</v>
      </c>
      <c r="P27" s="32" t="n">
        <v>45.33</v>
      </c>
      <c r="Q27" s="32" t="n">
        <v>3191.57</v>
      </c>
      <c r="R27" s="31" t="inlineStr">
        <is>
          <t>Near 52W High Breakout</t>
        </is>
      </c>
      <c r="S27" s="31" t="inlineStr">
        <is>
          <t>Nifty 50</t>
        </is>
      </c>
      <c r="T27" s="32" t="n">
        <v>-2.88</v>
      </c>
      <c r="U27" s="32" t="n">
        <v>67</v>
      </c>
      <c r="V27" s="32" t="n">
        <v>71.94</v>
      </c>
      <c r="W27" s="32" t="n">
        <v>21.24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IF(B28=0,"",RANK(B28,$B$2:$B$99,0))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DIACABS</t>
        </is>
      </c>
      <c r="D28" s="34" t="inlineStr">
        <is>
          <t>Diamond Power Infrastructure Ltd</t>
        </is>
      </c>
      <c r="E28" s="31" t="inlineStr">
        <is>
          <t>industrials</t>
        </is>
      </c>
      <c r="F28" s="31" t="inlineStr">
        <is>
          <t>Cables - Power</t>
        </is>
      </c>
      <c r="G28" s="31" t="inlineStr">
        <is>
          <t>largecap</t>
        </is>
      </c>
      <c r="H28" s="32" t="n">
        <v>22245.25</v>
      </c>
      <c r="I28" s="32" t="n">
        <v>371.95</v>
      </c>
      <c r="J28" s="32" t="n">
        <v>3.35</v>
      </c>
      <c r="K28" s="32" t="n">
        <v>0</v>
      </c>
      <c r="L28" s="31" t="n">
        <v>98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88.59999999999999</v>
      </c>
      <c r="P28" s="32" t="n">
        <v>64.66</v>
      </c>
      <c r="Q28" s="32" t="n">
        <v>285.96</v>
      </c>
      <c r="R28" s="31" t="inlineStr">
        <is>
          <t>Near 52W High Breakout</t>
        </is>
      </c>
      <c r="S28" s="31" t="inlineStr">
        <is>
          <t>Nifty Energy</t>
        </is>
      </c>
      <c r="T28" s="32" t="n">
        <v>9.44</v>
      </c>
      <c r="U28" s="32" t="n">
        <v>125.92</v>
      </c>
      <c r="V28" s="32" t="n">
        <v>106.43</v>
      </c>
      <c r="W28" s="32" t="n">
        <v>52.04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IF(B29=0,"",RANK(B29,$B$2:$B$99,0))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MARKSANS</t>
        </is>
      </c>
      <c r="D29" s="31" t="inlineStr">
        <is>
          <t>Marksans Pharma Ltd</t>
        </is>
      </c>
      <c r="E29" s="31" t="inlineStr">
        <is>
          <t>healthcare</t>
        </is>
      </c>
      <c r="F29" s="31" t="inlineStr">
        <is>
          <t>Pharma - Formulators</t>
        </is>
      </c>
      <c r="G29" s="31" t="inlineStr">
        <is>
          <t>midcap</t>
        </is>
      </c>
      <c r="H29" s="32" t="n">
        <v>14818.45</v>
      </c>
      <c r="I29" s="32" t="n">
        <v>327</v>
      </c>
      <c r="J29" s="32" t="n">
        <v>-1.34</v>
      </c>
      <c r="K29" s="32" t="n">
        <v>0</v>
      </c>
      <c r="L29" s="31" t="n">
        <v>83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77.31999999999999</v>
      </c>
      <c r="P29" s="32" t="n">
        <v>56.85</v>
      </c>
      <c r="Q29" s="32" t="n">
        <v>254.33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18.4</v>
      </c>
      <c r="U29" s="32" t="n">
        <v>81.43000000000001</v>
      </c>
      <c r="V29" s="32" t="n">
        <v>53.23</v>
      </c>
      <c r="W29" s="32" t="n">
        <v>25.31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28</t>
        </is>
      </c>
      <c r="CG29" s="31">
        <f>IF(CF29&gt;20,10,IF(CF29&gt;=10,5,2))</f>
        <v/>
      </c>
    </row>
    <row r="30">
      <c r="A30" s="31">
        <f>IF(B30=0,"",RANK(B30,$B$2:$B$99,0))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BLISSGVS</t>
        </is>
      </c>
      <c r="D30" s="34" t="inlineStr">
        <is>
          <t>Bliss GVS Pharma Ltd</t>
        </is>
      </c>
      <c r="E30" s="31" t="inlineStr">
        <is>
          <t>healthcare</t>
        </is>
      </c>
      <c r="F30" s="31" t="inlineStr">
        <is>
          <t>Pharma - Formulators</t>
        </is>
      </c>
      <c r="G30" s="31" t="inlineStr">
        <is>
          <t>midcap</t>
        </is>
      </c>
      <c r="H30" s="32" t="n">
        <v>5807.94</v>
      </c>
      <c r="I30" s="32" t="n">
        <v>546.5</v>
      </c>
      <c r="J30" s="32" t="n">
        <v>5</v>
      </c>
      <c r="K30" s="32" t="n">
        <v>0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80.33</v>
      </c>
      <c r="P30" s="32" t="n">
        <v>74.76000000000001</v>
      </c>
      <c r="Q30" s="32" t="n">
        <v>413.65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18.4</v>
      </c>
      <c r="U30" s="32" t="n">
        <v>240.21</v>
      </c>
      <c r="V30" s="32" t="n">
        <v>187.34</v>
      </c>
      <c r="W30" s="32" t="n">
        <v>47.65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IF(B31=0,"",RANK(B31,$B$2:$B$99,0))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SKYGOLD</t>
        </is>
      </c>
      <c r="D31" s="31" t="inlineStr">
        <is>
          <t>Sky Gold &amp; Diamonds Ltd</t>
        </is>
      </c>
      <c r="E31" s="31" t="inlineStr">
        <is>
          <t>consumer discretionary</t>
        </is>
      </c>
      <c r="F31" s="31" t="inlineStr">
        <is>
          <t>Diamond, Gems &amp; Jewellery</t>
        </is>
      </c>
      <c r="G31" s="31" t="inlineStr">
        <is>
          <t>midcap</t>
        </is>
      </c>
      <c r="H31" s="32" t="n">
        <v>12292.34</v>
      </c>
      <c r="I31" s="32" t="n">
        <v>793.7</v>
      </c>
      <c r="J31" s="32" t="n">
        <v>2.23</v>
      </c>
      <c r="K31" s="32" t="n">
        <v>0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81.11</v>
      </c>
      <c r="P31" s="32" t="n">
        <v>63.34</v>
      </c>
      <c r="Q31" s="32" t="n">
        <v>612.05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-2.88</v>
      </c>
      <c r="U31" s="32" t="n">
        <v>160.71</v>
      </c>
      <c r="V31" s="32" t="n">
        <v>168.43</v>
      </c>
      <c r="W31" s="32" t="n">
        <v>37.3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30</t>
        </is>
      </c>
      <c r="CG31" s="31">
        <f>IF(CF31&gt;20,10,IF(CF31&gt;=10,5,2))</f>
        <v/>
      </c>
    </row>
    <row r="32">
      <c r="A32" s="31">
        <f>IF(B32=0,"",RANK(B32,$B$2:$B$99,0))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JGCHEM</t>
        </is>
      </c>
      <c r="D32" s="31" t="inlineStr">
        <is>
          <t>JGChemicals Ltd</t>
        </is>
      </c>
      <c r="E32" s="31" t="inlineStr">
        <is>
          <t>chemicals</t>
        </is>
      </c>
      <c r="F32" s="31" t="inlineStr">
        <is>
          <t>Chemicals - Inorganic</t>
        </is>
      </c>
      <c r="G32" s="31" t="inlineStr">
        <is>
          <t>smallcap</t>
        </is>
      </c>
      <c r="H32" s="32" t="n">
        <v>2527.5</v>
      </c>
      <c r="I32" s="32" t="n">
        <v>645</v>
      </c>
      <c r="J32" s="32" t="n">
        <v>7.36</v>
      </c>
      <c r="K32" s="32" t="n">
        <v>0</v>
      </c>
      <c r="L32" s="31" t="n">
        <v>77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80.20999999999999</v>
      </c>
      <c r="P32" s="32" t="n">
        <v>35.22</v>
      </c>
      <c r="Q32" s="32" t="n">
        <v>507.34</v>
      </c>
      <c r="R32" s="31" t="inlineStr">
        <is>
          <t>Near 52W High Breakout</t>
        </is>
      </c>
      <c r="S32" s="31" t="inlineStr">
        <is>
          <t>Nifty IT</t>
        </is>
      </c>
      <c r="T32" s="32" t="n">
        <v>-14.75</v>
      </c>
      <c r="U32" s="32" t="n">
        <v>31.97</v>
      </c>
      <c r="V32" s="32" t="n">
        <v>54.8</v>
      </c>
      <c r="W32" s="32" t="n">
        <v>21.74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IF(B33=0,"",RANK(B33,$B$2:$B$99,0))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HFCL</t>
        </is>
      </c>
      <c r="D33" s="31" t="inlineStr">
        <is>
          <t>HFCL Ltd</t>
        </is>
      </c>
      <c r="E33" s="31" t="inlineStr">
        <is>
          <t>telecom</t>
        </is>
      </c>
      <c r="F33" s="31" t="inlineStr">
        <is>
          <t>Telecom Services</t>
        </is>
      </c>
      <c r="G33" s="31" t="inlineStr">
        <is>
          <t>largecap</t>
        </is>
      </c>
      <c r="H33" s="32" t="n">
        <v>35275.79</v>
      </c>
      <c r="I33" s="32" t="n">
        <v>230.47</v>
      </c>
      <c r="J33" s="32" t="n">
        <v>5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74.95</v>
      </c>
      <c r="P33" s="32" t="n">
        <v>64.5</v>
      </c>
      <c r="Q33" s="32" t="n">
        <v>172.04</v>
      </c>
      <c r="R33" s="31" t="inlineStr">
        <is>
          <t>Near 52W High Breakout</t>
        </is>
      </c>
      <c r="S33" s="31" t="inlineStr">
        <is>
          <t>Nifty Infra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Oligopoly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26</t>
        </is>
      </c>
      <c r="CG33" s="31">
        <f>IF(CF33&gt;20,10,IF(CF33&gt;=10,5,2))</f>
        <v/>
      </c>
    </row>
    <row r="34">
      <c r="A34" s="31">
        <f>IF(B34=0,"",RANK(B34,$B$2:$B$99,0))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AVALON</t>
        </is>
      </c>
      <c r="D34" s="31" t="inlineStr">
        <is>
          <t>Avalon Technologies Ltd</t>
        </is>
      </c>
      <c r="E34" s="31" t="inlineStr">
        <is>
          <t>consumer discretionary</t>
        </is>
      </c>
      <c r="F34" s="31" t="inlineStr">
        <is>
          <t>Consumer Electronics - EMS</t>
        </is>
      </c>
      <c r="G34" s="31" t="inlineStr">
        <is>
          <t>midcap</t>
        </is>
      </c>
      <c r="H34" s="32" t="n">
        <v>14865.62</v>
      </c>
      <c r="I34" s="32" t="n">
        <v>2225</v>
      </c>
      <c r="J34" s="32" t="n">
        <v>8.039999999999999</v>
      </c>
      <c r="K34" s="32" t="n">
        <v>0</v>
      </c>
      <c r="L34" s="31" t="n">
        <v>89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82.94</v>
      </c>
      <c r="P34" s="32" t="n">
        <v>58.68</v>
      </c>
      <c r="Q34" s="32" t="n">
        <v>1710.08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-2.88</v>
      </c>
      <c r="U34" s="32" t="n">
        <v>157.26</v>
      </c>
      <c r="V34" s="32" t="n">
        <v>164.88</v>
      </c>
      <c r="W34" s="32" t="n">
        <v>32.25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25</t>
        </is>
      </c>
      <c r="CG34" s="31">
        <f>IF(CF34&gt;20,10,IF(CF34&gt;=10,5,2))</f>
        <v/>
      </c>
    </row>
    <row r="35">
      <c r="A35" s="31">
        <f>IF(B35=0,"",RANK(B35,$B$2:$B$99,0))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MINDACORP</t>
        </is>
      </c>
      <c r="D35" s="31" t="inlineStr">
        <is>
          <t>Minda Corporation Ltd</t>
        </is>
      </c>
      <c r="E35" s="31" t="inlineStr">
        <is>
          <t>auto</t>
        </is>
      </c>
      <c r="F35" s="31" t="inlineStr">
        <is>
          <t>Auto Ancillaries - Diversified</t>
        </is>
      </c>
      <c r="G35" s="31" t="inlineStr">
        <is>
          <t>midcap</t>
        </is>
      </c>
      <c r="H35" s="32" t="n">
        <v>17850.87</v>
      </c>
      <c r="I35" s="32" t="n">
        <v>746.65</v>
      </c>
      <c r="J35" s="32" t="n">
        <v>2.96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73.19</v>
      </c>
      <c r="P35" s="32" t="n">
        <v>39.21</v>
      </c>
      <c r="Q35" s="32" t="n">
        <v>615.3200000000001</v>
      </c>
      <c r="R35" s="31" t="inlineStr">
        <is>
          <t>Near 52W High Breakout</t>
        </is>
      </c>
      <c r="S35" s="31" t="inlineStr">
        <is>
          <t>Nifty Auto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25</t>
        </is>
      </c>
      <c r="CG35" s="31">
        <f>IF(CF35&gt;20,10,IF(CF35&gt;=10,5,2))</f>
        <v/>
      </c>
    </row>
    <row r="36">
      <c r="A36" s="31">
        <f>IF(B36=0,"",RANK(B36,$B$2:$B$99,0))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RPEL</t>
        </is>
      </c>
      <c r="D36" s="31" t="inlineStr">
        <is>
          <t>Raghav Productivity Enhancers Ltd</t>
        </is>
      </c>
      <c r="E36" s="31" t="inlineStr">
        <is>
          <t>building materials</t>
        </is>
      </c>
      <c r="F36" s="31" t="inlineStr">
        <is>
          <t>Steel Products</t>
        </is>
      </c>
      <c r="G36" s="31" t="inlineStr">
        <is>
          <t>midcap</t>
        </is>
      </c>
      <c r="H36" s="32" t="n">
        <v>6888.29</v>
      </c>
      <c r="I36" s="32" t="n">
        <v>1500</v>
      </c>
      <c r="J36" s="32" t="n">
        <v>4.89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80.66</v>
      </c>
      <c r="P36" s="32" t="n">
        <v>56.49</v>
      </c>
      <c r="Q36" s="32" t="n">
        <v>1186.06</v>
      </c>
      <c r="R36" s="31" t="inlineStr">
        <is>
          <t>Near 52W High Breakout</t>
        </is>
      </c>
      <c r="S36" s="31" t="inlineStr">
        <is>
          <t>Nifty Infra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Between 1.5 to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22</t>
        </is>
      </c>
      <c r="CG36" s="31">
        <f>IF(CF36&gt;20,10,IF(CF36&gt;=10,5,2))</f>
        <v/>
      </c>
    </row>
    <row r="37">
      <c r="A37" s="31">
        <f>IF(B37=0,"",RANK(B37,$B$2:$B$99,0))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WELSPUNLIV</t>
        </is>
      </c>
      <c r="D37" s="34" t="inlineStr">
        <is>
          <t>Welspun Living Ltd</t>
        </is>
      </c>
      <c r="E37" s="31" t="inlineStr">
        <is>
          <t>textiles</t>
        </is>
      </c>
      <c r="F37" s="31" t="inlineStr">
        <is>
          <t>Textiles - Home Textile</t>
        </is>
      </c>
      <c r="G37" s="31" t="inlineStr">
        <is>
          <t>midcap</t>
        </is>
      </c>
      <c r="H37" s="32" t="n">
        <v>17005.77</v>
      </c>
      <c r="I37" s="32" t="n">
        <v>177.3</v>
      </c>
      <c r="J37" s="32" t="n">
        <v>5.44</v>
      </c>
      <c r="K37" s="32" t="n">
        <v>0</v>
      </c>
      <c r="L37" s="31" t="n">
        <v>59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69.70999999999999</v>
      </c>
      <c r="P37" s="32" t="n">
        <v>34.26</v>
      </c>
      <c r="Q37" s="32" t="n">
        <v>138.16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-2.88</v>
      </c>
      <c r="U37" s="32" t="n">
        <v>49.9</v>
      </c>
      <c r="V37" s="32" t="n">
        <v>54.33</v>
      </c>
      <c r="W37" s="32" t="n">
        <v>14.51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IF(B38=0,"",RANK(B38,$B$2:$B$99,0))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NETWEB</t>
        </is>
      </c>
      <c r="D38" s="31" t="inlineStr">
        <is>
          <t>Netweb Technologies India Ltd</t>
        </is>
      </c>
      <c r="E38" s="31" t="inlineStr">
        <is>
          <t>i.t</t>
        </is>
      </c>
      <c r="F38" s="31" t="inlineStr">
        <is>
          <t>Data Centre</t>
        </is>
      </c>
      <c r="G38" s="31" t="inlineStr">
        <is>
          <t>largecap</t>
        </is>
      </c>
      <c r="H38" s="32" t="n">
        <v>30320.92</v>
      </c>
      <c r="I38" s="32" t="n">
        <v>5325</v>
      </c>
      <c r="J38" s="32" t="n">
        <v>2.16</v>
      </c>
      <c r="K38" s="32" t="n">
        <v>0</v>
      </c>
      <c r="L38" s="31" t="n">
        <v>85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67.58</v>
      </c>
      <c r="P38" s="32" t="n">
        <v>38.36</v>
      </c>
      <c r="Q38" s="32" t="n">
        <v>4010.71</v>
      </c>
      <c r="R38" s="31" t="inlineStr">
        <is>
          <t>Near 52W High Breakout</t>
        </is>
      </c>
      <c r="S38" s="31" t="inlineStr">
        <is>
          <t>Nifty IT</t>
        </is>
      </c>
      <c r="T38" s="32" t="n">
        <v>-14.75</v>
      </c>
      <c r="U38" s="32" t="n">
        <v>130.7</v>
      </c>
      <c r="V38" s="32" t="n">
        <v>170.62</v>
      </c>
      <c r="W38" s="32" t="n">
        <v>27.3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IF(B39=0,"",RANK(B39,$B$2:$B$99,0))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AFCOM</t>
        </is>
      </c>
      <c r="D39" s="31" t="inlineStr">
        <is>
          <t>Afcom Holdings Ltd</t>
        </is>
      </c>
      <c r="E39" s="31" t="inlineStr">
        <is>
          <t>Industrials</t>
        </is>
      </c>
      <c r="F39" s="31" t="inlineStr">
        <is>
          <t>Air Transport Service</t>
        </is>
      </c>
      <c r="G39" s="31" t="inlineStr">
        <is>
          <t>smallcap</t>
        </is>
      </c>
      <c r="H39" s="32" t="n">
        <v>4441.11</v>
      </c>
      <c r="I39" s="32" t="n">
        <v>1547.5</v>
      </c>
      <c r="J39" s="32" t="n">
        <v>0.5600000000000001</v>
      </c>
      <c r="K39" s="32" t="n">
        <v>0</v>
      </c>
      <c r="L39" s="31" t="n">
        <v>85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72.68000000000001</v>
      </c>
      <c r="P39" s="32" t="n">
        <v>41.67</v>
      </c>
      <c r="Q39" s="32" t="n">
        <v>1149.11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-2.88</v>
      </c>
      <c r="U39" s="32" t="n">
        <v>76.19</v>
      </c>
      <c r="V39" s="32" t="n">
        <v>81.40000000000001</v>
      </c>
      <c r="W39" s="32" t="n">
        <v>27.49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IF(B40=0,"",RANK(B40,$B$2:$B$99,0))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THELEELA</t>
        </is>
      </c>
      <c r="D40" s="34" t="inlineStr">
        <is>
          <t>Leela Palaces Hotels &amp; Resorts Ltd</t>
        </is>
      </c>
      <c r="E40" s="31" t="inlineStr">
        <is>
          <t>services</t>
        </is>
      </c>
      <c r="F40" s="31" t="inlineStr">
        <is>
          <t>Hotels</t>
        </is>
      </c>
      <c r="G40" s="31" t="inlineStr">
        <is>
          <t>midcap</t>
        </is>
      </c>
      <c r="H40" s="32" t="n">
        <v>17354.12</v>
      </c>
      <c r="I40" s="32" t="n">
        <v>519.65</v>
      </c>
      <c r="J40" s="32" t="n">
        <v>3.31</v>
      </c>
      <c r="K40" s="32" t="n">
        <v>0</v>
      </c>
      <c r="L40" s="31" t="n">
        <v>43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64.53</v>
      </c>
      <c r="P40" s="32" t="n">
        <v>29.05</v>
      </c>
      <c r="Q40" s="32" t="n">
        <v>423.66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-2.88</v>
      </c>
      <c r="U40" s="32" t="n">
        <v>23.42</v>
      </c>
      <c r="V40" s="32" t="n">
        <v>27.07</v>
      </c>
      <c r="W40" s="32" t="n">
        <v>9.75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IF(B41=0,"",RANK(B41,$B$2:$B$99,0))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ASKAUTOLTD</t>
        </is>
      </c>
      <c r="D41" s="31" t="inlineStr">
        <is>
          <t>ASK Automotive Ltd</t>
        </is>
      </c>
      <c r="E41" s="31" t="inlineStr">
        <is>
          <t>auto</t>
        </is>
      </c>
      <c r="F41" s="31" t="inlineStr">
        <is>
          <t>Auto Ancillaries - 2 Wheelers</t>
        </is>
      </c>
      <c r="G41" s="31" t="inlineStr">
        <is>
          <t>midcap</t>
        </is>
      </c>
      <c r="H41" s="32" t="n">
        <v>12646.7</v>
      </c>
      <c r="I41" s="32" t="n">
        <v>641.5</v>
      </c>
      <c r="J41" s="32" t="n">
        <v>-1.19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78.29000000000001</v>
      </c>
      <c r="P41" s="32" t="n">
        <v>23.48</v>
      </c>
      <c r="Q41" s="32" t="n">
        <v>522.67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IF(B42=0,"",RANK(B42,$B$2:$B$99,0))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GHCLTEXTIL</t>
        </is>
      </c>
      <c r="D42" s="34" t="inlineStr">
        <is>
          <t>GHCL Textiles Ltd</t>
        </is>
      </c>
      <c r="E42" s="31" t="inlineStr">
        <is>
          <t>textiles</t>
        </is>
      </c>
      <c r="F42" s="31" t="inlineStr">
        <is>
          <t>Textiles - General</t>
        </is>
      </c>
      <c r="G42" s="31" t="inlineStr">
        <is>
          <t>smallcap</t>
        </is>
      </c>
      <c r="H42" s="32" t="n">
        <v>1219.2</v>
      </c>
      <c r="I42" s="32" t="n">
        <v>127.55</v>
      </c>
      <c r="J42" s="32" t="n">
        <v>6.22</v>
      </c>
      <c r="K42" s="32" t="n">
        <v>0</v>
      </c>
      <c r="L42" s="31" t="n">
        <v>74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73.84</v>
      </c>
      <c r="P42" s="32" t="n">
        <v>36.56</v>
      </c>
      <c r="Q42" s="32" t="n">
        <v>100</v>
      </c>
      <c r="R42" s="31" t="inlineStr">
        <is>
          <t>Near 52W High Breakout</t>
        </is>
      </c>
      <c r="S42" s="31" t="inlineStr">
        <is>
          <t>Nifty 50</t>
        </is>
      </c>
      <c r="T42" s="32" t="n">
        <v>-2.88</v>
      </c>
      <c r="U42" s="32" t="n">
        <v>60.84</v>
      </c>
      <c r="V42" s="32" t="n">
        <v>65.59999999999999</v>
      </c>
      <c r="W42" s="32" t="n">
        <v>19.56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IF(B43=0,"",RANK(B43,$B$2:$B$99,0))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AVTNPL</t>
        </is>
      </c>
      <c r="D43" s="31" t="inlineStr">
        <is>
          <t>AVT Natural Products Ltd</t>
        </is>
      </c>
      <c r="E43" s="31" t="inlineStr">
        <is>
          <t>fmcg</t>
        </is>
      </c>
      <c r="F43" s="31" t="inlineStr">
        <is>
          <t>Agricultural Processing - Maize</t>
        </is>
      </c>
      <c r="G43" s="31" t="inlineStr">
        <is>
          <t>smallcap</t>
        </is>
      </c>
      <c r="H43" s="32" t="n">
        <v>1339.64</v>
      </c>
      <c r="I43" s="32" t="n">
        <v>87.97</v>
      </c>
      <c r="J43" s="32" t="n">
        <v>-0.15</v>
      </c>
      <c r="K43" s="32" t="n">
        <v>0</v>
      </c>
      <c r="L43" s="31" t="n">
        <v>45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76.90000000000001</v>
      </c>
      <c r="P43" s="32" t="n">
        <v>34.3</v>
      </c>
      <c r="Q43" s="32" t="n">
        <v>70.06999999999999</v>
      </c>
      <c r="R43" s="31" t="inlineStr">
        <is>
          <t>Volume Spike &amp; Near 52W High Breakout</t>
        </is>
      </c>
      <c r="S43" s="31" t="inlineStr">
        <is>
          <t>Nifty FMCG</t>
        </is>
      </c>
      <c r="T43" s="32" t="n">
        <v>-12.54</v>
      </c>
      <c r="U43" s="32" t="n">
        <v>16.38</v>
      </c>
      <c r="V43" s="32" t="n">
        <v>33.06</v>
      </c>
      <c r="W43" s="32" t="n">
        <v>10.23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27</t>
        </is>
      </c>
      <c r="CG43" s="31">
        <f>IF(CF43&gt;20,10,IF(CF43&gt;=10,5,2))</f>
        <v/>
      </c>
    </row>
    <row r="44">
      <c r="A44" s="31">
        <f>IF(B44=0,"",RANK(B44,$B$2:$B$99,0))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SHILPAMED</t>
        </is>
      </c>
      <c r="D44" s="31" t="inlineStr">
        <is>
          <t>Shilpa Medicare Ltd</t>
        </is>
      </c>
      <c r="E44" s="31" t="inlineStr">
        <is>
          <t>healthcare</t>
        </is>
      </c>
      <c r="F44" s="31" t="inlineStr">
        <is>
          <t>Pharma - API &amp; CRAMS</t>
        </is>
      </c>
      <c r="G44" s="31" t="inlineStr">
        <is>
          <t>midcap</t>
        </is>
      </c>
      <c r="H44" s="32" t="n">
        <v>15871.46</v>
      </c>
      <c r="I44" s="32" t="n">
        <v>811.5</v>
      </c>
      <c r="J44" s="32" t="n">
        <v>0.27</v>
      </c>
      <c r="K44" s="32" t="n">
        <v>0</v>
      </c>
      <c r="L44" s="31" t="n">
        <v>88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86.55</v>
      </c>
      <c r="P44" s="32" t="n">
        <v>74.72</v>
      </c>
      <c r="Q44" s="32" t="n">
        <v>669.4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18.4</v>
      </c>
      <c r="U44" s="32" t="n">
        <v>90.34999999999999</v>
      </c>
      <c r="V44" s="32" t="n">
        <v>60.76</v>
      </c>
      <c r="W44" s="32" t="n">
        <v>31.27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25</t>
        </is>
      </c>
      <c r="CG44" s="31">
        <f>IF(CF44&gt;20,10,IF(CF44&gt;=10,5,2))</f>
        <v/>
      </c>
    </row>
    <row r="45">
      <c r="A45" s="31">
        <f>IF(B45=0,"",RANK(B45,$B$2:$B$99,0))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MANORAMA</t>
        </is>
      </c>
      <c r="D45" s="31" t="inlineStr">
        <is>
          <t>Manorama Industries Ltd</t>
        </is>
      </c>
      <c r="E45" s="31" t="inlineStr">
        <is>
          <t>fmcg</t>
        </is>
      </c>
      <c r="F45" s="31" t="inlineStr">
        <is>
          <t>FMCG - Chocolate</t>
        </is>
      </c>
      <c r="G45" s="31" t="inlineStr">
        <is>
          <t>midcap</t>
        </is>
      </c>
      <c r="H45" s="32" t="n">
        <v>11986.94</v>
      </c>
      <c r="I45" s="32" t="n">
        <v>1899</v>
      </c>
      <c r="J45" s="32" t="n">
        <v>-2.28</v>
      </c>
      <c r="K45" s="32" t="n">
        <v>0</v>
      </c>
      <c r="L45" s="31" t="n">
        <v>55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74.15000000000001</v>
      </c>
      <c r="P45" s="32" t="n">
        <v>19.17</v>
      </c>
      <c r="Q45" s="32" t="n">
        <v>1475.45</v>
      </c>
      <c r="R45" s="31" t="inlineStr">
        <is>
          <t>Volume Spike &amp; Near 52W High Breakout</t>
        </is>
      </c>
      <c r="S45" s="31" t="inlineStr">
        <is>
          <t>Nifty FMCG</t>
        </is>
      </c>
      <c r="T45" s="32" t="n">
        <v>-12.54</v>
      </c>
      <c r="U45" s="32" t="n">
        <v>20.61</v>
      </c>
      <c r="V45" s="32" t="n">
        <v>37.91</v>
      </c>
      <c r="W45" s="32" t="n">
        <v>13.16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0 to 20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23</t>
        </is>
      </c>
      <c r="CG45" s="31">
        <f>IF(CF45&gt;20,10,IF(CF45&gt;=10,5,2))</f>
        <v/>
      </c>
    </row>
    <row r="46">
      <c r="A46" s="31">
        <f>IF(B46=0,"",RANK(B46,$B$2:$B$99,0))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LAURUSLABS</t>
        </is>
      </c>
      <c r="D46" s="31" t="inlineStr">
        <is>
          <t>Laurus Labs Ltd</t>
        </is>
      </c>
      <c r="E46" s="31" t="inlineStr">
        <is>
          <t>healthcare</t>
        </is>
      </c>
      <c r="F46" s="31" t="inlineStr">
        <is>
          <t>Pharma - API &amp; CRAMS</t>
        </is>
      </c>
      <c r="G46" s="31" t="inlineStr">
        <is>
          <t>largecap</t>
        </is>
      </c>
      <c r="H46" s="32" t="n">
        <v>98390.85000000001</v>
      </c>
      <c r="I46" s="32" t="n">
        <v>1821</v>
      </c>
      <c r="J46" s="32" t="n">
        <v>0.62</v>
      </c>
      <c r="K46" s="32" t="n">
        <v>0</v>
      </c>
      <c r="L46" s="31" t="n">
        <v>81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80.41</v>
      </c>
      <c r="P46" s="32" t="n">
        <v>66.62</v>
      </c>
      <c r="Q46" s="32" t="n">
        <v>1587.76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18.4</v>
      </c>
      <c r="U46" s="32" t="n">
        <v>106.72</v>
      </c>
      <c r="V46" s="32" t="n">
        <v>74.59999999999999</v>
      </c>
      <c r="W46" s="32" t="n">
        <v>23.51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20</t>
        </is>
      </c>
      <c r="CG46" s="31">
        <f>IF(CF46&gt;20,10,IF(CF46&gt;=10,5,2))</f>
        <v/>
      </c>
    </row>
    <row r="47">
      <c r="A47" s="31">
        <f>IF(B47=0,"",RANK(B47,$B$2:$B$99,0))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LENSKART</t>
        </is>
      </c>
      <c r="D47" s="34" t="inlineStr">
        <is>
          <t>Lenskart Solutions Ltd</t>
        </is>
      </c>
      <c r="E47" s="31" t="inlineStr">
        <is>
          <t>Healthcare</t>
        </is>
      </c>
      <c r="F47" s="31" t="inlineStr">
        <is>
          <t>New age - Platform - E-Retail</t>
        </is>
      </c>
      <c r="G47" s="31" t="inlineStr">
        <is>
          <t>largecap</t>
        </is>
      </c>
      <c r="H47" s="32" t="n">
        <v>109228.43</v>
      </c>
      <c r="I47" s="32" t="n">
        <v>628</v>
      </c>
      <c r="J47" s="32" t="n">
        <v>3.36</v>
      </c>
      <c r="K47" s="32" t="n">
        <v>0</v>
      </c>
      <c r="L47" s="31" t="n">
        <v>61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72.78</v>
      </c>
      <c r="P47" s="32" t="n">
        <v>39.19</v>
      </c>
      <c r="Q47" s="32" t="n">
        <v>509.21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15.52</v>
      </c>
      <c r="U47" s="32" t="n">
        <v>53.62</v>
      </c>
      <c r="V47" s="32" t="n">
        <v>32.99</v>
      </c>
      <c r="W47" s="32" t="n">
        <v>14.86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IF(B48=0,"",RANK(B48,$B$2:$B$99,0))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PRECWIRE</t>
        </is>
      </c>
      <c r="D48" s="31" t="inlineStr">
        <is>
          <t>Precision Wires India Ltd</t>
        </is>
      </c>
      <c r="E48" s="31" t="inlineStr">
        <is>
          <t>metals &amp; mining</t>
        </is>
      </c>
      <c r="F48" s="31" t="inlineStr">
        <is>
          <t>Copper Wires</t>
        </is>
      </c>
      <c r="G48" s="31" t="inlineStr">
        <is>
          <t>midcap</t>
        </is>
      </c>
      <c r="H48" s="32" t="n">
        <v>8401.85</v>
      </c>
      <c r="I48" s="32" t="n">
        <v>459.6</v>
      </c>
      <c r="J48" s="32" t="n">
        <v>0.4</v>
      </c>
      <c r="K48" s="32" t="n">
        <v>0</v>
      </c>
      <c r="L48" s="31" t="n">
        <v>84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67.88</v>
      </c>
      <c r="P48" s="32" t="n">
        <v>42.88</v>
      </c>
      <c r="Q48" s="32" t="n">
        <v>342.75</v>
      </c>
      <c r="R48" s="31" t="inlineStr">
        <is>
          <t>Near 52W High Breakout</t>
        </is>
      </c>
      <c r="S48" s="31" t="inlineStr">
        <is>
          <t>Nifty Metal</t>
        </is>
      </c>
      <c r="T48" s="32" t="n">
        <v>38.2</v>
      </c>
      <c r="U48" s="32" t="n">
        <v>152.9</v>
      </c>
      <c r="V48" s="32" t="n">
        <v>83</v>
      </c>
      <c r="W48" s="32" t="n">
        <v>26.92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Cyclical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Volatile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27</t>
        </is>
      </c>
      <c r="CG48" s="31">
        <f>IF(CF48&gt;20,10,IF(CF48&gt;=10,5,2))</f>
        <v/>
      </c>
    </row>
    <row r="49">
      <c r="A49" s="31">
        <f>IF(B49=0,"",RANK(B49,$B$2:$B$99,0))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TVSSRICHAK</t>
        </is>
      </c>
      <c r="D49" s="31" t="inlineStr">
        <is>
          <t>TVS Srichakra Ltd</t>
        </is>
      </c>
      <c r="E49" s="31" t="inlineStr">
        <is>
          <t>auto</t>
        </is>
      </c>
      <c r="F49" s="31" t="inlineStr">
        <is>
          <t>Tyres &amp; Tubes</t>
        </is>
      </c>
      <c r="G49" s="31" t="inlineStr">
        <is>
          <t>smallcap</t>
        </is>
      </c>
      <c r="H49" s="32" t="n">
        <v>3625.61</v>
      </c>
      <c r="I49" s="32" t="n">
        <v>4735</v>
      </c>
      <c r="J49" s="32" t="n">
        <v>-2.75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67.98</v>
      </c>
      <c r="P49" s="32" t="n">
        <v>22.47</v>
      </c>
      <c r="Q49" s="32" t="n">
        <v>3748.19</v>
      </c>
      <c r="R49" s="31" t="inlineStr">
        <is>
          <t>Volume Spike &amp; Near 52W High Breakout</t>
        </is>
      </c>
      <c r="S49" s="31" t="inlineStr">
        <is>
          <t>Nifty Auto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26</t>
        </is>
      </c>
      <c r="CG49" s="31">
        <f>IF(CF49&gt;20,10,IF(CF49&gt;=10,5,2))</f>
        <v/>
      </c>
    </row>
    <row r="50">
      <c r="A50" s="31">
        <f>IF(B50=0,"",RANK(B50,$B$2:$B$99,0))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FINCABLES</t>
        </is>
      </c>
      <c r="D50" s="31" t="inlineStr">
        <is>
          <t>Finolex Cables Ltd</t>
        </is>
      </c>
      <c r="E50" s="31" t="inlineStr">
        <is>
          <t>industrials</t>
        </is>
      </c>
      <c r="F50" s="31" t="inlineStr">
        <is>
          <t>Cables - Telecom</t>
        </is>
      </c>
      <c r="G50" s="31" t="inlineStr">
        <is>
          <t>largecap</t>
        </is>
      </c>
      <c r="H50" s="32" t="n">
        <v>20340.93</v>
      </c>
      <c r="I50" s="32" t="n">
        <v>1330</v>
      </c>
      <c r="J50" s="32" t="n">
        <v>0.6899999999999999</v>
      </c>
      <c r="K50" s="32" t="n">
        <v>0</v>
      </c>
      <c r="L50" s="31" t="n">
        <v>70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68.76000000000001</v>
      </c>
      <c r="P50" s="32" t="n">
        <v>35.1</v>
      </c>
      <c r="Q50" s="32" t="n">
        <v>1007.28</v>
      </c>
      <c r="R50" s="31" t="inlineStr">
        <is>
          <t>Near 52W High Breakout</t>
        </is>
      </c>
      <c r="S50" s="31" t="inlineStr">
        <is>
          <t>Nifty Energy</t>
        </is>
      </c>
      <c r="T50" s="32" t="n">
        <v>9.44</v>
      </c>
      <c r="U50" s="32" t="n">
        <v>49.35</v>
      </c>
      <c r="V50" s="32" t="n">
        <v>36.47</v>
      </c>
      <c r="W50" s="32" t="n">
        <v>17.65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25</t>
        </is>
      </c>
      <c r="CG50" s="31">
        <f>IF(CF50&gt;20,10,IF(CF50&gt;=10,5,2))</f>
        <v/>
      </c>
    </row>
    <row r="51">
      <c r="A51" s="31">
        <f>IF(B51=0,"",RANK(B51,$B$2:$B$99,0))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ARVSMART</t>
        </is>
      </c>
      <c r="D51" s="31" t="inlineStr">
        <is>
          <t>Arvind SmartSpaces Ltd</t>
        </is>
      </c>
      <c r="E51" s="31" t="inlineStr">
        <is>
          <t>realty</t>
        </is>
      </c>
      <c r="F51" s="31" t="inlineStr">
        <is>
          <t>Realty - Construction &amp; Contracting</t>
        </is>
      </c>
      <c r="G51" s="31" t="inlineStr">
        <is>
          <t>smallcap</t>
        </is>
      </c>
      <c r="H51" s="32" t="n">
        <v>3042.97</v>
      </c>
      <c r="I51" s="32" t="n">
        <v>663</v>
      </c>
      <c r="J51" s="32" t="n">
        <v>-1.1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62.09</v>
      </c>
      <c r="P51" s="32" t="n">
        <v>28.68</v>
      </c>
      <c r="Q51" s="32" t="n">
        <v>530.05</v>
      </c>
      <c r="R51" s="31" t="inlineStr">
        <is>
          <t>Near 52W High Breakout</t>
        </is>
      </c>
      <c r="S51" s="31" t="inlineStr">
        <is>
          <t>Nifty Realty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25</t>
        </is>
      </c>
      <c r="CG51" s="31">
        <f>IF(CF51&gt;20,10,IF(CF51&gt;=10,5,2))</f>
        <v/>
      </c>
    </row>
    <row r="52">
      <c r="A52" s="31">
        <f>IF(B52=0,"",RANK(B52,$B$2:$B$99,0))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HONASA</t>
        </is>
      </c>
      <c r="D52" s="31" t="inlineStr">
        <is>
          <t>Honasa Consumer Ltd</t>
        </is>
      </c>
      <c r="E52" s="31" t="inlineStr">
        <is>
          <t>services</t>
        </is>
      </c>
      <c r="F52" s="31" t="inlineStr">
        <is>
          <t>New age - Platform - E-Retail</t>
        </is>
      </c>
      <c r="G52" s="31" t="inlineStr">
        <is>
          <t>midcap</t>
        </is>
      </c>
      <c r="H52" s="32" t="n">
        <v>15486.15</v>
      </c>
      <c r="I52" s="32" t="n">
        <v>475</v>
      </c>
      <c r="J52" s="32" t="n">
        <v>-1.38</v>
      </c>
      <c r="K52" s="32" t="n">
        <v>0</v>
      </c>
      <c r="L52" s="31" t="n">
        <v>62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68.83</v>
      </c>
      <c r="P52" s="32" t="n">
        <v>60.29</v>
      </c>
      <c r="Q52" s="32" t="n">
        <v>408.08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-2.88</v>
      </c>
      <c r="U52" s="32" t="n">
        <v>58.17</v>
      </c>
      <c r="V52" s="32" t="n">
        <v>62.86</v>
      </c>
      <c r="W52" s="32" t="n">
        <v>15.04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IF(B53=0,"",RANK(B53,$B$2:$B$99,0))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HAPPYFORGE</t>
        </is>
      </c>
      <c r="D53" s="31" t="inlineStr">
        <is>
          <t>Happy Forgings Ltd</t>
        </is>
      </c>
      <c r="E53" s="31" t="inlineStr">
        <is>
          <t>industrials</t>
        </is>
      </c>
      <c r="F53" s="31" t="inlineStr">
        <is>
          <t>Castings, Forgings &amp; Fastners</t>
        </is>
      </c>
      <c r="G53" s="31" t="inlineStr">
        <is>
          <t>largecap</t>
        </is>
      </c>
      <c r="H53" s="32" t="n">
        <v>21376.78</v>
      </c>
      <c r="I53" s="32" t="n">
        <v>2265</v>
      </c>
      <c r="J53" s="32" t="n">
        <v>3.04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88.11</v>
      </c>
      <c r="P53" s="32" t="n">
        <v>55.6</v>
      </c>
      <c r="Q53" s="32" t="n">
        <v>1864.88</v>
      </c>
      <c r="R53" s="31" t="inlineStr">
        <is>
          <t>Near 52W High Breakout</t>
        </is>
      </c>
      <c r="S53" s="31" t="inlineStr">
        <is>
          <t>Nifty Infra</t>
        </is>
      </c>
      <c r="T53" s="32" t="inlineStr"/>
      <c r="U53" s="32" t="inlineStr"/>
      <c r="V53" s="32" t="inlineStr"/>
      <c r="W53" s="32" t="inlineStr"/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IF(B54=0,"",RANK(B54,$B$2:$B$99,0))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SANSERA</t>
        </is>
      </c>
      <c r="D54" s="31" t="inlineStr">
        <is>
          <t>Sansera Engineering Ltd</t>
        </is>
      </c>
      <c r="E54" s="31" t="inlineStr">
        <is>
          <t>auto</t>
        </is>
      </c>
      <c r="F54" s="31" t="inlineStr">
        <is>
          <t>Auto Ancillaries - Diversified</t>
        </is>
      </c>
      <c r="G54" s="31" t="inlineStr">
        <is>
          <t>largecap</t>
        </is>
      </c>
      <c r="H54" s="32" t="n">
        <v>24899.02</v>
      </c>
      <c r="I54" s="32" t="n">
        <v>3990</v>
      </c>
      <c r="J54" s="32" t="n">
        <v>-0.3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84.14</v>
      </c>
      <c r="P54" s="32" t="n">
        <v>59.59</v>
      </c>
      <c r="Q54" s="32" t="n">
        <v>3235.14</v>
      </c>
      <c r="R54" s="31" t="inlineStr">
        <is>
          <t>Near 52W High Breakout</t>
        </is>
      </c>
      <c r="S54" s="31" t="inlineStr">
        <is>
          <t>Nifty Auto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IF(B55=0,"",RANK(B55,$B$2:$B$99,0))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GAYAPROJ</t>
        </is>
      </c>
      <c r="D55" s="31" t="inlineStr">
        <is>
          <t>Gayatri Projects Ltd</t>
        </is>
      </c>
      <c r="E55" s="31" t="inlineStr">
        <is>
          <t>realty</t>
        </is>
      </c>
      <c r="F55" s="31" t="inlineStr">
        <is>
          <t>Construction - Civil/Turnkey</t>
        </is>
      </c>
      <c r="G55" s="31" t="inlineStr">
        <is>
          <t>smallcap</t>
        </is>
      </c>
      <c r="H55" s="32" t="n">
        <v>1012.17</v>
      </c>
      <c r="I55" s="32" t="n">
        <v>21.8</v>
      </c>
      <c r="J55" s="32" t="n">
        <v>-1.8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62.45</v>
      </c>
      <c r="P55" s="32" t="n">
        <v>29.83</v>
      </c>
      <c r="Q55" s="32" t="n">
        <v>17.85</v>
      </c>
      <c r="R55" s="31" t="inlineStr">
        <is>
          <t>Earnings / Momentum Support</t>
        </is>
      </c>
      <c r="S55" s="31" t="inlineStr">
        <is>
          <t>Nifty Realty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IF(B56=0,"",RANK(B56,$B$2:$B$99,0))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MUNJALAU</t>
        </is>
      </c>
      <c r="D56" s="31" t="inlineStr">
        <is>
          <t>Munjal Auto Industries Ltd</t>
        </is>
      </c>
      <c r="E56" s="31" t="inlineStr">
        <is>
          <t>auto</t>
        </is>
      </c>
      <c r="F56" s="31" t="inlineStr">
        <is>
          <t>Auto Ancillaries - Diversified</t>
        </is>
      </c>
      <c r="G56" s="31" t="inlineStr">
        <is>
          <t>smallcap</t>
        </is>
      </c>
      <c r="H56" s="32" t="n">
        <v>1185</v>
      </c>
      <c r="I56" s="32" t="n">
        <v>118.5</v>
      </c>
      <c r="J56" s="32" t="n">
        <v>-1.02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73.41</v>
      </c>
      <c r="P56" s="32" t="n">
        <v>48.51</v>
      </c>
      <c r="Q56" s="32" t="n">
        <v>89.78</v>
      </c>
      <c r="R56" s="31" t="inlineStr">
        <is>
          <t>Near 52W High Breakout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IF(B57=0,"",RANK(B57,$B$2:$B$99,0))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NEULANDLAB</t>
        </is>
      </c>
      <c r="D57" s="31" t="inlineStr">
        <is>
          <t>Neuland Laboratories Ltd</t>
        </is>
      </c>
      <c r="E57" s="31" t="inlineStr">
        <is>
          <t>healthcare</t>
        </is>
      </c>
      <c r="F57" s="31" t="inlineStr">
        <is>
          <t>Pharma - API &amp; CRAMS</t>
        </is>
      </c>
      <c r="G57" s="31" t="inlineStr">
        <is>
          <t>largecap</t>
        </is>
      </c>
      <c r="H57" s="32" t="n">
        <v>29982.17</v>
      </c>
      <c r="I57" s="32" t="n">
        <v>23369</v>
      </c>
      <c r="J57" s="32" t="n">
        <v>-1.23</v>
      </c>
      <c r="K57" s="32" t="n">
        <v>0</v>
      </c>
      <c r="L57" s="31" t="n">
        <v>76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77.64</v>
      </c>
      <c r="P57" s="32" t="n">
        <v>54.35</v>
      </c>
      <c r="Q57" s="32" t="n">
        <v>18910.51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18.4</v>
      </c>
      <c r="U57" s="32" t="n">
        <v>68.59</v>
      </c>
      <c r="V57" s="32" t="n">
        <v>42.39</v>
      </c>
      <c r="W57" s="32" t="n">
        <v>21.65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27</t>
        </is>
      </c>
      <c r="CG57" s="31">
        <f>IF(CF57&gt;20,10,IF(CF57&gt;=10,5,2))</f>
        <v/>
      </c>
    </row>
    <row r="58">
      <c r="A58" s="31">
        <f>IF(B58=0,"",RANK(B58,$B$2:$B$99,0))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3" t="inlineStr">
        <is>
          <t>ENTERO</t>
        </is>
      </c>
      <c r="D58" s="33" t="inlineStr">
        <is>
          <t>Entero Healthcare Solutions Ltd</t>
        </is>
      </c>
      <c r="E58" s="31" t="inlineStr">
        <is>
          <t>healthcare</t>
        </is>
      </c>
      <c r="F58" s="31" t="inlineStr">
        <is>
          <t>Pharmacy Distribution</t>
        </is>
      </c>
      <c r="G58" s="31" t="inlineStr">
        <is>
          <t>midcap</t>
        </is>
      </c>
      <c r="H58" s="32" t="n">
        <v>6134.58</v>
      </c>
      <c r="I58" s="32" t="n">
        <v>1409.5</v>
      </c>
      <c r="J58" s="32" t="n">
        <v>0.5600000000000001</v>
      </c>
      <c r="K58" s="32" t="n">
        <v>0</v>
      </c>
      <c r="L58" s="31" t="n">
        <v>21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64.23999999999999</v>
      </c>
      <c r="P58" s="32" t="n">
        <v>25.9</v>
      </c>
      <c r="Q58" s="32" t="n">
        <v>1097.59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18.4</v>
      </c>
      <c r="U58" s="32" t="n">
        <v>14.53</v>
      </c>
      <c r="V58" s="32" t="n">
        <v>-3.27</v>
      </c>
      <c r="W58" s="32" t="n">
        <v>4.29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27</t>
        </is>
      </c>
      <c r="CG58" s="31">
        <f>IF(CF58&gt;20,10,IF(CF58&gt;=10,5,2))</f>
        <v/>
      </c>
    </row>
    <row r="59">
      <c r="A59" s="31">
        <f>IF(B59=0,"",RANK(B59,$B$2:$B$99,0))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MOREPENLAB</t>
        </is>
      </c>
      <c r="D59" s="31" t="inlineStr">
        <is>
          <t>Morepen Laboratories Ltd</t>
        </is>
      </c>
      <c r="E59" s="31" t="inlineStr">
        <is>
          <t>healthcare</t>
        </is>
      </c>
      <c r="F59" s="31" t="inlineStr">
        <is>
          <t>Pharma - API &amp; CRAMS</t>
        </is>
      </c>
      <c r="G59" s="31" t="inlineStr">
        <is>
          <t>smallcap</t>
        </is>
      </c>
      <c r="H59" s="32" t="n">
        <v>4808.84</v>
      </c>
      <c r="I59" s="32" t="n">
        <v>87.76000000000001</v>
      </c>
      <c r="J59" s="32" t="n">
        <v>-2.29</v>
      </c>
      <c r="K59" s="32" t="n">
        <v>0</v>
      </c>
      <c r="L59" s="31" t="n">
        <v>93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81.23</v>
      </c>
      <c r="P59" s="32" t="n">
        <v>38.24</v>
      </c>
      <c r="Q59" s="32" t="n">
        <v>65.89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18.4</v>
      </c>
      <c r="U59" s="32" t="n">
        <v>81.15000000000001</v>
      </c>
      <c r="V59" s="32" t="n">
        <v>53</v>
      </c>
      <c r="W59" s="32" t="n">
        <v>40.18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IF(B60=0,"",RANK(B60,$B$2:$B$99,0))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TCPLPACK</t>
        </is>
      </c>
      <c r="D60" s="31" t="inlineStr">
        <is>
          <t>TCPL Packaging Ltd</t>
        </is>
      </c>
      <c r="E60" s="31" t="inlineStr">
        <is>
          <t>industrials</t>
        </is>
      </c>
      <c r="F60" s="31" t="inlineStr">
        <is>
          <t>Packaging - FMCG/Consumers</t>
        </is>
      </c>
      <c r="G60" s="31" t="inlineStr">
        <is>
          <t>smallcap</t>
        </is>
      </c>
      <c r="H60" s="32" t="n">
        <v>3880.24</v>
      </c>
      <c r="I60" s="32" t="n">
        <v>4264</v>
      </c>
      <c r="J60" s="32" t="n">
        <v>5.61</v>
      </c>
      <c r="K60" s="32" t="n">
        <v>0</v>
      </c>
      <c r="L60" s="31" t="n">
        <v>75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78.51000000000001</v>
      </c>
      <c r="P60" s="32" t="n">
        <v>30.15</v>
      </c>
      <c r="Q60" s="32" t="n">
        <v>3267.51</v>
      </c>
      <c r="R60" s="31" t="inlineStr">
        <is>
          <t>Near 52W High Breakout</t>
        </is>
      </c>
      <c r="S60" s="31" t="inlineStr">
        <is>
          <t>Nifty 50</t>
        </is>
      </c>
      <c r="T60" s="32" t="n">
        <v>-2.88</v>
      </c>
      <c r="U60" s="32" t="n">
        <v>23.61</v>
      </c>
      <c r="V60" s="32" t="n">
        <v>27.27</v>
      </c>
      <c r="W60" s="32" t="n">
        <v>20.47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IF(B61=0,"",RANK(B61,$B$2:$B$99,0))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HNDFDS</t>
        </is>
      </c>
      <c r="D61" s="34" t="inlineStr">
        <is>
          <t>Hindustan Foods Ltd</t>
        </is>
      </c>
      <c r="E61" s="31" t="inlineStr">
        <is>
          <t>fmcg</t>
        </is>
      </c>
      <c r="F61" s="31" t="inlineStr">
        <is>
          <t>FMCG - Contract Mfg</t>
        </is>
      </c>
      <c r="G61" s="31" t="inlineStr">
        <is>
          <t>midcap</t>
        </is>
      </c>
      <c r="H61" s="32" t="n">
        <v>7700.5</v>
      </c>
      <c r="I61" s="32" t="n">
        <v>635.55</v>
      </c>
      <c r="J61" s="32" t="n">
        <v>4.45</v>
      </c>
      <c r="K61" s="32" t="n">
        <v>0</v>
      </c>
      <c r="L61" s="31" t="n">
        <v>44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72.87</v>
      </c>
      <c r="P61" s="32" t="n">
        <v>36.36</v>
      </c>
      <c r="Q61" s="32" t="n">
        <v>532.5599999999999</v>
      </c>
      <c r="R61" s="31" t="inlineStr">
        <is>
          <t>Near 52W High Breakout</t>
        </is>
      </c>
      <c r="S61" s="31" t="inlineStr">
        <is>
          <t>Nifty FMCG</t>
        </is>
      </c>
      <c r="T61" s="32" t="n">
        <v>-12.54</v>
      </c>
      <c r="U61" s="32" t="n">
        <v>15.83</v>
      </c>
      <c r="V61" s="32" t="n">
        <v>32.44</v>
      </c>
      <c r="W61" s="32" t="n">
        <v>10.14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IF(B62=0,"",RANK(B62,$B$2:$B$99,0))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YASHO</t>
        </is>
      </c>
      <c r="D62" s="31" t="inlineStr">
        <is>
          <t>Yasho Industries Ltd</t>
        </is>
      </c>
      <c r="E62" s="31" t="inlineStr">
        <is>
          <t>chemicals</t>
        </is>
      </c>
      <c r="F62" s="31" t="inlineStr">
        <is>
          <t>Speciality Chemicals</t>
        </is>
      </c>
      <c r="G62" s="31" t="inlineStr">
        <is>
          <t>midcap</t>
        </is>
      </c>
      <c r="H62" s="32" t="n">
        <v>5967.06</v>
      </c>
      <c r="I62" s="32" t="n">
        <v>4949</v>
      </c>
      <c r="J62" s="32" t="n">
        <v>13.45</v>
      </c>
      <c r="K62" s="32" t="n">
        <v>0</v>
      </c>
      <c r="L62" s="31" t="n">
        <v>98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93.81</v>
      </c>
      <c r="P62" s="32" t="n">
        <v>69.90000000000001</v>
      </c>
      <c r="Q62" s="32" t="n">
        <v>3825.14</v>
      </c>
      <c r="R62" s="31" t="inlineStr">
        <is>
          <t>Near 52W High Breakout</t>
        </is>
      </c>
      <c r="S62" s="31" t="inlineStr">
        <is>
          <t>Nifty IT</t>
        </is>
      </c>
      <c r="T62" s="32" t="n">
        <v>-14.75</v>
      </c>
      <c r="U62" s="32" t="n">
        <v>189.22</v>
      </c>
      <c r="V62" s="32" t="n">
        <v>239.26</v>
      </c>
      <c r="W62" s="32" t="n">
        <v>61.77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More than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26</t>
        </is>
      </c>
      <c r="CG62" s="31">
        <f>IF(CF62&gt;20,10,IF(CF62&gt;=10,5,2))</f>
        <v/>
      </c>
    </row>
    <row r="63">
      <c r="A63" s="31">
        <f>IF(B63=0,"",RANK(B63,$B$2:$B$99,0))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KINGFA</t>
        </is>
      </c>
      <c r="D63" s="31" t="inlineStr">
        <is>
          <t>Kingfa Science &amp; Technology (India) Ltd</t>
        </is>
      </c>
      <c r="E63" s="31" t="inlineStr">
        <is>
          <t>plastic products</t>
        </is>
      </c>
      <c r="F63" s="31" t="inlineStr">
        <is>
          <t>Plastics - Plastic &amp; Plastic Products</t>
        </is>
      </c>
      <c r="G63" s="31" t="inlineStr">
        <is>
          <t>midcap</t>
        </is>
      </c>
      <c r="H63" s="32" t="n">
        <v>8063.07</v>
      </c>
      <c r="I63" s="32" t="n">
        <v>5950</v>
      </c>
      <c r="J63" s="32" t="n">
        <v>-2.26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70.86</v>
      </c>
      <c r="P63" s="32" t="n">
        <v>32.8</v>
      </c>
      <c r="Q63" s="32" t="n">
        <v>4759.64</v>
      </c>
      <c r="R63" s="31" t="inlineStr">
        <is>
          <t>Volume Spike &amp; Near 52W High Breakout</t>
        </is>
      </c>
      <c r="S63" s="31" t="inlineStr">
        <is>
          <t>Nifty Infra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Between 1.5 to 2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25</t>
        </is>
      </c>
      <c r="CG63" s="31">
        <f>IF(CF63&gt;20,10,IF(CF63&gt;=10,5,2))</f>
        <v/>
      </c>
    </row>
    <row r="64">
      <c r="A64" s="31">
        <f>IF(B64=0,"",RANK(B64,$B$2:$B$99,0))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MACPOWER</t>
        </is>
      </c>
      <c r="D64" s="31" t="inlineStr">
        <is>
          <t>Macpower CNC Machines Ltd</t>
        </is>
      </c>
      <c r="E64" s="31" t="inlineStr">
        <is>
          <t>industrials</t>
        </is>
      </c>
      <c r="F64" s="31" t="inlineStr">
        <is>
          <t>CNC - Machines</t>
        </is>
      </c>
      <c r="G64" s="31" t="inlineStr">
        <is>
          <t>smallcap</t>
        </is>
      </c>
      <c r="H64" s="32" t="n">
        <v>1981.92</v>
      </c>
      <c r="I64" s="32" t="n">
        <v>1981.1</v>
      </c>
      <c r="J64" s="32" t="n">
        <v>11.21</v>
      </c>
      <c r="K64" s="32" t="n">
        <v>0</v>
      </c>
      <c r="L64" s="31" t="n">
        <v>92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79.52</v>
      </c>
      <c r="P64" s="32" t="n">
        <v>33.55</v>
      </c>
      <c r="Q64" s="32" t="n">
        <v>1466.57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-2.88</v>
      </c>
      <c r="U64" s="32" t="n">
        <v>140.96</v>
      </c>
      <c r="V64" s="32" t="n">
        <v>148.09</v>
      </c>
      <c r="W64" s="32" t="n">
        <v>37.56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24</t>
        </is>
      </c>
      <c r="CG64" s="31">
        <f>IF(CF64&gt;20,10,IF(CF64&gt;=10,5,2))</f>
        <v/>
      </c>
    </row>
    <row r="65">
      <c r="A65" s="31">
        <f>IF(B65=0,"",RANK(B65,$B$2:$B$99,0))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KRISHANA</t>
        </is>
      </c>
      <c r="D65" s="31" t="inlineStr">
        <is>
          <t>Krishana Phoschem Ltd</t>
        </is>
      </c>
      <c r="E65" s="31" t="inlineStr">
        <is>
          <t>chemicals</t>
        </is>
      </c>
      <c r="F65" s="31" t="inlineStr">
        <is>
          <t>Fertilisers</t>
        </is>
      </c>
      <c r="G65" s="31" t="inlineStr">
        <is>
          <t>midcap</t>
        </is>
      </c>
      <c r="H65" s="32" t="n">
        <v>5874.24</v>
      </c>
      <c r="I65" s="32" t="n">
        <v>190.02</v>
      </c>
      <c r="J65" s="32" t="n">
        <v>1.47</v>
      </c>
      <c r="K65" s="32" t="n">
        <v>0</v>
      </c>
      <c r="L65" s="31" t="n">
        <v>75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77.31</v>
      </c>
      <c r="P65" s="32" t="n">
        <v>48.23</v>
      </c>
      <c r="Q65" s="32" t="n">
        <v>148.5</v>
      </c>
      <c r="R65" s="31" t="inlineStr">
        <is>
          <t>Near 52W High Breakout</t>
        </is>
      </c>
      <c r="S65" s="31" t="inlineStr">
        <is>
          <t>Nifty 50</t>
        </is>
      </c>
      <c r="T65" s="32" t="n">
        <v>-2.88</v>
      </c>
      <c r="U65" s="32" t="n">
        <v>58.1</v>
      </c>
      <c r="V65" s="32" t="n">
        <v>62.78</v>
      </c>
      <c r="W65" s="32" t="n">
        <v>20.23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More than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IF(B66=0,"",RANK(B66,$B$2:$B$99,0))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KRN</t>
        </is>
      </c>
      <c r="D66" s="31" t="inlineStr">
        <is>
          <t>KRN Heat Exchanger and Refrigeration Ltd</t>
        </is>
      </c>
      <c r="E66" s="31" t="inlineStr">
        <is>
          <t>industrials</t>
        </is>
      </c>
      <c r="F66" s="31" t="inlineStr">
        <is>
          <t>Engineering - General</t>
        </is>
      </c>
      <c r="G66" s="31" t="inlineStr">
        <is>
          <t>midcap</t>
        </is>
      </c>
      <c r="H66" s="32" t="n">
        <v>9916.309999999999</v>
      </c>
      <c r="I66" s="32" t="n">
        <v>1514.9</v>
      </c>
      <c r="J66" s="32" t="n">
        <v>-1.61</v>
      </c>
      <c r="K66" s="32" t="n">
        <v>0</v>
      </c>
      <c r="L66" s="31" t="n">
        <v>71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72.43000000000001</v>
      </c>
      <c r="P66" s="32" t="n">
        <v>30.03</v>
      </c>
      <c r="Q66" s="32" t="n">
        <v>1135.13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-2.88</v>
      </c>
      <c r="U66" s="32" t="n">
        <v>59.33</v>
      </c>
      <c r="V66" s="32" t="n">
        <v>64.05</v>
      </c>
      <c r="W66" s="32" t="n">
        <v>18.67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IF(B67=0,"",RANK(B67,$B$2:$B$99,0))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DIFFNKG</t>
        </is>
      </c>
      <c r="D67" s="34" t="inlineStr">
        <is>
          <t>Diffusion Engineers Ltd</t>
        </is>
      </c>
      <c r="E67" s="31" t="inlineStr">
        <is>
          <t>Industrials</t>
        </is>
      </c>
      <c r="F67" s="31" t="inlineStr">
        <is>
          <t>Welding Equipments</t>
        </is>
      </c>
      <c r="G67" s="31" t="inlineStr">
        <is>
          <t>smallcap</t>
        </is>
      </c>
      <c r="H67" s="32" t="n">
        <v>1530.92</v>
      </c>
      <c r="I67" s="32" t="n">
        <v>409.05</v>
      </c>
      <c r="J67" s="32" t="n">
        <v>2.67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60.25</v>
      </c>
      <c r="P67" s="32" t="n">
        <v>38.48</v>
      </c>
      <c r="Q67" s="32" t="n">
        <v>321.93</v>
      </c>
      <c r="R67" s="31" t="inlineStr">
        <is>
          <t>Earnings / Momentum Support</t>
        </is>
      </c>
      <c r="S67" s="31" t="inlineStr">
        <is>
          <t>Nifty Infra</t>
        </is>
      </c>
      <c r="T67" s="32" t="inlineStr"/>
      <c r="U67" s="32" t="inlineStr"/>
      <c r="V67" s="32" t="inlineStr"/>
      <c r="W67" s="32" t="inlineStr"/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IF(B68=0,"",RANK(B68,$B$2:$B$99,0))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CHENNPETRO</t>
        </is>
      </c>
      <c r="D68" s="31" t="inlineStr">
        <is>
          <t>Chennai Petroleum Corporation Ltd</t>
        </is>
      </c>
      <c r="E68" s="31" t="inlineStr">
        <is>
          <t>energy</t>
        </is>
      </c>
      <c r="F68" s="31" t="inlineStr">
        <is>
          <t>Refineries</t>
        </is>
      </c>
      <c r="G68" s="31" t="inlineStr">
        <is>
          <t>largecap</t>
        </is>
      </c>
      <c r="H68" s="32" t="n">
        <v>20889.29</v>
      </c>
      <c r="I68" s="32" t="n">
        <v>1402.8</v>
      </c>
      <c r="J68" s="32" t="n">
        <v>1.48</v>
      </c>
      <c r="K68" s="32" t="n">
        <v>0</v>
      </c>
      <c r="L68" s="31" t="n">
        <v>84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75.78</v>
      </c>
      <c r="P68" s="32" t="n">
        <v>51.35</v>
      </c>
      <c r="Q68" s="32" t="n">
        <v>1044.84</v>
      </c>
      <c r="R68" s="31" t="inlineStr">
        <is>
          <t>Near 52W High Breakout</t>
        </is>
      </c>
      <c r="S68" s="31" t="inlineStr">
        <is>
          <t>Nifty Energy</t>
        </is>
      </c>
      <c r="T68" s="32" t="n">
        <v>9.44</v>
      </c>
      <c r="U68" s="32" t="n">
        <v>116.37</v>
      </c>
      <c r="V68" s="32" t="n">
        <v>97.7</v>
      </c>
      <c r="W68" s="32" t="n">
        <v>25.84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28</t>
        </is>
      </c>
      <c r="CG68" s="31">
        <f>IF(CF68&gt;20,10,IF(CF68&gt;=10,5,2))</f>
        <v/>
      </c>
    </row>
    <row r="69">
      <c r="A69" s="31">
        <f>IF(B69=0,"",RANK(B69,$B$2:$B$99,0))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KHAZANCHI</t>
        </is>
      </c>
      <c r="D69" s="31" t="inlineStr">
        <is>
          <t>Khazanchi Jewellers Ltd</t>
        </is>
      </c>
      <c r="E69" s="31" t="inlineStr">
        <is>
          <t>Consumer Cyclical</t>
        </is>
      </c>
      <c r="F69" s="31" t="inlineStr">
        <is>
          <t>Diamond, Gems &amp; Jewellery</t>
        </is>
      </c>
      <c r="G69" s="31" t="inlineStr">
        <is>
          <t>smallcap</t>
        </is>
      </c>
      <c r="H69" s="32" t="n">
        <v>1979.75</v>
      </c>
      <c r="I69" s="32" t="n">
        <v>800</v>
      </c>
      <c r="J69" s="32" t="n">
        <v>0.03</v>
      </c>
      <c r="K69" s="32" t="n">
        <v>0</v>
      </c>
      <c r="L69" s="31" t="n">
        <v>54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71.65000000000001</v>
      </c>
      <c r="P69" s="32" t="n">
        <v>26.79</v>
      </c>
      <c r="Q69" s="32" t="n">
        <v>697.3200000000001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-2.88</v>
      </c>
      <c r="U69" s="32" t="n">
        <v>34.17</v>
      </c>
      <c r="V69" s="32" t="n">
        <v>38.15</v>
      </c>
      <c r="W69" s="32" t="n">
        <v>12.56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27</t>
        </is>
      </c>
      <c r="CG69" s="31">
        <f>IF(CF69&gt;20,10,IF(CF69&gt;=10,5,2))</f>
        <v/>
      </c>
    </row>
    <row r="70">
      <c r="A70" s="31">
        <f>IF(B70=0,"",RANK(B70,$B$2:$B$99,0))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MANINDS</t>
        </is>
      </c>
      <c r="D70" s="31" t="inlineStr">
        <is>
          <t>Man Industries (India) Ltd</t>
        </is>
      </c>
      <c r="E70" s="31" t="inlineStr">
        <is>
          <t>metals &amp; mining</t>
        </is>
      </c>
      <c r="F70" s="31" t="inlineStr">
        <is>
          <t>Steel - Tubes/Pipes</t>
        </is>
      </c>
      <c r="G70" s="31" t="inlineStr">
        <is>
          <t>smallcap</t>
        </is>
      </c>
      <c r="H70" s="32" t="n">
        <v>4864.37</v>
      </c>
      <c r="I70" s="32" t="n">
        <v>648.5</v>
      </c>
      <c r="J70" s="32" t="n">
        <v>2.88</v>
      </c>
      <c r="K70" s="32" t="n">
        <v>0</v>
      </c>
      <c r="L70" s="31" t="n">
        <v>67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67.06999999999999</v>
      </c>
      <c r="P70" s="32" t="n">
        <v>28.42</v>
      </c>
      <c r="Q70" s="32" t="n">
        <v>483.33</v>
      </c>
      <c r="R70" s="31" t="inlineStr">
        <is>
          <t>Near 52W High Breakout</t>
        </is>
      </c>
      <c r="S70" s="31" t="inlineStr">
        <is>
          <t>Nifty Metal</t>
        </is>
      </c>
      <c r="T70" s="32" t="n">
        <v>38.2</v>
      </c>
      <c r="U70" s="32" t="n">
        <v>51.43</v>
      </c>
      <c r="V70" s="32" t="n">
        <v>9.57</v>
      </c>
      <c r="W70" s="32" t="n">
        <v>16.47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24</t>
        </is>
      </c>
      <c r="CG70" s="31">
        <f>IF(CF70&gt;20,10,IF(CF70&gt;=10,5,2))</f>
        <v/>
      </c>
    </row>
    <row r="71">
      <c r="A71" s="31">
        <f>IF(B71=0,"",RANK(B71,$B$2:$B$99,0))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KOLTEPATIL</t>
        </is>
      </c>
      <c r="D71" s="31" t="inlineStr">
        <is>
          <t>Kolte Patil Developers Ltd</t>
        </is>
      </c>
      <c r="E71" s="31" t="inlineStr">
        <is>
          <t>realty</t>
        </is>
      </c>
      <c r="F71" s="31" t="inlineStr">
        <is>
          <t>Realty - Construction &amp; Contracting</t>
        </is>
      </c>
      <c r="G71" s="31" t="inlineStr">
        <is>
          <t>smallcap</t>
        </is>
      </c>
      <c r="H71" s="32" t="n">
        <v>4225.61</v>
      </c>
      <c r="I71" s="32" t="n">
        <v>476.5</v>
      </c>
      <c r="J71" s="32" t="n">
        <v>1.03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70.94</v>
      </c>
      <c r="P71" s="32" t="n">
        <v>20.67</v>
      </c>
      <c r="Q71" s="32" t="n">
        <v>371.64</v>
      </c>
      <c r="R71" s="31" t="inlineStr">
        <is>
          <t>Near 52W High Breakout</t>
        </is>
      </c>
      <c r="S71" s="31" t="inlineStr">
        <is>
          <t>Nifty Realty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22</t>
        </is>
      </c>
      <c r="CG71" s="31">
        <f>IF(CF71&gt;20,10,IF(CF71&gt;=10,5,2))</f>
        <v/>
      </c>
    </row>
    <row r="72">
      <c r="A72" s="31">
        <f>IF(B72=0,"",RANK(B72,$B$2:$B$99,0))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TRAVELFOOD</t>
        </is>
      </c>
      <c r="D72" s="31" t="inlineStr">
        <is>
          <t>Travel Food Services Ltd</t>
        </is>
      </c>
      <c r="E72" s="31" t="inlineStr">
        <is>
          <t>Consumer Cyclical</t>
        </is>
      </c>
      <c r="F72" s="31" t="inlineStr">
        <is>
          <t>Hotels</t>
        </is>
      </c>
      <c r="G72" s="31" t="inlineStr">
        <is>
          <t>midcap</t>
        </is>
      </c>
      <c r="H72" s="32" t="n">
        <v>17803.07</v>
      </c>
      <c r="I72" s="32" t="n">
        <v>1352</v>
      </c>
      <c r="J72" s="32" t="n">
        <v>-0.46</v>
      </c>
      <c r="K72" s="32" t="n">
        <v>0</v>
      </c>
      <c r="L72" s="31" t="n">
        <v>27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56.11</v>
      </c>
      <c r="P72" s="32" t="n">
        <v>13.66</v>
      </c>
      <c r="Q72" s="32" t="n">
        <v>1146.68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-2.88</v>
      </c>
      <c r="U72" s="32" t="n">
        <v>10.31</v>
      </c>
      <c r="V72" s="32" t="n">
        <v>13.57</v>
      </c>
      <c r="W72" s="32" t="n">
        <v>6.36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21</t>
        </is>
      </c>
      <c r="CG72" s="31">
        <f>IF(CF72&gt;20,10,IF(CF72&gt;=10,5,2))</f>
        <v/>
      </c>
    </row>
    <row r="73">
      <c r="A73" s="31">
        <f>IF(B73=0,"",RANK(B73,$B$2:$B$99,0))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VRLLOG</t>
        </is>
      </c>
      <c r="D73" s="31" t="inlineStr">
        <is>
          <t>VRL Logistics Ltd</t>
        </is>
      </c>
      <c r="E73" s="31" t="inlineStr">
        <is>
          <t>transportation</t>
        </is>
      </c>
      <c r="F73" s="31" t="inlineStr">
        <is>
          <t>Logistics - Warehousing/Supply Chain</t>
        </is>
      </c>
      <c r="G73" s="31" t="inlineStr">
        <is>
          <t>midcap</t>
        </is>
      </c>
      <c r="H73" s="32" t="n">
        <v>5198.25</v>
      </c>
      <c r="I73" s="32" t="n">
        <v>297.15</v>
      </c>
      <c r="J73" s="32" t="n">
        <v>0.32</v>
      </c>
      <c r="K73" s="32" t="n">
        <v>0</v>
      </c>
      <c r="L73" s="31" t="n">
        <v>33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67.16</v>
      </c>
      <c r="P73" s="32" t="n">
        <v>16.15</v>
      </c>
      <c r="Q73" s="32" t="n">
        <v>244.21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-2.88</v>
      </c>
      <c r="U73" s="32" t="n">
        <v>8.59</v>
      </c>
      <c r="V73" s="32" t="n">
        <v>11.8</v>
      </c>
      <c r="W73" s="32" t="n">
        <v>7.39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IF(B74=0,"",RANK(B74,$B$2:$B$99,0))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GALAXYSURF</t>
        </is>
      </c>
      <c r="D74" s="31" t="inlineStr">
        <is>
          <t>Galaxy Surfactants Ltd</t>
        </is>
      </c>
      <c r="E74" s="31" t="inlineStr">
        <is>
          <t>chemicals</t>
        </is>
      </c>
      <c r="F74" s="31" t="inlineStr">
        <is>
          <t>Speciality Chemicals</t>
        </is>
      </c>
      <c r="G74" s="31" t="inlineStr">
        <is>
          <t>midcap</t>
        </is>
      </c>
      <c r="H74" s="32" t="n">
        <v>8629.33</v>
      </c>
      <c r="I74" s="32" t="n">
        <v>2433.9</v>
      </c>
      <c r="J74" s="32" t="n">
        <v>1.26</v>
      </c>
      <c r="K74" s="32" t="n">
        <v>0</v>
      </c>
      <c r="L74" s="31" t="n">
        <v>46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69.47</v>
      </c>
      <c r="P74" s="32" t="n">
        <v>19.55</v>
      </c>
      <c r="Q74" s="32" t="n">
        <v>2017.11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-2.88</v>
      </c>
      <c r="U74" s="32" t="n">
        <v>11.14</v>
      </c>
      <c r="V74" s="32" t="n">
        <v>14.43</v>
      </c>
      <c r="W74" s="32" t="n">
        <v>10.34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27</t>
        </is>
      </c>
      <c r="CG74" s="31">
        <f>IF(CF74&gt;20,10,IF(CF74&gt;=10,5,2))</f>
        <v/>
      </c>
    </row>
    <row r="75">
      <c r="A75" s="31">
        <f>IF(B75=0,"",RANK(B75,$B$2:$B$99,0))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MMFL</t>
        </is>
      </c>
      <c r="D75" s="34" t="inlineStr">
        <is>
          <t>M M Forgings Ltd</t>
        </is>
      </c>
      <c r="E75" s="31" t="inlineStr">
        <is>
          <t>industrials</t>
        </is>
      </c>
      <c r="F75" s="31" t="inlineStr">
        <is>
          <t>Castings, Forgings &amp; Fastners</t>
        </is>
      </c>
      <c r="G75" s="31" t="inlineStr">
        <is>
          <t>smallcap</t>
        </is>
      </c>
      <c r="H75" s="32" t="n">
        <v>3259.01</v>
      </c>
      <c r="I75" s="32" t="n">
        <v>675</v>
      </c>
      <c r="J75" s="32" t="n">
        <v>6.75</v>
      </c>
      <c r="K75" s="32" t="n">
        <v>0</v>
      </c>
      <c r="L75" s="31" t="n">
        <v>86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76.08</v>
      </c>
      <c r="P75" s="32" t="n">
        <v>24.7</v>
      </c>
      <c r="Q75" s="32" t="n">
        <v>520.29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-2.88</v>
      </c>
      <c r="U75" s="32" t="n">
        <v>115.36</v>
      </c>
      <c r="V75" s="32" t="n">
        <v>121.74</v>
      </c>
      <c r="W75" s="32" t="n">
        <v>29.56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IF(B76=0,"",RANK(B76,$B$2:$B$99,0))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KMEW</t>
        </is>
      </c>
      <c r="D76" s="31" t="inlineStr">
        <is>
          <t>Knowledge Marine &amp; Engineering Works Ltd</t>
        </is>
      </c>
      <c r="E76" s="31" t="inlineStr">
        <is>
          <t>transportation</t>
        </is>
      </c>
      <c r="F76" s="31" t="inlineStr">
        <is>
          <t>Shipping</t>
        </is>
      </c>
      <c r="G76" s="31" t="inlineStr">
        <is>
          <t>midcap</t>
        </is>
      </c>
      <c r="H76" s="32" t="n">
        <v>6908.86</v>
      </c>
      <c r="I76" s="32" t="n">
        <v>2723.85</v>
      </c>
      <c r="J76" s="32" t="n">
        <v>-0.78</v>
      </c>
      <c r="K76" s="32" t="n">
        <v>0</v>
      </c>
      <c r="L76" s="31" t="n">
        <v>86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75.65000000000001</v>
      </c>
      <c r="P76" s="32" t="n">
        <v>51.57</v>
      </c>
      <c r="Q76" s="32" t="n">
        <v>1977.3</v>
      </c>
      <c r="R76" s="31" t="inlineStr">
        <is>
          <t>Near 52W High Breakout</t>
        </is>
      </c>
      <c r="S76" s="31" t="inlineStr">
        <is>
          <t>Nifty 50</t>
        </is>
      </c>
      <c r="T76" s="32" t="n">
        <v>-2.88</v>
      </c>
      <c r="U76" s="32" t="n">
        <v>178.17</v>
      </c>
      <c r="V76" s="32" t="n">
        <v>186.41</v>
      </c>
      <c r="W76" s="32" t="n">
        <v>29.68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21</t>
        </is>
      </c>
      <c r="CG76" s="31">
        <f>IF(CF76&gt;20,10,IF(CF76&gt;=10,5,2))</f>
        <v/>
      </c>
    </row>
    <row r="77">
      <c r="A77" s="31">
        <f>IF(B77=0,"",RANK(B77,$B$2:$B$99,0))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SOTL</t>
        </is>
      </c>
      <c r="D77" s="34" t="inlineStr">
        <is>
          <t>Savita Oil Technologies Ltd</t>
        </is>
      </c>
      <c r="E77" s="31" t="inlineStr">
        <is>
          <t>energy</t>
        </is>
      </c>
      <c r="F77" s="31" t="inlineStr">
        <is>
          <t>Petrochem - Others</t>
        </is>
      </c>
      <c r="G77" s="31" t="inlineStr">
        <is>
          <t>smallcap</t>
        </is>
      </c>
      <c r="H77" s="32" t="n">
        <v>4930.87</v>
      </c>
      <c r="I77" s="32" t="n">
        <v>719.2</v>
      </c>
      <c r="J77" s="32" t="n">
        <v>3.83</v>
      </c>
      <c r="K77" s="32" t="n">
        <v>0</v>
      </c>
      <c r="L77" s="31" t="n">
        <v>91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67.45999999999999</v>
      </c>
      <c r="P77" s="32" t="n">
        <v>52.19</v>
      </c>
      <c r="Q77" s="32" t="n">
        <v>553.16</v>
      </c>
      <c r="R77" s="31" t="inlineStr">
        <is>
          <t>Earnings / Momentum Support</t>
        </is>
      </c>
      <c r="S77" s="31" t="inlineStr">
        <is>
          <t>Nifty Energy</t>
        </is>
      </c>
      <c r="T77" s="32" t="n">
        <v>9.44</v>
      </c>
      <c r="U77" s="32" t="n">
        <v>79.59</v>
      </c>
      <c r="V77" s="32" t="n">
        <v>64.09</v>
      </c>
      <c r="W77" s="32" t="n">
        <v>37.05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26</t>
        </is>
      </c>
      <c r="CG77" s="31">
        <f>IF(CF77&gt;20,10,IF(CF77&gt;=10,5,2))</f>
        <v/>
      </c>
    </row>
    <row r="78">
      <c r="A78" s="31">
        <f>IF(B78=0,"",RANK(B78,$B$2:$B$99,0))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PVP</t>
        </is>
      </c>
      <c r="D78" s="34" t="inlineStr">
        <is>
          <t>PVP Ventures Ltd</t>
        </is>
      </c>
      <c r="E78" s="31" t="inlineStr">
        <is>
          <t>realty</t>
        </is>
      </c>
      <c r="F78" s="31" t="inlineStr">
        <is>
          <t>Realty - Construction &amp; Contracting</t>
        </is>
      </c>
      <c r="G78" s="31" t="inlineStr">
        <is>
          <t>smallcap</t>
        </is>
      </c>
      <c r="H78" s="32" t="n">
        <v>1062.19</v>
      </c>
      <c r="I78" s="32" t="n">
        <v>40.79</v>
      </c>
      <c r="J78" s="32" t="n">
        <v>10.21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67.48999999999999</v>
      </c>
      <c r="P78" s="32" t="n">
        <v>14.48</v>
      </c>
      <c r="Q78" s="32" t="n">
        <v>27.9</v>
      </c>
      <c r="R78" s="31" t="inlineStr">
        <is>
          <t>Near 52W High Breakout</t>
        </is>
      </c>
      <c r="S78" s="31" t="inlineStr">
        <is>
          <t>Nifty Realty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24</t>
        </is>
      </c>
      <c r="CG78" s="31">
        <f>IF(CF78&gt;20,10,IF(CF78&gt;=10,5,2))</f>
        <v/>
      </c>
    </row>
    <row r="79">
      <c r="A79" s="31">
        <f>IF(B79=0,"",RANK(B79,$B$2:$B$99,0))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BOSCH-HCIL</t>
        </is>
      </c>
      <c r="D79" s="31" t="inlineStr">
        <is>
          <t>Bosch Home Comfort India Ltd</t>
        </is>
      </c>
      <c r="E79" s="31" t="inlineStr">
        <is>
          <t>consumer discretionary</t>
        </is>
      </c>
      <c r="F79" s="31" t="inlineStr">
        <is>
          <t>Consumer Electronics</t>
        </is>
      </c>
      <c r="G79" s="31" t="inlineStr">
        <is>
          <t>smallcap</t>
        </is>
      </c>
      <c r="H79" s="32" t="n">
        <v>4709.46</v>
      </c>
      <c r="I79" s="32" t="n">
        <v>1732</v>
      </c>
      <c r="J79" s="32" t="n">
        <v>1.86</v>
      </c>
      <c r="K79" s="32" t="n">
        <v>0</v>
      </c>
      <c r="L79" s="31" t="n">
        <v>28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69.04000000000001</v>
      </c>
      <c r="P79" s="32" t="n">
        <v>19.84</v>
      </c>
      <c r="Q79" s="32" t="n">
        <v>1399.84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-2.88</v>
      </c>
      <c r="U79" s="32" t="n">
        <v>-0.22</v>
      </c>
      <c r="V79" s="32" t="n">
        <v>2.73</v>
      </c>
      <c r="W79" s="32" t="n">
        <v>6.51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23</t>
        </is>
      </c>
      <c r="CG79" s="31">
        <f>IF(CF79&gt;20,10,IF(CF79&gt;=10,5,2))</f>
        <v/>
      </c>
    </row>
    <row r="80">
      <c r="A80" s="31">
        <f>IF(B80=0,"",RANK(B80,$B$2:$B$99,0))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KABRAEXTRU</t>
        </is>
      </c>
      <c r="D80" s="31" t="inlineStr">
        <is>
          <t>Kabra Extrusion Technik Ltd</t>
        </is>
      </c>
      <c r="E80" s="31" t="inlineStr">
        <is>
          <t>industrials</t>
        </is>
      </c>
      <c r="F80" s="31" t="inlineStr">
        <is>
          <t>Capital Goods - Engineering Heavy</t>
        </is>
      </c>
      <c r="G80" s="31" t="inlineStr">
        <is>
          <t>smallcap</t>
        </is>
      </c>
      <c r="H80" s="32" t="n">
        <v>1780.12</v>
      </c>
      <c r="I80" s="32" t="n">
        <v>509</v>
      </c>
      <c r="J80" s="32" t="n">
        <v>-2.21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85.44</v>
      </c>
      <c r="P80" s="32" t="n">
        <v>39.04</v>
      </c>
      <c r="Q80" s="32" t="n">
        <v>400.36</v>
      </c>
      <c r="R80" s="31" t="inlineStr">
        <is>
          <t>Near 52W High Breakout</t>
        </is>
      </c>
      <c r="S80" s="31" t="inlineStr">
        <is>
          <t>Nifty Infra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IF(B81=0,"",RANK(B81,$B$2:$B$99,0))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AARTIPHARM</t>
        </is>
      </c>
      <c r="D81" s="33" t="inlineStr">
        <is>
          <t>Aarti Pharmalabs Ltd</t>
        </is>
      </c>
      <c r="E81" s="31" t="inlineStr">
        <is>
          <t>healthcare</t>
        </is>
      </c>
      <c r="F81" s="31" t="inlineStr">
        <is>
          <t>Pharma - API</t>
        </is>
      </c>
      <c r="G81" s="31" t="inlineStr">
        <is>
          <t>midcap</t>
        </is>
      </c>
      <c r="H81" s="32" t="n">
        <v>7899.57</v>
      </c>
      <c r="I81" s="32" t="n">
        <v>871.15</v>
      </c>
      <c r="J81" s="32" t="n">
        <v>1.07</v>
      </c>
      <c r="K81" s="32" t="n">
        <v>0</v>
      </c>
      <c r="L81" s="31" t="n">
        <v>26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68.02</v>
      </c>
      <c r="P81" s="32" t="n">
        <v>13.23</v>
      </c>
      <c r="Q81" s="32" t="n">
        <v>674.78</v>
      </c>
      <c r="R81" s="31" t="inlineStr">
        <is>
          <t>Earnings / Momentum Support</t>
        </is>
      </c>
      <c r="S81" s="31" t="inlineStr">
        <is>
          <t>Nifty Pharma</t>
        </is>
      </c>
      <c r="T81" s="32" t="n">
        <v>18.4</v>
      </c>
      <c r="U81" s="32" t="n">
        <v>1.8</v>
      </c>
      <c r="V81" s="32" t="n">
        <v>-14.02</v>
      </c>
      <c r="W81" s="32" t="n">
        <v>5.77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IF(B82=0,"",RANK(B82,$B$2:$B$99,0))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EMIL</t>
        </is>
      </c>
      <c r="D82" s="31" t="inlineStr">
        <is>
          <t>Electronics Mart India Ltd</t>
        </is>
      </c>
      <c r="E82" s="31" t="inlineStr">
        <is>
          <t>consumer discretionary</t>
        </is>
      </c>
      <c r="F82" s="31" t="inlineStr">
        <is>
          <t>Retail - Electronics</t>
        </is>
      </c>
      <c r="G82" s="31" t="inlineStr">
        <is>
          <t>midcap</t>
        </is>
      </c>
      <c r="H82" s="32" t="n">
        <v>7348.7</v>
      </c>
      <c r="I82" s="32" t="n">
        <v>191</v>
      </c>
      <c r="J82" s="32" t="n">
        <v>-0.74</v>
      </c>
      <c r="K82" s="32" t="n">
        <v>0</v>
      </c>
      <c r="L82" s="31" t="n">
        <v>79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77.87</v>
      </c>
      <c r="P82" s="32" t="n">
        <v>30.41</v>
      </c>
      <c r="Q82" s="32" t="n">
        <v>147.62</v>
      </c>
      <c r="R82" s="31" t="inlineStr">
        <is>
          <t>Near 52W High Breakout</t>
        </is>
      </c>
      <c r="S82" s="31" t="inlineStr">
        <is>
          <t>Nifty 50</t>
        </is>
      </c>
      <c r="T82" s="32" t="n">
        <v>-2.88</v>
      </c>
      <c r="U82" s="32" t="n">
        <v>45.61</v>
      </c>
      <c r="V82" s="32" t="n">
        <v>49.92</v>
      </c>
      <c r="W82" s="32" t="n">
        <v>22.52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29</t>
        </is>
      </c>
      <c r="CG82" s="31">
        <f>IF(CF82&gt;20,10,IF(CF82&gt;=10,5,2))</f>
        <v/>
      </c>
    </row>
    <row r="83">
      <c r="A83" s="31">
        <f>IF(B83=0,"",RANK(B83,$B$2:$B$99,0))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LUMAXTECH</t>
        </is>
      </c>
      <c r="D83" s="31" t="inlineStr">
        <is>
          <t>Lumax Auto Technologies Ltd</t>
        </is>
      </c>
      <c r="E83" s="31" t="inlineStr">
        <is>
          <t>auto</t>
        </is>
      </c>
      <c r="F83" s="31" t="inlineStr">
        <is>
          <t>Auto Ancillaries - Diversified</t>
        </is>
      </c>
      <c r="G83" s="31" t="inlineStr">
        <is>
          <t>midcap</t>
        </is>
      </c>
      <c r="H83" s="32" t="n">
        <v>13659.49</v>
      </c>
      <c r="I83" s="32" t="n">
        <v>2004.1</v>
      </c>
      <c r="J83" s="32" t="n">
        <v>-2.19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67.04000000000001</v>
      </c>
      <c r="P83" s="32" t="n">
        <v>16.31</v>
      </c>
      <c r="Q83" s="32" t="n">
        <v>1536.57</v>
      </c>
      <c r="R83" s="31" t="inlineStr">
        <is>
          <t>Near 52W High Breakout</t>
        </is>
      </c>
      <c r="S83" s="31" t="inlineStr">
        <is>
          <t>Nifty Auto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23</t>
        </is>
      </c>
      <c r="CG83" s="31">
        <f>IF(CF83&gt;20,10,IF(CF83&gt;=10,5,2))</f>
        <v/>
      </c>
    </row>
    <row r="84">
      <c r="A84" s="31">
        <f>IF(B84=0,"",RANK(B84,$B$2:$B$99,0))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MARINE</t>
        </is>
      </c>
      <c r="D84" s="31" t="inlineStr">
        <is>
          <t>Marine Electricals (India) Ltd</t>
        </is>
      </c>
      <c r="E84" s="31" t="inlineStr">
        <is>
          <t>industrials</t>
        </is>
      </c>
      <c r="F84" s="31" t="inlineStr">
        <is>
          <t>Shipping - Proxy</t>
        </is>
      </c>
      <c r="G84" s="31" t="inlineStr">
        <is>
          <t>midcap</t>
        </is>
      </c>
      <c r="H84" s="32" t="n">
        <v>5296.9</v>
      </c>
      <c r="I84" s="32" t="n">
        <v>378.5</v>
      </c>
      <c r="J84" s="32" t="n">
        <v>3.11</v>
      </c>
      <c r="K84" s="32" t="n">
        <v>0</v>
      </c>
      <c r="L84" s="31" t="n">
        <v>90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76.15000000000001</v>
      </c>
      <c r="P84" s="32" t="n">
        <v>37.18</v>
      </c>
      <c r="Q84" s="32" t="n">
        <v>284.12</v>
      </c>
      <c r="R84" s="31" t="inlineStr">
        <is>
          <t>Near 52W High Breakout</t>
        </is>
      </c>
      <c r="S84" s="31" t="inlineStr">
        <is>
          <t>Nifty 50</t>
        </is>
      </c>
      <c r="T84" s="32" t="n">
        <v>-2.88</v>
      </c>
      <c r="U84" s="32" t="n">
        <v>119.77</v>
      </c>
      <c r="V84" s="32" t="n">
        <v>126.28</v>
      </c>
      <c r="W84" s="32" t="n">
        <v>32.97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IF(B85=0,"",RANK(B85,$B$2:$B$99,0))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RATNAVEER</t>
        </is>
      </c>
      <c r="D85" s="31" t="inlineStr">
        <is>
          <t>Ratnaveer Precision Engineering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smallcap</t>
        </is>
      </c>
      <c r="H85" s="32" t="n">
        <v>1791.38</v>
      </c>
      <c r="I85" s="32" t="n">
        <v>250.8</v>
      </c>
      <c r="J85" s="32" t="n">
        <v>2.42</v>
      </c>
      <c r="K85" s="32" t="n">
        <v>0</v>
      </c>
      <c r="L85" s="31" t="n">
        <v>85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76.63</v>
      </c>
      <c r="P85" s="32" t="n">
        <v>50.84</v>
      </c>
      <c r="Q85" s="32" t="n">
        <v>189.39</v>
      </c>
      <c r="R85" s="31" t="inlineStr">
        <is>
          <t>Near 52W High Breakout</t>
        </is>
      </c>
      <c r="S85" s="31" t="inlineStr">
        <is>
          <t>Nifty Metal</t>
        </is>
      </c>
      <c r="T85" s="32" t="n">
        <v>38.2</v>
      </c>
      <c r="U85" s="32" t="n">
        <v>62.56</v>
      </c>
      <c r="V85" s="32" t="n">
        <v>17.63</v>
      </c>
      <c r="W85" s="32" t="n">
        <v>28.39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IF(B86=0,"",RANK(B86,$B$2:$B$99,0))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DEEPINDS</t>
        </is>
      </c>
      <c r="D86" s="34" t="inlineStr">
        <is>
          <t>Deep Industries Ltd</t>
        </is>
      </c>
      <c r="E86" s="31" t="inlineStr">
        <is>
          <t>energy</t>
        </is>
      </c>
      <c r="F86" s="31" t="inlineStr">
        <is>
          <t>Oil Drilling &amp; Exploration</t>
        </is>
      </c>
      <c r="G86" s="31" t="inlineStr">
        <is>
          <t>smallcap</t>
        </is>
      </c>
      <c r="H86" s="32" t="n">
        <v>4586.88</v>
      </c>
      <c r="I86" s="32" t="n">
        <v>716.7</v>
      </c>
      <c r="J86" s="32" t="n">
        <v>5.29</v>
      </c>
      <c r="K86" s="32" t="n">
        <v>0</v>
      </c>
      <c r="L86" s="31" t="n">
        <v>78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78.40000000000001</v>
      </c>
      <c r="P86" s="32" t="n">
        <v>22.99</v>
      </c>
      <c r="Q86" s="32" t="n">
        <v>567.11</v>
      </c>
      <c r="R86" s="31" t="inlineStr">
        <is>
          <t>Near 52W High Breakout</t>
        </is>
      </c>
      <c r="S86" s="31" t="inlineStr">
        <is>
          <t>Nifty Energy</t>
        </is>
      </c>
      <c r="T86" s="32" t="n">
        <v>9.44</v>
      </c>
      <c r="U86" s="32" t="n">
        <v>60.12</v>
      </c>
      <c r="V86" s="32" t="n">
        <v>46.31</v>
      </c>
      <c r="W86" s="32" t="n">
        <v>22.39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IF(B87=0,"",RANK(B87,$B$2:$B$99,0))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RBA</t>
        </is>
      </c>
      <c r="D87" s="34" t="inlineStr">
        <is>
          <t>Restaurant Brands Asia Ltd</t>
        </is>
      </c>
      <c r="E87" s="31" t="inlineStr">
        <is>
          <t>consumer discretionary</t>
        </is>
      </c>
      <c r="F87" s="31" t="inlineStr">
        <is>
          <t>Quick Service Restaurant - QSR</t>
        </is>
      </c>
      <c r="G87" s="31" t="inlineStr">
        <is>
          <t>midcap</t>
        </is>
      </c>
      <c r="H87" s="32" t="n">
        <v>7396.18</v>
      </c>
      <c r="I87" s="32" t="n">
        <v>103.92</v>
      </c>
      <c r="J87" s="32" t="n">
        <v>4.35</v>
      </c>
      <c r="K87" s="32" t="n">
        <v>0</v>
      </c>
      <c r="L87" s="31" t="n">
        <v>74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78.28</v>
      </c>
      <c r="P87" s="32" t="n">
        <v>31.75</v>
      </c>
      <c r="Q87" s="32" t="n">
        <v>85.09999999999999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-2.88</v>
      </c>
      <c r="U87" s="32" t="n">
        <v>32.64</v>
      </c>
      <c r="V87" s="32" t="n">
        <v>36.57</v>
      </c>
      <c r="W87" s="32" t="n">
        <v>20.12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IF(B88=0,"",RANK(B88,$B$2:$B$99,0))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DOLPHIN</t>
        </is>
      </c>
      <c r="D88" s="31" t="inlineStr">
        <is>
          <t>Dolphin Offshore Enterprises (India) Ltd</t>
        </is>
      </c>
      <c r="E88" s="31" t="inlineStr">
        <is>
          <t>energy</t>
        </is>
      </c>
      <c r="F88" s="31" t="inlineStr">
        <is>
          <t>Oil Drilling &amp; Exploration</t>
        </is>
      </c>
      <c r="G88" s="31" t="inlineStr">
        <is>
          <t>smallcap</t>
        </is>
      </c>
      <c r="H88" s="32" t="n">
        <v>2480.28</v>
      </c>
      <c r="I88" s="32" t="n">
        <v>620</v>
      </c>
      <c r="J88" s="32" t="n">
        <v>7.48</v>
      </c>
      <c r="K88" s="32" t="n">
        <v>0</v>
      </c>
      <c r="L88" s="31" t="n">
        <v>73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80.98999999999999</v>
      </c>
      <c r="P88" s="32" t="n">
        <v>29.95</v>
      </c>
      <c r="Q88" s="32" t="n">
        <v>466.03</v>
      </c>
      <c r="R88" s="31" t="inlineStr">
        <is>
          <t>Volume Spike &amp; Near 52W High Breakout</t>
        </is>
      </c>
      <c r="S88" s="31" t="inlineStr">
        <is>
          <t>Nifty Energy</t>
        </is>
      </c>
      <c r="T88" s="32" t="n">
        <v>9.44</v>
      </c>
      <c r="U88" s="32" t="n">
        <v>40.18</v>
      </c>
      <c r="V88" s="32" t="n">
        <v>28.09</v>
      </c>
      <c r="W88" s="32" t="n">
        <v>19.07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26</t>
        </is>
      </c>
      <c r="CG88" s="31">
        <f>IF(CF88&gt;20,10,IF(CF88&gt;=10,5,2))</f>
        <v/>
      </c>
    </row>
    <row r="89">
      <c r="A89" s="31">
        <f>IF(B89=0,"",RANK(B89,$B$2:$B$99,0))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TIIL</t>
        </is>
      </c>
      <c r="D89" s="34" t="inlineStr">
        <is>
          <t>Technocraft Industries (India) Ltd</t>
        </is>
      </c>
      <c r="E89" s="31" t="inlineStr">
        <is>
          <t>metals &amp; mining</t>
        </is>
      </c>
      <c r="F89" s="31" t="inlineStr">
        <is>
          <t>Scaffolding</t>
        </is>
      </c>
      <c r="G89" s="31" t="inlineStr">
        <is>
          <t>midcap</t>
        </is>
      </c>
      <c r="H89" s="32" t="n">
        <v>7436.45</v>
      </c>
      <c r="I89" s="32" t="n">
        <v>3279.9</v>
      </c>
      <c r="J89" s="32" t="n">
        <v>5.9</v>
      </c>
      <c r="K89" s="32" t="n">
        <v>0</v>
      </c>
      <c r="L89" s="31" t="n">
        <v>39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75.52</v>
      </c>
      <c r="P89" s="32" t="n">
        <v>29.78</v>
      </c>
      <c r="Q89" s="32" t="n">
        <v>2596.6</v>
      </c>
      <c r="R89" s="31" t="inlineStr">
        <is>
          <t>Volume Spike &amp; Near 52W High Breakout</t>
        </is>
      </c>
      <c r="S89" s="31" t="inlineStr">
        <is>
          <t>Nifty Metal</t>
        </is>
      </c>
      <c r="T89" s="32" t="n">
        <v>38.2</v>
      </c>
      <c r="U89" s="32" t="n">
        <v>-0.41</v>
      </c>
      <c r="V89" s="32" t="n">
        <v>-27.94</v>
      </c>
      <c r="W89" s="32" t="n">
        <v>9.1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IF(B90=0,"",RANK(B90,$B$2:$B$99,0))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PRICOLLTD</t>
        </is>
      </c>
      <c r="D90" s="31" t="inlineStr">
        <is>
          <t>Pricol Ltd</t>
        </is>
      </c>
      <c r="E90" s="31" t="inlineStr">
        <is>
          <t>auto</t>
        </is>
      </c>
      <c r="F90" s="31" t="inlineStr">
        <is>
          <t>Auto Ancillaries - 2 Wheelers</t>
        </is>
      </c>
      <c r="G90" s="31" t="inlineStr">
        <is>
          <t>midcap</t>
        </is>
      </c>
      <c r="H90" s="32" t="n">
        <v>9745.639999999999</v>
      </c>
      <c r="I90" s="32" t="n">
        <v>799.6</v>
      </c>
      <c r="J90" s="32" t="n">
        <v>-0.86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75.84999999999999</v>
      </c>
      <c r="P90" s="32" t="n">
        <v>28.08</v>
      </c>
      <c r="Q90" s="32" t="n">
        <v>652.8099999999999</v>
      </c>
      <c r="R90" s="31" t="inlineStr">
        <is>
          <t>Near 52W High Breakout</t>
        </is>
      </c>
      <c r="S90" s="31" t="inlineStr">
        <is>
          <t>Nifty Auto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Shallow Cyclical (2 to 3 Years Growth)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Fully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Allocated capital in Non-core Areas</t>
        </is>
      </c>
      <c r="AU90" s="31">
        <f>IF(AT90="Good",10,0)</f>
        <v/>
      </c>
      <c r="AV90" s="31" t="inlineStr">
        <is>
          <t>Yes only for next 1 to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Yes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IF(B91=0,"",RANK(B91,$B$2:$B$99,0))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ASIANENE</t>
        </is>
      </c>
      <c r="D91" s="34" t="inlineStr">
        <is>
          <t>Asian Energy Services Ltd</t>
        </is>
      </c>
      <c r="E91" s="31" t="inlineStr">
        <is>
          <t>energy</t>
        </is>
      </c>
      <c r="F91" s="31" t="inlineStr">
        <is>
          <t>Oil Drilling &amp; Exploration</t>
        </is>
      </c>
      <c r="G91" s="31" t="inlineStr">
        <is>
          <t>smallcap</t>
        </is>
      </c>
      <c r="H91" s="32" t="n">
        <v>2246.28</v>
      </c>
      <c r="I91" s="32" t="n">
        <v>461.75</v>
      </c>
      <c r="J91" s="32" t="n">
        <v>8.58</v>
      </c>
      <c r="K91" s="32" t="n">
        <v>0</v>
      </c>
      <c r="L91" s="31" t="n">
        <v>81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69.26000000000001</v>
      </c>
      <c r="P91" s="32" t="n">
        <v>18.83</v>
      </c>
      <c r="Q91" s="32" t="n">
        <v>339.62</v>
      </c>
      <c r="R91" s="31" t="inlineStr">
        <is>
          <t>Volume Spike &amp; Near 52W High Breakout</t>
        </is>
      </c>
      <c r="S91" s="31" t="inlineStr">
        <is>
          <t>Nifty Energy</t>
        </is>
      </c>
      <c r="T91" s="32" t="n">
        <v>9.44</v>
      </c>
      <c r="U91" s="32" t="n">
        <v>62.85</v>
      </c>
      <c r="V91" s="32" t="n">
        <v>48.8</v>
      </c>
      <c r="W91" s="32" t="n">
        <v>23.98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21</t>
        </is>
      </c>
      <c r="CG91" s="31">
        <f>IF(CF91&gt;20,10,IF(CF91&gt;=10,5,2))</f>
        <v/>
      </c>
    </row>
    <row r="92">
      <c r="A92" s="31">
        <f>IF(B92=0,"",RANK(B92,$B$2:$B$99,0))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TNPETRO</t>
        </is>
      </c>
      <c r="D92" s="31" t="inlineStr">
        <is>
          <t>Tamil Nadu Petro Products Ltd</t>
        </is>
      </c>
      <c r="E92" s="31" t="inlineStr">
        <is>
          <t>energy</t>
        </is>
      </c>
      <c r="F92" s="31" t="inlineStr">
        <is>
          <t>Petrochem - Others</t>
        </is>
      </c>
      <c r="G92" s="31" t="inlineStr">
        <is>
          <t>smallcap</t>
        </is>
      </c>
      <c r="H92" s="32" t="n">
        <v>1014.88</v>
      </c>
      <c r="I92" s="32" t="n">
        <v>112.8</v>
      </c>
      <c r="J92" s="32" t="n">
        <v>-1.19</v>
      </c>
      <c r="K92" s="32" t="n">
        <v>0</v>
      </c>
      <c r="L92" s="31" t="n">
        <v>38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71.37</v>
      </c>
      <c r="P92" s="32" t="n">
        <v>23.37</v>
      </c>
      <c r="Q92" s="32" t="n">
        <v>87.51000000000001</v>
      </c>
      <c r="R92" s="31" t="inlineStr">
        <is>
          <t>Earnings / Momentum Support</t>
        </is>
      </c>
      <c r="S92" s="31" t="inlineStr">
        <is>
          <t>Nifty Energy</t>
        </is>
      </c>
      <c r="T92" s="32" t="n">
        <v>9.44</v>
      </c>
      <c r="U92" s="32" t="n">
        <v>11.02</v>
      </c>
      <c r="V92" s="32" t="n">
        <v>1.44</v>
      </c>
      <c r="W92" s="32" t="n">
        <v>8.960000000000001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IF(B93=0,"",RANK(B93,$B$2:$B$99,0))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UFLEX</t>
        </is>
      </c>
      <c r="D93" s="31" t="inlineStr">
        <is>
          <t>Uflex Ltd</t>
        </is>
      </c>
      <c r="E93" s="31" t="inlineStr">
        <is>
          <t>industrials</t>
        </is>
      </c>
      <c r="F93" s="31" t="inlineStr">
        <is>
          <t>Packaging - BOPP</t>
        </is>
      </c>
      <c r="G93" s="31" t="inlineStr">
        <is>
          <t>smallcap</t>
        </is>
      </c>
      <c r="H93" s="32" t="n">
        <v>4393.35</v>
      </c>
      <c r="I93" s="32" t="n">
        <v>608.4</v>
      </c>
      <c r="J93" s="32" t="n">
        <v>3.81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75.13</v>
      </c>
      <c r="P93" s="32" t="n">
        <v>19.21</v>
      </c>
      <c r="Q93" s="32" t="n">
        <v>485.36</v>
      </c>
      <c r="R93" s="31" t="inlineStr">
        <is>
          <t>Volume Spike &amp; Near 52W High Breakout</t>
        </is>
      </c>
      <c r="S93" s="31" t="inlineStr">
        <is>
          <t>Nifty Infra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Between 12 to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More than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29</t>
        </is>
      </c>
      <c r="CG93" s="31">
        <f>IF(CF93&gt;20,10,IF(CF93&gt;=10,5,2))</f>
        <v/>
      </c>
    </row>
    <row r="94">
      <c r="A94" s="31">
        <f>IF(B94=0,"",RANK(B94,$B$2:$B$99,0))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VMARCIND</t>
        </is>
      </c>
      <c r="D94" s="33" t="inlineStr">
        <is>
          <t>V-Marc India Ltd</t>
        </is>
      </c>
      <c r="E94" s="31" t="inlineStr">
        <is>
          <t>unknown</t>
        </is>
      </c>
      <c r="F94" s="31" t="inlineStr">
        <is>
          <t>Cables - Power</t>
        </is>
      </c>
      <c r="G94" s="31" t="inlineStr">
        <is>
          <t>midcap</t>
        </is>
      </c>
      <c r="H94" s="32" t="n">
        <v>5347.4</v>
      </c>
      <c r="I94" s="32" t="n">
        <v>364.95</v>
      </c>
      <c r="J94" s="32" t="n">
        <v>1.32</v>
      </c>
      <c r="K94" s="32" t="n">
        <v>0</v>
      </c>
      <c r="L94" s="31" t="n">
        <v>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38.05</v>
      </c>
      <c r="P94" s="32" t="n">
        <v>41.23</v>
      </c>
      <c r="Q94" s="32" t="n">
        <v>1144.92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-2.88</v>
      </c>
      <c r="U94" s="32" t="n">
        <v>-24.29</v>
      </c>
      <c r="V94" s="32" t="n">
        <v>-22.05</v>
      </c>
      <c r="W94" s="32" t="n">
        <v>-5.45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Below 45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No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23</t>
        </is>
      </c>
      <c r="CG94" s="31">
        <f>IF(CF94&gt;20,10,IF(CF94&gt;=10,5,2))</f>
        <v/>
      </c>
    </row>
    <row r="95">
      <c r="A95" s="31">
        <f>IF(B95=0,"",RANK(B95,$B$2:$B$99,0))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ANTELOPUS</t>
        </is>
      </c>
      <c r="D95" s="34" t="inlineStr">
        <is>
          <t>Antelopus Selan Energy Ltd</t>
        </is>
      </c>
      <c r="E95" s="31" t="inlineStr">
        <is>
          <t>energy</t>
        </is>
      </c>
      <c r="F95" s="31" t="inlineStr">
        <is>
          <t>Oil Drilling &amp; Exploration</t>
        </is>
      </c>
      <c r="G95" s="31" t="inlineStr">
        <is>
          <t>smallcap</t>
        </is>
      </c>
      <c r="H95" s="32" t="n">
        <v>3032.75</v>
      </c>
      <c r="I95" s="32" t="n">
        <v>862.5</v>
      </c>
      <c r="J95" s="32" t="n">
        <v>7.69</v>
      </c>
      <c r="K95" s="32" t="n">
        <v>0</v>
      </c>
      <c r="L95" s="31" t="n">
        <v>65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60.74</v>
      </c>
      <c r="P95" s="32" t="n">
        <v>47.14</v>
      </c>
      <c r="Q95" s="32" t="n">
        <v>630.4299999999999</v>
      </c>
      <c r="R95" s="31" t="inlineStr">
        <is>
          <t>Near 52W High Breakout</t>
        </is>
      </c>
      <c r="S95" s="31" t="inlineStr">
        <is>
          <t>Nifty Energy</t>
        </is>
      </c>
      <c r="T95" s="32" t="n">
        <v>9.44</v>
      </c>
      <c r="U95" s="32" t="n">
        <v>37.39</v>
      </c>
      <c r="V95" s="32" t="n">
        <v>25.54</v>
      </c>
      <c r="W95" s="32" t="n">
        <v>15.97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21</t>
        </is>
      </c>
      <c r="CG95" s="31">
        <f>IF(CF95&gt;20,10,IF(CF95&gt;=10,5,2))</f>
        <v/>
      </c>
    </row>
    <row r="96">
      <c r="A96" s="31">
        <f>IF(B96=0,"",RANK(B96,$B$2:$B$99,0))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3" t="inlineStr">
        <is>
          <t>LLOYDSME</t>
        </is>
      </c>
      <c r="D96" s="33" t="inlineStr">
        <is>
          <t>Lloyds Metals &amp; Energy Ltd</t>
        </is>
      </c>
      <c r="E96" s="31" t="inlineStr">
        <is>
          <t>Basic Materials</t>
        </is>
      </c>
      <c r="F96" s="31" t="inlineStr">
        <is>
          <t>Mining/Minerals - Iron Ore</t>
        </is>
      </c>
      <c r="G96" s="31" t="inlineStr">
        <is>
          <t>largecap</t>
        </is>
      </c>
      <c r="H96" s="32" t="n">
        <v>109091.37</v>
      </c>
      <c r="I96" s="32" t="n">
        <v>1938</v>
      </c>
      <c r="J96" s="32" t="n">
        <v>-0.21</v>
      </c>
      <c r="K96" s="32" t="n">
        <v>0</v>
      </c>
      <c r="L96" s="31" t="n">
        <v>47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64.26000000000001</v>
      </c>
      <c r="P96" s="32" t="n">
        <v>40.53</v>
      </c>
      <c r="Q96" s="32" t="n">
        <v>1748.69</v>
      </c>
      <c r="R96" s="31" t="inlineStr">
        <is>
          <t>Earnings / Momentum Support</t>
        </is>
      </c>
      <c r="S96" s="31" t="inlineStr">
        <is>
          <t>Nifty Metal</t>
        </is>
      </c>
      <c r="T96" s="32" t="n">
        <v>38.2</v>
      </c>
      <c r="U96" s="32" t="n">
        <v>28.95</v>
      </c>
      <c r="V96" s="32" t="n">
        <v>-6.69</v>
      </c>
      <c r="W96" s="32" t="n">
        <v>10.62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Cyclical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More than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  <c r="CF96" s="31" t="inlineStr">
        <is>
          <t>20</t>
        </is>
      </c>
      <c r="CG96" s="31">
        <f>IF(CF96&gt;20,10,IF(CF96&gt;=10,5,2))</f>
        <v/>
      </c>
    </row>
    <row r="97">
      <c r="A97" s="31">
        <f>IF(B97=0,"",RANK(B97,$B$2:$B$99,0))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GNFC</t>
        </is>
      </c>
      <c r="D97" s="31" t="inlineStr">
        <is>
          <t>Gujarat Narmada Valley Fertilizers &amp; Chemicals Ltd</t>
        </is>
      </c>
      <c r="E97" s="31" t="inlineStr">
        <is>
          <t>chemicals</t>
        </is>
      </c>
      <c r="F97" s="31" t="inlineStr">
        <is>
          <t>Fertilisers</t>
        </is>
      </c>
      <c r="G97" s="31" t="inlineStr">
        <is>
          <t>midcap</t>
        </is>
      </c>
      <c r="H97" s="32" t="n">
        <v>8964.120000000001</v>
      </c>
      <c r="I97" s="32" t="n">
        <v>610.05</v>
      </c>
      <c r="J97" s="32" t="n">
        <v>1.56</v>
      </c>
      <c r="K97" s="32" t="n">
        <v>0</v>
      </c>
      <c r="L97" s="31" t="n">
        <v>35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70.77</v>
      </c>
      <c r="P97" s="32" t="n">
        <v>34.31</v>
      </c>
      <c r="Q97" s="32" t="n">
        <v>497.94</v>
      </c>
      <c r="R97" s="31" t="inlineStr">
        <is>
          <t>Near 52W High Breakout</t>
        </is>
      </c>
      <c r="S97" s="31" t="inlineStr">
        <is>
          <t>Nifty 50</t>
        </is>
      </c>
      <c r="T97" s="32" t="n">
        <v>-2.88</v>
      </c>
      <c r="U97" s="32" t="n">
        <v>18.69</v>
      </c>
      <c r="V97" s="32" t="n">
        <v>22.2</v>
      </c>
      <c r="W97" s="32" t="n">
        <v>7.99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Oligopoly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Shallow Cyclical (2 to 3 Years Growth)</t>
        </is>
      </c>
      <c r="AG97" s="31">
        <f>IF(AF97="Structural (10 Years Consistency)",10,IF(AF97="Shallow Cyclical (2 to 3 years growth)",5,0))</f>
        <v/>
      </c>
      <c r="AH97" s="31" t="inlineStr">
        <is>
          <t>Yes due to Product Mix change or Operating Leverage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Volatile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Allocated capital in Non-core Areas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Sideways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Overhead supply in last 2 years in last 2 years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More than 15%</t>
        </is>
      </c>
      <c r="CC97" s="31">
        <f>IF(CB97="More than 15%",-10,IF(CB97="Less than 15%",10,0))</f>
        <v/>
      </c>
      <c r="CD97" s="31" t="inlineStr">
        <is>
          <t>Yes Upto 10%</t>
        </is>
      </c>
      <c r="CE97" s="31">
        <f>IF(CD97="Yes, more than 10%",-10,IF(CD97="No",10,0))</f>
        <v/>
      </c>
      <c r="CF97" s="31" t="inlineStr">
        <is>
          <t>25</t>
        </is>
      </c>
      <c r="CG97" s="31">
        <f>IF(CF97&gt;20,10,IF(CF97&gt;=10,5,2))</f>
        <v/>
      </c>
    </row>
    <row r="98">
      <c r="A98" s="31">
        <f>IF(B98=0,"",RANK(B98,$B$2:$B$99,0))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OBSCP</t>
        </is>
      </c>
      <c r="D98" s="31" t="inlineStr">
        <is>
          <t>OBSC Perfection Ltd</t>
        </is>
      </c>
      <c r="E98" s="31" t="inlineStr">
        <is>
          <t>unknown</t>
        </is>
      </c>
      <c r="F98" s="31" t="inlineStr">
        <is>
          <t>Auto Ancillaries - Diversified</t>
        </is>
      </c>
      <c r="G98" s="31" t="inlineStr">
        <is>
          <t>smallcap</t>
        </is>
      </c>
      <c r="H98" s="32" t="n">
        <v>2194.68</v>
      </c>
      <c r="I98" s="32" t="n">
        <v>849.15</v>
      </c>
      <c r="J98" s="32" t="n">
        <v>-1.28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99">
      <c r="A99" s="31">
        <f>IF(B99=0,"",RANK(B99,$B$2:$B$99,0))</f>
        <v/>
      </c>
      <c r="B99" s="32">
        <f>SUM(N99,Y99,AA99,AC99,AE99,AG99,AI99,AK99,AM99,AO99,AQ99,AS99,AU99,AW99,AY99,BA99,BC99,BE99,BG99,BI99,BK99,BM99,BO99,BQ99,BS99,BU99,BW99,BY99,CA99,CC99,CE99,CG99)</f>
        <v/>
      </c>
      <c r="C99" s="31" t="inlineStr">
        <is>
          <t>MONOLITH</t>
        </is>
      </c>
      <c r="D99" s="31" t="inlineStr">
        <is>
          <t>Monolithisch India Ltd</t>
        </is>
      </c>
      <c r="E99" s="31" t="inlineStr">
        <is>
          <t>unknown</t>
        </is>
      </c>
      <c r="F99" s="31" t="inlineStr">
        <is>
          <t>Refractories</t>
        </is>
      </c>
      <c r="G99" s="31" t="inlineStr">
        <is>
          <t>smallcap</t>
        </is>
      </c>
      <c r="H99" s="32" t="n">
        <v>2162.73</v>
      </c>
      <c r="I99" s="32" t="n">
        <v>995</v>
      </c>
      <c r="J99" s="32" t="n">
        <v>-1.25</v>
      </c>
      <c r="K99" s="32" t="n">
        <v>0</v>
      </c>
      <c r="L99" s="31" t="inlineStr"/>
      <c r="M99" s="31" t="inlineStr"/>
      <c r="N99" s="32">
        <f>IF(M99="Underperforming",-5,IF(L99&gt;=95,15,IF(L99&gt;=90,10,IF(L99&gt;=80,5,0))))</f>
        <v/>
      </c>
      <c r="O99" s="32" t="inlineStr"/>
      <c r="P99" s="32" t="inlineStr"/>
      <c r="Q99" s="32" t="inlineStr"/>
      <c r="R99" s="31" t="inlineStr"/>
      <c r="S99" s="31" t="inlineStr"/>
      <c r="T99" s="32" t="inlineStr"/>
      <c r="U99" s="32" t="inlineStr"/>
      <c r="V99" s="32" t="inlineStr"/>
      <c r="W99" s="32" t="inlineStr"/>
      <c r="X99" s="31" t="n"/>
      <c r="Y99" s="31">
        <f>IF(X99="Growing Industry",10,IF(X99="Cyclical in an Upturn",5,0))</f>
        <v/>
      </c>
      <c r="Z99" s="31" t="n"/>
      <c r="AA99" s="31">
        <f>IF(Z99="Monopoly",10,IF(Z99="Oligopoly",5,IF(Z99="Duopoly that cooperate",10,IF(Z99="Duopoly that compete",5,IF(Z99="Too many players with High ROCE",5,0)))))</f>
        <v/>
      </c>
      <c r="AB99" s="31" t="n"/>
      <c r="AC99" s="31">
        <f>IF(AB99="No",5,0)</f>
        <v/>
      </c>
      <c r="AD99" s="31" t="n"/>
      <c r="AE99" s="31">
        <f>IF(AD99="Tailwind",10,0)</f>
        <v/>
      </c>
      <c r="AF99" s="31" t="n"/>
      <c r="AG99" s="31">
        <f>IF(AF99="Structural (10 Years Consistency)",10,IF(AF99="Shallow Cyclical (2 to 3 years growth)",5,0))</f>
        <v/>
      </c>
      <c r="AH99" s="31" t="n"/>
      <c r="AI99" s="31">
        <f>IF(AH99="Yes due to Product Mix change or Operating Leverage",10,IF(AH99="Yes, these are peak margins",-5,IF(AH99="No",5,0)))</f>
        <v/>
      </c>
      <c r="AJ99" s="31" t="n"/>
      <c r="AK99" s="31">
        <f>IF(AJ99="Stable",10,0)</f>
        <v/>
      </c>
      <c r="AL99" s="31" t="n"/>
      <c r="AM99" s="31">
        <f>IF(AL99="Yes",10,0)</f>
        <v/>
      </c>
      <c r="AN99" s="31" t="n"/>
      <c r="AO99" s="31">
        <f>IF(AN99="B2C",10,IF(AN99="B2B",5,0))</f>
        <v/>
      </c>
      <c r="AP99" s="31" t="n"/>
      <c r="AQ99" s="31">
        <f>IF(AP99="Yes",10,0)</f>
        <v/>
      </c>
      <c r="AR99" s="31" t="n"/>
      <c r="AS99" s="31">
        <f>IF(AR99="Fully Annuity",10,IF(AR99="Higher Annuity, Lower One Time",5,IF(AR99="Higher One Time, Lower Annuity",3,0)))</f>
        <v/>
      </c>
      <c r="AT99" s="31" t="n"/>
      <c r="AU99" s="31">
        <f>IF(AT99="Good",10,0)</f>
        <v/>
      </c>
      <c r="AV99" s="31" t="n"/>
      <c r="AW99" s="31">
        <f>IF(AV99="Yes for more than 2 years",10,IF(AV99="Yes only for next 1 to 2 years",5,0))</f>
        <v/>
      </c>
      <c r="AX99" s="31" t="n"/>
      <c r="AY99" s="31">
        <f>IF(AX99="Above 40",20,IF(AX99="20 to 40",10,IF(AX99="0 to 20",-5,0)))</f>
        <v/>
      </c>
      <c r="AZ99" s="31" t="n"/>
      <c r="BA99" s="31">
        <f>IF(AZ99="Between 50 to 75",10,IF(AZ99="Above 75",0,0))</f>
        <v/>
      </c>
      <c r="BB99" s="31" t="n"/>
      <c r="BC99" s="31">
        <f>IF(BB99="Stage 2",20,IF(BB99="Stage 1",0,IF(BB99="Stage 3",5,IF(BB99="Stage 4",-5,0))))</f>
        <v/>
      </c>
      <c r="BD99" s="31" t="n"/>
      <c r="BE99" s="31">
        <f>IF(BD99="Positive Trend",20,IF(BD99="Negative Trend",-10,0))</f>
        <v/>
      </c>
      <c r="BF99" s="31" t="n"/>
      <c r="BG99" s="31">
        <f>IF(BF99="Uptrend",10,IF(BF99="Sideways",5,0))</f>
        <v/>
      </c>
      <c r="BH99" s="31" t="n"/>
      <c r="BI99" s="31">
        <f>IF(BH99="Uptrend",10,IF(BH99="Sideways",5,0))</f>
        <v/>
      </c>
      <c r="BJ99" s="31" t="n"/>
      <c r="BK99" s="31">
        <f>IF(BJ99="Overhead supply in last 2 years in last 2 years",-5,IF(BJ99="Close to 52 week high or retracement",5,IF(BJ99="Blue sky scenario",10,IF(BJ99="Long term Downtrend",-10,0))))</f>
        <v/>
      </c>
      <c r="BL99" s="31" t="n"/>
      <c r="BM99" s="31">
        <f>IF(BL99="Yes",10,0)</f>
        <v/>
      </c>
      <c r="BN99" s="31" t="n"/>
      <c r="BO99" s="31">
        <f>IF(BN99="More than 20%",10,IF(BN99="Between 12 to 20%",5,IF(BN99="Less than 12%",0,0)))</f>
        <v/>
      </c>
      <c r="BP99" s="31" t="n"/>
      <c r="BQ99" s="31">
        <f>IF(BP99="No",10,0)</f>
        <v/>
      </c>
      <c r="BR99" s="31" t="n"/>
      <c r="BS99" s="31">
        <f>IF(BR99="NO",5,0)</f>
        <v/>
      </c>
      <c r="BT99" s="31" t="n"/>
      <c r="BU99" s="31">
        <f>IF(BT99="Above 2",0,IF(BT99="Between 1.5 to 2",5,IF(BT99="Less than 1.5",10,0)))</f>
        <v/>
      </c>
      <c r="BV99" s="31" t="n"/>
      <c r="BW99" s="31">
        <f>IF(BV99="Above 70%",10,IF(BV99="Between 50% to 70%",5,IF(BV99="Less than 50%",0,IF(BV99="Negative",-10,IF(BV99="Less than 50% and Borrowings are increasing",-5,0)))))</f>
        <v/>
      </c>
      <c r="BX99" s="31" t="n"/>
      <c r="BY99" s="31">
        <f>IF(BX99="More than 1.2",-10,IF(BX99="Between 0.7 to 1.2",0,IF(BX99="Less than 0.7",10,0)))</f>
        <v/>
      </c>
      <c r="BZ99" s="31" t="n"/>
      <c r="CA99" s="31">
        <f>IF(BZ99="Yes",-10,0)</f>
        <v/>
      </c>
      <c r="CB99" s="31" t="n"/>
      <c r="CC99" s="31">
        <f>IF(CB99="More than 15%",-10,IF(CB99="Less than 15%",10,0))</f>
        <v/>
      </c>
      <c r="CD99" s="31" t="n"/>
      <c r="CE99" s="31">
        <f>IF(CD99="Yes, more than 10%",-10,IF(CD99="No",10,0))</f>
        <v/>
      </c>
      <c r="CF99" s="31" t="n"/>
      <c r="CG99" s="31">
        <f>IF(CF99&gt;20,10,IF(CF99&gt;=10,5,2))</f>
        <v/>
      </c>
    </row>
    <row r="103">
      <c r="A103" s="25" t="inlineStr">
        <is>
          <t>❌ REMOVED SCAN MATCH STOCKS (THIS WEEK)</t>
        </is>
      </c>
    </row>
    <row r="104">
      <c r="A104" s="35" t="inlineStr">
        <is>
          <t>Symbol</t>
        </is>
      </c>
      <c r="B104" s="35" t="inlineStr">
        <is>
          <t>Company Name</t>
        </is>
      </c>
      <c r="C104" s="35" t="inlineStr">
        <is>
          <t>Sector</t>
        </is>
      </c>
      <c r="D104" s="35" t="inlineStr">
        <is>
          <t>Date of Removal</t>
        </is>
      </c>
    </row>
    <row r="105">
      <c r="A105" s="36" t="inlineStr">
        <is>
          <t>ASKAUTOLTD</t>
        </is>
      </c>
      <c r="B105" s="37" t="inlineStr">
        <is>
          <t>ASKAUTOLTD</t>
        </is>
      </c>
      <c r="C105" s="37" t="inlineStr">
        <is>
          <t>Consumer Cyclical</t>
        </is>
      </c>
      <c r="D105" s="38" t="inlineStr">
        <is>
          <t>2026-08-18</t>
        </is>
      </c>
    </row>
    <row r="106">
      <c r="A106" s="36" t="inlineStr">
        <is>
          <t>BIL</t>
        </is>
      </c>
      <c r="B106" s="37" t="inlineStr">
        <is>
          <t>Bhartiya International Ltd.</t>
        </is>
      </c>
      <c r="C106" s="37" t="inlineStr">
        <is>
          <t>Consumer Cyclical</t>
        </is>
      </c>
      <c r="D106" s="38" t="inlineStr">
        <is>
          <t>2026-08-18</t>
        </is>
      </c>
    </row>
    <row r="107">
      <c r="A107" s="36" t="inlineStr">
        <is>
          <t>E2E</t>
        </is>
      </c>
      <c r="B107" s="37" t="inlineStr">
        <is>
          <t>E2E Networks Limited</t>
        </is>
      </c>
      <c r="C107" s="37" t="inlineStr">
        <is>
          <t>Technology</t>
        </is>
      </c>
      <c r="D107" s="38" t="inlineStr">
        <is>
          <t>2026-08-18</t>
        </is>
      </c>
    </row>
    <row r="108">
      <c r="A108" s="36" t="inlineStr">
        <is>
          <t>ELANTAS</t>
        </is>
      </c>
      <c r="B108" s="37" t="inlineStr">
        <is>
          <t>ELANTAS</t>
        </is>
      </c>
      <c r="C108" s="37" t="inlineStr">
        <is>
          <t>unknown</t>
        </is>
      </c>
      <c r="D108" s="38" t="inlineStr">
        <is>
          <t>2026-08-18</t>
        </is>
      </c>
    </row>
    <row r="109">
      <c r="A109" s="36" t="inlineStr">
        <is>
          <t>GAYAPROJ</t>
        </is>
      </c>
      <c r="B109" s="37" t="inlineStr">
        <is>
          <t>Gayatri Projects Limited</t>
        </is>
      </c>
      <c r="C109" s="37" t="inlineStr">
        <is>
          <t>Industrials</t>
        </is>
      </c>
      <c r="D109" s="38" t="inlineStr">
        <is>
          <t>2026-08-18</t>
        </is>
      </c>
    </row>
    <row r="110">
      <c r="A110" s="36" t="inlineStr">
        <is>
          <t>GLAND</t>
        </is>
      </c>
      <c r="B110" s="37" t="inlineStr">
        <is>
          <t>Gland Pharma Limited</t>
        </is>
      </c>
      <c r="C110" s="37" t="inlineStr">
        <is>
          <t>Healthcare</t>
        </is>
      </c>
      <c r="D110" s="38" t="inlineStr">
        <is>
          <t>2026-08-18</t>
        </is>
      </c>
    </row>
    <row r="111">
      <c r="A111" s="36" t="inlineStr">
        <is>
          <t>INOVSYNTH</t>
        </is>
      </c>
      <c r="B111" s="37" t="inlineStr">
        <is>
          <t>INOVSYNTH</t>
        </is>
      </c>
      <c r="C111" s="37" t="inlineStr">
        <is>
          <t>unknown</t>
        </is>
      </c>
      <c r="D111" s="38" t="inlineStr">
        <is>
          <t>2026-08-18</t>
        </is>
      </c>
    </row>
    <row r="112">
      <c r="A112" s="36" t="inlineStr">
        <is>
          <t>KSHINTL</t>
        </is>
      </c>
      <c r="B112" s="37" t="inlineStr">
        <is>
          <t>KSHINTL</t>
        </is>
      </c>
      <c r="C112" s="37" t="inlineStr">
        <is>
          <t>unknown</t>
        </is>
      </c>
      <c r="D112" s="38" t="inlineStr">
        <is>
          <t>2026-08-18</t>
        </is>
      </c>
    </row>
    <row r="113">
      <c r="A113" s="36" t="inlineStr">
        <is>
          <t>OFSS</t>
        </is>
      </c>
      <c r="B113" s="37" t="inlineStr">
        <is>
          <t>OFSS</t>
        </is>
      </c>
      <c r="C113" s="37" t="inlineStr">
        <is>
          <t>unknown</t>
        </is>
      </c>
      <c r="D113" s="38" t="inlineStr">
        <is>
          <t>2026-08-18</t>
        </is>
      </c>
    </row>
    <row r="114">
      <c r="A114" s="36" t="inlineStr">
        <is>
          <t>PAYTM</t>
        </is>
      </c>
      <c r="B114" s="37" t="inlineStr">
        <is>
          <t>One97 Communications Limited</t>
        </is>
      </c>
      <c r="C114" s="37" t="inlineStr">
        <is>
          <t>Technology</t>
        </is>
      </c>
      <c r="D114" s="38" t="inlineStr">
        <is>
          <t>2026-08-18</t>
        </is>
      </c>
    </row>
    <row r="115">
      <c r="A115" s="36" t="inlineStr">
        <is>
          <t>PITTIENG</t>
        </is>
      </c>
      <c r="B115" s="37" t="inlineStr">
        <is>
          <t>Pitti Engineering Limited</t>
        </is>
      </c>
      <c r="C115" s="37" t="inlineStr">
        <is>
          <t>Industrials</t>
        </is>
      </c>
      <c r="D115" s="38" t="inlineStr">
        <is>
          <t>2026-08-18</t>
        </is>
      </c>
    </row>
    <row r="116">
      <c r="A116" s="36" t="inlineStr">
        <is>
          <t>PIXTRANS</t>
        </is>
      </c>
      <c r="B116" s="37" t="inlineStr">
        <is>
          <t>PIX Transmissions Limited</t>
        </is>
      </c>
      <c r="C116" s="37" t="inlineStr">
        <is>
          <t>Industrials</t>
        </is>
      </c>
      <c r="D116" s="38" t="inlineStr">
        <is>
          <t>2026-08-18</t>
        </is>
      </c>
    </row>
    <row r="117">
      <c r="A117" s="36" t="inlineStr">
        <is>
          <t>RUBICON</t>
        </is>
      </c>
      <c r="B117" s="37" t="inlineStr">
        <is>
          <t>RUBICON</t>
        </is>
      </c>
      <c r="C117" s="37" t="inlineStr">
        <is>
          <t>unknown</t>
        </is>
      </c>
      <c r="D117" s="38" t="inlineStr">
        <is>
          <t>2026-08-18</t>
        </is>
      </c>
    </row>
    <row r="118">
      <c r="A118" s="36" t="inlineStr">
        <is>
          <t>SAKAR</t>
        </is>
      </c>
      <c r="B118" s="37" t="inlineStr">
        <is>
          <t>SAKAR</t>
        </is>
      </c>
      <c r="C118" s="37" t="inlineStr">
        <is>
          <t>unknown</t>
        </is>
      </c>
      <c r="D118" s="38" t="inlineStr">
        <is>
          <t>2026-08-18</t>
        </is>
      </c>
    </row>
    <row r="119">
      <c r="A119" s="36" t="inlineStr">
        <is>
          <t>SENORES</t>
        </is>
      </c>
      <c r="B119" s="37" t="inlineStr">
        <is>
          <t>SENORES</t>
        </is>
      </c>
      <c r="C119" s="37" t="inlineStr">
        <is>
          <t>Healthcare</t>
        </is>
      </c>
      <c r="D119" s="38" t="inlineStr">
        <is>
          <t>2026-08-18</t>
        </is>
      </c>
    </row>
    <row r="120">
      <c r="A120" s="36" t="inlineStr">
        <is>
          <t>SHANTIGOLD</t>
        </is>
      </c>
      <c r="B120" s="37" t="inlineStr">
        <is>
          <t>SHANTIGOLD</t>
        </is>
      </c>
      <c r="C120" s="37" t="inlineStr">
        <is>
          <t>Consumer Cyclical</t>
        </is>
      </c>
      <c r="D120" s="38" t="inlineStr">
        <is>
          <t>2026-08-18</t>
        </is>
      </c>
    </row>
    <row r="121">
      <c r="A121" s="36" t="inlineStr">
        <is>
          <t>STLTECH</t>
        </is>
      </c>
      <c r="B121" s="37" t="inlineStr">
        <is>
          <t>Sterlite Technologies Limited</t>
        </is>
      </c>
      <c r="C121" s="37" t="inlineStr">
        <is>
          <t>Technology</t>
        </is>
      </c>
      <c r="D121" s="38" t="inlineStr">
        <is>
          <t>2026-08-18</t>
        </is>
      </c>
    </row>
    <row r="122">
      <c r="A122" s="36" t="inlineStr">
        <is>
          <t>VALIANT</t>
        </is>
      </c>
      <c r="B122" s="37" t="inlineStr">
        <is>
          <t>VALIANT</t>
        </is>
      </c>
      <c r="C122" s="37" t="inlineStr">
        <is>
          <t>unknown</t>
        </is>
      </c>
      <c r="D122" s="38" t="inlineStr">
        <is>
          <t>2026-08-18</t>
        </is>
      </c>
    </row>
    <row r="123">
      <c r="A123" s="36" t="inlineStr">
        <is>
          <t>VENKEYS</t>
        </is>
      </c>
      <c r="B123" s="37" t="inlineStr">
        <is>
          <t>VENKEYS</t>
        </is>
      </c>
      <c r="C123" s="37" t="inlineStr">
        <is>
          <t>unknown</t>
        </is>
      </c>
      <c r="D123" s="38" t="inlineStr">
        <is>
          <t>2026-08-18</t>
        </is>
      </c>
    </row>
  </sheetData>
  <autoFilter ref="A1:CG99"/>
  <conditionalFormatting sqref="B2:B9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9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9">
    <cfRule type="cellIs" priority="37" operator="equal" dxfId="3" stopIfTrue="1">
      <formula>"Underperforming"</formula>
    </cfRule>
  </conditionalFormatting>
  <conditionalFormatting sqref="N2:N99">
    <cfRule type="cellIs" priority="38" operator="equal" dxfId="3" stopIfTrue="1">
      <formula>-5</formula>
    </cfRule>
  </conditionalFormatting>
  <conditionalFormatting sqref="Q2:Q99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9" showDropDown="0" showInputMessage="0" showErrorMessage="0" allowBlank="1" type="list">
      <formula1>"Growing Industry,Stagnant Industry,Cyclical in an Upturn"</formula1>
    </dataValidation>
    <dataValidation sqref="Z2:Z9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9" showDropDown="0" showInputMessage="0" showErrorMessage="0" allowBlank="1" type="list">
      <formula1>"Yes,No"</formula1>
    </dataValidation>
    <dataValidation sqref="AD2:AD99" showDropDown="0" showInputMessage="0" showErrorMessage="0" allowBlank="1" type="list">
      <formula1>"Tailwind,Headwind"</formula1>
    </dataValidation>
    <dataValidation sqref="AF2:AF99" showDropDown="0" showInputMessage="0" showErrorMessage="0" allowBlank="1" type="list">
      <formula1>"Structural (10 Years Consistency),Shallow Cyclical (2 to 3 Years Growth),Cyclical"</formula1>
    </dataValidation>
    <dataValidation sqref="AH2:AH99" showDropDown="0" showInputMessage="0" showErrorMessage="0" allowBlank="1" type="list">
      <formula1>"Yes due to Product Mix change or Operating Leverage,Yes, these are peak margins,No"</formula1>
    </dataValidation>
    <dataValidation sqref="AJ2:AJ99" showDropDown="0" showInputMessage="0" showErrorMessage="0" allowBlank="1" type="list">
      <formula1>"Stable,Volatile"</formula1>
    </dataValidation>
    <dataValidation sqref="AL2:AL99" showDropDown="0" showInputMessage="0" showErrorMessage="0" allowBlank="1" type="list">
      <formula1>"Yes,No"</formula1>
    </dataValidation>
    <dataValidation sqref="AN2:AN99" showDropDown="0" showInputMessage="0" showErrorMessage="0" allowBlank="1" type="list">
      <formula1>"B2C,B2B,B2G"</formula1>
    </dataValidation>
    <dataValidation sqref="AP2:AP99" showDropDown="0" showInputMessage="0" showErrorMessage="0" allowBlank="1" type="list">
      <formula1>"Yes,No"</formula1>
    </dataValidation>
    <dataValidation sqref="AR2:AR99" showDropDown="0" showInputMessage="0" showErrorMessage="0" allowBlank="1" type="list">
      <formula1>"Fully Annuity,Higher Annuity, Lower One time,Higher One Time, Lower Annuity,Fully One Time"</formula1>
    </dataValidation>
    <dataValidation sqref="AT2:AT99" showDropDown="0" showInputMessage="0" showErrorMessage="0" allowBlank="1" type="list">
      <formula1>"Good,Allocated capital in Non-core Areas"</formula1>
    </dataValidation>
    <dataValidation sqref="AV2:AV99" showDropDown="0" showInputMessage="0" showErrorMessage="0" allowBlank="1" type="list">
      <formula1>"Yes for more than 2 years,Yes only for next 1 to 2 years,No"</formula1>
    </dataValidation>
    <dataValidation sqref="AX2:AX99" showDropDown="0" showInputMessage="0" showErrorMessage="0" allowBlank="1" type="list">
      <formula1>"Above 40,20 to 40,0 to 20"</formula1>
    </dataValidation>
    <dataValidation sqref="AZ2:AZ99" showDropDown="0" showInputMessage="0" showErrorMessage="0" allowBlank="1" type="list">
      <formula1>"Between 50 to 75,Above 75,Below 45"</formula1>
    </dataValidation>
    <dataValidation sqref="BB2:BB99" showDropDown="0" showInputMessage="0" showErrorMessage="0" allowBlank="1" type="list">
      <formula1>"Stage 1,Stage 2,Stage 3,Stage 4"</formula1>
    </dataValidation>
    <dataValidation sqref="BD2:BD99" showDropDown="0" showInputMessage="0" showErrorMessage="0" allowBlank="1" type="list">
      <formula1>"Positive Trend,Negative Trend"</formula1>
    </dataValidation>
    <dataValidation sqref="BF2:BF99" showDropDown="0" showInputMessage="0" showErrorMessage="0" allowBlank="1" type="list">
      <formula1>"Uptrend,Sideways,Downtrend"</formula1>
    </dataValidation>
    <dataValidation sqref="BH2:BH99" showDropDown="0" showInputMessage="0" showErrorMessage="0" allowBlank="1" type="list">
      <formula1>"Uptrend,Sideways,Downtrend"</formula1>
    </dataValidation>
    <dataValidation sqref="BJ2:BJ9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9" showDropDown="0" showInputMessage="0" showErrorMessage="0" allowBlank="1" type="list">
      <formula1>"Yes,No"</formula1>
    </dataValidation>
    <dataValidation sqref="BN2:BN99" showDropDown="0" showInputMessage="0" showErrorMessage="0" allowBlank="1" type="list">
      <formula1>"More than 20%,Between 12 to 20%,Less than 12%"</formula1>
    </dataValidation>
    <dataValidation sqref="BP2:BP99" showDropDown="0" showInputMessage="0" showErrorMessage="0" allowBlank="1" type="list">
      <formula1>"Yes,No"</formula1>
    </dataValidation>
    <dataValidation sqref="BR2:BR99" showDropDown="0" showInputMessage="0" showErrorMessage="0" allowBlank="1" type="list">
      <formula1>"Yes,No"</formula1>
    </dataValidation>
    <dataValidation sqref="BT2:BT99" showDropDown="0" showInputMessage="0" showErrorMessage="0" allowBlank="1" type="list">
      <formula1>"Above 2,Between 1.5 to 2,Less than 1.5"</formula1>
    </dataValidation>
    <dataValidation sqref="BV2:BV99" showDropDown="0" showInputMessage="0" showErrorMessage="0" allowBlank="1" type="list">
      <formula1>"Above 70%,Between 50% to 70%,Less than 50%,Less than 50% and Borrowings are increasing,Negative"</formula1>
    </dataValidation>
    <dataValidation sqref="BX2:BX99" showDropDown="0" showInputMessage="0" showErrorMessage="0" allowBlank="1" type="list">
      <formula1>"More than 1.2,Between 0.7 to 1.2,Less than 0.7"</formula1>
    </dataValidation>
    <dataValidation sqref="BZ2:BZ99" showDropDown="0" showInputMessage="0" showErrorMessage="0" allowBlank="1" type="list">
      <formula1>"Yes,No"</formula1>
    </dataValidation>
    <dataValidation sqref="CB2:CB99" showDropDown="0" showInputMessage="0" showErrorMessage="0" allowBlank="1" type="list">
      <formula1>"More than 15%,Less than 15%"</formula1>
    </dataValidation>
    <dataValidation sqref="CD2:CD9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IF(B2=0,"",RANK(B2,$B$2:$B$3,0))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UJJIVANSFB</t>
        </is>
      </c>
      <c r="D2" s="31" t="inlineStr">
        <is>
          <t>Ujjivan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midcap</t>
        </is>
      </c>
      <c r="H2" s="32" t="n">
        <v>14124.97</v>
      </c>
      <c r="I2" s="32" t="n">
        <v>72.48999999999999</v>
      </c>
      <c r="J2" s="32" t="n">
        <v>0.39</v>
      </c>
      <c r="K2" s="32" t="n">
        <v>0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67.94</v>
      </c>
      <c r="P2" s="32" t="n">
        <v>38.21</v>
      </c>
      <c r="Q2" s="32" t="n">
        <v>58.43</v>
      </c>
      <c r="R2" s="31" t="inlineStr">
        <is>
          <t>Near 52W High Breakout</t>
        </is>
      </c>
      <c r="S2" s="31" t="inlineStr">
        <is>
          <t>Nifty Bank</t>
        </is>
      </c>
      <c r="T2" s="32" t="n">
        <v>3.83</v>
      </c>
      <c r="U2" s="32" t="n">
        <v>65.48</v>
      </c>
      <c r="V2" s="32" t="n">
        <v>59.37</v>
      </c>
      <c r="W2" s="32" t="n">
        <v>19.78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IF(B3=0,"",RANK(B3,$B$2:$B$3,0))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5754.81</v>
      </c>
      <c r="I3" s="32" t="n">
        <v>124.3</v>
      </c>
      <c r="J3" s="32" t="n">
        <v>3.34</v>
      </c>
      <c r="K3" s="32" t="n">
        <v>0</v>
      </c>
      <c r="L3" s="31" t="n">
        <v>88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81.72</v>
      </c>
      <c r="P3" s="32" t="n">
        <v>54.37</v>
      </c>
      <c r="Q3" s="32" t="n">
        <v>98.31999999999999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3.83</v>
      </c>
      <c r="U3" s="32" t="n">
        <v>101.18</v>
      </c>
      <c r="V3" s="32" t="n">
        <v>93.75</v>
      </c>
      <c r="W3" s="32" t="n">
        <v>31.26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26</t>
        </is>
      </c>
      <c r="CC3" s="31">
        <f>IF(CB3&gt;20,10,IF(CB3&gt;=10,5,2))</f>
        <v/>
      </c>
    </row>
    <row r="7">
      <c r="A7" s="25" t="inlineStr">
        <is>
          <t>❌ REMOVED SCAN MATCH STOCKS (THIS WEEK)</t>
        </is>
      </c>
    </row>
    <row r="8">
      <c r="A8" s="35" t="inlineStr">
        <is>
          <t>Symbol</t>
        </is>
      </c>
      <c r="B8" s="35" t="inlineStr">
        <is>
          <t>Company Name</t>
        </is>
      </c>
      <c r="C8" s="35" t="inlineStr">
        <is>
          <t>Sector</t>
        </is>
      </c>
      <c r="D8" s="35" t="inlineStr">
        <is>
          <t>Date of Removal</t>
        </is>
      </c>
    </row>
  </sheetData>
  <autoFilter ref="A1:CC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3">
    <cfRule type="cellIs" priority="35" operator="equal" dxfId="3" stopIfTrue="1">
      <formula>"Underperforming"</formula>
    </cfRule>
  </conditionalFormatting>
  <conditionalFormatting sqref="N2:N3">
    <cfRule type="cellIs" priority="36" operator="equal" dxfId="3" stopIfTrue="1">
      <formula>-5</formula>
    </cfRule>
  </conditionalFormatting>
  <conditionalFormatting sqref="Q2:Q3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3" showDropDown="0" showInputMessage="0" showErrorMessage="0" allowBlank="1" type="list">
      <formula1>"Growing Industry,Stagnant Industry,Cyclical in an Upturn"</formula1>
    </dataValidation>
    <dataValidation sqref="Z2:Z3" showDropDown="0" showInputMessage="0" showErrorMessage="0" allowBlank="1" type="list">
      <formula1>"Fragmented with Low ROE,Fragmented with High ROE,Highly Cyclical"</formula1>
    </dataValidation>
    <dataValidation sqref="AB2:AB3" showDropDown="0" showInputMessage="0" showErrorMessage="0" allowBlank="1" type="list">
      <formula1>"Yes,No"</formula1>
    </dataValidation>
    <dataValidation sqref="AD2:AD3" showDropDown="0" showInputMessage="0" showErrorMessage="0" allowBlank="1" type="list">
      <formula1>"Tailwind,Headwind"</formula1>
    </dataValidation>
    <dataValidation sqref="AF2:AF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" showDropDown="0" showInputMessage="0" showErrorMessage="0" allowBlank="1" type="list">
      <formula1>"Yes,No"</formula1>
    </dataValidation>
    <dataValidation sqref="AJ2:AJ3" showDropDown="0" showInputMessage="0" showErrorMessage="0" allowBlank="1" type="list">
      <formula1>"Yes,No,Not Applicable"</formula1>
    </dataValidation>
    <dataValidation sqref="AL2:AL3" showDropDown="0" showInputMessage="0" showErrorMessage="0" allowBlank="1" type="list">
      <formula1>"Yes,No"</formula1>
    </dataValidation>
    <dataValidation sqref="AN2:AN3" showDropDown="0" showInputMessage="0" showErrorMessage="0" allowBlank="1" type="list">
      <formula1>"Yes,No"</formula1>
    </dataValidation>
    <dataValidation sqref="AP2:AP3" showDropDown="0" showInputMessage="0" showErrorMessage="0" allowBlank="1" type="list">
      <formula1>"Yes,No"</formula1>
    </dataValidation>
    <dataValidation sqref="AR2:AR3" showDropDown="0" showInputMessage="0" showErrorMessage="0" allowBlank="1" type="list">
      <formula1>"Yes,No"</formula1>
    </dataValidation>
    <dataValidation sqref="AT2:AT3" showDropDown="0" showInputMessage="0" showErrorMessage="0" allowBlank="1" type="list">
      <formula1>"No,Yes"</formula1>
    </dataValidation>
    <dataValidation sqref="AV2:AV3" showDropDown="0" showInputMessage="0" showErrorMessage="0" allowBlank="1" type="list">
      <formula1>"No,Yes"</formula1>
    </dataValidation>
    <dataValidation sqref="AX2:AX3" showDropDown="0" showInputMessage="0" showErrorMessage="0" allowBlank="1" type="list">
      <formula1>"No,Yes CEO Resignation,Yes CEO Retirement"</formula1>
    </dataValidation>
    <dataValidation sqref="AZ2:AZ3" showDropDown="0" showInputMessage="0" showErrorMessage="0" allowBlank="1" type="list">
      <formula1>"No,Yes"</formula1>
    </dataValidation>
    <dataValidation sqref="BB2:BB3" showDropDown="0" showInputMessage="0" showErrorMessage="0" allowBlank="1" type="list">
      <formula1>"No,Yes"</formula1>
    </dataValidation>
    <dataValidation sqref="BD2:BD3" showDropDown="0" showInputMessage="0" showErrorMessage="0" allowBlank="1" type="list">
      <formula1>"Yes,No"</formula1>
    </dataValidation>
    <dataValidation sqref="BF2:BF3" showDropDown="0" showInputMessage="0" showErrorMessage="0" allowBlank="1" type="list">
      <formula1>"Yes,No"</formula1>
    </dataValidation>
    <dataValidation sqref="BH2:BH3" showDropDown="0" showInputMessage="0" showErrorMessage="0" allowBlank="1" type="list">
      <formula1>"Yes,No"</formula1>
    </dataValidation>
    <dataValidation sqref="BJ2:BJ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" showDropDown="0" showInputMessage="0" showErrorMessage="0" allowBlank="1" type="list">
      <formula1>"Above 40,20 to 40,0 to 20"</formula1>
    </dataValidation>
    <dataValidation sqref="BN2:BN3" showDropDown="0" showInputMessage="0" showErrorMessage="0" allowBlank="1" type="list">
      <formula1>"Between 50 to 75,Above 75,Below 45"</formula1>
    </dataValidation>
    <dataValidation sqref="BP2:BP3" showDropDown="0" showInputMessage="0" showErrorMessage="0" allowBlank="1" type="list">
      <formula1>"Stage 1,Stage 2,Stage 3,Stage 4"</formula1>
    </dataValidation>
    <dataValidation sqref="BR2:BR3" showDropDown="0" showInputMessage="0" showErrorMessage="0" allowBlank="1" type="list">
      <formula1>"Positive Trend,Negative Trend"</formula1>
    </dataValidation>
    <dataValidation sqref="BT2:BT3" showDropDown="0" showInputMessage="0" showErrorMessage="0" allowBlank="1" type="list">
      <formula1>"Uptrend,Sideways,Downtrend"</formula1>
    </dataValidation>
    <dataValidation sqref="BV2:BV3" showDropDown="0" showInputMessage="0" showErrorMessage="0" allowBlank="1" type="list">
      <formula1>"Uptrend,Sideways,Downtrend"</formula1>
    </dataValidation>
    <dataValidation sqref="BX2:BX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2026-08-18T10:51:53Z</dcterms:created>
  <dcterms:modified xmlns:dcterms="http://purl.org/dc/terms/" xmlns:xsi="http://www.w3.org/2001/XMLSchema-instance" xsi:type="dcterms:W3CDTF">2026-08-18T10:53:06Z</dcterms:modified>
</cp:coreProperties>
</file>