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 Match Non Financial" sheetId="7" state="visible" r:id="rId7"/>
    <sheet xmlns:r="http://schemas.openxmlformats.org/officeDocument/2006/relationships" name="Scan Match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Universe'!$A$1:$J$193</definedName>
    <definedName name="_xlnm._FilterDatabase" localSheetId="3" hidden="1">'Confluence Overlap'!$A$1:$K$77</definedName>
    <definedName name="_xlnm._FilterDatabase" localSheetId="4" hidden="1">'Monit Non Financial'!$A$1:$CE$171</definedName>
    <definedName name="_xlnm._FilterDatabase" localSheetId="5" hidden="1">'Monit Banks NBFC'!$A$1:$CA$23</definedName>
    <definedName name="_xlnm._FilterDatabase" localSheetId="6" hidden="1">'Scan Match Non Financial'!$A$1:$CG$97</definedName>
    <definedName name="_xlnm._FilterDatabase" localSheetId="7" hidden="1">'Scan Match Banks NBFC'!$A$1:$CC$5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12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3" customWidth="1" min="3" max="3"/>
    <col width="38" customWidth="1" min="4" max="4"/>
    <col width="22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462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62</v>
      </c>
      <c r="G6" s="19" t="n">
        <v>3141.23</v>
      </c>
      <c r="H6" s="18" t="inlineStr">
        <is>
          <t>Potential Leader</t>
        </is>
      </c>
      <c r="J6" s="18" t="inlineStr">
        <is>
          <t>media</t>
        </is>
      </c>
      <c r="K6" s="16" t="n">
        <v>11</v>
      </c>
      <c r="L6" s="16" t="n">
        <v>5</v>
      </c>
      <c r="M6" s="20" t="inlineStr">
        <is>
          <t>120.0%</t>
        </is>
      </c>
    </row>
    <row r="7">
      <c r="A7" s="16" t="n">
        <v>2</v>
      </c>
      <c r="B7" s="17" t="n">
        <v>396</v>
      </c>
      <c r="C7" s="17" t="inlineStr">
        <is>
          <t>RATNAVEER</t>
        </is>
      </c>
      <c r="D7" s="18" t="inlineStr">
        <is>
          <t>Ratnaveer Precision Engineering Ltd</t>
        </is>
      </c>
      <c r="E7" s="18" t="inlineStr">
        <is>
          <t>metals &amp; mining</t>
        </is>
      </c>
      <c r="F7" s="16" t="n">
        <v>51</v>
      </c>
      <c r="G7" s="19" t="n">
        <v>2783.42</v>
      </c>
      <c r="H7" s="18" t="inlineStr">
        <is>
          <t>Potential Leader</t>
        </is>
      </c>
      <c r="J7" s="18" t="inlineStr">
        <is>
          <t>energy</t>
        </is>
      </c>
      <c r="K7" s="16" t="n">
        <v>25</v>
      </c>
      <c r="L7" s="16" t="n">
        <v>13</v>
      </c>
      <c r="M7" s="20" t="inlineStr">
        <is>
          <t>92.3%</t>
        </is>
      </c>
    </row>
    <row r="8">
      <c r="A8" s="16" t="n">
        <v>3</v>
      </c>
      <c r="B8" s="17" t="n">
        <v>396</v>
      </c>
      <c r="C8" s="17" t="inlineStr">
        <is>
          <t>STLTECH</t>
        </is>
      </c>
      <c r="D8" s="18" t="inlineStr">
        <is>
          <t>Sterlite Technologies Limited</t>
        </is>
      </c>
      <c r="E8" s="18" t="inlineStr">
        <is>
          <t>industrials</t>
        </is>
      </c>
      <c r="F8" s="16" t="n">
        <v>51</v>
      </c>
      <c r="G8" s="19" t="n">
        <v>52116.78</v>
      </c>
      <c r="H8" s="18" t="inlineStr">
        <is>
          <t>Potential Leader</t>
        </is>
      </c>
      <c r="J8" s="18" t="inlineStr">
        <is>
          <t>fmcg</t>
        </is>
      </c>
      <c r="K8" s="16" t="n">
        <v>73</v>
      </c>
      <c r="L8" s="16" t="n">
        <v>45</v>
      </c>
      <c r="M8" s="20" t="inlineStr">
        <is>
          <t>62.2%</t>
        </is>
      </c>
    </row>
    <row r="9">
      <c r="A9" s="16" t="n">
        <v>4</v>
      </c>
      <c r="B9" s="17" t="n">
        <v>390</v>
      </c>
      <c r="C9" s="17" t="inlineStr">
        <is>
          <t>MOREPENLAB</t>
        </is>
      </c>
      <c r="D9" s="18" t="inlineStr">
        <is>
          <t>Morepen Laboratories Limited</t>
        </is>
      </c>
      <c r="E9" s="18" t="inlineStr">
        <is>
          <t>healthcare</t>
        </is>
      </c>
      <c r="F9" s="16" t="n">
        <v>50</v>
      </c>
      <c r="G9" s="19" t="n">
        <v>7004.49</v>
      </c>
      <c r="H9" s="18" t="inlineStr">
        <is>
          <t>Potential Leader</t>
        </is>
      </c>
      <c r="J9" s="18" t="inlineStr">
        <is>
          <t>i.t</t>
        </is>
      </c>
      <c r="K9" s="16" t="n">
        <v>56</v>
      </c>
      <c r="L9" s="16" t="n">
        <v>38</v>
      </c>
      <c r="M9" s="20" t="inlineStr">
        <is>
          <t>47.4%</t>
        </is>
      </c>
    </row>
    <row r="10">
      <c r="A10" s="16" t="n">
        <v>5</v>
      </c>
      <c r="B10" s="17" t="n">
        <v>336</v>
      </c>
      <c r="C10" s="17" t="inlineStr">
        <is>
          <t>WELSPUNLIV</t>
        </is>
      </c>
      <c r="D10" s="18" t="inlineStr">
        <is>
          <t>Welspun Living Ltd</t>
        </is>
      </c>
      <c r="E10" s="18" t="inlineStr">
        <is>
          <t>textiles</t>
        </is>
      </c>
      <c r="F10" s="16" t="n">
        <v>41</v>
      </c>
      <c r="G10" s="19" t="n">
        <v>21417.54</v>
      </c>
      <c r="H10" s="18" t="inlineStr">
        <is>
          <t>Potential Leader</t>
        </is>
      </c>
      <c r="J10" s="18" t="inlineStr">
        <is>
          <t>bank</t>
        </is>
      </c>
      <c r="K10" s="16" t="n">
        <v>22</v>
      </c>
      <c r="L10" s="16" t="n">
        <v>15</v>
      </c>
      <c r="M10" s="20" t="inlineStr">
        <is>
          <t>46.7%</t>
        </is>
      </c>
    </row>
    <row r="11">
      <c r="A11" s="16" t="n">
        <v>6</v>
      </c>
      <c r="B11" s="17" t="n">
        <v>312</v>
      </c>
      <c r="C11" s="17" t="inlineStr">
        <is>
          <t>BHAGERIA</t>
        </is>
      </c>
      <c r="D11" s="18" t="inlineStr">
        <is>
          <t>Bhageria Industries Limited</t>
        </is>
      </c>
      <c r="E11" s="18" t="inlineStr">
        <is>
          <t>chemicals</t>
        </is>
      </c>
      <c r="F11" s="16" t="n">
        <v>37</v>
      </c>
      <c r="G11" s="19" t="n">
        <v>1660.01</v>
      </c>
      <c r="H11" s="18" t="inlineStr">
        <is>
          <t>Potential Leader</t>
        </is>
      </c>
      <c r="J11" s="18" t="inlineStr">
        <is>
          <t>power &amp; utilities</t>
        </is>
      </c>
      <c r="K11" s="16" t="n">
        <v>4</v>
      </c>
      <c r="L11" s="16" t="n">
        <v>3</v>
      </c>
      <c r="M11" s="20" t="inlineStr">
        <is>
          <t>33.3%</t>
        </is>
      </c>
    </row>
    <row r="12">
      <c r="A12" s="16" t="n">
        <v>7</v>
      </c>
      <c r="B12" s="17" t="n">
        <v>300</v>
      </c>
      <c r="C12" s="17" t="inlineStr">
        <is>
          <t>BAFNAPH</t>
        </is>
      </c>
      <c r="D12" s="18" t="inlineStr">
        <is>
          <t>Bafna Pharmaceuticals Ltd</t>
        </is>
      </c>
      <c r="E12" s="18" t="inlineStr">
        <is>
          <t>healthcare</t>
        </is>
      </c>
      <c r="F12" s="16" t="n">
        <v>35</v>
      </c>
      <c r="G12" s="19" t="n">
        <v>1008.59</v>
      </c>
      <c r="H12" s="18" t="inlineStr">
        <is>
          <t>Potential Leader</t>
        </is>
      </c>
      <c r="J12" s="18" t="inlineStr">
        <is>
          <t>telecom</t>
        </is>
      </c>
      <c r="K12" s="16" t="n">
        <v>10</v>
      </c>
      <c r="L12" s="16" t="n">
        <v>8</v>
      </c>
      <c r="M12" s="20" t="inlineStr">
        <is>
          <t>25.0%</t>
        </is>
      </c>
    </row>
    <row r="13">
      <c r="A13" s="16" t="n">
        <v>8</v>
      </c>
      <c r="B13" s="17" t="n">
        <v>294</v>
      </c>
      <c r="C13" s="17" t="inlineStr">
        <is>
          <t>ROSSTECH</t>
        </is>
      </c>
      <c r="D13" s="18" t="inlineStr">
        <is>
          <t>Rossell Techsys Ltd</t>
        </is>
      </c>
      <c r="E13" s="18" t="inlineStr">
        <is>
          <t>aerospace &amp; defence</t>
        </is>
      </c>
      <c r="F13" s="16" t="n">
        <v>34</v>
      </c>
      <c r="G13" s="19" t="n">
        <v>5925.89</v>
      </c>
      <c r="H13" s="18" t="inlineStr">
        <is>
          <t>Potential Leader</t>
        </is>
      </c>
      <c r="J13" s="18" t="inlineStr">
        <is>
          <t>financials</t>
        </is>
      </c>
      <c r="K13" s="16" t="n">
        <v>61</v>
      </c>
      <c r="L13" s="16" t="n">
        <v>49</v>
      </c>
      <c r="M13" s="20" t="inlineStr">
        <is>
          <t>24.5%</t>
        </is>
      </c>
    </row>
    <row r="14">
      <c r="A14" s="16" t="n">
        <v>9</v>
      </c>
      <c r="B14" s="17" t="n">
        <v>288</v>
      </c>
      <c r="C14" s="17" t="inlineStr">
        <is>
          <t>NRL</t>
        </is>
      </c>
      <c r="D14" s="18" t="inlineStr">
        <is>
          <t>Nupur Recyclers Ltd</t>
        </is>
      </c>
      <c r="E14" s="18" t="inlineStr">
        <is>
          <t>services</t>
        </is>
      </c>
      <c r="F14" s="16" t="n">
        <v>33</v>
      </c>
      <c r="G14" s="19" t="n">
        <v>1077.48</v>
      </c>
      <c r="H14" s="18" t="inlineStr">
        <is>
          <t>Potential Leader</t>
        </is>
      </c>
      <c r="J14" s="18" t="inlineStr">
        <is>
          <t>consumer discretionary</t>
        </is>
      </c>
      <c r="K14" s="16" t="n">
        <v>83</v>
      </c>
      <c r="L14" s="16" t="n">
        <v>74</v>
      </c>
      <c r="M14" s="20" t="inlineStr">
        <is>
          <t>12.2%</t>
        </is>
      </c>
    </row>
    <row r="15">
      <c r="A15" s="16" t="n">
        <v>10</v>
      </c>
      <c r="B15" s="17" t="n">
        <v>288</v>
      </c>
      <c r="C15" s="17" t="inlineStr">
        <is>
          <t>SBC</t>
        </is>
      </c>
      <c r="D15" s="18" t="inlineStr">
        <is>
          <t>SBC Exports Ltd</t>
        </is>
      </c>
      <c r="E15" s="18" t="inlineStr">
        <is>
          <t>textiles</t>
        </is>
      </c>
      <c r="F15" s="16" t="n">
        <v>33</v>
      </c>
      <c r="G15" s="19" t="n">
        <v>3056.19</v>
      </c>
      <c r="H15" s="18" t="inlineStr">
        <is>
          <t>Potential Leader</t>
        </is>
      </c>
      <c r="J15" s="18" t="inlineStr">
        <is>
          <t>miscellaneous</t>
        </is>
      </c>
      <c r="K15" s="16" t="n">
        <v>20</v>
      </c>
      <c r="L15" s="16" t="n">
        <v>18</v>
      </c>
      <c r="M15" s="20" t="inlineStr">
        <is>
          <t>11.1%</t>
        </is>
      </c>
    </row>
    <row r="16">
      <c r="A16" s="16" t="n">
        <v>11</v>
      </c>
      <c r="B16" s="17" t="n">
        <v>288</v>
      </c>
      <c r="C16" s="17" t="inlineStr">
        <is>
          <t>WHEELS</t>
        </is>
      </c>
      <c r="D16" s="18" t="inlineStr">
        <is>
          <t>Wheels India Limited</t>
        </is>
      </c>
      <c r="E16" s="18" t="inlineStr">
        <is>
          <t>auto</t>
        </is>
      </c>
      <c r="F16" s="16" t="n">
        <v>33</v>
      </c>
      <c r="G16" s="19" t="n">
        <v>6276.66</v>
      </c>
      <c r="H16" s="18" t="inlineStr">
        <is>
          <t>Potential Leader</t>
        </is>
      </c>
      <c r="J16" s="18" t="inlineStr">
        <is>
          <t>telecom-service</t>
        </is>
      </c>
      <c r="K16" s="16" t="n">
        <v>4</v>
      </c>
      <c r="L16" s="16" t="n">
        <v>4</v>
      </c>
      <c r="M16" s="20" t="inlineStr">
        <is>
          <t>0.0%</t>
        </is>
      </c>
    </row>
    <row r="17">
      <c r="A17" s="16" t="n">
        <v>12</v>
      </c>
      <c r="B17" s="17" t="n">
        <v>270</v>
      </c>
      <c r="C17" s="17" t="inlineStr">
        <is>
          <t>GLOBAL</t>
        </is>
      </c>
      <c r="D17" s="18" t="inlineStr">
        <is>
          <t>Global Education Ltd</t>
        </is>
      </c>
      <c r="E17" s="18" t="inlineStr">
        <is>
          <t>services</t>
        </is>
      </c>
      <c r="F17" s="16" t="n">
        <v>30</v>
      </c>
      <c r="G17" s="19" t="n">
        <v>728.5</v>
      </c>
      <c r="H17" s="18" t="inlineStr">
        <is>
          <t>Potential Leader</t>
        </is>
      </c>
      <c r="J17" s="18" t="inlineStr">
        <is>
          <t>readymade garments/apparels</t>
        </is>
      </c>
      <c r="K17" s="16" t="n">
        <v>6</v>
      </c>
      <c r="L17" s="16" t="n">
        <v>6</v>
      </c>
      <c r="M17" s="20" t="inlineStr">
        <is>
          <t>0.0%</t>
        </is>
      </c>
    </row>
    <row r="18">
      <c r="A18" s="16" t="n">
        <v>13</v>
      </c>
      <c r="B18" s="17" t="n">
        <v>270</v>
      </c>
      <c r="C18" s="17" t="inlineStr">
        <is>
          <t>RAYMOND</t>
        </is>
      </c>
      <c r="D18" s="18" t="inlineStr">
        <is>
          <t>Raymond Limited</t>
        </is>
      </c>
      <c r="E18" s="18" t="inlineStr">
        <is>
          <t>transportation</t>
        </is>
      </c>
      <c r="F18" s="16" t="n">
        <v>30</v>
      </c>
      <c r="G18" s="19" t="n">
        <v>7708.57</v>
      </c>
      <c r="H18" s="18" t="inlineStr">
        <is>
          <t>Potential Leader</t>
        </is>
      </c>
      <c r="J18" s="18" t="inlineStr">
        <is>
          <t>aerospace &amp; defence</t>
        </is>
      </c>
      <c r="K18" s="16" t="n">
        <v>48</v>
      </c>
      <c r="L18" s="16" t="n">
        <v>49</v>
      </c>
      <c r="M18" s="21" t="inlineStr">
        <is>
          <t>-2.0%</t>
        </is>
      </c>
    </row>
    <row r="19">
      <c r="A19" s="16" t="n">
        <v>14</v>
      </c>
      <c r="B19" s="17" t="n">
        <v>261</v>
      </c>
      <c r="C19" s="17" t="inlineStr">
        <is>
          <t>ZIMLAB</t>
        </is>
      </c>
      <c r="D19" s="18" t="inlineStr">
        <is>
          <t>Zim Laboratories Ltd</t>
        </is>
      </c>
      <c r="E19" s="18" t="inlineStr">
        <is>
          <t>healthcare</t>
        </is>
      </c>
      <c r="F19" s="16" t="n">
        <v>29</v>
      </c>
      <c r="G19" s="19" t="n">
        <v>817.3200000000001</v>
      </c>
      <c r="H19" s="18" t="inlineStr">
        <is>
          <t>Potential Leader</t>
        </is>
      </c>
      <c r="J19" s="18" t="inlineStr">
        <is>
          <t>chemicals</t>
        </is>
      </c>
      <c r="K19" s="16" t="n">
        <v>103</v>
      </c>
      <c r="L19" s="16" t="n">
        <v>111</v>
      </c>
      <c r="M19" s="21" t="inlineStr">
        <is>
          <t>-7.2%</t>
        </is>
      </c>
    </row>
    <row r="20">
      <c r="A20" s="16" t="n">
        <v>15</v>
      </c>
      <c r="B20" s="17" t="n">
        <v>252</v>
      </c>
      <c r="C20" s="17" t="inlineStr">
        <is>
          <t>LOTUSDEV</t>
        </is>
      </c>
      <c r="D20" s="18" t="inlineStr">
        <is>
          <t>Sri Lotus Developers &amp; Realty Ltd</t>
        </is>
      </c>
      <c r="E20" s="18" t="inlineStr">
        <is>
          <t>realty</t>
        </is>
      </c>
      <c r="F20" s="16" t="n">
        <v>28</v>
      </c>
      <c r="G20" s="19" t="n">
        <v>11632.11</v>
      </c>
      <c r="H20" s="18" t="inlineStr">
        <is>
          <t>Potential Leader</t>
        </is>
      </c>
      <c r="J20" s="18" t="inlineStr">
        <is>
          <t>plastic products</t>
        </is>
      </c>
      <c r="K20" s="16" t="n">
        <v>12</v>
      </c>
      <c r="L20" s="16" t="n">
        <v>13</v>
      </c>
      <c r="M20" s="21" t="inlineStr">
        <is>
          <t>-7.7%</t>
        </is>
      </c>
    </row>
    <row r="21">
      <c r="A21" s="16" t="n">
        <v>16</v>
      </c>
      <c r="B21" s="17" t="n">
        <v>252</v>
      </c>
      <c r="C21" s="17" t="inlineStr">
        <is>
          <t>SHREEJISPG</t>
        </is>
      </c>
      <c r="D21" s="18" t="inlineStr">
        <is>
          <t>Shreeji Shipping Global Ltd</t>
        </is>
      </c>
      <c r="E21" s="18" t="inlineStr">
        <is>
          <t>transportation</t>
        </is>
      </c>
      <c r="F21" s="16" t="n">
        <v>28</v>
      </c>
      <c r="G21" s="19" t="n">
        <v>13416.32</v>
      </c>
      <c r="H21" s="18" t="inlineStr">
        <is>
          <t>Potential Leader</t>
        </is>
      </c>
    </row>
    <row r="22">
      <c r="A22" s="16" t="n">
        <v>17</v>
      </c>
      <c r="B22" s="17" t="n">
        <v>243</v>
      </c>
      <c r="C22" s="17" t="inlineStr">
        <is>
          <t>KILITCH</t>
        </is>
      </c>
      <c r="D22" s="18" t="inlineStr">
        <is>
          <t>Kilitch Drugs (india) Limited</t>
        </is>
      </c>
      <c r="E22" s="18" t="inlineStr">
        <is>
          <t>healthcare</t>
        </is>
      </c>
      <c r="F22" s="16" t="n">
        <v>27</v>
      </c>
      <c r="G22" s="19" t="n">
        <v>836.0700000000001</v>
      </c>
      <c r="H22" s="18" t="inlineStr">
        <is>
          <t>Potential Leader</t>
        </is>
      </c>
    </row>
    <row r="23">
      <c r="A23" s="16" t="n">
        <v>18</v>
      </c>
      <c r="B23" s="17" t="n">
        <v>243</v>
      </c>
      <c r="C23" s="17" t="inlineStr">
        <is>
          <t>LAURUSLABS</t>
        </is>
      </c>
      <c r="D23" s="18" t="inlineStr">
        <is>
          <t>Laurus Labs Limited</t>
        </is>
      </c>
      <c r="E23" s="18" t="inlineStr">
        <is>
          <t>healthcare</t>
        </is>
      </c>
      <c r="F23" s="16" t="n">
        <v>26</v>
      </c>
      <c r="G23" s="19" t="n">
        <v>111788.44</v>
      </c>
      <c r="H23" s="18" t="inlineStr">
        <is>
          <t>Potential Leader</t>
        </is>
      </c>
    </row>
    <row r="24">
      <c r="A24" s="16" t="n">
        <v>19</v>
      </c>
      <c r="B24" s="17" t="n">
        <v>243</v>
      </c>
      <c r="C24" s="17" t="inlineStr">
        <is>
          <t>SPECTRUM</t>
        </is>
      </c>
      <c r="D24" s="18" t="inlineStr">
        <is>
          <t>Spectrum Electrical Industries Ltd</t>
        </is>
      </c>
      <c r="E24" s="18" t="inlineStr">
        <is>
          <t>industrials</t>
        </is>
      </c>
      <c r="F24" s="16" t="n">
        <v>27</v>
      </c>
      <c r="G24" s="19" t="n">
        <v>6205.31</v>
      </c>
      <c r="H24" s="18" t="inlineStr">
        <is>
          <t>Potential Leader</t>
        </is>
      </c>
    </row>
    <row r="25">
      <c r="A25" s="16" t="n">
        <v>20</v>
      </c>
      <c r="B25" s="17" t="n">
        <v>243</v>
      </c>
      <c r="C25" s="17" t="inlineStr">
        <is>
          <t>UNITEDPOLY</t>
        </is>
      </c>
      <c r="D25" s="18" t="inlineStr">
        <is>
          <t>United Polyfab Gujarat Ltd</t>
        </is>
      </c>
      <c r="E25" s="18" t="inlineStr">
        <is>
          <t>textiles</t>
        </is>
      </c>
      <c r="F25" s="16" t="n">
        <v>27</v>
      </c>
      <c r="G25" s="19" t="n">
        <v>1145.74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SATIA</t>
        </is>
      </c>
      <c r="B30" s="18" t="inlineStr">
        <is>
          <t>Satia Industries Ltd</t>
        </is>
      </c>
      <c r="C30" s="18" t="inlineStr">
        <is>
          <t>building materials</t>
        </is>
      </c>
      <c r="D30" s="16" t="n">
        <v>10</v>
      </c>
      <c r="E30" s="16" t="n">
        <v>1</v>
      </c>
      <c r="F30" s="19" t="n">
        <v>694.7</v>
      </c>
      <c r="J30" s="17" t="inlineStr">
        <is>
          <t>PREMIERPOL</t>
        </is>
      </c>
      <c r="K30" s="18" t="inlineStr">
        <is>
          <t>plastic products</t>
        </is>
      </c>
      <c r="L30" s="19" t="n">
        <v>235</v>
      </c>
      <c r="M30" s="19" t="n">
        <v>1203.6</v>
      </c>
      <c r="N30" s="16" t="n">
        <v>19</v>
      </c>
    </row>
    <row r="31">
      <c r="A31" s="17" t="inlineStr">
        <is>
          <t>SUNTV</t>
        </is>
      </c>
      <c r="B31" s="18" t="inlineStr">
        <is>
          <t>Sun Tv Network Limited</t>
        </is>
      </c>
      <c r="C31" s="18" t="inlineStr">
        <is>
          <t>media</t>
        </is>
      </c>
      <c r="D31" s="16" t="n">
        <v>10</v>
      </c>
      <c r="E31" s="16" t="n">
        <v>0</v>
      </c>
      <c r="F31" s="19" t="n">
        <v>24780.04</v>
      </c>
      <c r="J31" s="17" t="inlineStr">
        <is>
          <t>MANBA</t>
        </is>
      </c>
      <c r="K31" s="18" t="inlineStr">
        <is>
          <t>financials</t>
        </is>
      </c>
      <c r="L31" s="19" t="n">
        <v>225</v>
      </c>
      <c r="M31" s="19" t="n">
        <v>713.8</v>
      </c>
      <c r="N31" s="16" t="n">
        <v>19</v>
      </c>
    </row>
    <row r="32">
      <c r="A32" s="17" t="inlineStr">
        <is>
          <t>ALICON</t>
        </is>
      </c>
      <c r="B32" s="18" t="inlineStr">
        <is>
          <t>Alicon Castalloy Limited</t>
        </is>
      </c>
      <c r="C32" s="18" t="inlineStr">
        <is>
          <t>castings, forgings &amp; fasteners</t>
        </is>
      </c>
      <c r="D32" s="16" t="n">
        <v>9</v>
      </c>
      <c r="E32" s="16" t="n">
        <v>0</v>
      </c>
      <c r="F32" s="19" t="n">
        <v>1415.11</v>
      </c>
      <c r="J32" s="17" t="inlineStr">
        <is>
          <t>KTKBANK</t>
        </is>
      </c>
      <c r="K32" s="18" t="inlineStr">
        <is>
          <t>bank</t>
        </is>
      </c>
      <c r="L32" s="19" t="n">
        <v>225</v>
      </c>
      <c r="M32" s="19" t="n">
        <v>12770.04</v>
      </c>
      <c r="N32" s="16" t="n">
        <v>13</v>
      </c>
    </row>
    <row r="33">
      <c r="A33" s="17" t="inlineStr">
        <is>
          <t>ISGEC</t>
        </is>
      </c>
      <c r="B33" s="18" t="inlineStr">
        <is>
          <t>ISGEC Heavy Engineering  Ltd</t>
        </is>
      </c>
      <c r="C33" s="18" t="inlineStr">
        <is>
          <t>realty</t>
        </is>
      </c>
      <c r="D33" s="16" t="n">
        <v>8</v>
      </c>
      <c r="E33" s="16" t="n">
        <v>0</v>
      </c>
      <c r="F33" s="19" t="n">
        <v>6658.46</v>
      </c>
      <c r="J33" s="17" t="inlineStr">
        <is>
          <t>PGIL</t>
        </is>
      </c>
      <c r="K33" s="18" t="inlineStr">
        <is>
          <t>readymade garments/apparels</t>
        </is>
      </c>
      <c r="L33" s="19" t="n">
        <v>220</v>
      </c>
      <c r="M33" s="19" t="n">
        <v>12299.62</v>
      </c>
      <c r="N33" s="16" t="n">
        <v>19</v>
      </c>
    </row>
    <row r="34">
      <c r="A34" s="17" t="inlineStr">
        <is>
          <t>ADFFOODS</t>
        </is>
      </c>
      <c r="B34" s="18" t="inlineStr">
        <is>
          <t>Adf Foods Limited</t>
        </is>
      </c>
      <c r="C34" s="18" t="inlineStr">
        <is>
          <t>fmcg</t>
        </is>
      </c>
      <c r="D34" s="16" t="n">
        <v>8</v>
      </c>
      <c r="E34" s="16" t="n">
        <v>1</v>
      </c>
      <c r="F34" s="19" t="n">
        <v>3168.47</v>
      </c>
      <c r="J34" s="17" t="inlineStr">
        <is>
          <t>OCCLLTD</t>
        </is>
      </c>
      <c r="K34" s="18" t="inlineStr">
        <is>
          <t>chemicals</t>
        </is>
      </c>
      <c r="L34" s="19" t="n">
        <v>220</v>
      </c>
      <c r="M34" s="19" t="n">
        <v>1163.4</v>
      </c>
      <c r="N34" s="16" t="n">
        <v>20</v>
      </c>
    </row>
    <row r="35">
      <c r="A35" s="17" t="inlineStr">
        <is>
          <t>PATELRMART</t>
        </is>
      </c>
      <c r="B35" s="18" t="inlineStr">
        <is>
          <t>Patel Retail Ltd</t>
        </is>
      </c>
      <c r="C35" s="18" t="inlineStr">
        <is>
          <t>consumer discretionary</t>
        </is>
      </c>
      <c r="D35" s="16" t="n">
        <v>6</v>
      </c>
      <c r="E35" s="16" t="n">
        <v>0</v>
      </c>
      <c r="F35" s="19" t="n">
        <v>819.85</v>
      </c>
      <c r="J35" s="17" t="inlineStr">
        <is>
          <t>IBULLSLTD</t>
        </is>
      </c>
      <c r="K35" s="18" t="inlineStr">
        <is>
          <t>miscellaneous</t>
        </is>
      </c>
      <c r="L35" s="19" t="n">
        <v>220</v>
      </c>
      <c r="M35" s="19" t="n">
        <v>8859.25</v>
      </c>
      <c r="N35" s="16" t="n">
        <v>19</v>
      </c>
    </row>
    <row r="36">
      <c r="A36" s="17" t="inlineStr">
        <is>
          <t>PARAGMILK</t>
        </is>
      </c>
      <c r="B36" s="18" t="inlineStr">
        <is>
          <t>Parag Milk Foods Limited</t>
        </is>
      </c>
      <c r="C36" s="18" t="inlineStr">
        <is>
          <t>fmcg</t>
        </is>
      </c>
      <c r="D36" s="16" t="n">
        <v>5</v>
      </c>
      <c r="E36" s="16" t="n">
        <v>0</v>
      </c>
      <c r="F36" s="19" t="n">
        <v>3841.77</v>
      </c>
      <c r="J36" s="17" t="inlineStr">
        <is>
          <t>WSTCSTPAPR</t>
        </is>
      </c>
      <c r="K36" s="18" t="inlineStr">
        <is>
          <t>building materials</t>
        </is>
      </c>
      <c r="L36" s="19" t="n">
        <v>220</v>
      </c>
      <c r="M36" s="19" t="n">
        <v>5767.06</v>
      </c>
      <c r="N36" s="16" t="n">
        <v>28</v>
      </c>
    </row>
    <row r="37">
      <c r="A37" s="17" t="inlineStr">
        <is>
          <t>MOBIKWIK</t>
        </is>
      </c>
      <c r="B37" s="18" t="inlineStr">
        <is>
          <t>One Mobikwik Systems Ltd</t>
        </is>
      </c>
      <c r="C37" s="18" t="inlineStr">
        <is>
          <t>i.t</t>
        </is>
      </c>
      <c r="D37" s="16" t="n">
        <v>5</v>
      </c>
      <c r="E37" s="16" t="n">
        <v>0</v>
      </c>
      <c r="F37" s="19" t="n">
        <v>1895.91</v>
      </c>
      <c r="J37" s="17" t="inlineStr">
        <is>
          <t>JGCHEM</t>
        </is>
      </c>
      <c r="K37" s="18" t="inlineStr">
        <is>
          <t>chemicals</t>
        </is>
      </c>
      <c r="L37" s="19" t="n">
        <v>220</v>
      </c>
      <c r="M37" s="19" t="n">
        <v>2523.58</v>
      </c>
      <c r="N37" s="16" t="n">
        <v>14</v>
      </c>
    </row>
    <row r="38">
      <c r="A38" s="17" t="inlineStr">
        <is>
          <t>SHRINGARMS</t>
        </is>
      </c>
      <c r="B38" s="18" t="inlineStr">
        <is>
          <t>Shringar House of Mangalsutra Ltd</t>
        </is>
      </c>
      <c r="C38" s="18" t="inlineStr">
        <is>
          <t>consumer discretionary</t>
        </is>
      </c>
      <c r="D38" s="16" t="n">
        <v>5</v>
      </c>
      <c r="E38" s="16" t="n">
        <v>0</v>
      </c>
      <c r="F38" s="19" t="n">
        <v>2558.83</v>
      </c>
      <c r="J38" s="17" t="inlineStr">
        <is>
          <t>RPTECH</t>
        </is>
      </c>
      <c r="K38" s="18" t="inlineStr">
        <is>
          <t>i.t</t>
        </is>
      </c>
      <c r="L38" s="19" t="n">
        <v>220</v>
      </c>
      <c r="M38" s="19" t="n">
        <v>5979.41</v>
      </c>
      <c r="N38" s="16" t="n">
        <v>14</v>
      </c>
    </row>
    <row r="39">
      <c r="A39" s="17" t="inlineStr">
        <is>
          <t>GPTINFRA</t>
        </is>
      </c>
      <c r="B39" s="18" t="inlineStr">
        <is>
          <t>GPT Infraprojects Limited</t>
        </is>
      </c>
      <c r="C39" s="18" t="inlineStr">
        <is>
          <t>Industrials</t>
        </is>
      </c>
      <c r="D39" s="16" t="n">
        <v>5</v>
      </c>
      <c r="E39" s="16" t="n">
        <v>0</v>
      </c>
      <c r="F39" s="19" t="n">
        <v>1522.31</v>
      </c>
      <c r="J39" s="17" t="inlineStr">
        <is>
          <t>VINDHYATEL</t>
        </is>
      </c>
      <c r="K39" s="18" t="inlineStr">
        <is>
          <t>realty</t>
        </is>
      </c>
      <c r="L39" s="19" t="n">
        <v>218</v>
      </c>
      <c r="M39" s="19" t="n">
        <v>3486.76</v>
      </c>
      <c r="N39" s="16" t="n">
        <v>20</v>
      </c>
    </row>
    <row r="40">
      <c r="A40" s="17" t="inlineStr">
        <is>
          <t>MAYURUNIQ</t>
        </is>
      </c>
      <c r="B40" s="18" t="inlineStr">
        <is>
          <t>Mayur Uniquoters Ltd</t>
        </is>
      </c>
      <c r="C40" s="18" t="inlineStr">
        <is>
          <t>consumer discretionary</t>
        </is>
      </c>
      <c r="D40" s="16" t="n">
        <v>4</v>
      </c>
      <c r="E40" s="16" t="n">
        <v>0</v>
      </c>
      <c r="F40" s="19" t="n">
        <v>3502.71</v>
      </c>
      <c r="J40" s="17" t="inlineStr">
        <is>
          <t>PASUPTAC</t>
        </is>
      </c>
      <c r="K40" s="18" t="inlineStr">
        <is>
          <t>textiles</t>
        </is>
      </c>
      <c r="L40" s="19" t="n">
        <v>218</v>
      </c>
      <c r="M40" s="19" t="n">
        <v>646.39</v>
      </c>
      <c r="N40" s="16" t="n">
        <v>23</v>
      </c>
    </row>
    <row r="41">
      <c r="A41" s="17" t="inlineStr">
        <is>
          <t>NELCAST</t>
        </is>
      </c>
      <c r="B41" s="18" t="inlineStr">
        <is>
          <t>Nelcast Limited</t>
        </is>
      </c>
      <c r="C41" s="18" t="inlineStr">
        <is>
          <t>castings, forgings &amp; fasteners</t>
        </is>
      </c>
      <c r="D41" s="16" t="n">
        <v>4</v>
      </c>
      <c r="E41" s="16" t="n">
        <v>0</v>
      </c>
      <c r="F41" s="19" t="n">
        <v>1210.27</v>
      </c>
      <c r="J41" s="17" t="inlineStr">
        <is>
          <t>ORBTEXP</t>
        </is>
      </c>
      <c r="K41" s="18" t="inlineStr">
        <is>
          <t>textiles</t>
        </is>
      </c>
      <c r="L41" s="19" t="n">
        <v>218</v>
      </c>
      <c r="M41" s="19" t="n">
        <v>668.48</v>
      </c>
      <c r="N41" s="16" t="n">
        <v>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104.49</v>
      </c>
      <c r="D47" s="28" t="n">
        <v>225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2903.44</v>
      </c>
    </row>
    <row r="48">
      <c r="A48" s="16" t="n">
        <v>2</v>
      </c>
      <c r="B48" s="27" t="n">
        <v>98</v>
      </c>
      <c r="C48" s="28" t="n">
        <v>79.20999999999999</v>
      </c>
      <c r="D48" s="28" t="n">
        <v>190</v>
      </c>
      <c r="E48" s="17" t="inlineStr">
        <is>
          <t>BODALCHEM</t>
        </is>
      </c>
      <c r="F48" s="18" t="inlineStr">
        <is>
          <t>Bodal Chemicals Limited</t>
        </is>
      </c>
      <c r="G48" s="18" t="inlineStr">
        <is>
          <t>Basic Materials</t>
        </is>
      </c>
      <c r="H48" s="19" t="n">
        <v>2238.91</v>
      </c>
    </row>
    <row r="49">
      <c r="A49" s="16" t="n">
        <v>3</v>
      </c>
      <c r="B49" s="27" t="n">
        <v>98</v>
      </c>
      <c r="C49" s="28" t="n">
        <v>72.36</v>
      </c>
      <c r="D49" s="28" t="n">
        <v>203</v>
      </c>
      <c r="E49" s="17" t="inlineStr">
        <is>
          <t>KABRAEXTRU</t>
        </is>
      </c>
      <c r="F49" s="18" t="inlineStr">
        <is>
          <t>Kabra Extrusion Technik Limited</t>
        </is>
      </c>
      <c r="G49" s="18" t="inlineStr">
        <is>
          <t>industrials</t>
        </is>
      </c>
      <c r="H49" s="19" t="n">
        <v>3141.23</v>
      </c>
    </row>
    <row r="50">
      <c r="A50" s="16" t="n">
        <v>4</v>
      </c>
      <c r="B50" s="27" t="n">
        <v>97</v>
      </c>
      <c r="C50" s="28" t="n">
        <v>72.23</v>
      </c>
      <c r="D50" s="28" t="n">
        <v>215</v>
      </c>
      <c r="E50" s="17" t="inlineStr">
        <is>
          <t>TBZ</t>
        </is>
      </c>
      <c r="F50" s="18" t="inlineStr">
        <is>
          <t>Tribhovandas Bhimji Zaveri Limited</t>
        </is>
      </c>
      <c r="G50" s="18" t="inlineStr">
        <is>
          <t>consumer discretionary</t>
        </is>
      </c>
      <c r="H50" s="19" t="n">
        <v>4168.33</v>
      </c>
    </row>
    <row r="51">
      <c r="A51" s="16" t="n">
        <v>5</v>
      </c>
      <c r="B51" s="27" t="n">
        <v>97</v>
      </c>
      <c r="C51" s="28" t="n">
        <v>52.96</v>
      </c>
      <c r="D51" s="28" t="n">
        <v>215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15441.67</v>
      </c>
    </row>
    <row r="52">
      <c r="A52" s="16" t="n">
        <v>6</v>
      </c>
      <c r="B52" s="27" t="n">
        <v>96</v>
      </c>
      <c r="C52" s="28" t="n">
        <v>51.51</v>
      </c>
      <c r="D52" s="28" t="n">
        <v>205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7004.49</v>
      </c>
    </row>
    <row r="53">
      <c r="A53" s="16" t="n">
        <v>7</v>
      </c>
      <c r="B53" s="27" t="n">
        <v>95</v>
      </c>
      <c r="C53" s="28" t="n">
        <v>48.86</v>
      </c>
      <c r="D53" s="28" t="n">
        <v>193</v>
      </c>
      <c r="E53" s="17" t="inlineStr">
        <is>
          <t>SPECTRUM</t>
        </is>
      </c>
      <c r="F53" s="18" t="inlineStr">
        <is>
          <t>Spectrum Electrical Industries Ltd</t>
        </is>
      </c>
      <c r="G53" s="18" t="inlineStr">
        <is>
          <t>industrials</t>
        </is>
      </c>
      <c r="H53" s="19" t="n">
        <v>6205.31</v>
      </c>
    </row>
    <row r="54">
      <c r="A54" s="16" t="n">
        <v>8</v>
      </c>
      <c r="B54" s="27" t="n">
        <v>95</v>
      </c>
      <c r="C54" s="28" t="n">
        <v>48.52</v>
      </c>
      <c r="D54" s="28" t="n">
        <v>195</v>
      </c>
      <c r="E54" s="17" t="inlineStr">
        <is>
          <t>BAFNAPH</t>
        </is>
      </c>
      <c r="F54" s="18" t="inlineStr">
        <is>
          <t>Bafna Pharmaceuticals Ltd</t>
        </is>
      </c>
      <c r="G54" s="18" t="inlineStr">
        <is>
          <t>healthcare</t>
        </is>
      </c>
      <c r="H54" s="19" t="n">
        <v>1008.59</v>
      </c>
    </row>
    <row r="55">
      <c r="A55" s="16" t="n">
        <v>9</v>
      </c>
      <c r="B55" s="29" t="n">
        <v>94</v>
      </c>
      <c r="C55" s="28" t="n">
        <v>45.96</v>
      </c>
      <c r="D55" s="28" t="n">
        <v>202</v>
      </c>
      <c r="E55" s="17" t="inlineStr">
        <is>
          <t>FREDUN</t>
        </is>
      </c>
      <c r="F55" s="18" t="inlineStr">
        <is>
          <t>Fredun Pharmaceuticals Limited</t>
        </is>
      </c>
      <c r="G55" s="18" t="inlineStr">
        <is>
          <t>Healthcare</t>
        </is>
      </c>
      <c r="H55" s="19" t="n">
        <v>2568.8</v>
      </c>
    </row>
    <row r="56">
      <c r="A56" s="16" t="n">
        <v>10</v>
      </c>
      <c r="B56" s="29" t="n">
        <v>93</v>
      </c>
      <c r="C56" s="28" t="n">
        <v>43.94</v>
      </c>
      <c r="D56" s="28" t="n">
        <v>215</v>
      </c>
      <c r="E56" s="17" t="inlineStr">
        <is>
          <t>MODISONLTD</t>
        </is>
      </c>
      <c r="F56" s="18" t="inlineStr">
        <is>
          <t>Modison Ltd</t>
        </is>
      </c>
      <c r="G56" s="18" t="inlineStr">
        <is>
          <t>industrials</t>
        </is>
      </c>
      <c r="H56" s="19" t="n">
        <v>1605.79</v>
      </c>
    </row>
    <row r="57">
      <c r="A57" s="16" t="n">
        <v>11</v>
      </c>
      <c r="B57" s="29" t="n">
        <v>93</v>
      </c>
      <c r="C57" s="28" t="n">
        <v>42.04</v>
      </c>
      <c r="D57" s="28" t="n">
        <v>205</v>
      </c>
      <c r="E57" s="17" t="inlineStr">
        <is>
          <t>HIIL</t>
        </is>
      </c>
      <c r="F57" s="18" t="inlineStr">
        <is>
          <t>Hindusthan Insulators &amp; Industries Limited</t>
        </is>
      </c>
      <c r="G57" s="18" t="inlineStr">
        <is>
          <t>Industrials</t>
        </is>
      </c>
      <c r="H57" s="19" t="n">
        <v>1257.91</v>
      </c>
    </row>
    <row r="58">
      <c r="A58" s="16" t="n">
        <v>12</v>
      </c>
      <c r="B58" s="29" t="n">
        <v>92</v>
      </c>
      <c r="C58" s="28" t="n">
        <v>41.73</v>
      </c>
      <c r="D58" s="28" t="n">
        <v>212</v>
      </c>
      <c r="E58" s="17" t="inlineStr">
        <is>
          <t>KPL</t>
        </is>
      </c>
      <c r="F58" s="18" t="inlineStr">
        <is>
          <t>Kwality Pharmaceuticals Limited</t>
        </is>
      </c>
      <c r="G58" s="18" t="inlineStr">
        <is>
          <t>Healthcare</t>
        </is>
      </c>
      <c r="H58" s="19" t="n">
        <v>3696.31</v>
      </c>
    </row>
    <row r="59">
      <c r="A59" s="16" t="n">
        <v>13</v>
      </c>
      <c r="B59" s="29" t="n">
        <v>92</v>
      </c>
      <c r="C59" s="28" t="n">
        <v>40.86</v>
      </c>
      <c r="D59" s="28" t="n">
        <v>193</v>
      </c>
      <c r="E59" s="17" t="inlineStr">
        <is>
          <t>RAYMOND</t>
        </is>
      </c>
      <c r="F59" s="18" t="inlineStr">
        <is>
          <t>Raymond Limited</t>
        </is>
      </c>
      <c r="G59" s="18" t="inlineStr">
        <is>
          <t>transportation</t>
        </is>
      </c>
      <c r="H59" s="19" t="n">
        <v>7708.57</v>
      </c>
    </row>
    <row r="60">
      <c r="A60" s="16" t="n">
        <v>14</v>
      </c>
      <c r="B60" s="29" t="n">
        <v>91</v>
      </c>
      <c r="C60" s="28" t="n">
        <v>40.5</v>
      </c>
      <c r="D60" s="28" t="n">
        <v>202</v>
      </c>
      <c r="E60" s="17" t="inlineStr">
        <is>
          <t>SHUKRAPHAR</t>
        </is>
      </c>
      <c r="F60" s="18" t="inlineStr">
        <is>
          <t>Shukra Pharmaceuticals Limited</t>
        </is>
      </c>
      <c r="G60" s="18" t="inlineStr">
        <is>
          <t>Healthcare</t>
        </is>
      </c>
      <c r="H60" s="19" t="n">
        <v>2942.77</v>
      </c>
    </row>
    <row r="61">
      <c r="A61" s="16" t="n">
        <v>15</v>
      </c>
      <c r="B61" s="29" t="n">
        <v>90</v>
      </c>
      <c r="C61" s="28" t="n">
        <v>39.36</v>
      </c>
      <c r="D61" s="28" t="n">
        <v>202</v>
      </c>
      <c r="E61" s="17" t="inlineStr">
        <is>
          <t>SHILPAMED</t>
        </is>
      </c>
      <c r="F61" s="18" t="inlineStr">
        <is>
          <t>Shilpa Medicare Limited</t>
        </is>
      </c>
      <c r="G61" s="18" t="inlineStr">
        <is>
          <t>Healthcare</t>
        </is>
      </c>
      <c r="H61" s="19" t="n">
        <v>19830.04</v>
      </c>
    </row>
    <row r="62">
      <c r="A62" s="16" t="n">
        <v>16</v>
      </c>
      <c r="B62" s="29" t="n">
        <v>90</v>
      </c>
      <c r="C62" s="28" t="n">
        <v>39.32</v>
      </c>
      <c r="D62" s="28" t="n">
        <v>205</v>
      </c>
      <c r="E62" s="17" t="inlineStr">
        <is>
          <t>E2E</t>
        </is>
      </c>
      <c r="F62" s="18" t="inlineStr">
        <is>
          <t>E2E Networks Ltd</t>
        </is>
      </c>
      <c r="G62" s="18" t="inlineStr">
        <is>
          <t>i.t</t>
        </is>
      </c>
      <c r="H62" s="19" t="n">
        <v>15120.33</v>
      </c>
    </row>
    <row r="6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SHRINGARMS</t>
        </is>
      </c>
      <c r="B2" s="31" t="inlineStr">
        <is>
          <t>Shringar House of Mangalsutra Ltd</t>
        </is>
      </c>
      <c r="C2" s="31" t="inlineStr">
        <is>
          <t>consumer discretionary</t>
        </is>
      </c>
      <c r="D2" s="31" t="inlineStr">
        <is>
          <t>diamond cutting / jewellery</t>
        </is>
      </c>
      <c r="E2" s="31" t="inlineStr">
        <is>
          <t>smallcap</t>
        </is>
      </c>
      <c r="F2" s="31" t="n">
        <v>2558.83</v>
      </c>
      <c r="G2" s="31" t="n">
        <v>265.35</v>
      </c>
      <c r="H2" s="31" t="n">
        <v>20</v>
      </c>
      <c r="I2" s="31" t="n">
        <v>12953143</v>
      </c>
      <c r="J2" s="31" t="inlineStr">
        <is>
          <t>544512</t>
        </is>
      </c>
    </row>
    <row r="3">
      <c r="A3" s="31" t="inlineStr">
        <is>
          <t>WSTCSTPAPR</t>
        </is>
      </c>
      <c r="B3" s="31" t="inlineStr">
        <is>
          <t>West Coast Paper Mills Limited</t>
        </is>
      </c>
      <c r="C3" s="31" t="inlineStr">
        <is>
          <t>building materials</t>
        </is>
      </c>
      <c r="D3" s="31" t="inlineStr">
        <is>
          <t>paper</t>
        </is>
      </c>
      <c r="E3" s="31" t="inlineStr">
        <is>
          <t>midcap</t>
        </is>
      </c>
      <c r="F3" s="31" t="n">
        <v>5767.06</v>
      </c>
      <c r="G3" s="31" t="n">
        <v>873.15</v>
      </c>
      <c r="H3" s="31" t="n">
        <v>20</v>
      </c>
      <c r="I3" s="31" t="n">
        <v>4551864</v>
      </c>
      <c r="J3" s="31" t="inlineStr">
        <is>
          <t>500444</t>
        </is>
      </c>
    </row>
    <row r="4">
      <c r="A4" s="31" t="inlineStr">
        <is>
          <t>MAWANASUG</t>
        </is>
      </c>
      <c r="B4" s="31" t="inlineStr">
        <is>
          <t>Mawana Sugars Limited</t>
        </is>
      </c>
      <c r="C4" s="31" t="inlineStr">
        <is>
          <t>fmcg</t>
        </is>
      </c>
      <c r="D4" s="31" t="inlineStr">
        <is>
          <t>sugar</t>
        </is>
      </c>
      <c r="E4" s="31" t="inlineStr">
        <is>
          <t>smallcap</t>
        </is>
      </c>
      <c r="F4" s="31" t="n">
        <v>660.25</v>
      </c>
      <c r="G4" s="31" t="n">
        <v>168.79</v>
      </c>
      <c r="H4" s="31" t="n">
        <v>15.26</v>
      </c>
      <c r="I4" s="31" t="n">
        <v>2840397</v>
      </c>
      <c r="J4" s="31" t="inlineStr">
        <is>
          <t>523371</t>
        </is>
      </c>
    </row>
    <row r="5">
      <c r="A5" s="31" t="inlineStr">
        <is>
          <t>UTTAMSUGAR</t>
        </is>
      </c>
      <c r="B5" s="31" t="inlineStr">
        <is>
          <t>Uttam Sugar Mills Limited</t>
        </is>
      </c>
      <c r="C5" s="31" t="inlineStr">
        <is>
          <t>fmcg</t>
        </is>
      </c>
      <c r="D5" s="31" t="inlineStr">
        <is>
          <t>sugar</t>
        </is>
      </c>
      <c r="E5" s="31" t="inlineStr">
        <is>
          <t>smallcap</t>
        </is>
      </c>
      <c r="F5" s="31" t="n">
        <v>1288.31</v>
      </c>
      <c r="G5" s="31" t="n">
        <v>337.8</v>
      </c>
      <c r="H5" s="31" t="n">
        <v>13.34</v>
      </c>
      <c r="I5" s="31" t="n">
        <v>4061674</v>
      </c>
      <c r="J5" s="31" t="inlineStr">
        <is>
          <t>532729</t>
        </is>
      </c>
    </row>
    <row r="6">
      <c r="A6" s="31" t="inlineStr">
        <is>
          <t>GOODLUCK</t>
        </is>
      </c>
      <c r="B6" s="31" t="inlineStr">
        <is>
          <t>Goodluck India Limited</t>
        </is>
      </c>
      <c r="C6" s="31" t="inlineStr">
        <is>
          <t>metals &amp; mining</t>
        </is>
      </c>
      <c r="D6" s="31" t="inlineStr">
        <is>
          <t>steel - medium / small</t>
        </is>
      </c>
      <c r="E6" s="31" t="inlineStr">
        <is>
          <t>midcap</t>
        </is>
      </c>
      <c r="F6" s="31" t="n">
        <v>5647.39</v>
      </c>
      <c r="G6" s="31" t="n">
        <v>566.35</v>
      </c>
      <c r="H6" s="31" t="n">
        <v>13.21</v>
      </c>
      <c r="I6" s="31" t="n">
        <v>9109290</v>
      </c>
      <c r="J6" s="31" t="inlineStr">
        <is>
          <t>530655</t>
        </is>
      </c>
    </row>
    <row r="7">
      <c r="A7" s="31" t="inlineStr">
        <is>
          <t>PREMIERPOL</t>
        </is>
      </c>
      <c r="B7" s="31" t="inlineStr">
        <is>
          <t>Premier Polyfilm Limited</t>
        </is>
      </c>
      <c r="C7" s="31" t="inlineStr">
        <is>
          <t>plastic products</t>
        </is>
      </c>
      <c r="D7" s="31" t="inlineStr">
        <is>
          <t>plastics products</t>
        </is>
      </c>
      <c r="E7" s="31" t="inlineStr">
        <is>
          <t>smallcap</t>
        </is>
      </c>
      <c r="F7" s="31" t="n">
        <v>1203.6</v>
      </c>
      <c r="G7" s="31" t="n">
        <v>114.91</v>
      </c>
      <c r="H7" s="31" t="n">
        <v>11.73</v>
      </c>
      <c r="I7" s="31" t="n">
        <v>8343042</v>
      </c>
      <c r="J7" s="31" t="inlineStr">
        <is>
          <t>514354</t>
        </is>
      </c>
    </row>
    <row r="8">
      <c r="A8" s="31" t="inlineStr">
        <is>
          <t>DALMIASUG</t>
        </is>
      </c>
      <c r="B8" s="31" t="inlineStr">
        <is>
          <t>Dalmia Bharat Sugar And Industries Limited</t>
        </is>
      </c>
      <c r="C8" s="31" t="inlineStr">
        <is>
          <t>fmcg</t>
        </is>
      </c>
      <c r="D8" s="31" t="inlineStr">
        <is>
          <t>sugar</t>
        </is>
      </c>
      <c r="E8" s="31" t="inlineStr">
        <is>
          <t>smallcap</t>
        </is>
      </c>
      <c r="F8" s="31" t="n">
        <v>3921.51</v>
      </c>
      <c r="G8" s="31" t="n">
        <v>484.5</v>
      </c>
      <c r="H8" s="31" t="n">
        <v>11.24</v>
      </c>
      <c r="I8" s="31" t="n">
        <v>2696851</v>
      </c>
      <c r="J8" s="31" t="inlineStr">
        <is>
          <t>500097</t>
        </is>
      </c>
    </row>
    <row r="9">
      <c r="A9" s="31" t="inlineStr">
        <is>
          <t>NRAIL</t>
        </is>
      </c>
      <c r="B9" s="31" t="inlineStr">
        <is>
          <t>N R Agarwal Industries Ltd</t>
        </is>
      </c>
      <c r="C9" s="31" t="inlineStr">
        <is>
          <t>building materials</t>
        </is>
      </c>
      <c r="D9" s="31" t="inlineStr">
        <is>
          <t>paper</t>
        </is>
      </c>
      <c r="E9" s="31" t="inlineStr">
        <is>
          <t>smallcap</t>
        </is>
      </c>
      <c r="F9" s="31" t="n">
        <v>1201.72</v>
      </c>
      <c r="G9" s="31" t="n">
        <v>706.1</v>
      </c>
      <c r="H9" s="31" t="n">
        <v>11</v>
      </c>
      <c r="I9" s="31" t="n">
        <v>155970</v>
      </c>
      <c r="J9" s="31" t="inlineStr">
        <is>
          <t>516082</t>
        </is>
      </c>
    </row>
    <row r="10">
      <c r="A10" s="31" t="inlineStr">
        <is>
          <t>AEROENTER</t>
        </is>
      </c>
      <c r="B10" s="31" t="inlineStr">
        <is>
          <t>Aeroflex Enterprises Ltd</t>
        </is>
      </c>
      <c r="C10" s="31" t="inlineStr">
        <is>
          <t>metals &amp; mining</t>
        </is>
      </c>
      <c r="D10" s="31" t="inlineStr">
        <is>
          <t>steel - medium / small</t>
        </is>
      </c>
      <c r="E10" s="31" t="inlineStr">
        <is>
          <t>smallcap</t>
        </is>
      </c>
      <c r="F10" s="31" t="n">
        <v>1546.73</v>
      </c>
      <c r="G10" s="31" t="n">
        <v>136.68</v>
      </c>
      <c r="H10" s="31" t="n">
        <v>10.84</v>
      </c>
      <c r="I10" s="31" t="n">
        <v>4240032</v>
      </c>
      <c r="J10" s="31" t="inlineStr">
        <is>
          <t>511076</t>
        </is>
      </c>
    </row>
    <row r="11">
      <c r="A11" s="31" t="inlineStr">
        <is>
          <t>BMWVENTLTD</t>
        </is>
      </c>
      <c r="B11" s="31" t="inlineStr">
        <is>
          <t>BMW Ventures Ltd</t>
        </is>
      </c>
      <c r="C11" s="31" t="inlineStr">
        <is>
          <t>services</t>
        </is>
      </c>
      <c r="D11" s="31" t="inlineStr">
        <is>
          <t>trading</t>
        </is>
      </c>
      <c r="E11" s="31" t="inlineStr">
        <is>
          <t>smallcap</t>
        </is>
      </c>
      <c r="F11" s="31" t="n">
        <v>548.47</v>
      </c>
      <c r="G11" s="31" t="n">
        <v>63.25</v>
      </c>
      <c r="H11" s="31" t="n">
        <v>9.15</v>
      </c>
      <c r="I11" s="31" t="n">
        <v>2273649</v>
      </c>
      <c r="J11" s="31" t="inlineStr">
        <is>
          <t>544543</t>
        </is>
      </c>
    </row>
    <row r="12">
      <c r="A12" s="31" t="inlineStr">
        <is>
          <t>AEROFLEX</t>
        </is>
      </c>
      <c r="B12" s="31" t="inlineStr">
        <is>
          <t>Aeroflex Industries Ltd</t>
        </is>
      </c>
      <c r="C12" s="31" t="inlineStr">
        <is>
          <t>metals &amp; mining</t>
        </is>
      </c>
      <c r="D12" s="31" t="inlineStr">
        <is>
          <t>steel - medium / small</t>
        </is>
      </c>
      <c r="E12" s="31" t="inlineStr">
        <is>
          <t>midcap</t>
        </is>
      </c>
      <c r="F12" s="31" t="n">
        <v>7515.06</v>
      </c>
      <c r="G12" s="31" t="n">
        <v>567.9</v>
      </c>
      <c r="H12" s="31" t="n">
        <v>9.109999999999999</v>
      </c>
      <c r="I12" s="31" t="n">
        <v>12895314</v>
      </c>
      <c r="J12" s="31" t="inlineStr">
        <is>
          <t>543972</t>
        </is>
      </c>
    </row>
    <row r="13">
      <c r="A13" s="31" t="inlineStr">
        <is>
          <t>SWARAJENG</t>
        </is>
      </c>
      <c r="B13" s="31" t="inlineStr">
        <is>
          <t>Swaraj Engines Limited</t>
        </is>
      </c>
      <c r="C13" s="31" t="inlineStr">
        <is>
          <t>industrials</t>
        </is>
      </c>
      <c r="D13" s="31" t="inlineStr">
        <is>
          <t>engines</t>
        </is>
      </c>
      <c r="E13" s="31" t="inlineStr">
        <is>
          <t>smallcap</t>
        </is>
      </c>
      <c r="F13" s="31" t="n">
        <v>4542.11</v>
      </c>
      <c r="G13" s="31" t="n">
        <v>3738.4</v>
      </c>
      <c r="H13" s="31" t="n">
        <v>8.699999999999999</v>
      </c>
      <c r="I13" s="31" t="n">
        <v>1409494</v>
      </c>
      <c r="J13" s="31" t="inlineStr">
        <is>
          <t>500407</t>
        </is>
      </c>
    </row>
    <row r="14">
      <c r="A14" s="31" t="inlineStr">
        <is>
          <t>ONWARDTEC</t>
        </is>
      </c>
      <c r="B14" s="31" t="inlineStr">
        <is>
          <t>Onward Technologies Limited</t>
        </is>
      </c>
      <c r="C14" s="31" t="inlineStr">
        <is>
          <t>i.t</t>
        </is>
      </c>
      <c r="D14" s="31" t="inlineStr">
        <is>
          <t>computers - software - medium / small</t>
        </is>
      </c>
      <c r="E14" s="31" t="inlineStr">
        <is>
          <t>smallcap</t>
        </is>
      </c>
      <c r="F14" s="31" t="n">
        <v>739.46</v>
      </c>
      <c r="G14" s="31" t="n">
        <v>332.45</v>
      </c>
      <c r="H14" s="31" t="n">
        <v>8.289999999999999</v>
      </c>
      <c r="I14" s="31" t="n">
        <v>307889</v>
      </c>
      <c r="J14" s="31" t="inlineStr">
        <is>
          <t>517536</t>
        </is>
      </c>
    </row>
    <row r="15">
      <c r="A15" s="31" t="inlineStr">
        <is>
          <t>CARTRADE</t>
        </is>
      </c>
      <c r="B15" s="31" t="inlineStr">
        <is>
          <t>Cartrade Tech Ltd</t>
        </is>
      </c>
      <c r="C15" s="31" t="inlineStr">
        <is>
          <t>consumer discretionary</t>
        </is>
      </c>
      <c r="D15" s="31" t="inlineStr">
        <is>
          <t>miscellaneous</t>
        </is>
      </c>
      <c r="E15" s="31" t="inlineStr">
        <is>
          <t>midcap</t>
        </is>
      </c>
      <c r="F15" s="31" t="n">
        <v>15325.59</v>
      </c>
      <c r="G15" s="31" t="n">
        <v>3191.3</v>
      </c>
      <c r="H15" s="31" t="n">
        <v>8.140000000000001</v>
      </c>
      <c r="I15" s="31" t="n">
        <v>1395231</v>
      </c>
      <c r="J15" s="31" t="inlineStr">
        <is>
          <t>543333</t>
        </is>
      </c>
    </row>
    <row r="16">
      <c r="A16" s="31" t="inlineStr">
        <is>
          <t>MAGADSUGAR</t>
        </is>
      </c>
      <c r="B16" s="31" t="inlineStr">
        <is>
          <t>Magadh Sugar &amp; Energy Ltd</t>
        </is>
      </c>
      <c r="C16" s="31" t="inlineStr">
        <is>
          <t>fmcg</t>
        </is>
      </c>
      <c r="D16" s="31" t="inlineStr">
        <is>
          <t>sugar</t>
        </is>
      </c>
      <c r="E16" s="31" t="inlineStr">
        <is>
          <t>smallcap</t>
        </is>
      </c>
      <c r="F16" s="31" t="n">
        <v>816.33</v>
      </c>
      <c r="G16" s="31" t="n">
        <v>579.3</v>
      </c>
      <c r="H16" s="31" t="n">
        <v>7.5</v>
      </c>
      <c r="I16" s="31" t="n">
        <v>110595</v>
      </c>
      <c r="J16" s="31" t="inlineStr">
        <is>
          <t>540650</t>
        </is>
      </c>
    </row>
    <row r="17">
      <c r="A17" s="31" t="inlineStr">
        <is>
          <t>DMCC</t>
        </is>
      </c>
      <c r="B17" s="31" t="inlineStr">
        <is>
          <t>DMCC Speciality Chemicals Ltd</t>
        </is>
      </c>
      <c r="C17" s="31" t="inlineStr">
        <is>
          <t>chemicals</t>
        </is>
      </c>
      <c r="D17" s="31" t="inlineStr">
        <is>
          <t>chemicals</t>
        </is>
      </c>
      <c r="E17" s="31" t="inlineStr">
        <is>
          <t>smallcap</t>
        </is>
      </c>
      <c r="F17" s="31" t="n">
        <v>890.98</v>
      </c>
      <c r="G17" s="31" t="n">
        <v>357.25</v>
      </c>
      <c r="H17" s="31" t="n">
        <v>7.38</v>
      </c>
      <c r="I17" s="31" t="n">
        <v>581178</v>
      </c>
      <c r="J17" s="31" t="inlineStr">
        <is>
          <t>506405</t>
        </is>
      </c>
    </row>
    <row r="18">
      <c r="A18" s="31" t="inlineStr">
        <is>
          <t>TIPSMUSIC</t>
        </is>
      </c>
      <c r="B18" s="31" t="inlineStr">
        <is>
          <t>Tips Music Ltd</t>
        </is>
      </c>
      <c r="C18" s="31" t="inlineStr">
        <is>
          <t>media</t>
        </is>
      </c>
      <c r="D18" s="31" t="inlineStr">
        <is>
          <t>entertainment / electronic media software</t>
        </is>
      </c>
      <c r="E18" s="31" t="inlineStr">
        <is>
          <t>midcap</t>
        </is>
      </c>
      <c r="F18" s="31" t="n">
        <v>8721.309999999999</v>
      </c>
      <c r="G18" s="31" t="n">
        <v>682.25</v>
      </c>
      <c r="H18" s="31" t="n">
        <v>7.21</v>
      </c>
      <c r="I18" s="31" t="n">
        <v>1435419</v>
      </c>
      <c r="J18" s="31" t="inlineStr">
        <is>
          <t>532375</t>
        </is>
      </c>
    </row>
    <row r="19">
      <c r="A19" s="31" t="inlineStr">
        <is>
          <t>NAZARA</t>
        </is>
      </c>
      <c r="B19" s="31" t="inlineStr">
        <is>
          <t>Nazara Technologies Ltd</t>
        </is>
      </c>
      <c r="C19" s="31" t="inlineStr">
        <is>
          <t>i.t</t>
        </is>
      </c>
      <c r="D19" s="31" t="inlineStr">
        <is>
          <t>telecommunications - service provider</t>
        </is>
      </c>
      <c r="E19" s="31" t="inlineStr">
        <is>
          <t>midcap</t>
        </is>
      </c>
      <c r="F19" s="31" t="n">
        <v>15568.65</v>
      </c>
      <c r="G19" s="31" t="n">
        <v>404.7</v>
      </c>
      <c r="H19" s="31" t="n">
        <v>7.16</v>
      </c>
      <c r="I19" s="31" t="n">
        <v>4635770</v>
      </c>
      <c r="J19" s="31" t="inlineStr">
        <is>
          <t>543280</t>
        </is>
      </c>
    </row>
    <row r="20">
      <c r="A20" s="31" t="inlineStr">
        <is>
          <t>BLUSPRING</t>
        </is>
      </c>
      <c r="B20" s="31" t="inlineStr">
        <is>
          <t>Bluspring Enterprises Ltd</t>
        </is>
      </c>
      <c r="C20" s="31" t="inlineStr">
        <is>
          <t>miscellaneous</t>
        </is>
      </c>
      <c r="D20" s="31" t="inlineStr">
        <is>
          <t>diversified - large</t>
        </is>
      </c>
      <c r="E20" s="31" t="inlineStr">
        <is>
          <t>smallcap</t>
        </is>
      </c>
      <c r="F20" s="31" t="n">
        <v>2346.37</v>
      </c>
      <c r="G20" s="31" t="n">
        <v>157.01</v>
      </c>
      <c r="H20" s="31" t="n">
        <v>6.84</v>
      </c>
      <c r="I20" s="31" t="n">
        <v>6455822</v>
      </c>
      <c r="J20" s="31" t="inlineStr">
        <is>
          <t>544414</t>
        </is>
      </c>
    </row>
    <row r="21">
      <c r="A21" s="31" t="inlineStr">
        <is>
          <t>OCCLLTD</t>
        </is>
      </c>
      <c r="B21" s="31" t="inlineStr">
        <is>
          <t>OCCL Ltd</t>
        </is>
      </c>
      <c r="C21" s="31" t="inlineStr">
        <is>
          <t>chemicals</t>
        </is>
      </c>
      <c r="D21" s="31" t="inlineStr">
        <is>
          <t>chemicals</t>
        </is>
      </c>
      <c r="E21" s="31" t="inlineStr">
        <is>
          <t>smallcap</t>
        </is>
      </c>
      <c r="F21" s="31" t="n">
        <v>1163.4</v>
      </c>
      <c r="G21" s="31" t="n">
        <v>232.91</v>
      </c>
      <c r="H21" s="31" t="n">
        <v>6.58</v>
      </c>
      <c r="I21" s="31" t="n">
        <v>665559</v>
      </c>
      <c r="J21" s="31" t="inlineStr">
        <is>
          <t>544278</t>
        </is>
      </c>
    </row>
    <row r="22">
      <c r="A22" s="31" t="inlineStr">
        <is>
          <t>NEOGEN</t>
        </is>
      </c>
      <c r="B22" s="31" t="inlineStr">
        <is>
          <t>Neogen Chemicals Ltd</t>
        </is>
      </c>
      <c r="C22" s="31" t="inlineStr">
        <is>
          <t>chemicals</t>
        </is>
      </c>
      <c r="D22" s="31" t="inlineStr">
        <is>
          <t>chemicals</t>
        </is>
      </c>
      <c r="E22" s="31" t="inlineStr">
        <is>
          <t>midcap</t>
        </is>
      </c>
      <c r="F22" s="31" t="n">
        <v>7614.25</v>
      </c>
      <c r="G22" s="31" t="n">
        <v>2534.5</v>
      </c>
      <c r="H22" s="31" t="n">
        <v>6.57</v>
      </c>
      <c r="I22" s="31" t="n">
        <v>410407</v>
      </c>
      <c r="J22" s="31" t="inlineStr">
        <is>
          <t>542665</t>
        </is>
      </c>
    </row>
    <row r="23">
      <c r="A23" s="31" t="inlineStr">
        <is>
          <t>KSL</t>
        </is>
      </c>
      <c r="B23" s="31" t="inlineStr">
        <is>
          <t>Kalyani Steels Limited</t>
        </is>
      </c>
      <c r="C23" s="31" t="inlineStr">
        <is>
          <t>metals &amp; mining</t>
        </is>
      </c>
      <c r="D23" s="31" t="inlineStr">
        <is>
          <t>steel - medium / small</t>
        </is>
      </c>
      <c r="E23" s="31" t="inlineStr">
        <is>
          <t>smallcap</t>
        </is>
      </c>
      <c r="F23" s="31" t="n">
        <v>4335.62</v>
      </c>
      <c r="G23" s="31" t="n">
        <v>993.2</v>
      </c>
      <c r="H23" s="31" t="n">
        <v>6.16</v>
      </c>
      <c r="I23" s="31" t="n">
        <v>309424</v>
      </c>
      <c r="J23" s="31" t="inlineStr">
        <is>
          <t>500235</t>
        </is>
      </c>
    </row>
    <row r="24">
      <c r="A24" s="31" t="inlineStr">
        <is>
          <t>DYNAMATECH</t>
        </is>
      </c>
      <c r="B24" s="31" t="inlineStr">
        <is>
          <t>Dynamatic Technologies Limited</t>
        </is>
      </c>
      <c r="C24" s="31" t="inlineStr">
        <is>
          <t>aerospace &amp; defence</t>
        </is>
      </c>
      <c r="D24" s="31" t="inlineStr">
        <is>
          <t>engineering</t>
        </is>
      </c>
      <c r="E24" s="31" t="inlineStr">
        <is>
          <t>midcap</t>
        </is>
      </c>
      <c r="F24" s="31" t="n">
        <v>9594.950000000001</v>
      </c>
      <c r="G24" s="31" t="n">
        <v>14128</v>
      </c>
      <c r="H24" s="31" t="n">
        <v>6.06</v>
      </c>
      <c r="I24" s="31" t="n">
        <v>28117</v>
      </c>
      <c r="J24" s="31" t="inlineStr">
        <is>
          <t>505242</t>
        </is>
      </c>
    </row>
    <row r="25">
      <c r="A25" s="31" t="inlineStr">
        <is>
          <t>NETWEB</t>
        </is>
      </c>
      <c r="B25" s="31" t="inlineStr">
        <is>
          <t>Netweb Technologies India Ltd</t>
        </is>
      </c>
      <c r="C25" s="31" t="inlineStr">
        <is>
          <t>i.t</t>
        </is>
      </c>
      <c r="D25" s="31" t="inlineStr">
        <is>
          <t>computers - hardware</t>
        </is>
      </c>
      <c r="E25" s="31" t="inlineStr">
        <is>
          <t>largecap</t>
        </is>
      </c>
      <c r="F25" s="31" t="n">
        <v>28476.04</v>
      </c>
      <c r="G25" s="31" t="n">
        <v>5001</v>
      </c>
      <c r="H25" s="31" t="n">
        <v>5.92</v>
      </c>
      <c r="I25" s="31" t="n">
        <v>2319078</v>
      </c>
      <c r="J25" s="31" t="inlineStr">
        <is>
          <t>543945</t>
        </is>
      </c>
    </row>
    <row r="26">
      <c r="A26" s="31" t="inlineStr">
        <is>
          <t>NUVAMA</t>
        </is>
      </c>
      <c r="B26" s="31" t="inlineStr">
        <is>
          <t>Nuvama Wealth Management Ltd</t>
        </is>
      </c>
      <c r="C26" s="31" t="inlineStr">
        <is>
          <t>financials</t>
        </is>
      </c>
      <c r="D26" s="31" t="inlineStr">
        <is>
          <t>finance &amp; investments</t>
        </is>
      </c>
      <c r="E26" s="31" t="inlineStr">
        <is>
          <t>largecap</t>
        </is>
      </c>
      <c r="F26" s="31" t="n">
        <v>34110.99</v>
      </c>
      <c r="G26" s="31" t="n">
        <v>1868.8</v>
      </c>
      <c r="H26" s="31" t="n">
        <v>5.92</v>
      </c>
      <c r="I26" s="31" t="n">
        <v>726457</v>
      </c>
      <c r="J26" s="31" t="inlineStr">
        <is>
          <t>543988</t>
        </is>
      </c>
    </row>
    <row r="27">
      <c r="A27" s="31" t="inlineStr">
        <is>
          <t>WHEELS</t>
        </is>
      </c>
      <c r="B27" s="31" t="inlineStr">
        <is>
          <t>Wheels India Limited</t>
        </is>
      </c>
      <c r="C27" s="31" t="inlineStr">
        <is>
          <t>auto</t>
        </is>
      </c>
      <c r="D27" s="31" t="inlineStr">
        <is>
          <t>auto ancillaries</t>
        </is>
      </c>
      <c r="E27" s="31" t="inlineStr">
        <is>
          <t>midcap</t>
        </is>
      </c>
      <c r="F27" s="31" t="n">
        <v>6276.66</v>
      </c>
      <c r="G27" s="31" t="n">
        <v>2336.6</v>
      </c>
      <c r="H27" s="31" t="n">
        <v>5.86</v>
      </c>
      <c r="I27" s="31" t="n">
        <v>143734</v>
      </c>
      <c r="J27" s="31" t="inlineStr">
        <is>
          <t>590073</t>
        </is>
      </c>
    </row>
    <row r="28">
      <c r="A28" s="31" t="inlineStr">
        <is>
          <t>WELCORP</t>
        </is>
      </c>
      <c r="B28" s="31" t="inlineStr">
        <is>
          <t>Welspun Corp Limited</t>
        </is>
      </c>
      <c r="C28" s="31" t="inlineStr">
        <is>
          <t>industrials</t>
        </is>
      </c>
      <c r="D28" s="31" t="inlineStr">
        <is>
          <t>steel - large</t>
        </is>
      </c>
      <c r="E28" s="31" t="inlineStr">
        <is>
          <t>largecap</t>
        </is>
      </c>
      <c r="F28" s="31" t="n">
        <v>73700.47</v>
      </c>
      <c r="G28" s="31" t="n">
        <v>2793.9</v>
      </c>
      <c r="H28" s="31" t="n">
        <v>5.81</v>
      </c>
      <c r="I28" s="31" t="n">
        <v>1963676</v>
      </c>
      <c r="J28" s="31" t="inlineStr">
        <is>
          <t>532144</t>
        </is>
      </c>
    </row>
    <row r="29">
      <c r="A29" s="31" t="inlineStr">
        <is>
          <t>PVRINOX</t>
        </is>
      </c>
      <c r="B29" s="31" t="inlineStr">
        <is>
          <t>PVR Inox Ltd</t>
        </is>
      </c>
      <c r="C29" s="31" t="inlineStr">
        <is>
          <t>media</t>
        </is>
      </c>
      <c r="D29" s="31" t="inlineStr">
        <is>
          <t>entertainment / electronic media software</t>
        </is>
      </c>
      <c r="E29" s="31" t="inlineStr">
        <is>
          <t>midcap</t>
        </is>
      </c>
      <c r="F29" s="31" t="n">
        <v>13470.84</v>
      </c>
      <c r="G29" s="31" t="n">
        <v>1401.3</v>
      </c>
      <c r="H29" s="31" t="n">
        <v>5.58</v>
      </c>
      <c r="I29" s="31" t="n">
        <v>1150779</v>
      </c>
      <c r="J29" s="31" t="inlineStr">
        <is>
          <t>532689</t>
        </is>
      </c>
    </row>
    <row r="30">
      <c r="A30" s="31" t="inlineStr">
        <is>
          <t>DCBBANK</t>
        </is>
      </c>
      <c r="B30" s="31" t="inlineStr">
        <is>
          <t>Dcb Bank Limited</t>
        </is>
      </c>
      <c r="C30" s="31" t="inlineStr">
        <is>
          <t>bank</t>
        </is>
      </c>
      <c r="D30" s="31" t="inlineStr">
        <is>
          <t>banks - private sector</t>
        </is>
      </c>
      <c r="E30" s="31" t="inlineStr">
        <is>
          <t>midcap</t>
        </is>
      </c>
      <c r="F30" s="31" t="n">
        <v>6921.12</v>
      </c>
      <c r="G30" s="31" t="n">
        <v>214.89</v>
      </c>
      <c r="H30" s="31" t="n">
        <v>5.45</v>
      </c>
      <c r="I30" s="31" t="n">
        <v>4729568</v>
      </c>
      <c r="J30" s="31" t="inlineStr">
        <is>
          <t>532772</t>
        </is>
      </c>
    </row>
    <row r="31">
      <c r="A31" s="31" t="inlineStr">
        <is>
          <t>DHAMPURSUG</t>
        </is>
      </c>
      <c r="B31" s="31" t="inlineStr">
        <is>
          <t>Dhampur Sugar Mills Limited</t>
        </is>
      </c>
      <c r="C31" s="31" t="inlineStr">
        <is>
          <t>fmcg</t>
        </is>
      </c>
      <c r="D31" s="31" t="inlineStr">
        <is>
          <t>sugar</t>
        </is>
      </c>
      <c r="E31" s="31" t="inlineStr">
        <is>
          <t>smallcap</t>
        </is>
      </c>
      <c r="F31" s="31" t="n">
        <v>1251.4</v>
      </c>
      <c r="G31" s="31" t="n">
        <v>194.6</v>
      </c>
      <c r="H31" s="31" t="n">
        <v>5.43</v>
      </c>
      <c r="I31" s="31" t="n">
        <v>2279376</v>
      </c>
      <c r="J31" s="31" t="inlineStr">
        <is>
          <t>500119</t>
        </is>
      </c>
    </row>
    <row r="32">
      <c r="A32" s="31" t="inlineStr">
        <is>
          <t>SKYGOLD</t>
        </is>
      </c>
      <c r="B32" s="31" t="inlineStr">
        <is>
          <t>Sky Gold Ltd</t>
        </is>
      </c>
      <c r="C32" s="31" t="inlineStr">
        <is>
          <t>consumer discretionary</t>
        </is>
      </c>
      <c r="D32" s="31" t="inlineStr">
        <is>
          <t>diamond cutting / jewellery</t>
        </is>
      </c>
      <c r="E32" s="31" t="inlineStr">
        <is>
          <t>midcap</t>
        </is>
      </c>
      <c r="F32" s="31" t="n">
        <v>14995.66</v>
      </c>
      <c r="G32" s="31" t="n">
        <v>968.25</v>
      </c>
      <c r="H32" s="31" t="n">
        <v>5.13</v>
      </c>
      <c r="I32" s="31" t="n">
        <v>3146900</v>
      </c>
      <c r="J32" s="31" t="inlineStr">
        <is>
          <t>541967</t>
        </is>
      </c>
    </row>
    <row r="33">
      <c r="A33" s="31" t="inlineStr">
        <is>
          <t>VHLTD</t>
        </is>
      </c>
      <c r="B33" s="31" t="inlineStr">
        <is>
          <t>Viceroy Hotels Ltd</t>
        </is>
      </c>
      <c r="C33" s="31" t="inlineStr">
        <is>
          <t>services</t>
        </is>
      </c>
      <c r="D33" s="31" t="inlineStr">
        <is>
          <t>hotels</t>
        </is>
      </c>
      <c r="E33" s="31" t="inlineStr">
        <is>
          <t>smallcap</t>
        </is>
      </c>
      <c r="F33" s="31" t="n">
        <v>1152.04</v>
      </c>
      <c r="G33" s="31" t="n">
        <v>150.04</v>
      </c>
      <c r="H33" s="31" t="n">
        <v>5</v>
      </c>
      <c r="I33" s="31" t="n">
        <v>99146</v>
      </c>
      <c r="J33" s="31" t="inlineStr">
        <is>
          <t>523796</t>
        </is>
      </c>
    </row>
    <row r="34">
      <c r="A34" s="31" t="inlineStr">
        <is>
          <t>ESAFSFB</t>
        </is>
      </c>
      <c r="B34" s="31" t="inlineStr">
        <is>
          <t>ESAF Small Finance Bank Ltd</t>
        </is>
      </c>
      <c r="C34" s="31" t="inlineStr">
        <is>
          <t>bank</t>
        </is>
      </c>
      <c r="D34" s="31" t="inlineStr">
        <is>
          <t>banks - private sector</t>
        </is>
      </c>
      <c r="E34" s="31" t="inlineStr">
        <is>
          <t>smallcap</t>
        </is>
      </c>
      <c r="F34" s="31" t="n">
        <v>2242.84</v>
      </c>
      <c r="G34" s="31" t="n">
        <v>43.47</v>
      </c>
      <c r="H34" s="31" t="n">
        <v>5</v>
      </c>
      <c r="I34" s="31" t="n">
        <v>1181927</v>
      </c>
      <c r="J34" s="31" t="inlineStr">
        <is>
          <t>544020</t>
        </is>
      </c>
    </row>
    <row r="35">
      <c r="A35" s="31" t="inlineStr">
        <is>
          <t>MODISONLTD</t>
        </is>
      </c>
      <c r="B35" s="31" t="inlineStr">
        <is>
          <t>Modison Ltd</t>
        </is>
      </c>
      <c r="C35" s="31" t="inlineStr">
        <is>
          <t>industrials</t>
        </is>
      </c>
      <c r="D35" s="31" t="inlineStr">
        <is>
          <t>electric equipment</t>
        </is>
      </c>
      <c r="E35" s="31" t="inlineStr">
        <is>
          <t>smallcap</t>
        </is>
      </c>
      <c r="F35" s="31" t="n">
        <v>1605.79</v>
      </c>
      <c r="G35" s="31" t="n">
        <v>494.85</v>
      </c>
      <c r="H35" s="31" t="n">
        <v>5</v>
      </c>
      <c r="I35" s="31" t="n">
        <v>53022</v>
      </c>
      <c r="J35" s="31" t="inlineStr">
        <is>
          <t>506261</t>
        </is>
      </c>
    </row>
    <row r="36">
      <c r="A36" s="31" t="inlineStr">
        <is>
          <t>TBZ</t>
        </is>
      </c>
      <c r="B36" s="31" t="inlineStr">
        <is>
          <t>Tribhovandas Bhimji Zaveri Limited</t>
        </is>
      </c>
      <c r="C36" s="31" t="inlineStr">
        <is>
          <t>consumer discretionary</t>
        </is>
      </c>
      <c r="D36" s="31" t="inlineStr">
        <is>
          <t>diamond cutting / jewellery</t>
        </is>
      </c>
      <c r="E36" s="31" t="inlineStr">
        <is>
          <t>smallcap</t>
        </is>
      </c>
      <c r="F36" s="31" t="n">
        <v>4168.33</v>
      </c>
      <c r="G36" s="31" t="n">
        <v>624.65</v>
      </c>
      <c r="H36" s="31" t="n">
        <v>4.99</v>
      </c>
      <c r="I36" s="31" t="n">
        <v>214295</v>
      </c>
      <c r="J36" s="31" t="inlineStr">
        <is>
          <t>534369</t>
        </is>
      </c>
    </row>
    <row r="37">
      <c r="A37" s="31" t="inlineStr">
        <is>
          <t>KRONOX</t>
        </is>
      </c>
      <c r="B37" s="31" t="inlineStr">
        <is>
          <t>Kronox Lab Sciences Ltd</t>
        </is>
      </c>
      <c r="C37" s="31" t="inlineStr">
        <is>
          <t>chemicals</t>
        </is>
      </c>
      <c r="D37" s="31" t="inlineStr">
        <is>
          <t>chemicals</t>
        </is>
      </c>
      <c r="E37" s="31" t="inlineStr">
        <is>
          <t>smallcap</t>
        </is>
      </c>
      <c r="F37" s="31" t="n">
        <v>772.25</v>
      </c>
      <c r="G37" s="31" t="n">
        <v>208.13</v>
      </c>
      <c r="H37" s="31" t="n">
        <v>4.97</v>
      </c>
      <c r="I37" s="31" t="n">
        <v>79272</v>
      </c>
      <c r="J37" s="31" t="inlineStr">
        <is>
          <t>544187</t>
        </is>
      </c>
    </row>
    <row r="38">
      <c r="A38" s="31" t="inlineStr">
        <is>
          <t>VENUSPIPES</t>
        </is>
      </c>
      <c r="B38" s="31" t="inlineStr">
        <is>
          <t>Venus Pipes &amp; Tubes Ltd</t>
        </is>
      </c>
      <c r="C38" s="31" t="inlineStr">
        <is>
          <t>metals &amp; mining</t>
        </is>
      </c>
      <c r="D38" s="31" t="inlineStr">
        <is>
          <t>steel - medium / small</t>
        </is>
      </c>
      <c r="E38" s="31" t="inlineStr">
        <is>
          <t>smallcap</t>
        </is>
      </c>
      <c r="F38" s="31" t="n">
        <v>4438.63</v>
      </c>
      <c r="G38" s="31" t="n">
        <v>2142.6</v>
      </c>
      <c r="H38" s="31" t="n">
        <v>4.96</v>
      </c>
      <c r="I38" s="31" t="n">
        <v>169018</v>
      </c>
      <c r="J38" s="31" t="inlineStr">
        <is>
          <t>543528</t>
        </is>
      </c>
    </row>
    <row r="39">
      <c r="A39" s="31" t="inlineStr">
        <is>
          <t>PTCIL</t>
        </is>
      </c>
      <c r="B39" s="31" t="inlineStr">
        <is>
          <t>PTC Industries Ltd</t>
        </is>
      </c>
      <c r="C39" s="31" t="inlineStr">
        <is>
          <t>castings, forgings &amp; fasteners</t>
        </is>
      </c>
      <c r="D39" s="31" t="inlineStr">
        <is>
          <t>castings &amp; forgings</t>
        </is>
      </c>
      <c r="E39" s="31" t="inlineStr">
        <is>
          <t>largecap</t>
        </is>
      </c>
      <c r="F39" s="31" t="n">
        <v>38553.34</v>
      </c>
      <c r="G39" s="31" t="n">
        <v>25715</v>
      </c>
      <c r="H39" s="31" t="n">
        <v>4.81</v>
      </c>
      <c r="I39" s="31" t="n">
        <v>52365</v>
      </c>
      <c r="J39" s="31" t="inlineStr">
        <is>
          <t>539006</t>
        </is>
      </c>
    </row>
    <row r="40">
      <c r="A40" s="31" t="inlineStr">
        <is>
          <t>PANACHE</t>
        </is>
      </c>
      <c r="B40" s="31" t="inlineStr">
        <is>
          <t>Panache Digilife Ltd</t>
        </is>
      </c>
      <c r="C40" s="31" t="inlineStr">
        <is>
          <t>i.t</t>
        </is>
      </c>
      <c r="D40" s="31" t="inlineStr">
        <is>
          <t>computers - hardware</t>
        </is>
      </c>
      <c r="E40" s="31" t="inlineStr">
        <is>
          <t>smallcap</t>
        </is>
      </c>
      <c r="F40" s="31" t="n">
        <v>1036.91</v>
      </c>
      <c r="G40" s="31" t="n">
        <v>647.5</v>
      </c>
      <c r="H40" s="31" t="n">
        <v>4.81</v>
      </c>
      <c r="I40" s="31" t="n">
        <v>18446</v>
      </c>
      <c r="J40" s="31" t="inlineStr">
        <is>
          <t>538424</t>
        </is>
      </c>
    </row>
    <row r="41">
      <c r="A41" s="31" t="inlineStr">
        <is>
          <t>MAZDA</t>
        </is>
      </c>
      <c r="B41" s="31" t="inlineStr">
        <is>
          <t>Mazda Limited</t>
        </is>
      </c>
      <c r="C41" s="31" t="inlineStr">
        <is>
          <t>industrials</t>
        </is>
      </c>
      <c r="D41" s="31" t="inlineStr">
        <is>
          <t>engineering</t>
        </is>
      </c>
      <c r="E41" s="31" t="inlineStr">
        <is>
          <t>smallcap</t>
        </is>
      </c>
      <c r="F41" s="31" t="n">
        <v>585.23</v>
      </c>
      <c r="G41" s="31" t="n">
        <v>292.25</v>
      </c>
      <c r="H41" s="31" t="n">
        <v>4.73</v>
      </c>
      <c r="I41" s="31" t="n">
        <v>120567</v>
      </c>
      <c r="J41" s="31" t="inlineStr">
        <is>
          <t>523792</t>
        </is>
      </c>
    </row>
    <row r="42">
      <c r="A42" s="31" t="inlineStr">
        <is>
          <t>VINDHYATEL</t>
        </is>
      </c>
      <c r="B42" s="31" t="inlineStr">
        <is>
          <t>Vindhya Telelinks Limited</t>
        </is>
      </c>
      <c r="C42" s="31" t="inlineStr">
        <is>
          <t>realty</t>
        </is>
      </c>
      <c r="D42" s="31" t="inlineStr">
        <is>
          <t>construction</t>
        </is>
      </c>
      <c r="E42" s="31" t="inlineStr">
        <is>
          <t>smallcap</t>
        </is>
      </c>
      <c r="F42" s="31" t="n">
        <v>3486.76</v>
      </c>
      <c r="G42" s="31" t="n">
        <v>2942.2</v>
      </c>
      <c r="H42" s="31" t="n">
        <v>4.54</v>
      </c>
      <c r="I42" s="31" t="n">
        <v>163550</v>
      </c>
      <c r="J42" s="31" t="inlineStr">
        <is>
          <t>517015</t>
        </is>
      </c>
    </row>
    <row r="43">
      <c r="A43" s="31" t="inlineStr">
        <is>
          <t>AEGISLOG</t>
        </is>
      </c>
      <c r="B43" s="31" t="inlineStr">
        <is>
          <t>Aegis Logistics Ltd</t>
        </is>
      </c>
      <c r="C43" s="31" t="inlineStr">
        <is>
          <t>services</t>
        </is>
      </c>
      <c r="D43" s="31" t="inlineStr">
        <is>
          <t>trading</t>
        </is>
      </c>
      <c r="E43" s="31" t="inlineStr">
        <is>
          <t>largecap</t>
        </is>
      </c>
      <c r="F43" s="31" t="n">
        <v>50895</v>
      </c>
      <c r="G43" s="31" t="n">
        <v>1450</v>
      </c>
      <c r="H43" s="31" t="n">
        <v>4.4</v>
      </c>
      <c r="I43" s="31" t="n">
        <v>724454</v>
      </c>
      <c r="J43" s="31" t="inlineStr">
        <is>
          <t>500003</t>
        </is>
      </c>
    </row>
    <row r="44">
      <c r="A44" s="31" t="inlineStr">
        <is>
          <t>E2E</t>
        </is>
      </c>
      <c r="B44" s="31" t="inlineStr">
        <is>
          <t>E2E Networks Ltd</t>
        </is>
      </c>
      <c r="C44" s="31" t="inlineStr">
        <is>
          <t>i.t</t>
        </is>
      </c>
      <c r="D44" s="31" t="inlineStr">
        <is>
          <t>computers - software - medium / small</t>
        </is>
      </c>
      <c r="E44" s="31" t="inlineStr">
        <is>
          <t>midcap</t>
        </is>
      </c>
      <c r="F44" s="31" t="n">
        <v>15120.33</v>
      </c>
      <c r="G44" s="31" t="n">
        <v>735.55</v>
      </c>
      <c r="H44" s="31" t="n">
        <v>4.39</v>
      </c>
      <c r="I44" s="31" t="n">
        <v>1075983</v>
      </c>
      <c r="J44" s="31" t="inlineStr">
        <is>
          <t>535080</t>
        </is>
      </c>
    </row>
    <row r="45">
      <c r="A45" s="31" t="inlineStr">
        <is>
          <t>AVADHSUGAR</t>
        </is>
      </c>
      <c r="B45" s="31" t="inlineStr">
        <is>
          <t>Avadh Sugar &amp; Energy</t>
        </is>
      </c>
      <c r="C45" s="31" t="inlineStr">
        <is>
          <t>fmcg</t>
        </is>
      </c>
      <c r="D45" s="31" t="inlineStr">
        <is>
          <t>sugar</t>
        </is>
      </c>
      <c r="E45" s="31" t="inlineStr">
        <is>
          <t>smallcap</t>
        </is>
      </c>
      <c r="F45" s="31" t="n">
        <v>1976.32</v>
      </c>
      <c r="G45" s="31" t="n">
        <v>987.25</v>
      </c>
      <c r="H45" s="31" t="n">
        <v>4.39</v>
      </c>
      <c r="I45" s="31" t="n">
        <v>233112</v>
      </c>
      <c r="J45" s="31" t="inlineStr">
        <is>
          <t>540649</t>
        </is>
      </c>
    </row>
    <row r="46">
      <c r="A46" s="31" t="inlineStr">
        <is>
          <t>DBOL</t>
        </is>
      </c>
      <c r="B46" s="31" t="inlineStr">
        <is>
          <t>Dhampur Bio Organics Ltd</t>
        </is>
      </c>
      <c r="C46" s="31" t="inlineStr">
        <is>
          <t>fmcg</t>
        </is>
      </c>
      <c r="D46" s="31" t="inlineStr">
        <is>
          <t>sugar</t>
        </is>
      </c>
      <c r="E46" s="31" t="inlineStr">
        <is>
          <t>smallcap</t>
        </is>
      </c>
      <c r="F46" s="31" t="n">
        <v>979.28</v>
      </c>
      <c r="G46" s="31" t="n">
        <v>147.51</v>
      </c>
      <c r="H46" s="31" t="n">
        <v>4.37</v>
      </c>
      <c r="I46" s="31" t="n">
        <v>779477</v>
      </c>
      <c r="J46" s="31" t="inlineStr">
        <is>
          <t>543593</t>
        </is>
      </c>
    </row>
    <row r="47">
      <c r="A47" s="31" t="inlineStr">
        <is>
          <t>ATLANTAELE</t>
        </is>
      </c>
      <c r="B47" s="31" t="inlineStr">
        <is>
          <t>Atlanta Electricals Ltd</t>
        </is>
      </c>
      <c r="C47" s="31" t="inlineStr">
        <is>
          <t>industrials</t>
        </is>
      </c>
      <c r="D47" s="31" t="inlineStr">
        <is>
          <t>electric equipment</t>
        </is>
      </c>
      <c r="E47" s="31" t="inlineStr">
        <is>
          <t>midcap</t>
        </is>
      </c>
      <c r="F47" s="31" t="n">
        <v>14195.12</v>
      </c>
      <c r="G47" s="31" t="n">
        <v>1846</v>
      </c>
      <c r="H47" s="31" t="n">
        <v>4.32</v>
      </c>
      <c r="I47" s="31" t="n">
        <v>139754</v>
      </c>
      <c r="J47" s="31" t="inlineStr">
        <is>
          <t>544527</t>
        </is>
      </c>
    </row>
    <row r="48">
      <c r="A48" s="31" t="inlineStr">
        <is>
          <t>KMEW</t>
        </is>
      </c>
      <c r="B48" s="31" t="inlineStr">
        <is>
          <t>Knowledge Marine &amp; Engineering Works Ltd</t>
        </is>
      </c>
      <c r="C48" s="31" t="inlineStr">
        <is>
          <t>transportation</t>
        </is>
      </c>
      <c r="D48" s="31" t="inlineStr">
        <is>
          <t>miscellaneous</t>
        </is>
      </c>
      <c r="E48" s="31" t="inlineStr">
        <is>
          <t>midcap</t>
        </is>
      </c>
      <c r="F48" s="31" t="n">
        <v>8433.98</v>
      </c>
      <c r="G48" s="31" t="n">
        <v>3345.7</v>
      </c>
      <c r="H48" s="31" t="n">
        <v>4.3</v>
      </c>
      <c r="I48" s="31" t="n">
        <v>137265</v>
      </c>
      <c r="J48" s="31" t="inlineStr">
        <is>
          <t>543273</t>
        </is>
      </c>
    </row>
    <row r="49">
      <c r="A49" s="31" t="inlineStr">
        <is>
          <t>PRIMESECU</t>
        </is>
      </c>
      <c r="B49" s="31" t="inlineStr">
        <is>
          <t>Prime Securities Limited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smallcap</t>
        </is>
      </c>
      <c r="F49" s="31" t="n">
        <v>1059.62</v>
      </c>
      <c r="G49" s="31" t="n">
        <v>312.2</v>
      </c>
      <c r="H49" s="31" t="n">
        <v>4.26</v>
      </c>
      <c r="I49" s="31" t="n">
        <v>232623</v>
      </c>
      <c r="J49" s="31" t="inlineStr">
        <is>
          <t>500337</t>
        </is>
      </c>
    </row>
    <row r="50">
      <c r="A50" s="31" t="inlineStr">
        <is>
          <t>BHAGERIA</t>
        </is>
      </c>
      <c r="B50" s="31" t="inlineStr">
        <is>
          <t>Bhageria Industries Limited</t>
        </is>
      </c>
      <c r="C50" s="31" t="inlineStr">
        <is>
          <t>chemicals</t>
        </is>
      </c>
      <c r="D50" s="31" t="inlineStr">
        <is>
          <t>dyes and pigments</t>
        </is>
      </c>
      <c r="E50" s="31" t="inlineStr">
        <is>
          <t>smallcap</t>
        </is>
      </c>
      <c r="F50" s="31" t="n">
        <v>1660.01</v>
      </c>
      <c r="G50" s="31" t="n">
        <v>380.35</v>
      </c>
      <c r="H50" s="31" t="n">
        <v>4.23</v>
      </c>
      <c r="I50" s="31" t="n">
        <v>140643</v>
      </c>
      <c r="J50" s="31" t="inlineStr">
        <is>
          <t>530803</t>
        </is>
      </c>
    </row>
    <row r="51">
      <c r="A51" s="31" t="inlineStr">
        <is>
          <t>SANATHAN</t>
        </is>
      </c>
      <c r="B51" s="31" t="inlineStr">
        <is>
          <t>Sanathan Textiles Ltd</t>
        </is>
      </c>
      <c r="C51" s="31" t="inlineStr">
        <is>
          <t>textiles</t>
        </is>
      </c>
      <c r="D51" s="31" t="inlineStr">
        <is>
          <t>textiles - cotton/blended</t>
        </is>
      </c>
      <c r="E51" s="31" t="inlineStr">
        <is>
          <t>smallcap</t>
        </is>
      </c>
      <c r="F51" s="31" t="n">
        <v>4419.82</v>
      </c>
      <c r="G51" s="31" t="n">
        <v>523.65</v>
      </c>
      <c r="H51" s="31" t="n">
        <v>4.06</v>
      </c>
      <c r="I51" s="31" t="n">
        <v>59980</v>
      </c>
      <c r="J51" s="31" t="inlineStr">
        <is>
          <t>544314</t>
        </is>
      </c>
    </row>
    <row r="52">
      <c r="A52" s="31" t="inlineStr">
        <is>
          <t>SWANDEF</t>
        </is>
      </c>
      <c r="B52" s="31" t="inlineStr">
        <is>
          <t>Swan Defence and Heavy Industries Ltd</t>
        </is>
      </c>
      <c r="C52" s="31" t="inlineStr">
        <is>
          <t>transportation</t>
        </is>
      </c>
      <c r="D52" s="31" t="inlineStr">
        <is>
          <t>miscellaneous</t>
        </is>
      </c>
      <c r="E52" s="31" t="inlineStr">
        <is>
          <t>midcap</t>
        </is>
      </c>
      <c r="F52" s="31" t="n">
        <v>15441.67</v>
      </c>
      <c r="G52" s="31" t="n">
        <v>2931.1</v>
      </c>
      <c r="H52" s="31" t="n">
        <v>4.06</v>
      </c>
      <c r="I52" s="31" t="n">
        <v>34275</v>
      </c>
      <c r="J52" s="31" t="inlineStr">
        <is>
          <t>533107</t>
        </is>
      </c>
    </row>
    <row r="53">
      <c r="A53" s="31" t="inlineStr">
        <is>
          <t>TDPOWERSYS</t>
        </is>
      </c>
      <c r="B53" s="31" t="inlineStr">
        <is>
          <t>Td Power Systems Limited</t>
        </is>
      </c>
      <c r="C53" s="31" t="inlineStr">
        <is>
          <t>industrials</t>
        </is>
      </c>
      <c r="D53" s="31" t="inlineStr">
        <is>
          <t>electric equipment</t>
        </is>
      </c>
      <c r="E53" s="31" t="inlineStr">
        <is>
          <t>largecap</t>
        </is>
      </c>
      <c r="F53" s="31" t="n">
        <v>25901.21</v>
      </c>
      <c r="G53" s="31" t="n">
        <v>825.65</v>
      </c>
      <c r="H53" s="31" t="n">
        <v>4.02</v>
      </c>
      <c r="I53" s="31" t="n">
        <v>5152173</v>
      </c>
      <c r="J53" s="31" t="inlineStr">
        <is>
          <t>533553</t>
        </is>
      </c>
    </row>
    <row r="54">
      <c r="A54" s="31" t="inlineStr">
        <is>
          <t>ONEPOINT</t>
        </is>
      </c>
      <c r="B54" s="31" t="inlineStr">
        <is>
          <t>One Point One Solutions Ltd</t>
        </is>
      </c>
      <c r="C54" s="31" t="inlineStr">
        <is>
          <t>i.t</t>
        </is>
      </c>
      <c r="D54" s="31" t="inlineStr">
        <is>
          <t>computers - software - medium / small</t>
        </is>
      </c>
      <c r="E54" s="31" t="inlineStr">
        <is>
          <t>smallcap</t>
        </is>
      </c>
      <c r="F54" s="31" t="n">
        <v>2196.31</v>
      </c>
      <c r="G54" s="31" t="n">
        <v>83.53</v>
      </c>
      <c r="H54" s="31" t="n">
        <v>3.94</v>
      </c>
      <c r="I54" s="31" t="n">
        <v>3674858</v>
      </c>
      <c r="J54" s="31" t="inlineStr">
        <is>
          <t>535039</t>
        </is>
      </c>
    </row>
    <row r="55">
      <c r="A55" s="31" t="inlineStr">
        <is>
          <t>PGIL</t>
        </is>
      </c>
      <c r="B55" s="31" t="inlineStr">
        <is>
          <t>Pearl Global Industries Limited</t>
        </is>
      </c>
      <c r="C55" s="31" t="inlineStr">
        <is>
          <t>readymade garments/apparels</t>
        </is>
      </c>
      <c r="D55" s="31" t="inlineStr">
        <is>
          <t>textiles - products</t>
        </is>
      </c>
      <c r="E55" s="31" t="inlineStr">
        <is>
          <t>midcap</t>
        </is>
      </c>
      <c r="F55" s="31" t="n">
        <v>12299.62</v>
      </c>
      <c r="G55" s="31" t="n">
        <v>1331.4</v>
      </c>
      <c r="H55" s="31" t="n">
        <v>3.93</v>
      </c>
      <c r="I55" s="31" t="n">
        <v>215291</v>
      </c>
      <c r="J55" s="31" t="inlineStr">
        <is>
          <t>532808</t>
        </is>
      </c>
    </row>
    <row r="56">
      <c r="A56" s="31" t="inlineStr">
        <is>
          <t>GANDHAR</t>
        </is>
      </c>
      <c r="B56" s="31" t="inlineStr">
        <is>
          <t>Gandhar Oil Refinery (India) Ltd</t>
        </is>
      </c>
      <c r="C56" s="31" t="inlineStr">
        <is>
          <t>energy</t>
        </is>
      </c>
      <c r="D56" s="31" t="inlineStr">
        <is>
          <t>refineries</t>
        </is>
      </c>
      <c r="E56" s="31" t="inlineStr">
        <is>
          <t>smallcap</t>
        </is>
      </c>
      <c r="F56" s="31" t="n">
        <v>3014.69</v>
      </c>
      <c r="G56" s="31" t="n">
        <v>308</v>
      </c>
      <c r="H56" s="31" t="n">
        <v>3.86</v>
      </c>
      <c r="I56" s="31" t="n">
        <v>1722761</v>
      </c>
      <c r="J56" s="31" t="inlineStr">
        <is>
          <t>544029</t>
        </is>
      </c>
    </row>
    <row r="57">
      <c r="A57" s="31" t="inlineStr">
        <is>
          <t>IBULLSLTD</t>
        </is>
      </c>
      <c r="B57" s="31" t="inlineStr">
        <is>
          <t>Indiabulls Limited</t>
        </is>
      </c>
      <c r="C57" s="31" t="inlineStr">
        <is>
          <t>miscellaneous</t>
        </is>
      </c>
      <c r="D57" s="31" t="inlineStr">
        <is>
          <t>diversified - medium / small</t>
        </is>
      </c>
      <c r="E57" s="31" t="inlineStr">
        <is>
          <t>midcap</t>
        </is>
      </c>
      <c r="F57" s="31" t="n">
        <v>8859.25</v>
      </c>
      <c r="G57" s="31" t="n">
        <v>38.03</v>
      </c>
      <c r="H57" s="31" t="n">
        <v>3.85</v>
      </c>
      <c r="I57" s="31" t="n">
        <v>34719650</v>
      </c>
      <c r="J57" s="31" t="inlineStr">
        <is>
          <t>533520</t>
        </is>
      </c>
    </row>
    <row r="58">
      <c r="A58" s="31" t="inlineStr">
        <is>
          <t>RPEL</t>
        </is>
      </c>
      <c r="B58" s="31" t="inlineStr">
        <is>
          <t>Raghav Productivity Enhancers Ltd</t>
        </is>
      </c>
      <c r="C58" s="31" t="inlineStr">
        <is>
          <t>building materials</t>
        </is>
      </c>
      <c r="D58" s="31" t="inlineStr">
        <is>
          <t>refractories / intermediates</t>
        </is>
      </c>
      <c r="E58" s="31" t="inlineStr">
        <is>
          <t>midcap</t>
        </is>
      </c>
      <c r="F58" s="31" t="n">
        <v>8259.059999999999</v>
      </c>
      <c r="G58" s="31" t="n">
        <v>1798.5</v>
      </c>
      <c r="H58" s="31" t="n">
        <v>3.71</v>
      </c>
      <c r="I58" s="31" t="n">
        <v>88207</v>
      </c>
      <c r="J58" s="31" t="inlineStr">
        <is>
          <t>539837</t>
        </is>
      </c>
    </row>
    <row r="59">
      <c r="A59" s="31" t="inlineStr">
        <is>
          <t>TATVA</t>
        </is>
      </c>
      <c r="B59" s="31" t="inlineStr">
        <is>
          <t>Tatva Chintan Pharma Chem Ltd</t>
        </is>
      </c>
      <c r="C59" s="31" t="inlineStr">
        <is>
          <t>chemicals</t>
        </is>
      </c>
      <c r="D59" s="31" t="inlineStr">
        <is>
          <t>chemicals</t>
        </is>
      </c>
      <c r="E59" s="31" t="inlineStr">
        <is>
          <t>smallcap</t>
        </is>
      </c>
      <c r="F59" s="31" t="n">
        <v>4376.89</v>
      </c>
      <c r="G59" s="31" t="n">
        <v>1871.1</v>
      </c>
      <c r="H59" s="31" t="n">
        <v>3.67</v>
      </c>
      <c r="I59" s="31" t="n">
        <v>72457</v>
      </c>
      <c r="J59" s="31" t="inlineStr">
        <is>
          <t>543321</t>
        </is>
      </c>
    </row>
    <row r="60">
      <c r="A60" s="31" t="inlineStr">
        <is>
          <t>BBOX</t>
        </is>
      </c>
      <c r="B60" s="31" t="inlineStr">
        <is>
          <t>Black Box Ltd</t>
        </is>
      </c>
      <c r="C60" s="31" t="inlineStr">
        <is>
          <t>i.t</t>
        </is>
      </c>
      <c r="D60" s="31" t="inlineStr">
        <is>
          <t>computers - software - medium / small</t>
        </is>
      </c>
      <c r="E60" s="31" t="inlineStr">
        <is>
          <t>midcap</t>
        </is>
      </c>
      <c r="F60" s="31" t="n">
        <v>16420.82</v>
      </c>
      <c r="G60" s="31" t="n">
        <v>924.6</v>
      </c>
      <c r="H60" s="31" t="n">
        <v>3.64</v>
      </c>
      <c r="I60" s="31" t="n">
        <v>1459449</v>
      </c>
      <c r="J60" s="31" t="inlineStr">
        <is>
          <t>500463</t>
        </is>
      </c>
    </row>
    <row r="61">
      <c r="A61" s="31" t="inlineStr">
        <is>
          <t>PNBHOUSING</t>
        </is>
      </c>
      <c r="B61" s="31" t="inlineStr">
        <is>
          <t>Pnb Housing Finance Limited</t>
        </is>
      </c>
      <c r="C61" s="31" t="inlineStr">
        <is>
          <t>financials</t>
        </is>
      </c>
      <c r="D61" s="31" t="inlineStr">
        <is>
          <t>finance - housing</t>
        </is>
      </c>
      <c r="E61" s="31" t="inlineStr">
        <is>
          <t>largecap</t>
        </is>
      </c>
      <c r="F61" s="31" t="n">
        <v>31270.79</v>
      </c>
      <c r="G61" s="31" t="n">
        <v>1200</v>
      </c>
      <c r="H61" s="31" t="n">
        <v>3.63</v>
      </c>
      <c r="I61" s="31" t="n">
        <v>1808660</v>
      </c>
      <c r="J61" s="31" t="inlineStr">
        <is>
          <t>540173</t>
        </is>
      </c>
    </row>
    <row r="62">
      <c r="A62" s="31" t="inlineStr">
        <is>
          <t>LXCHEM</t>
        </is>
      </c>
      <c r="B62" s="31" t="inlineStr">
        <is>
          <t>Laxmi Organic Industries Ltd</t>
        </is>
      </c>
      <c r="C62" s="31" t="inlineStr">
        <is>
          <t>chemicals</t>
        </is>
      </c>
      <c r="D62" s="31" t="inlineStr">
        <is>
          <t>chemicals</t>
        </is>
      </c>
      <c r="E62" s="31" t="inlineStr">
        <is>
          <t>midcap</t>
        </is>
      </c>
      <c r="F62" s="31" t="n">
        <v>5180.25</v>
      </c>
      <c r="G62" s="31" t="n">
        <v>186.87</v>
      </c>
      <c r="H62" s="31" t="n">
        <v>3.62</v>
      </c>
      <c r="I62" s="31" t="n">
        <v>1098971</v>
      </c>
      <c r="J62" s="31" t="inlineStr">
        <is>
          <t>543277</t>
        </is>
      </c>
    </row>
    <row r="63">
      <c r="A63" s="31" t="inlineStr">
        <is>
          <t>UNIMECH</t>
        </is>
      </c>
      <c r="B63" s="31" t="inlineStr">
        <is>
          <t>Unimech Aerospace and Manufacturing Ltd</t>
        </is>
      </c>
      <c r="C63" s="31" t="inlineStr">
        <is>
          <t>aerospace &amp; defence</t>
        </is>
      </c>
      <c r="D63" s="31" t="inlineStr">
        <is>
          <t>engineering</t>
        </is>
      </c>
      <c r="E63" s="31" t="inlineStr">
        <is>
          <t>midcap</t>
        </is>
      </c>
      <c r="F63" s="31" t="n">
        <v>9147.6</v>
      </c>
      <c r="G63" s="31" t="n">
        <v>1797.1</v>
      </c>
      <c r="H63" s="31" t="n">
        <v>3.59</v>
      </c>
      <c r="I63" s="31" t="n">
        <v>125479</v>
      </c>
      <c r="J63" s="31" t="inlineStr">
        <is>
          <t>544322</t>
        </is>
      </c>
    </row>
    <row r="64">
      <c r="A64" s="31" t="inlineStr">
        <is>
          <t>FINCABLES</t>
        </is>
      </c>
      <c r="B64" s="31" t="inlineStr">
        <is>
          <t>Finolex Cables Limited</t>
        </is>
      </c>
      <c r="C64" s="31" t="inlineStr">
        <is>
          <t>industrials</t>
        </is>
      </c>
      <c r="D64" s="31" t="inlineStr">
        <is>
          <t>cables - power</t>
        </is>
      </c>
      <c r="E64" s="31" t="inlineStr">
        <is>
          <t>largecap</t>
        </is>
      </c>
      <c r="F64" s="31" t="n">
        <v>21997.27</v>
      </c>
      <c r="G64" s="31" t="n">
        <v>1438.3</v>
      </c>
      <c r="H64" s="31" t="n">
        <v>3.57</v>
      </c>
      <c r="I64" s="31" t="n">
        <v>427159</v>
      </c>
      <c r="J64" s="31" t="inlineStr">
        <is>
          <t>500144</t>
        </is>
      </c>
    </row>
    <row r="65">
      <c r="A65" s="31" t="inlineStr">
        <is>
          <t>ANGELONE</t>
        </is>
      </c>
      <c r="B65" s="31" t="inlineStr">
        <is>
          <t>Angel One Ltd</t>
        </is>
      </c>
      <c r="C65" s="31" t="inlineStr">
        <is>
          <t>financials</t>
        </is>
      </c>
      <c r="D65" s="31" t="inlineStr">
        <is>
          <t>finance &amp; investments</t>
        </is>
      </c>
      <c r="E65" s="31" t="inlineStr">
        <is>
          <t>largecap</t>
        </is>
      </c>
      <c r="F65" s="31" t="n">
        <v>27611.11</v>
      </c>
      <c r="G65" s="31" t="n">
        <v>302.25</v>
      </c>
      <c r="H65" s="31" t="n">
        <v>3.51</v>
      </c>
      <c r="I65" s="31" t="n">
        <v>6496974</v>
      </c>
      <c r="J65" s="31" t="n"/>
    </row>
    <row r="66">
      <c r="A66" s="31" t="inlineStr">
        <is>
          <t>PANAMAPET</t>
        </is>
      </c>
      <c r="B66" s="31" t="inlineStr">
        <is>
          <t>Panama Petrochem Limited</t>
        </is>
      </c>
      <c r="C66" s="31" t="inlineStr">
        <is>
          <t>energy</t>
        </is>
      </c>
      <c r="D66" s="31" t="inlineStr">
        <is>
          <t>petrochemicals</t>
        </is>
      </c>
      <c r="E66" s="31" t="inlineStr">
        <is>
          <t>smallcap</t>
        </is>
      </c>
      <c r="F66" s="31" t="n">
        <v>3103.32</v>
      </c>
      <c r="G66" s="31" t="n">
        <v>513</v>
      </c>
      <c r="H66" s="31" t="n">
        <v>3.45</v>
      </c>
      <c r="I66" s="31" t="n">
        <v>227949</v>
      </c>
      <c r="J66" s="31" t="inlineStr">
        <is>
          <t>524820</t>
        </is>
      </c>
    </row>
    <row r="67">
      <c r="A67" s="31" t="inlineStr">
        <is>
          <t>SOMANYCERA</t>
        </is>
      </c>
      <c r="B67" s="31" t="inlineStr">
        <is>
          <t>Somany Ceramics Limited</t>
        </is>
      </c>
      <c r="C67" s="31" t="inlineStr">
        <is>
          <t>building materials</t>
        </is>
      </c>
      <c r="D67" s="31" t="inlineStr">
        <is>
          <t>ceramics - tiles / sanitaryware</t>
        </is>
      </c>
      <c r="E67" s="31" t="inlineStr">
        <is>
          <t>smallcap</t>
        </is>
      </c>
      <c r="F67" s="31" t="n">
        <v>2507.93</v>
      </c>
      <c r="G67" s="31" t="n">
        <v>611.5</v>
      </c>
      <c r="H67" s="31" t="n">
        <v>3.39</v>
      </c>
      <c r="I67" s="31" t="n">
        <v>69104</v>
      </c>
      <c r="J67" s="31" t="inlineStr">
        <is>
          <t>531548</t>
        </is>
      </c>
    </row>
    <row r="68">
      <c r="A68" s="31" t="inlineStr">
        <is>
          <t>AVALON</t>
        </is>
      </c>
      <c r="B68" s="31" t="inlineStr">
        <is>
          <t>Avalon Technologies Ltd</t>
        </is>
      </c>
      <c r="C68" s="31" t="inlineStr">
        <is>
          <t>consumer discretionary</t>
        </is>
      </c>
      <c r="D68" s="31" t="inlineStr">
        <is>
          <t>electronics - components</t>
        </is>
      </c>
      <c r="E68" s="31" t="inlineStr">
        <is>
          <t>midcap</t>
        </is>
      </c>
      <c r="F68" s="31" t="n">
        <v>15887.84</v>
      </c>
      <c r="G68" s="31" t="n">
        <v>2378</v>
      </c>
      <c r="H68" s="31" t="n">
        <v>3.37</v>
      </c>
      <c r="I68" s="31" t="n">
        <v>267408</v>
      </c>
      <c r="J68" s="31" t="inlineStr">
        <is>
          <t>543896</t>
        </is>
      </c>
    </row>
    <row r="69">
      <c r="A69" s="31" t="inlineStr">
        <is>
          <t>BALRAMCHIN</t>
        </is>
      </c>
      <c r="B69" s="31" t="inlineStr">
        <is>
          <t>Balrampur Chini Mills Limited</t>
        </is>
      </c>
      <c r="C69" s="31" t="inlineStr">
        <is>
          <t>fmcg</t>
        </is>
      </c>
      <c r="D69" s="31" t="inlineStr">
        <is>
          <t>sugar</t>
        </is>
      </c>
      <c r="E69" s="31" t="inlineStr">
        <is>
          <t>midcap</t>
        </is>
      </c>
      <c r="F69" s="31" t="n">
        <v>14828.75</v>
      </c>
      <c r="G69" s="31" t="n">
        <v>700.8</v>
      </c>
      <c r="H69" s="31" t="n">
        <v>3.34</v>
      </c>
      <c r="I69" s="31" t="n">
        <v>1140300</v>
      </c>
      <c r="J69" s="31" t="inlineStr">
        <is>
          <t>500038</t>
        </is>
      </c>
    </row>
    <row r="70">
      <c r="A70" s="31" t="inlineStr">
        <is>
          <t>TCPLPACK</t>
        </is>
      </c>
      <c r="B70" s="31" t="inlineStr">
        <is>
          <t>TCPL Packaging Ltd</t>
        </is>
      </c>
      <c r="C70" s="31" t="inlineStr">
        <is>
          <t>industrials</t>
        </is>
      </c>
      <c r="D70" s="31" t="inlineStr">
        <is>
          <t>packaging</t>
        </is>
      </c>
      <c r="E70" s="31" t="inlineStr">
        <is>
          <t>smallcap</t>
        </is>
      </c>
      <c r="F70" s="31" t="n">
        <v>4019.47</v>
      </c>
      <c r="G70" s="31" t="n">
        <v>4417</v>
      </c>
      <c r="H70" s="31" t="n">
        <v>3.33</v>
      </c>
      <c r="I70" s="31" t="n">
        <v>53787</v>
      </c>
      <c r="J70" s="31" t="inlineStr">
        <is>
          <t>523301</t>
        </is>
      </c>
    </row>
    <row r="71">
      <c r="A71" s="31" t="inlineStr">
        <is>
          <t>BIL</t>
        </is>
      </c>
      <c r="B71" s="31" t="inlineStr">
        <is>
          <t>Bhartiya International Limited</t>
        </is>
      </c>
      <c r="C71" s="31" t="inlineStr">
        <is>
          <t>consumer discretionary</t>
        </is>
      </c>
      <c r="D71" s="31" t="inlineStr">
        <is>
          <t>leather / leather products</t>
        </is>
      </c>
      <c r="E71" s="31" t="inlineStr">
        <is>
          <t>smallcap</t>
        </is>
      </c>
      <c r="F71" s="31" t="n">
        <v>1442.76</v>
      </c>
      <c r="G71" s="31" t="n">
        <v>1075.85</v>
      </c>
      <c r="H71" s="31" t="n">
        <v>3.24</v>
      </c>
      <c r="I71" s="31" t="n">
        <v>12778</v>
      </c>
      <c r="J71" s="31" t="inlineStr">
        <is>
          <t>526666</t>
        </is>
      </c>
    </row>
    <row r="72">
      <c r="A72" s="31" t="inlineStr">
        <is>
          <t>TFCILTD</t>
        </is>
      </c>
      <c r="B72" s="31" t="inlineStr">
        <is>
          <t>Tourism Finance Corporation Of India Limited</t>
        </is>
      </c>
      <c r="C72" s="31" t="inlineStr">
        <is>
          <t>financials</t>
        </is>
      </c>
      <c r="D72" s="31" t="inlineStr">
        <is>
          <t>finance - term-lending institutions</t>
        </is>
      </c>
      <c r="E72" s="31" t="inlineStr">
        <is>
          <t>midcap</t>
        </is>
      </c>
      <c r="F72" s="31" t="n">
        <v>7026.61</v>
      </c>
      <c r="G72" s="31" t="n">
        <v>151.77</v>
      </c>
      <c r="H72" s="31" t="n">
        <v>3.21</v>
      </c>
      <c r="I72" s="31" t="n">
        <v>5395064</v>
      </c>
      <c r="J72" s="31" t="inlineStr">
        <is>
          <t>526650</t>
        </is>
      </c>
    </row>
    <row r="73">
      <c r="A73" s="31" t="inlineStr">
        <is>
          <t>GCSL</t>
        </is>
      </c>
      <c r="B73" s="31" t="inlineStr">
        <is>
          <t>Gretex Corporate Services Ltd</t>
        </is>
      </c>
      <c r="C73" s="31" t="inlineStr">
        <is>
          <t>financials</t>
        </is>
      </c>
      <c r="D73" s="31" t="inlineStr">
        <is>
          <t>finance &amp; investments</t>
        </is>
      </c>
      <c r="E73" s="31" t="inlineStr">
        <is>
          <t>smallcap</t>
        </is>
      </c>
      <c r="F73" s="31" t="n">
        <v>1809.01</v>
      </c>
      <c r="G73" s="31" t="n">
        <v>723.45</v>
      </c>
      <c r="H73" s="31" t="n">
        <v>3.2</v>
      </c>
      <c r="I73" s="31" t="n">
        <v>250671</v>
      </c>
      <c r="J73" s="31" t="inlineStr">
        <is>
          <t>543324</t>
        </is>
      </c>
    </row>
    <row r="74">
      <c r="A74" s="31" t="inlineStr">
        <is>
          <t>BLKASHYAP</t>
        </is>
      </c>
      <c r="B74" s="31" t="inlineStr">
        <is>
          <t>B. L. Kashyap And Sons Limited</t>
        </is>
      </c>
      <c r="C74" s="31" t="inlineStr">
        <is>
          <t>realty</t>
        </is>
      </c>
      <c r="D74" s="31" t="inlineStr">
        <is>
          <t>construction</t>
        </is>
      </c>
      <c r="E74" s="31" t="inlineStr">
        <is>
          <t>smallcap</t>
        </is>
      </c>
      <c r="F74" s="31" t="n">
        <v>1285.46</v>
      </c>
      <c r="G74" s="31" t="n">
        <v>57.02</v>
      </c>
      <c r="H74" s="31" t="n">
        <v>3.17</v>
      </c>
      <c r="I74" s="31" t="n">
        <v>1355398</v>
      </c>
      <c r="J74" s="31" t="inlineStr">
        <is>
          <t>532719</t>
        </is>
      </c>
    </row>
    <row r="75">
      <c r="A75" s="31" t="inlineStr">
        <is>
          <t>GPPL</t>
        </is>
      </c>
      <c r="B75" s="31" t="inlineStr">
        <is>
          <t>Gujarat Pipavav Port Limited</t>
        </is>
      </c>
      <c r="C75" s="31" t="inlineStr">
        <is>
          <t>transportation</t>
        </is>
      </c>
      <c r="D75" s="31" t="inlineStr">
        <is>
          <t>miscellaneous</t>
        </is>
      </c>
      <c r="E75" s="31" t="inlineStr">
        <is>
          <t>midcap</t>
        </is>
      </c>
      <c r="F75" s="31" t="n">
        <v>8368.34</v>
      </c>
      <c r="G75" s="31" t="n">
        <v>173.1</v>
      </c>
      <c r="H75" s="31" t="n">
        <v>3.1</v>
      </c>
      <c r="I75" s="31" t="n">
        <v>1594878</v>
      </c>
      <c r="J75" s="31" t="inlineStr">
        <is>
          <t>533248</t>
        </is>
      </c>
    </row>
    <row r="76">
      <c r="A76" s="31" t="inlineStr">
        <is>
          <t>PATELRMART</t>
        </is>
      </c>
      <c r="B76" s="31" t="inlineStr">
        <is>
          <t>Patel Retail Ltd</t>
        </is>
      </c>
      <c r="C76" s="31" t="inlineStr">
        <is>
          <t>consumer discretionary</t>
        </is>
      </c>
      <c r="D76" s="31" t="inlineStr">
        <is>
          <t>trading</t>
        </is>
      </c>
      <c r="E76" s="31" t="inlineStr">
        <is>
          <t>smallcap</t>
        </is>
      </c>
      <c r="F76" s="31" t="n">
        <v>819.85</v>
      </c>
      <c r="G76" s="31" t="n">
        <v>245.46</v>
      </c>
      <c r="H76" s="31" t="n">
        <v>3.01</v>
      </c>
      <c r="I76" s="31" t="n">
        <v>178045</v>
      </c>
      <c r="J76" s="31" t="inlineStr">
        <is>
          <t>544487</t>
        </is>
      </c>
    </row>
    <row r="77">
      <c r="A77" s="31" t="inlineStr">
        <is>
          <t>LICHSGFIN</t>
        </is>
      </c>
      <c r="B77" s="31" t="inlineStr">
        <is>
          <t>Lic Housing Finance Limited</t>
        </is>
      </c>
      <c r="C77" s="31" t="inlineStr">
        <is>
          <t>financials</t>
        </is>
      </c>
      <c r="D77" s="31" t="inlineStr">
        <is>
          <t>finance - housing</t>
        </is>
      </c>
      <c r="E77" s="31" t="inlineStr">
        <is>
          <t>largecap</t>
        </is>
      </c>
      <c r="F77" s="31" t="n">
        <v>31243.58</v>
      </c>
      <c r="G77" s="31" t="n">
        <v>568</v>
      </c>
      <c r="H77" s="31" t="n">
        <v>2.96</v>
      </c>
      <c r="I77" s="31" t="n">
        <v>3553143</v>
      </c>
      <c r="J77" s="31" t="inlineStr">
        <is>
          <t>500253</t>
        </is>
      </c>
    </row>
    <row r="78">
      <c r="A78" s="31" t="inlineStr">
        <is>
          <t>KTKBANK</t>
        </is>
      </c>
      <c r="B78" s="31" t="inlineStr">
        <is>
          <t>The Karnataka Bank Limited</t>
        </is>
      </c>
      <c r="C78" s="31" t="inlineStr">
        <is>
          <t>bank</t>
        </is>
      </c>
      <c r="D78" s="31" t="inlineStr">
        <is>
          <t>banks - private sector</t>
        </is>
      </c>
      <c r="E78" s="31" t="inlineStr">
        <is>
          <t>midcap</t>
        </is>
      </c>
      <c r="F78" s="31" t="n">
        <v>12770.04</v>
      </c>
      <c r="G78" s="31" t="n">
        <v>337.65</v>
      </c>
      <c r="H78" s="31" t="n">
        <v>2.88</v>
      </c>
      <c r="I78" s="31" t="n">
        <v>2360467</v>
      </c>
      <c r="J78" s="31" t="inlineStr">
        <is>
          <t>532652</t>
        </is>
      </c>
    </row>
    <row r="79">
      <c r="A79" s="31" t="inlineStr">
        <is>
          <t>AVTNPL</t>
        </is>
      </c>
      <c r="B79" s="31" t="inlineStr">
        <is>
          <t>Avt Natural Products Limited</t>
        </is>
      </c>
      <c r="C79" s="31" t="inlineStr">
        <is>
          <t>fmcg</t>
        </is>
      </c>
      <c r="D79" s="31" t="inlineStr">
        <is>
          <t>solvent extraction</t>
        </is>
      </c>
      <c r="E79" s="31" t="inlineStr">
        <is>
          <t>smallcap</t>
        </is>
      </c>
      <c r="F79" s="31" t="n">
        <v>1484.77</v>
      </c>
      <c r="G79" s="31" t="n">
        <v>97.5</v>
      </c>
      <c r="H79" s="31" t="n">
        <v>2.87</v>
      </c>
      <c r="I79" s="31" t="n">
        <v>1879399</v>
      </c>
      <c r="J79" s="31" t="inlineStr">
        <is>
          <t>519105</t>
        </is>
      </c>
    </row>
    <row r="80">
      <c r="A80" s="31" t="inlineStr">
        <is>
          <t>GABRIEL</t>
        </is>
      </c>
      <c r="B80" s="31" t="inlineStr">
        <is>
          <t>Gabriel India Limited</t>
        </is>
      </c>
      <c r="C80" s="31" t="inlineStr">
        <is>
          <t>auto</t>
        </is>
      </c>
      <c r="D80" s="31" t="inlineStr">
        <is>
          <t>auto ancillaries</t>
        </is>
      </c>
      <c r="E80" s="31" t="inlineStr">
        <is>
          <t>largecap</t>
        </is>
      </c>
      <c r="F80" s="31" t="n">
        <v>26851.79</v>
      </c>
      <c r="G80" s="31" t="n">
        <v>1401.2</v>
      </c>
      <c r="H80" s="31" t="n">
        <v>2.86</v>
      </c>
      <c r="I80" s="31" t="n">
        <v>309507</v>
      </c>
      <c r="J80" s="31" t="inlineStr">
        <is>
          <t>505714</t>
        </is>
      </c>
    </row>
    <row r="81">
      <c r="A81" s="31" t="inlineStr">
        <is>
          <t>CYIENTDLM</t>
        </is>
      </c>
      <c r="B81" s="31" t="inlineStr">
        <is>
          <t>Cyient DLM Ltd</t>
        </is>
      </c>
      <c r="C81" s="31" t="inlineStr">
        <is>
          <t>aerospace &amp; defence</t>
        </is>
      </c>
      <c r="D81" s="31" t="inlineStr">
        <is>
          <t>electronics - components</t>
        </is>
      </c>
      <c r="E81" s="31" t="inlineStr">
        <is>
          <t>midcap</t>
        </is>
      </c>
      <c r="F81" s="31" t="n">
        <v>7772.43</v>
      </c>
      <c r="G81" s="31" t="n">
        <v>979.1</v>
      </c>
      <c r="H81" s="31" t="n">
        <v>2.81</v>
      </c>
      <c r="I81" s="31" t="n">
        <v>328032</v>
      </c>
      <c r="J81" s="31" t="inlineStr">
        <is>
          <t>543933</t>
        </is>
      </c>
    </row>
    <row r="82">
      <c r="A82" s="31" t="inlineStr">
        <is>
          <t>GRWRHITECH</t>
        </is>
      </c>
      <c r="B82" s="31" t="inlineStr">
        <is>
          <t>Garware Hi Tech Films Ltd</t>
        </is>
      </c>
      <c r="C82" s="31" t="inlineStr">
        <is>
          <t>industrials</t>
        </is>
      </c>
      <c r="D82" s="31" t="inlineStr">
        <is>
          <t>packaging</t>
        </is>
      </c>
      <c r="E82" s="31" t="inlineStr">
        <is>
          <t>midcap</t>
        </is>
      </c>
      <c r="F82" s="31" t="n">
        <v>16712.22</v>
      </c>
      <c r="G82" s="31" t="n">
        <v>7193.5</v>
      </c>
      <c r="H82" s="31" t="n">
        <v>2.8</v>
      </c>
      <c r="I82" s="31" t="n">
        <v>57451</v>
      </c>
      <c r="J82" s="31" t="inlineStr">
        <is>
          <t>500655</t>
        </is>
      </c>
    </row>
    <row r="83">
      <c r="A83" s="31" t="inlineStr">
        <is>
          <t>LOKESHMACH</t>
        </is>
      </c>
      <c r="B83" s="31" t="inlineStr">
        <is>
          <t>Lokesh Machines Limited</t>
        </is>
      </c>
      <c r="C83" s="31" t="inlineStr">
        <is>
          <t>industrials</t>
        </is>
      </c>
      <c r="D83" s="31" t="inlineStr">
        <is>
          <t>engineering</t>
        </is>
      </c>
      <c r="E83" s="31" t="inlineStr">
        <is>
          <t>smallcap</t>
        </is>
      </c>
      <c r="F83" s="31" t="n">
        <v>1009.95</v>
      </c>
      <c r="G83" s="31" t="n">
        <v>463.35</v>
      </c>
      <c r="H83" s="31" t="n">
        <v>2.8</v>
      </c>
      <c r="I83" s="31" t="n">
        <v>90493</v>
      </c>
      <c r="J83" s="31" t="inlineStr">
        <is>
          <t>532740</t>
        </is>
      </c>
    </row>
    <row r="84">
      <c r="A84" s="31" t="inlineStr">
        <is>
          <t>SBC</t>
        </is>
      </c>
      <c r="B84" s="31" t="inlineStr">
        <is>
          <t>SBC Exports Ltd</t>
        </is>
      </c>
      <c r="C84" s="31" t="inlineStr">
        <is>
          <t>textiles</t>
        </is>
      </c>
      <c r="D84" s="31" t="inlineStr">
        <is>
          <t>textiles - products</t>
        </is>
      </c>
      <c r="E84" s="31" t="inlineStr">
        <is>
          <t>smallcap</t>
        </is>
      </c>
      <c r="F84" s="31" t="n">
        <v>3056.19</v>
      </c>
      <c r="G84" s="31" t="n">
        <v>64.18000000000001</v>
      </c>
      <c r="H84" s="31" t="n">
        <v>2.8</v>
      </c>
      <c r="I84" s="31" t="n">
        <v>25712281</v>
      </c>
      <c r="J84" s="31" t="inlineStr">
        <is>
          <t>542725</t>
        </is>
      </c>
    </row>
    <row r="85">
      <c r="A85" s="31" t="inlineStr">
        <is>
          <t>SHYAMMETL</t>
        </is>
      </c>
      <c r="B85" s="31" t="inlineStr">
        <is>
          <t>Shyam Metalics &amp; Energy Ltd</t>
        </is>
      </c>
      <c r="C85" s="31" t="inlineStr">
        <is>
          <t>metals &amp; mining</t>
        </is>
      </c>
      <c r="D85" s="31" t="inlineStr">
        <is>
          <t>steel - large</t>
        </is>
      </c>
      <c r="E85" s="31" t="inlineStr">
        <is>
          <t>largecap</t>
        </is>
      </c>
      <c r="F85" s="31" t="n">
        <v>30383.5</v>
      </c>
      <c r="G85" s="31" t="n">
        <v>1088.5</v>
      </c>
      <c r="H85" s="31" t="n">
        <v>2.68</v>
      </c>
      <c r="I85" s="31" t="n">
        <v>268135</v>
      </c>
      <c r="J85" s="31" t="inlineStr">
        <is>
          <t>543299</t>
        </is>
      </c>
    </row>
    <row r="86">
      <c r="A86" s="31" t="inlineStr">
        <is>
          <t>NAVINFLUOR</t>
        </is>
      </c>
      <c r="B86" s="31" t="inlineStr">
        <is>
          <t>Navin Fluorine International Limited</t>
        </is>
      </c>
      <c r="C86" s="31" t="inlineStr">
        <is>
          <t>chemicals</t>
        </is>
      </c>
      <c r="D86" s="31" t="inlineStr">
        <is>
          <t>chemicals</t>
        </is>
      </c>
      <c r="E86" s="31" t="inlineStr">
        <is>
          <t>largecap</t>
        </is>
      </c>
      <c r="F86" s="31" t="n">
        <v>43910.36</v>
      </c>
      <c r="G86" s="31" t="n">
        <v>8561</v>
      </c>
      <c r="H86" s="31" t="n">
        <v>2.5</v>
      </c>
      <c r="I86" s="31" t="n">
        <v>72793</v>
      </c>
      <c r="J86" s="31" t="inlineStr">
        <is>
          <t>532504</t>
        </is>
      </c>
    </row>
    <row r="87">
      <c r="A87" s="31" t="inlineStr">
        <is>
          <t>ORBTEXP</t>
        </is>
      </c>
      <c r="B87" s="31" t="inlineStr">
        <is>
          <t>Orbit Exports Limited</t>
        </is>
      </c>
      <c r="C87" s="31" t="inlineStr">
        <is>
          <t>textiles</t>
        </is>
      </c>
      <c r="D87" s="31" t="inlineStr">
        <is>
          <t>textiles - processing</t>
        </is>
      </c>
      <c r="E87" s="31" t="inlineStr">
        <is>
          <t>smallcap</t>
        </is>
      </c>
      <c r="F87" s="31" t="n">
        <v>668.48</v>
      </c>
      <c r="G87" s="31" t="n">
        <v>252.15</v>
      </c>
      <c r="H87" s="31" t="n">
        <v>2.48</v>
      </c>
      <c r="I87" s="31" t="n">
        <v>2979</v>
      </c>
      <c r="J87" s="31" t="inlineStr">
        <is>
          <t>512626</t>
        </is>
      </c>
    </row>
    <row r="88">
      <c r="A88" s="31" t="inlineStr">
        <is>
          <t>JAMNAAUTO</t>
        </is>
      </c>
      <c r="B88" s="31" t="inlineStr">
        <is>
          <t>Jamna Auto Industries Limited</t>
        </is>
      </c>
      <c r="C88" s="31" t="inlineStr">
        <is>
          <t>auto</t>
        </is>
      </c>
      <c r="D88" s="31" t="inlineStr">
        <is>
          <t>auto ancillaries</t>
        </is>
      </c>
      <c r="E88" s="31" t="inlineStr">
        <is>
          <t>midcap</t>
        </is>
      </c>
      <c r="F88" s="31" t="n">
        <v>5844.48</v>
      </c>
      <c r="G88" s="31" t="n">
        <v>146.19</v>
      </c>
      <c r="H88" s="31" t="n">
        <v>2.47</v>
      </c>
      <c r="I88" s="31" t="n">
        <v>1929131</v>
      </c>
      <c r="J88" s="31" t="inlineStr">
        <is>
          <t>520051</t>
        </is>
      </c>
    </row>
    <row r="89">
      <c r="A89" s="31" t="inlineStr">
        <is>
          <t>MOTILALOFS</t>
        </is>
      </c>
      <c r="B89" s="31" t="inlineStr">
        <is>
          <t>Motilal Oswal Financial Services Limited</t>
        </is>
      </c>
      <c r="C89" s="31" t="inlineStr">
        <is>
          <t>financials</t>
        </is>
      </c>
      <c r="D89" s="31" t="inlineStr">
        <is>
          <t>finance &amp; investments</t>
        </is>
      </c>
      <c r="E89" s="31" t="inlineStr">
        <is>
          <t>largecap</t>
        </is>
      </c>
      <c r="F89" s="31" t="n">
        <v>63285.62</v>
      </c>
      <c r="G89" s="31" t="n">
        <v>1051</v>
      </c>
      <c r="H89" s="31" t="n">
        <v>2.44</v>
      </c>
      <c r="I89" s="31" t="n">
        <v>953453</v>
      </c>
      <c r="J89" s="31" t="inlineStr">
        <is>
          <t>532892</t>
        </is>
      </c>
    </row>
    <row r="90">
      <c r="A90" s="31" t="inlineStr">
        <is>
          <t>IGPL</t>
        </is>
      </c>
      <c r="B90" s="31" t="inlineStr">
        <is>
          <t>Ig Petrochemicals Limited</t>
        </is>
      </c>
      <c r="C90" s="31" t="inlineStr">
        <is>
          <t>chemicals</t>
        </is>
      </c>
      <c r="D90" s="31" t="inlineStr">
        <is>
          <t>chemicals</t>
        </is>
      </c>
      <c r="E90" s="31" t="inlineStr">
        <is>
          <t>smallcap</t>
        </is>
      </c>
      <c r="F90" s="31" t="n">
        <v>1786.1</v>
      </c>
      <c r="G90" s="31" t="n">
        <v>580</v>
      </c>
      <c r="H90" s="31" t="n">
        <v>2.33</v>
      </c>
      <c r="I90" s="31" t="n">
        <v>24027</v>
      </c>
      <c r="J90" s="31" t="inlineStr">
        <is>
          <t>500199</t>
        </is>
      </c>
    </row>
    <row r="91">
      <c r="A91" s="31" t="inlineStr">
        <is>
          <t>SOUTHBANK</t>
        </is>
      </c>
      <c r="B91" s="31" t="inlineStr">
        <is>
          <t>The South Indian Bank Limited</t>
        </is>
      </c>
      <c r="C91" s="31" t="inlineStr">
        <is>
          <t>bank</t>
        </is>
      </c>
      <c r="D91" s="31" t="inlineStr">
        <is>
          <t>banks - private sector</t>
        </is>
      </c>
      <c r="E91" s="31" t="inlineStr">
        <is>
          <t>midcap</t>
        </is>
      </c>
      <c r="F91" s="31" t="n">
        <v>12831.14</v>
      </c>
      <c r="G91" s="31" t="n">
        <v>49.01</v>
      </c>
      <c r="H91" s="31" t="n">
        <v>2.3</v>
      </c>
      <c r="I91" s="31" t="n">
        <v>13161293</v>
      </c>
      <c r="J91" s="31" t="inlineStr">
        <is>
          <t>532218</t>
        </is>
      </c>
    </row>
    <row r="92">
      <c r="A92" s="31" t="inlineStr">
        <is>
          <t>MAYURUNIQ</t>
        </is>
      </c>
      <c r="B92" s="31" t="inlineStr">
        <is>
          <t>Mayur Uniquoters Ltd</t>
        </is>
      </c>
      <c r="C92" s="31" t="inlineStr">
        <is>
          <t>consumer discretionary</t>
        </is>
      </c>
      <c r="D92" s="31" t="inlineStr">
        <is>
          <t>leather / leather products</t>
        </is>
      </c>
      <c r="E92" s="31" t="inlineStr">
        <is>
          <t>smallcap</t>
        </is>
      </c>
      <c r="F92" s="31" t="n">
        <v>3502.71</v>
      </c>
      <c r="G92" s="31" t="n">
        <v>806.1</v>
      </c>
      <c r="H92" s="31" t="n">
        <v>2.25</v>
      </c>
      <c r="I92" s="31" t="n">
        <v>215689</v>
      </c>
      <c r="J92" s="31" t="inlineStr">
        <is>
          <t>522249</t>
        </is>
      </c>
    </row>
    <row r="93">
      <c r="A93" s="31" t="inlineStr">
        <is>
          <t>RGL</t>
        </is>
      </c>
      <c r="B93" s="31" t="inlineStr">
        <is>
          <t>Renaissance Global Ltd</t>
        </is>
      </c>
      <c r="C93" s="31" t="inlineStr">
        <is>
          <t>consumer discretionary</t>
        </is>
      </c>
      <c r="D93" s="31" t="inlineStr">
        <is>
          <t>diamond cutting / jewellery</t>
        </is>
      </c>
      <c r="E93" s="31" t="inlineStr">
        <is>
          <t>smallcap</t>
        </is>
      </c>
      <c r="F93" s="31" t="n">
        <v>1763.96</v>
      </c>
      <c r="G93" s="31" t="n">
        <v>164.29</v>
      </c>
      <c r="H93" s="31" t="n">
        <v>2.21</v>
      </c>
      <c r="I93" s="31" t="n">
        <v>433298</v>
      </c>
      <c r="J93" s="31" t="inlineStr">
        <is>
          <t>532923</t>
        </is>
      </c>
    </row>
    <row r="94">
      <c r="A94" s="31" t="inlineStr">
        <is>
          <t>MCX</t>
        </is>
      </c>
      <c r="B94" s="31" t="inlineStr">
        <is>
          <t>Multi Commodity Exchange Of India Limited</t>
        </is>
      </c>
      <c r="C94" s="31" t="inlineStr">
        <is>
          <t>financials</t>
        </is>
      </c>
      <c r="D94" s="31" t="inlineStr">
        <is>
          <t>miscellaneous</t>
        </is>
      </c>
      <c r="E94" s="31" t="inlineStr">
        <is>
          <t>largecap</t>
        </is>
      </c>
      <c r="F94" s="31" t="n">
        <v>86442.24000000001</v>
      </c>
      <c r="G94" s="31" t="n">
        <v>3390</v>
      </c>
      <c r="H94" s="31" t="n">
        <v>2.16</v>
      </c>
      <c r="I94" s="31" t="n">
        <v>1699974</v>
      </c>
      <c r="J94" s="31" t="inlineStr">
        <is>
          <t>534091</t>
        </is>
      </c>
    </row>
    <row r="95">
      <c r="A95" s="31" t="inlineStr">
        <is>
          <t>SOTL</t>
        </is>
      </c>
      <c r="B95" s="31" t="inlineStr">
        <is>
          <t>Savita Oil Technologies Limited</t>
        </is>
      </c>
      <c r="C95" s="31" t="inlineStr">
        <is>
          <t>energy</t>
        </is>
      </c>
      <c r="D95" s="31" t="inlineStr">
        <is>
          <t>petrochemicals</t>
        </is>
      </c>
      <c r="E95" s="31" t="inlineStr">
        <is>
          <t>midcap</t>
        </is>
      </c>
      <c r="F95" s="31" t="n">
        <v>5355.25</v>
      </c>
      <c r="G95" s="31" t="n">
        <v>781.1</v>
      </c>
      <c r="H95" s="31" t="n">
        <v>2.13</v>
      </c>
      <c r="I95" s="31" t="n">
        <v>168363</v>
      </c>
      <c r="J95" s="31" t="inlineStr">
        <is>
          <t>524667</t>
        </is>
      </c>
    </row>
    <row r="96">
      <c r="A96" s="31" t="inlineStr">
        <is>
          <t>JGCHEM</t>
        </is>
      </c>
      <c r="B96" s="31" t="inlineStr">
        <is>
          <t>J.G.Chemicals Ltd</t>
        </is>
      </c>
      <c r="C96" s="31" t="inlineStr">
        <is>
          <t>chemicals</t>
        </is>
      </c>
      <c r="D96" s="31" t="inlineStr">
        <is>
          <t>chemicals</t>
        </is>
      </c>
      <c r="E96" s="31" t="inlineStr">
        <is>
          <t>smallcap</t>
        </is>
      </c>
      <c r="F96" s="31" t="n">
        <v>2523.58</v>
      </c>
      <c r="G96" s="31" t="n">
        <v>644</v>
      </c>
      <c r="H96" s="31" t="n">
        <v>2.1</v>
      </c>
      <c r="I96" s="31" t="n">
        <v>224160</v>
      </c>
      <c r="J96" s="31" t="n"/>
    </row>
    <row r="97">
      <c r="A97" s="31" t="inlineStr">
        <is>
          <t>SATIA</t>
        </is>
      </c>
      <c r="B97" s="31" t="inlineStr">
        <is>
          <t>Satia Industries Ltd</t>
        </is>
      </c>
      <c r="C97" s="31" t="inlineStr">
        <is>
          <t>building materials</t>
        </is>
      </c>
      <c r="D97" s="31" t="inlineStr">
        <is>
          <t>paper</t>
        </is>
      </c>
      <c r="E97" s="31" t="inlineStr">
        <is>
          <t>smallcap</t>
        </is>
      </c>
      <c r="F97" s="31" t="n">
        <v>694.7</v>
      </c>
      <c r="G97" s="31" t="n">
        <v>69.47</v>
      </c>
      <c r="H97" s="31" t="n">
        <v>2.07</v>
      </c>
      <c r="I97" s="31" t="n">
        <v>84927</v>
      </c>
      <c r="J97" s="31" t="inlineStr">
        <is>
          <t>539201</t>
        </is>
      </c>
    </row>
    <row r="98">
      <c r="A98" s="31" t="inlineStr">
        <is>
          <t>GREENPLY</t>
        </is>
      </c>
      <c r="B98" s="31" t="inlineStr">
        <is>
          <t>Greenply Industries Limited</t>
        </is>
      </c>
      <c r="C98" s="31" t="inlineStr">
        <is>
          <t>building materials</t>
        </is>
      </c>
      <c r="D98" s="31" t="inlineStr">
        <is>
          <t>miscellaneous</t>
        </is>
      </c>
      <c r="E98" s="31" t="inlineStr">
        <is>
          <t>smallcap</t>
        </is>
      </c>
      <c r="F98" s="31" t="n">
        <v>3909.43</v>
      </c>
      <c r="G98" s="31" t="n">
        <v>313</v>
      </c>
      <c r="H98" s="31" t="n">
        <v>2.05</v>
      </c>
      <c r="I98" s="31" t="n">
        <v>343584</v>
      </c>
      <c r="J98" s="31" t="inlineStr">
        <is>
          <t>526797</t>
        </is>
      </c>
    </row>
    <row r="99">
      <c r="A99" s="31" t="inlineStr">
        <is>
          <t>BAFNAPH</t>
        </is>
      </c>
      <c r="B99" s="31" t="inlineStr">
        <is>
          <t>Bafna Pharmaceuticals Ltd</t>
        </is>
      </c>
      <c r="C99" s="31" t="inlineStr">
        <is>
          <t>healthcare</t>
        </is>
      </c>
      <c r="D99" s="31" t="inlineStr">
        <is>
          <t>pharmaceuticals - indian - formulations</t>
        </is>
      </c>
      <c r="E99" s="31" t="inlineStr">
        <is>
          <t>smallcap</t>
        </is>
      </c>
      <c r="F99" s="31" t="n">
        <v>1008.59</v>
      </c>
      <c r="G99" s="31" t="n">
        <v>426.35</v>
      </c>
      <c r="H99" s="31" t="n">
        <v>2</v>
      </c>
      <c r="I99" s="31" t="n">
        <v>190</v>
      </c>
      <c r="J99" s="31" t="inlineStr">
        <is>
          <t>532989</t>
        </is>
      </c>
    </row>
    <row r="100">
      <c r="A100" s="31" t="inlineStr">
        <is>
          <t>AZAD</t>
        </is>
      </c>
      <c r="B100" s="31" t="inlineStr">
        <is>
          <t>Azad Engineering Ltd</t>
        </is>
      </c>
      <c r="C100" s="31" t="inlineStr">
        <is>
          <t>aerospace &amp; defence</t>
        </is>
      </c>
      <c r="D100" s="31" t="inlineStr">
        <is>
          <t>engineering</t>
        </is>
      </c>
      <c r="E100" s="31" t="inlineStr">
        <is>
          <t>midcap</t>
        </is>
      </c>
      <c r="F100" s="31" t="n">
        <v>19170.44</v>
      </c>
      <c r="G100" s="31" t="n">
        <v>2968.4</v>
      </c>
      <c r="H100" s="31" t="n">
        <v>2</v>
      </c>
      <c r="I100" s="31" t="n">
        <v>554193</v>
      </c>
      <c r="J100" s="31" t="inlineStr">
        <is>
          <t>544061</t>
        </is>
      </c>
    </row>
    <row r="101">
      <c r="A101" s="31" t="inlineStr">
        <is>
          <t>MARINE</t>
        </is>
      </c>
      <c r="B101" s="31" t="inlineStr">
        <is>
          <t>Marine Electricals (India) Ltd</t>
        </is>
      </c>
      <c r="C101" s="31" t="inlineStr">
        <is>
          <t>industrials</t>
        </is>
      </c>
      <c r="D101" s="31" t="inlineStr">
        <is>
          <t>electric equipment</t>
        </is>
      </c>
      <c r="E101" s="31" t="inlineStr">
        <is>
          <t>midcap</t>
        </is>
      </c>
      <c r="F101" s="31" t="n">
        <v>6502.52</v>
      </c>
      <c r="G101" s="31" t="n">
        <v>464.65</v>
      </c>
      <c r="H101" s="31" t="n">
        <v>1.98</v>
      </c>
      <c r="I101" s="31" t="n">
        <v>876589</v>
      </c>
      <c r="J101" s="31" t="inlineStr">
        <is>
          <t>535119</t>
        </is>
      </c>
    </row>
    <row r="102">
      <c r="A102" s="31" t="inlineStr">
        <is>
          <t>RPTECH</t>
        </is>
      </c>
      <c r="B102" s="31" t="inlineStr">
        <is>
          <t>Rashi Peripherals Ltd</t>
        </is>
      </c>
      <c r="C102" s="31" t="inlineStr">
        <is>
          <t>i.t</t>
        </is>
      </c>
      <c r="D102" s="31" t="inlineStr">
        <is>
          <t>trading</t>
        </is>
      </c>
      <c r="E102" s="31" t="inlineStr">
        <is>
          <t>midcap</t>
        </is>
      </c>
      <c r="F102" s="31" t="n">
        <v>5979.41</v>
      </c>
      <c r="G102" s="31" t="n">
        <v>907.35</v>
      </c>
      <c r="H102" s="31" t="n">
        <v>1.98</v>
      </c>
      <c r="I102" s="31" t="n">
        <v>222075</v>
      </c>
      <c r="J102" s="31" t="n"/>
    </row>
    <row r="103">
      <c r="A103" s="31" t="inlineStr">
        <is>
          <t>HFCL</t>
        </is>
      </c>
      <c r="B103" s="31" t="inlineStr">
        <is>
          <t>HFCL Ltd</t>
        </is>
      </c>
      <c r="C103" s="31" t="inlineStr">
        <is>
          <t>telecom</t>
        </is>
      </c>
      <c r="D103" s="31" t="inlineStr">
        <is>
          <t>cables - telephone</t>
        </is>
      </c>
      <c r="E103" s="31" t="inlineStr">
        <is>
          <t>largecap</t>
        </is>
      </c>
      <c r="F103" s="31" t="n">
        <v>40634.43</v>
      </c>
      <c r="G103" s="31" t="n">
        <v>265.48</v>
      </c>
      <c r="H103" s="31" t="n">
        <v>1.95</v>
      </c>
      <c r="I103" s="31" t="n">
        <v>5513432</v>
      </c>
      <c r="J103" s="31" t="inlineStr">
        <is>
          <t>500183</t>
        </is>
      </c>
    </row>
    <row r="104">
      <c r="A104" s="31" t="inlineStr">
        <is>
          <t>KABRAEXTRU</t>
        </is>
      </c>
      <c r="B104" s="31" t="inlineStr">
        <is>
          <t>Kabra Extrusion Technik Limited</t>
        </is>
      </c>
      <c r="C104" s="31" t="inlineStr">
        <is>
          <t>industrials</t>
        </is>
      </c>
      <c r="D104" s="31" t="inlineStr">
        <is>
          <t>engineering</t>
        </is>
      </c>
      <c r="E104" s="31" t="inlineStr">
        <is>
          <t>smallcap</t>
        </is>
      </c>
      <c r="F104" s="31" t="n">
        <v>3141.23</v>
      </c>
      <c r="G104" s="31" t="n">
        <v>811</v>
      </c>
      <c r="H104" s="31" t="n">
        <v>1.9</v>
      </c>
      <c r="I104" s="31" t="n">
        <v>41262</v>
      </c>
      <c r="J104" s="31" t="inlineStr">
        <is>
          <t>524109</t>
        </is>
      </c>
    </row>
    <row r="105">
      <c r="A105" s="31" t="inlineStr">
        <is>
          <t>LALPATHLAB</t>
        </is>
      </c>
      <c r="B105" s="31" t="inlineStr">
        <is>
          <t>Dr. Lal Path Labs Ltd.</t>
        </is>
      </c>
      <c r="C105" s="31" t="inlineStr">
        <is>
          <t>healthcare</t>
        </is>
      </c>
      <c r="D105" s="31" t="inlineStr">
        <is>
          <t>healthcare</t>
        </is>
      </c>
      <c r="E105" s="31" t="inlineStr">
        <is>
          <t>largecap</t>
        </is>
      </c>
      <c r="F105" s="31" t="n">
        <v>33019.61</v>
      </c>
      <c r="G105" s="31" t="n">
        <v>1969.7</v>
      </c>
      <c r="H105" s="31" t="n">
        <v>1.87</v>
      </c>
      <c r="I105" s="31" t="n">
        <v>191545</v>
      </c>
      <c r="J105" s="31" t="inlineStr">
        <is>
          <t>539524</t>
        </is>
      </c>
    </row>
    <row r="106">
      <c r="A106" s="31" t="inlineStr">
        <is>
          <t>EBGNG</t>
        </is>
      </c>
      <c r="B106" s="31" t="inlineStr">
        <is>
          <t>GNG Electronics Ltd</t>
        </is>
      </c>
      <c r="C106" s="31" t="inlineStr">
        <is>
          <t>services</t>
        </is>
      </c>
      <c r="D106" s="31" t="inlineStr">
        <is>
          <t>trading</t>
        </is>
      </c>
      <c r="E106" s="31" t="inlineStr">
        <is>
          <t>midcap</t>
        </is>
      </c>
      <c r="F106" s="31" t="n">
        <v>7960.85</v>
      </c>
      <c r="G106" s="31" t="n">
        <v>698.25</v>
      </c>
      <c r="H106" s="31" t="n">
        <v>1.86</v>
      </c>
      <c r="I106" s="31" t="n">
        <v>371396</v>
      </c>
      <c r="J106" s="31" t="inlineStr">
        <is>
          <t>544455</t>
        </is>
      </c>
    </row>
    <row r="107">
      <c r="A107" s="31" t="inlineStr">
        <is>
          <t>SGFIN</t>
        </is>
      </c>
      <c r="B107" s="31" t="inlineStr">
        <is>
          <t>SG Finserve Ltd</t>
        </is>
      </c>
      <c r="C107" s="31" t="inlineStr">
        <is>
          <t>financials</t>
        </is>
      </c>
      <c r="D107" s="31" t="inlineStr">
        <is>
          <t>finance &amp; investments</t>
        </is>
      </c>
      <c r="E107" s="31" t="inlineStr">
        <is>
          <t>smallcap</t>
        </is>
      </c>
      <c r="F107" s="31" t="n">
        <v>4537.2</v>
      </c>
      <c r="G107" s="31" t="n">
        <v>688.55</v>
      </c>
      <c r="H107" s="31" t="n">
        <v>1.85</v>
      </c>
      <c r="I107" s="31" t="n">
        <v>615946</v>
      </c>
      <c r="J107" s="31" t="inlineStr">
        <is>
          <t>539199</t>
        </is>
      </c>
    </row>
    <row r="108">
      <c r="A108" s="31" t="inlineStr">
        <is>
          <t>AETHER</t>
        </is>
      </c>
      <c r="B108" s="31" t="inlineStr">
        <is>
          <t>Aether Industries Ltd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largecap</t>
        </is>
      </c>
      <c r="F108" s="31" t="n">
        <v>23616.27</v>
      </c>
      <c r="G108" s="31" t="n">
        <v>1779.3</v>
      </c>
      <c r="H108" s="31" t="n">
        <v>1.78</v>
      </c>
      <c r="I108" s="31" t="n">
        <v>193201</v>
      </c>
      <c r="J108" s="31" t="inlineStr">
        <is>
          <t>543534</t>
        </is>
      </c>
    </row>
    <row r="109">
      <c r="A109" s="31" t="inlineStr">
        <is>
          <t>SSWL</t>
        </is>
      </c>
      <c r="B109" s="31" t="inlineStr">
        <is>
          <t>Steel Strips Wheels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midcap</t>
        </is>
      </c>
      <c r="F109" s="31" t="n">
        <v>6506.48</v>
      </c>
      <c r="G109" s="31" t="n">
        <v>413.95</v>
      </c>
      <c r="H109" s="31" t="n">
        <v>1.76</v>
      </c>
      <c r="I109" s="31" t="n">
        <v>507335</v>
      </c>
      <c r="J109" s="31" t="inlineStr">
        <is>
          <t>513262</t>
        </is>
      </c>
    </row>
    <row r="110">
      <c r="A110" s="31" t="inlineStr">
        <is>
          <t>PLASTIBLEN</t>
        </is>
      </c>
      <c r="B110" s="31" t="inlineStr">
        <is>
          <t>Plastiblends India Limited</t>
        </is>
      </c>
      <c r="C110" s="31" t="inlineStr">
        <is>
          <t>chemicals</t>
        </is>
      </c>
      <c r="D110" s="31" t="inlineStr">
        <is>
          <t>chemicals</t>
        </is>
      </c>
      <c r="E110" s="31" t="inlineStr">
        <is>
          <t>smallcap</t>
        </is>
      </c>
      <c r="F110" s="31" t="n">
        <v>533.3200000000001</v>
      </c>
      <c r="G110" s="31" t="n">
        <v>205.21</v>
      </c>
      <c r="H110" s="31" t="n">
        <v>1.69</v>
      </c>
      <c r="I110" s="31" t="n">
        <v>211798</v>
      </c>
      <c r="J110" s="31" t="inlineStr">
        <is>
          <t>523648</t>
        </is>
      </c>
    </row>
    <row r="111">
      <c r="A111" s="31" t="inlineStr">
        <is>
          <t>FINEORG</t>
        </is>
      </c>
      <c r="B111" s="31" t="inlineStr">
        <is>
          <t>Fine Organic Industries Ltd</t>
        </is>
      </c>
      <c r="C111" s="31" t="inlineStr">
        <is>
          <t>chemicals</t>
        </is>
      </c>
      <c r="D111" s="31" t="inlineStr">
        <is>
          <t>chemicals</t>
        </is>
      </c>
      <c r="E111" s="31" t="inlineStr">
        <is>
          <t>midcap</t>
        </is>
      </c>
      <c r="F111" s="31" t="n">
        <v>16867.59</v>
      </c>
      <c r="G111" s="31" t="n">
        <v>5501.5</v>
      </c>
      <c r="H111" s="31" t="n">
        <v>1.68</v>
      </c>
      <c r="I111" s="31" t="n">
        <v>19474</v>
      </c>
      <c r="J111" s="31" t="inlineStr">
        <is>
          <t>541557</t>
        </is>
      </c>
    </row>
    <row r="112">
      <c r="A112" s="31" t="inlineStr">
        <is>
          <t>SHANTIGOLD</t>
        </is>
      </c>
      <c r="B112" s="31" t="inlineStr">
        <is>
          <t>Shanti Gold International Ltd</t>
        </is>
      </c>
      <c r="C112" s="31" t="inlineStr">
        <is>
          <t>consumer discretionary</t>
        </is>
      </c>
      <c r="D112" s="31" t="inlineStr">
        <is>
          <t>diamond cutting / jewellery</t>
        </is>
      </c>
      <c r="E112" s="31" t="inlineStr">
        <is>
          <t>smallcap</t>
        </is>
      </c>
      <c r="F112" s="31" t="n">
        <v>2967.52</v>
      </c>
      <c r="G112" s="31" t="n">
        <v>386.7</v>
      </c>
      <c r="H112" s="31" t="n">
        <v>1.62</v>
      </c>
      <c r="I112" s="31" t="n">
        <v>4733594</v>
      </c>
      <c r="J112" s="31" t="inlineStr">
        <is>
          <t>544459</t>
        </is>
      </c>
    </row>
    <row r="113">
      <c r="A113" s="31" t="inlineStr">
        <is>
          <t>LAURUSLABS</t>
        </is>
      </c>
      <c r="B113" s="31" t="inlineStr">
        <is>
          <t>Laurus Labs Limited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largecap</t>
        </is>
      </c>
      <c r="F113" s="31" t="n">
        <v>111788.44</v>
      </c>
      <c r="G113" s="31" t="n">
        <v>2069.2</v>
      </c>
      <c r="H113" s="31" t="n">
        <v>1.6</v>
      </c>
      <c r="I113" s="31" t="n">
        <v>1417097</v>
      </c>
      <c r="J113" s="31" t="inlineStr">
        <is>
          <t>540222</t>
        </is>
      </c>
    </row>
    <row r="114">
      <c r="A114" s="31" t="inlineStr">
        <is>
          <t>BHEL</t>
        </is>
      </c>
      <c r="B114" s="31" t="inlineStr">
        <is>
          <t>Bharat Heavy Electricals Limited</t>
        </is>
      </c>
      <c r="C114" s="31" t="inlineStr">
        <is>
          <t>industrials</t>
        </is>
      </c>
      <c r="D114" s="31" t="inlineStr">
        <is>
          <t>electric equipment</t>
        </is>
      </c>
      <c r="E114" s="31" t="inlineStr">
        <is>
          <t>largecap</t>
        </is>
      </c>
      <c r="F114" s="31" t="n">
        <v>153175.97</v>
      </c>
      <c r="G114" s="31" t="n">
        <v>439.9</v>
      </c>
      <c r="H114" s="31" t="n">
        <v>1.45</v>
      </c>
      <c r="I114" s="31" t="n">
        <v>8403722</v>
      </c>
      <c r="J114" s="31" t="inlineStr">
        <is>
          <t>500103</t>
        </is>
      </c>
    </row>
    <row r="115">
      <c r="A115" s="31" t="inlineStr">
        <is>
          <t>ZIMLAB</t>
        </is>
      </c>
      <c r="B115" s="31" t="inlineStr">
        <is>
          <t>Zim Laboratories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smallcap</t>
        </is>
      </c>
      <c r="F115" s="31" t="n">
        <v>817.3200000000001</v>
      </c>
      <c r="G115" s="31" t="n">
        <v>152.63</v>
      </c>
      <c r="H115" s="31" t="n">
        <v>1.44</v>
      </c>
      <c r="I115" s="31" t="n">
        <v>491098</v>
      </c>
      <c r="J115" s="31" t="inlineStr">
        <is>
          <t>541400</t>
        </is>
      </c>
    </row>
    <row r="116">
      <c r="A116" s="31" t="inlineStr">
        <is>
          <t>SHREEJISPG</t>
        </is>
      </c>
      <c r="B116" s="31" t="inlineStr">
        <is>
          <t>Shreeji Shipping Global Ltd</t>
        </is>
      </c>
      <c r="C116" s="31" t="inlineStr">
        <is>
          <t>transportation</t>
        </is>
      </c>
      <c r="D116" s="31" t="inlineStr">
        <is>
          <t>shipping</t>
        </is>
      </c>
      <c r="E116" s="31" t="inlineStr">
        <is>
          <t>midcap</t>
        </is>
      </c>
      <c r="F116" s="31" t="n">
        <v>13416.32</v>
      </c>
      <c r="G116" s="31" t="n">
        <v>823.5</v>
      </c>
      <c r="H116" s="31" t="n">
        <v>1.44</v>
      </c>
      <c r="I116" s="31" t="n">
        <v>545993</v>
      </c>
      <c r="J116" s="31" t="inlineStr">
        <is>
          <t>544490</t>
        </is>
      </c>
    </row>
    <row r="117">
      <c r="A117" s="31" t="inlineStr">
        <is>
          <t>HITECHCORP</t>
        </is>
      </c>
      <c r="B117" s="31" t="inlineStr">
        <is>
          <t>Hitech Corporation</t>
        </is>
      </c>
      <c r="C117" s="31" t="inlineStr">
        <is>
          <t>industrials</t>
        </is>
      </c>
      <c r="D117" s="31" t="inlineStr">
        <is>
          <t>packaging</t>
        </is>
      </c>
      <c r="E117" s="31" t="inlineStr">
        <is>
          <t>smallcap</t>
        </is>
      </c>
      <c r="F117" s="31" t="n">
        <v>610.6</v>
      </c>
      <c r="G117" s="31" t="n">
        <v>355.5</v>
      </c>
      <c r="H117" s="31" t="n">
        <v>1.34</v>
      </c>
      <c r="I117" s="31" t="n">
        <v>61690</v>
      </c>
      <c r="J117" s="31" t="inlineStr">
        <is>
          <t>526217</t>
        </is>
      </c>
    </row>
    <row r="118">
      <c r="A118" s="31" t="inlineStr">
        <is>
          <t>WELSPUNLIV</t>
        </is>
      </c>
      <c r="B118" s="31" t="inlineStr">
        <is>
          <t>Welspun Living Ltd</t>
        </is>
      </c>
      <c r="C118" s="31" t="inlineStr">
        <is>
          <t>textiles</t>
        </is>
      </c>
      <c r="D118" s="31" t="inlineStr">
        <is>
          <t>textiles - products</t>
        </is>
      </c>
      <c r="E118" s="31" t="inlineStr">
        <is>
          <t>largecap</t>
        </is>
      </c>
      <c r="F118" s="31" t="n">
        <v>21417.54</v>
      </c>
      <c r="G118" s="31" t="n">
        <v>226.7</v>
      </c>
      <c r="H118" s="31" t="n">
        <v>1.32</v>
      </c>
      <c r="I118" s="31" t="n">
        <v>1253535</v>
      </c>
      <c r="J118" s="31" t="inlineStr">
        <is>
          <t>514162</t>
        </is>
      </c>
    </row>
    <row r="119">
      <c r="A119" s="31" t="inlineStr">
        <is>
          <t>PCJEWELLER</t>
        </is>
      </c>
      <c r="B119" s="31" t="inlineStr">
        <is>
          <t>Pc Jeweller Limited</t>
        </is>
      </c>
      <c r="C119" s="31" t="inlineStr">
        <is>
          <t>consumer discretionary</t>
        </is>
      </c>
      <c r="D119" s="31" t="inlineStr">
        <is>
          <t>diamond cutting / jewellery</t>
        </is>
      </c>
      <c r="E119" s="31" t="inlineStr">
        <is>
          <t>midcap</t>
        </is>
      </c>
      <c r="F119" s="31" t="n">
        <v>14565.8</v>
      </c>
      <c r="G119" s="31" t="n">
        <v>15</v>
      </c>
      <c r="H119" s="31" t="n">
        <v>1.28</v>
      </c>
      <c r="I119" s="31" t="n">
        <v>602153148</v>
      </c>
      <c r="J119" s="31" t="inlineStr">
        <is>
          <t>534809</t>
        </is>
      </c>
    </row>
    <row r="120">
      <c r="A120" s="31" t="inlineStr">
        <is>
          <t>THELEELA</t>
        </is>
      </c>
      <c r="B120" s="31" t="inlineStr">
        <is>
          <t>Leela Palaces Hotels &amp; Resorts Ltd</t>
        </is>
      </c>
      <c r="C120" s="31" t="inlineStr">
        <is>
          <t>services</t>
        </is>
      </c>
      <c r="D120" s="31" t="inlineStr">
        <is>
          <t>hotels</t>
        </is>
      </c>
      <c r="E120" s="31" t="inlineStr">
        <is>
          <t>midcap</t>
        </is>
      </c>
      <c r="F120" s="31" t="n">
        <v>19862.14</v>
      </c>
      <c r="G120" s="31" t="n">
        <v>594.75</v>
      </c>
      <c r="H120" s="31" t="n">
        <v>1.23</v>
      </c>
      <c r="I120" s="31" t="n">
        <v>131361</v>
      </c>
      <c r="J120" s="31" t="inlineStr">
        <is>
          <t>544408</t>
        </is>
      </c>
    </row>
    <row r="121">
      <c r="A121" s="31" t="inlineStr">
        <is>
          <t>GALAXYSURF</t>
        </is>
      </c>
      <c r="B121" s="31" t="inlineStr">
        <is>
          <t>Galaxy Surfactants Ltd</t>
        </is>
      </c>
      <c r="C121" s="31" t="inlineStr">
        <is>
          <t>chemicals</t>
        </is>
      </c>
      <c r="D121" s="31" t="inlineStr">
        <is>
          <t>chemicals</t>
        </is>
      </c>
      <c r="E121" s="31" t="inlineStr">
        <is>
          <t>midcap</t>
        </is>
      </c>
      <c r="F121" s="31" t="n">
        <v>8978.92</v>
      </c>
      <c r="G121" s="31" t="n">
        <v>2532.5</v>
      </c>
      <c r="H121" s="31" t="n">
        <v>1.21</v>
      </c>
      <c r="I121" s="31" t="n">
        <v>89442</v>
      </c>
      <c r="J121" s="31" t="inlineStr">
        <is>
          <t>540935</t>
        </is>
      </c>
    </row>
    <row r="122">
      <c r="A122" s="31" t="inlineStr">
        <is>
          <t>GESHIP</t>
        </is>
      </c>
      <c r="B122" s="31" t="inlineStr">
        <is>
          <t>The Great Eastern Shipping Company Limited</t>
        </is>
      </c>
      <c r="C122" s="31" t="inlineStr">
        <is>
          <t>transportation</t>
        </is>
      </c>
      <c r="D122" s="31" t="inlineStr">
        <is>
          <t>shipping</t>
        </is>
      </c>
      <c r="E122" s="31" t="inlineStr">
        <is>
          <t>largecap</t>
        </is>
      </c>
      <c r="F122" s="31" t="n">
        <v>22136.05</v>
      </c>
      <c r="G122" s="31" t="n">
        <v>1550.5</v>
      </c>
      <c r="H122" s="31" t="n">
        <v>1.1</v>
      </c>
      <c r="I122" s="31" t="n">
        <v>569940</v>
      </c>
      <c r="J122" s="31" t="inlineStr">
        <is>
          <t>500620</t>
        </is>
      </c>
    </row>
    <row r="123">
      <c r="A123" s="31" t="inlineStr">
        <is>
          <t>WESTLIFE</t>
        </is>
      </c>
      <c r="B123" s="31" t="inlineStr">
        <is>
          <t>Westlife Foodworld Ltd</t>
        </is>
      </c>
      <c r="C123" s="31" t="inlineStr">
        <is>
          <t>consumer discretionary</t>
        </is>
      </c>
      <c r="D123" s="31" t="inlineStr">
        <is>
          <t>hotels</t>
        </is>
      </c>
      <c r="E123" s="31" t="inlineStr">
        <is>
          <t>midcap</t>
        </is>
      </c>
      <c r="F123" s="31" t="n">
        <v>9151.889999999999</v>
      </c>
      <c r="G123" s="31" t="n">
        <v>586.9</v>
      </c>
      <c r="H123" s="31" t="n">
        <v>1.09</v>
      </c>
      <c r="I123" s="31" t="n">
        <v>183064</v>
      </c>
      <c r="J123" s="31" t="inlineStr">
        <is>
          <t>505533</t>
        </is>
      </c>
    </row>
    <row r="124">
      <c r="A124" s="31" t="inlineStr">
        <is>
          <t>RUBYMILLS</t>
        </is>
      </c>
      <c r="B124" s="31" t="inlineStr">
        <is>
          <t>The Ruby Mills Limited</t>
        </is>
      </c>
      <c r="C124" s="31" t="inlineStr">
        <is>
          <t>textiles</t>
        </is>
      </c>
      <c r="D124" s="31" t="inlineStr">
        <is>
          <t>textiles - composite</t>
        </is>
      </c>
      <c r="E124" s="31" t="inlineStr">
        <is>
          <t>smallcap</t>
        </is>
      </c>
      <c r="F124" s="31" t="n">
        <v>1618.66</v>
      </c>
      <c r="G124" s="31" t="n">
        <v>484.05</v>
      </c>
      <c r="H124" s="31" t="n">
        <v>1.05</v>
      </c>
      <c r="I124" s="31" t="n">
        <v>7753</v>
      </c>
      <c r="J124" s="31" t="inlineStr">
        <is>
          <t>503169</t>
        </is>
      </c>
    </row>
    <row r="125">
      <c r="A125" s="31" t="inlineStr">
        <is>
          <t>SYRMA</t>
        </is>
      </c>
      <c r="B125" s="31" t="inlineStr">
        <is>
          <t>Syrma SGS Technology Ltd</t>
        </is>
      </c>
      <c r="C125" s="31" t="inlineStr">
        <is>
          <t>consumer discretionary</t>
        </is>
      </c>
      <c r="D125" s="31" t="inlineStr">
        <is>
          <t>electronics - components</t>
        </is>
      </c>
      <c r="E125" s="31" t="inlineStr">
        <is>
          <t>largecap</t>
        </is>
      </c>
      <c r="F125" s="31" t="n">
        <v>33498.51</v>
      </c>
      <c r="G125" s="31" t="n">
        <v>1737.2</v>
      </c>
      <c r="H125" s="31" t="n">
        <v>1.01</v>
      </c>
      <c r="I125" s="31" t="n">
        <v>844353</v>
      </c>
      <c r="J125" s="31" t="inlineStr">
        <is>
          <t>543573</t>
        </is>
      </c>
    </row>
    <row r="126">
      <c r="A126" s="31" t="inlineStr">
        <is>
          <t>DIVISLAB</t>
        </is>
      </c>
      <c r="B126" s="31" t="inlineStr">
        <is>
          <t>Divi's Laboratories Limited</t>
        </is>
      </c>
      <c r="C126" s="31" t="inlineStr">
        <is>
          <t>healthcare</t>
        </is>
      </c>
      <c r="D126" s="31" t="inlineStr">
        <is>
          <t>pharmaceuticals - indian - bulk drugs</t>
        </is>
      </c>
      <c r="E126" s="31" t="inlineStr">
        <is>
          <t>largecap</t>
        </is>
      </c>
      <c r="F126" s="31" t="n">
        <v>250230.68</v>
      </c>
      <c r="G126" s="31" t="n">
        <v>9426</v>
      </c>
      <c r="H126" s="31" t="n">
        <v>0.92</v>
      </c>
      <c r="I126" s="31" t="n">
        <v>358499</v>
      </c>
      <c r="J126" s="31" t="inlineStr">
        <is>
          <t>532488</t>
        </is>
      </c>
    </row>
    <row r="127">
      <c r="A127" s="31" t="inlineStr">
        <is>
          <t>MUKANDLTD</t>
        </is>
      </c>
      <c r="B127" s="31" t="inlineStr">
        <is>
          <t>Mukand Limited</t>
        </is>
      </c>
      <c r="C127" s="31" t="inlineStr">
        <is>
          <t>metals &amp; mining</t>
        </is>
      </c>
      <c r="D127" s="31" t="inlineStr">
        <is>
          <t>steel - medium / small</t>
        </is>
      </c>
      <c r="E127" s="31" t="inlineStr">
        <is>
          <t>smallcap</t>
        </is>
      </c>
      <c r="F127" s="31" t="n">
        <v>2565.95</v>
      </c>
      <c r="G127" s="31" t="n">
        <v>177.58</v>
      </c>
      <c r="H127" s="31" t="n">
        <v>0.9</v>
      </c>
      <c r="I127" s="31" t="n">
        <v>248113</v>
      </c>
      <c r="J127" s="31" t="inlineStr">
        <is>
          <t>500460</t>
        </is>
      </c>
    </row>
    <row r="128">
      <c r="A128" s="31" t="inlineStr">
        <is>
          <t>VALIANTORG</t>
        </is>
      </c>
      <c r="B128" s="31" t="inlineStr">
        <is>
          <t>Valiant Organics Ltd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smallcap</t>
        </is>
      </c>
      <c r="F128" s="31" t="n">
        <v>1322.81</v>
      </c>
      <c r="G128" s="31" t="n">
        <v>471.85</v>
      </c>
      <c r="H128" s="31" t="n">
        <v>0.89</v>
      </c>
      <c r="I128" s="31" t="n">
        <v>82815</v>
      </c>
      <c r="J128" s="31" t="inlineStr">
        <is>
          <t>540145</t>
        </is>
      </c>
    </row>
    <row r="129">
      <c r="A129" s="31" t="inlineStr">
        <is>
          <t>ARFIN</t>
        </is>
      </c>
      <c r="B129" s="31" t="inlineStr">
        <is>
          <t>Arfin India Ltd</t>
        </is>
      </c>
      <c r="C129" s="31" t="inlineStr">
        <is>
          <t>metals &amp; mining</t>
        </is>
      </c>
      <c r="D129" s="31" t="inlineStr">
        <is>
          <t>aluminium and aluminium products</t>
        </is>
      </c>
      <c r="E129" s="31" t="inlineStr">
        <is>
          <t>smallcap</t>
        </is>
      </c>
      <c r="F129" s="31" t="n">
        <v>1789.64</v>
      </c>
      <c r="G129" s="31" t="n">
        <v>106.07</v>
      </c>
      <c r="H129" s="31" t="n">
        <v>0.88</v>
      </c>
      <c r="I129" s="31" t="n">
        <v>5036723</v>
      </c>
      <c r="J129" s="31" t="inlineStr">
        <is>
          <t>539151</t>
        </is>
      </c>
    </row>
    <row r="130">
      <c r="A130" s="31" t="inlineStr">
        <is>
          <t>AUROPHARMA</t>
        </is>
      </c>
      <c r="B130" s="31" t="inlineStr">
        <is>
          <t>Aurobindo Pharma Limited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largecap</t>
        </is>
      </c>
      <c r="F130" s="31" t="n">
        <v>98211.25</v>
      </c>
      <c r="G130" s="31" t="n">
        <v>1706.9</v>
      </c>
      <c r="H130" s="31" t="n">
        <v>0.82</v>
      </c>
      <c r="I130" s="31" t="n">
        <v>1190866</v>
      </c>
      <c r="J130" s="31" t="inlineStr">
        <is>
          <t>524804</t>
        </is>
      </c>
    </row>
    <row r="131">
      <c r="A131" s="31" t="inlineStr">
        <is>
          <t>KINGFA</t>
        </is>
      </c>
      <c r="B131" s="31" t="inlineStr">
        <is>
          <t>Kingfa Science &amp; Technology (india) Limited</t>
        </is>
      </c>
      <c r="C131" s="31" t="inlineStr">
        <is>
          <t>plastic products</t>
        </is>
      </c>
      <c r="D131" s="31" t="inlineStr">
        <is>
          <t>plastics products</t>
        </is>
      </c>
      <c r="E131" s="31" t="inlineStr">
        <is>
          <t>midcap</t>
        </is>
      </c>
      <c r="F131" s="31" t="n">
        <v>9032</v>
      </c>
      <c r="G131" s="31" t="n">
        <v>6665</v>
      </c>
      <c r="H131" s="31" t="n">
        <v>0.82</v>
      </c>
      <c r="I131" s="31" t="n">
        <v>6828</v>
      </c>
      <c r="J131" s="31" t="inlineStr">
        <is>
          <t>524019</t>
        </is>
      </c>
    </row>
    <row r="132">
      <c r="A132" s="31" t="inlineStr">
        <is>
          <t>SAMBHV</t>
        </is>
      </c>
      <c r="B132" s="31" t="inlineStr">
        <is>
          <t>Sambhv Steel Tubes Ltd</t>
        </is>
      </c>
      <c r="C132" s="31" t="inlineStr">
        <is>
          <t>metals &amp; mining</t>
        </is>
      </c>
      <c r="D132" s="31" t="inlineStr">
        <is>
          <t>steel - medium / small</t>
        </is>
      </c>
      <c r="E132" s="31" t="inlineStr">
        <is>
          <t>smallcap</t>
        </is>
      </c>
      <c r="F132" s="31" t="n">
        <v>4761.6</v>
      </c>
      <c r="G132" s="31" t="n">
        <v>161.59</v>
      </c>
      <c r="H132" s="31" t="n">
        <v>0.74</v>
      </c>
      <c r="I132" s="31" t="n">
        <v>3151898</v>
      </c>
      <c r="J132" s="31" t="inlineStr">
        <is>
          <t>544430</t>
        </is>
      </c>
    </row>
    <row r="133">
      <c r="A133" s="31" t="inlineStr">
        <is>
          <t>PRIMO</t>
        </is>
      </c>
      <c r="B133" s="31" t="inlineStr">
        <is>
          <t>Primo Chemicals Ltd</t>
        </is>
      </c>
      <c r="C133" s="31" t="inlineStr">
        <is>
          <t>chemicals</t>
        </is>
      </c>
      <c r="D133" s="31" t="inlineStr">
        <is>
          <t>chlor alkali / soda ash</t>
        </is>
      </c>
      <c r="E133" s="31" t="inlineStr">
        <is>
          <t>smallcap</t>
        </is>
      </c>
      <c r="F133" s="31" t="n">
        <v>641.97</v>
      </c>
      <c r="G133" s="31" t="n">
        <v>26.49</v>
      </c>
      <c r="H133" s="31" t="n">
        <v>0.72</v>
      </c>
      <c r="I133" s="31" t="n">
        <v>609036</v>
      </c>
      <c r="J133" s="31" t="inlineStr">
        <is>
          <t>506852</t>
        </is>
      </c>
    </row>
    <row r="134">
      <c r="A134" s="31" t="inlineStr">
        <is>
          <t>KARURVYSYA</t>
        </is>
      </c>
      <c r="B134" s="31" t="inlineStr">
        <is>
          <t>Karur Vysya Bank Limited</t>
        </is>
      </c>
      <c r="C134" s="31" t="inlineStr">
        <is>
          <t>bank</t>
        </is>
      </c>
      <c r="D134" s="31" t="inlineStr">
        <is>
          <t>banks - private sector</t>
        </is>
      </c>
      <c r="E134" s="31" t="inlineStr">
        <is>
          <t>largecap</t>
        </is>
      </c>
      <c r="F134" s="31" t="n">
        <v>33089.07</v>
      </c>
      <c r="G134" s="31" t="n">
        <v>342.3</v>
      </c>
      <c r="H134" s="31" t="n">
        <v>0.71</v>
      </c>
      <c r="I134" s="31" t="n">
        <v>2260026</v>
      </c>
      <c r="J134" s="31" t="inlineStr">
        <is>
          <t>590003</t>
        </is>
      </c>
    </row>
    <row r="135">
      <c r="A135" s="31" t="inlineStr">
        <is>
          <t>APARINDS</t>
        </is>
      </c>
      <c r="B135" s="31" t="inlineStr">
        <is>
          <t>Apar Industries Limited</t>
        </is>
      </c>
      <c r="C135" s="31" t="inlineStr">
        <is>
          <t>industrials</t>
        </is>
      </c>
      <c r="D135" s="31" t="inlineStr">
        <is>
          <t>electric equipment</t>
        </is>
      </c>
      <c r="E135" s="31" t="inlineStr">
        <is>
          <t>largecap</t>
        </is>
      </c>
      <c r="F135" s="31" t="n">
        <v>75788.92999999999</v>
      </c>
      <c r="G135" s="31" t="n">
        <v>18100</v>
      </c>
      <c r="H135" s="31" t="n">
        <v>0.65</v>
      </c>
      <c r="I135" s="31" t="n">
        <v>102420</v>
      </c>
      <c r="J135" s="31" t="inlineStr">
        <is>
          <t>532259</t>
        </is>
      </c>
    </row>
    <row r="136">
      <c r="A136" s="31" t="inlineStr">
        <is>
          <t>GLOBAL</t>
        </is>
      </c>
      <c r="B136" s="31" t="inlineStr">
        <is>
          <t>Global Education Ltd</t>
        </is>
      </c>
      <c r="C136" s="31" t="inlineStr">
        <is>
          <t>services</t>
        </is>
      </c>
      <c r="D136" s="31" t="inlineStr">
        <is>
          <t>miscellaneous</t>
        </is>
      </c>
      <c r="E136" s="31" t="inlineStr">
        <is>
          <t>smallcap</t>
        </is>
      </c>
      <c r="F136" s="31" t="n">
        <v>728.5</v>
      </c>
      <c r="G136" s="31" t="n">
        <v>143.12</v>
      </c>
      <c r="H136" s="31" t="n">
        <v>0.65</v>
      </c>
      <c r="I136" s="31" t="n">
        <v>76021</v>
      </c>
      <c r="J136" s="31" t="inlineStr">
        <is>
          <t>538406</t>
        </is>
      </c>
    </row>
    <row r="137">
      <c r="A137" s="31" t="inlineStr">
        <is>
          <t>MATRIMONY</t>
        </is>
      </c>
      <c r="B137" s="31" t="inlineStr">
        <is>
          <t>Matrimony.com Ltd</t>
        </is>
      </c>
      <c r="C137" s="31" t="inlineStr">
        <is>
          <t>miscellaneous</t>
        </is>
      </c>
      <c r="D137" s="31" t="inlineStr">
        <is>
          <t>miscellaneous</t>
        </is>
      </c>
      <c r="E137" s="31" t="inlineStr">
        <is>
          <t>smallcap</t>
        </is>
      </c>
      <c r="F137" s="31" t="n">
        <v>1100.03</v>
      </c>
      <c r="G137" s="31" t="n">
        <v>532.1</v>
      </c>
      <c r="H137" s="31" t="n">
        <v>0.63</v>
      </c>
      <c r="I137" s="31" t="n">
        <v>11779</v>
      </c>
      <c r="J137" s="31" t="inlineStr">
        <is>
          <t>540704</t>
        </is>
      </c>
    </row>
    <row r="138">
      <c r="A138" s="31" t="inlineStr">
        <is>
          <t>RRKABEL</t>
        </is>
      </c>
      <c r="B138" s="31" t="inlineStr">
        <is>
          <t>R R Kabel Ltd</t>
        </is>
      </c>
      <c r="C138" s="31" t="inlineStr">
        <is>
          <t>industrials</t>
        </is>
      </c>
      <c r="D138" s="31" t="inlineStr">
        <is>
          <t>cables - power</t>
        </is>
      </c>
      <c r="E138" s="31" t="inlineStr">
        <is>
          <t>largecap</t>
        </is>
      </c>
      <c r="F138" s="31" t="n">
        <v>30781.66</v>
      </c>
      <c r="G138" s="31" t="n">
        <v>2721.5</v>
      </c>
      <c r="H138" s="31" t="n">
        <v>0.59</v>
      </c>
      <c r="I138" s="31" t="n">
        <v>211756</v>
      </c>
      <c r="J138" s="31" t="inlineStr">
        <is>
          <t>543981</t>
        </is>
      </c>
    </row>
    <row r="139">
      <c r="A139" s="31" t="inlineStr">
        <is>
          <t>KOTAKBANK</t>
        </is>
      </c>
      <c r="B139" s="31" t="inlineStr">
        <is>
          <t>Kotak Mahindra Bank Limited</t>
        </is>
      </c>
      <c r="C139" s="31" t="inlineStr">
        <is>
          <t>bank</t>
        </is>
      </c>
      <c r="D139" s="31" t="inlineStr">
        <is>
          <t>banks - private sector</t>
        </is>
      </c>
      <c r="E139" s="31" t="inlineStr">
        <is>
          <t>largecap</t>
        </is>
      </c>
      <c r="F139" s="31" t="n">
        <v>441037.08</v>
      </c>
      <c r="G139" s="31" t="n">
        <v>443.4</v>
      </c>
      <c r="H139" s="31" t="n">
        <v>0.54</v>
      </c>
      <c r="I139" s="31" t="n">
        <v>17833238</v>
      </c>
      <c r="J139" s="31" t="inlineStr">
        <is>
          <t>500247</t>
        </is>
      </c>
    </row>
    <row r="140">
      <c r="A140" s="31" t="inlineStr">
        <is>
          <t>GLAND</t>
        </is>
      </c>
      <c r="B140" s="31" t="inlineStr">
        <is>
          <t>Gland Pharma Ltd</t>
        </is>
      </c>
      <c r="C140" s="31" t="inlineStr">
        <is>
          <t>healthcare</t>
        </is>
      </c>
      <c r="D140" s="31" t="inlineStr">
        <is>
          <t>pharmaceuticals - indian - formulations</t>
        </is>
      </c>
      <c r="E140" s="31" t="inlineStr">
        <is>
          <t>largecap</t>
        </is>
      </c>
      <c r="F140" s="31" t="n">
        <v>50781.19</v>
      </c>
      <c r="G140" s="31" t="n">
        <v>3078.4</v>
      </c>
      <c r="H140" s="31" t="n">
        <v>0.54</v>
      </c>
      <c r="I140" s="31" t="n">
        <v>211881</v>
      </c>
      <c r="J140" s="31" t="inlineStr">
        <is>
          <t>543245</t>
        </is>
      </c>
    </row>
    <row r="141">
      <c r="A141" s="31" t="inlineStr">
        <is>
          <t>BIRLACABLE</t>
        </is>
      </c>
      <c r="B141" s="31" t="inlineStr">
        <is>
          <t>Birla Cable Limited</t>
        </is>
      </c>
      <c r="C141" s="31" t="inlineStr">
        <is>
          <t>industrials</t>
        </is>
      </c>
      <c r="D141" s="31" t="inlineStr">
        <is>
          <t>cables - telephone</t>
        </is>
      </c>
      <c r="E141" s="31" t="inlineStr">
        <is>
          <t>smallcap</t>
        </is>
      </c>
      <c r="F141" s="31" t="n">
        <v>1161.3</v>
      </c>
      <c r="G141" s="31" t="n">
        <v>387.1</v>
      </c>
      <c r="H141" s="31" t="n">
        <v>0.49</v>
      </c>
      <c r="I141" s="31" t="n">
        <v>336552</v>
      </c>
      <c r="J141" s="31" t="inlineStr">
        <is>
          <t>500060</t>
        </is>
      </c>
    </row>
    <row r="142">
      <c r="A142" s="31" t="inlineStr">
        <is>
          <t>ARIHANTCAP</t>
        </is>
      </c>
      <c r="B142" s="31" t="inlineStr">
        <is>
          <t>Arihant Capital Markets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smallcap</t>
        </is>
      </c>
      <c r="F142" s="31" t="n">
        <v>1059.19</v>
      </c>
      <c r="G142" s="31" t="n">
        <v>96.63</v>
      </c>
      <c r="H142" s="31" t="n">
        <v>0.46</v>
      </c>
      <c r="I142" s="31" t="n">
        <v>396346</v>
      </c>
      <c r="J142" s="31" t="inlineStr">
        <is>
          <t>511605</t>
        </is>
      </c>
    </row>
    <row r="143">
      <c r="A143" s="31" t="inlineStr">
        <is>
          <t>FAIRCHEMOR</t>
        </is>
      </c>
      <c r="B143" s="31" t="inlineStr">
        <is>
          <t>Fairchem Organics Ltd</t>
        </is>
      </c>
      <c r="C143" s="31" t="inlineStr">
        <is>
          <t>chemicals</t>
        </is>
      </c>
      <c r="D143" s="31" t="inlineStr">
        <is>
          <t>chemicals</t>
        </is>
      </c>
      <c r="E143" s="31" t="inlineStr">
        <is>
          <t>smallcap</t>
        </is>
      </c>
      <c r="F143" s="31" t="n">
        <v>946.77</v>
      </c>
      <c r="G143" s="31" t="n">
        <v>751.65</v>
      </c>
      <c r="H143" s="31" t="n">
        <v>0.39</v>
      </c>
      <c r="I143" s="31" t="n">
        <v>77819</v>
      </c>
      <c r="J143" s="31" t="inlineStr">
        <is>
          <t>543252</t>
        </is>
      </c>
    </row>
    <row r="144">
      <c r="A144" s="31" t="inlineStr">
        <is>
          <t>MANBA</t>
        </is>
      </c>
      <c r="B144" s="31" t="inlineStr">
        <is>
          <t>Manba Finance Ltd</t>
        </is>
      </c>
      <c r="C144" s="31" t="inlineStr">
        <is>
          <t>financials</t>
        </is>
      </c>
      <c r="D144" s="31" t="inlineStr">
        <is>
          <t>finance &amp; investments</t>
        </is>
      </c>
      <c r="E144" s="31" t="inlineStr">
        <is>
          <t>smallcap</t>
        </is>
      </c>
      <c r="F144" s="31" t="n">
        <v>713.8</v>
      </c>
      <c r="G144" s="31" t="n">
        <v>142.08</v>
      </c>
      <c r="H144" s="31" t="n">
        <v>0.37</v>
      </c>
      <c r="I144" s="31" t="n">
        <v>72089</v>
      </c>
      <c r="J144" s="31" t="inlineStr">
        <is>
          <t>544262</t>
        </is>
      </c>
    </row>
    <row r="145">
      <c r="A145" s="31" t="inlineStr">
        <is>
          <t>PERSISTENT</t>
        </is>
      </c>
      <c r="B145" s="31" t="inlineStr">
        <is>
          <t>Persistent Systems Limited</t>
        </is>
      </c>
      <c r="C145" s="31" t="inlineStr">
        <is>
          <t>i.t</t>
        </is>
      </c>
      <c r="D145" s="31" t="inlineStr">
        <is>
          <t>computers - software - large</t>
        </is>
      </c>
      <c r="E145" s="31" t="inlineStr">
        <is>
          <t>largecap</t>
        </is>
      </c>
      <c r="F145" s="31" t="n">
        <v>91289.92999999999</v>
      </c>
      <c r="G145" s="31" t="n">
        <v>5787</v>
      </c>
      <c r="H145" s="31" t="n">
        <v>0.29</v>
      </c>
      <c r="I145" s="31" t="n">
        <v>332431</v>
      </c>
      <c r="J145" s="31" t="inlineStr">
        <is>
          <t>533179</t>
        </is>
      </c>
    </row>
    <row r="146">
      <c r="A146" s="31" t="inlineStr">
        <is>
          <t>MVGJL</t>
        </is>
      </c>
      <c r="B146" s="31" t="inlineStr">
        <is>
          <t>Manoj Vaibhav Gems N Jewellers Ltd</t>
        </is>
      </c>
      <c r="C146" s="31" t="inlineStr">
        <is>
          <t>consumer discretionary</t>
        </is>
      </c>
      <c r="D146" s="31" t="inlineStr">
        <is>
          <t>diamond cutting / jewellery</t>
        </is>
      </c>
      <c r="E146" s="31" t="inlineStr">
        <is>
          <t>smallcap</t>
        </is>
      </c>
      <c r="F146" s="31" t="n">
        <v>1018.22</v>
      </c>
      <c r="G146" s="31" t="n">
        <v>208.45</v>
      </c>
      <c r="H146" s="31" t="n">
        <v>0.28</v>
      </c>
      <c r="I146" s="31" t="n">
        <v>471478</v>
      </c>
      <c r="J146" s="31" t="inlineStr">
        <is>
          <t>543995</t>
        </is>
      </c>
    </row>
    <row r="147">
      <c r="A147" s="31" t="inlineStr">
        <is>
          <t>DPABHUSHAN</t>
        </is>
      </c>
      <c r="B147" s="31" t="inlineStr">
        <is>
          <t>D.P. Abhushan Ltd</t>
        </is>
      </c>
      <c r="C147" s="31" t="inlineStr">
        <is>
          <t>consumer discretionary</t>
        </is>
      </c>
      <c r="D147" s="31" t="inlineStr">
        <is>
          <t>trading</t>
        </is>
      </c>
      <c r="E147" s="31" t="inlineStr">
        <is>
          <t>midcap</t>
        </is>
      </c>
      <c r="F147" s="31" t="n">
        <v>5410.45</v>
      </c>
      <c r="G147" s="31" t="n">
        <v>2370.1</v>
      </c>
      <c r="H147" s="31" t="n">
        <v>0.27</v>
      </c>
      <c r="I147" s="31" t="n">
        <v>100722</v>
      </c>
      <c r="J147" s="31" t="inlineStr">
        <is>
          <t>535026</t>
        </is>
      </c>
    </row>
    <row r="148">
      <c r="A148" s="31" t="inlineStr">
        <is>
          <t>SUNFLAG</t>
        </is>
      </c>
      <c r="B148" s="31" t="inlineStr">
        <is>
          <t>Sunflag Iron And Steel Company Limited</t>
        </is>
      </c>
      <c r="C148" s="31" t="inlineStr">
        <is>
          <t>metals &amp; mining</t>
        </is>
      </c>
      <c r="D148" s="31" t="inlineStr">
        <is>
          <t>steel - medium / small</t>
        </is>
      </c>
      <c r="E148" s="31" t="inlineStr">
        <is>
          <t>midcap</t>
        </is>
      </c>
      <c r="F148" s="31" t="n">
        <v>7947.68</v>
      </c>
      <c r="G148" s="31" t="n">
        <v>441</v>
      </c>
      <c r="H148" s="31" t="n">
        <v>0.27</v>
      </c>
      <c r="I148" s="31" t="n">
        <v>168059</v>
      </c>
      <c r="J148" s="31" t="inlineStr">
        <is>
          <t>500404</t>
        </is>
      </c>
    </row>
    <row r="149">
      <c r="A149" s="31" t="inlineStr">
        <is>
          <t>RADICO</t>
        </is>
      </c>
      <c r="B149" s="31" t="inlineStr">
        <is>
          <t>Radico Khaitan Limited</t>
        </is>
      </c>
      <c r="C149" s="31" t="inlineStr">
        <is>
          <t>fmcg</t>
        </is>
      </c>
      <c r="D149" s="31" t="inlineStr">
        <is>
          <t>breweries &amp; distilleries</t>
        </is>
      </c>
      <c r="E149" s="31" t="inlineStr">
        <is>
          <t>largecap</t>
        </is>
      </c>
      <c r="F149" s="31" t="n">
        <v>61032.02</v>
      </c>
      <c r="G149" s="31" t="n">
        <v>4555</v>
      </c>
      <c r="H149" s="31" t="n">
        <v>0.11</v>
      </c>
      <c r="I149" s="31" t="n">
        <v>216671</v>
      </c>
      <c r="J149" s="31" t="inlineStr">
        <is>
          <t>532497</t>
        </is>
      </c>
    </row>
    <row r="150">
      <c r="A150" s="31" t="inlineStr">
        <is>
          <t>ALICON</t>
        </is>
      </c>
      <c r="B150" s="31" t="inlineStr">
        <is>
          <t>Alicon Castalloy Limited</t>
        </is>
      </c>
      <c r="C150" s="31" t="inlineStr">
        <is>
          <t>castings, forgings &amp; fasteners</t>
        </is>
      </c>
      <c r="D150" s="31" t="inlineStr">
        <is>
          <t>castings &amp; forgings</t>
        </is>
      </c>
      <c r="E150" s="31" t="inlineStr">
        <is>
          <t>smallcap</t>
        </is>
      </c>
      <c r="F150" s="31" t="n">
        <v>1415.11</v>
      </c>
      <c r="G150" s="31" t="n">
        <v>862.25</v>
      </c>
      <c r="H150" s="31" t="n">
        <v>0.06</v>
      </c>
      <c r="I150" s="31" t="n">
        <v>19899</v>
      </c>
      <c r="J150" s="31" t="inlineStr">
        <is>
          <t>531147</t>
        </is>
      </c>
    </row>
    <row r="151">
      <c r="A151" s="31" t="inlineStr">
        <is>
          <t>RBLBANK</t>
        </is>
      </c>
      <c r="B151" s="31" t="inlineStr">
        <is>
          <t>Rbl Bank Limited</t>
        </is>
      </c>
      <c r="C151" s="31" t="inlineStr">
        <is>
          <t>bank</t>
        </is>
      </c>
      <c r="D151" s="31" t="inlineStr">
        <is>
          <t>banks - private sector</t>
        </is>
      </c>
      <c r="E151" s="31" t="inlineStr">
        <is>
          <t>largecap</t>
        </is>
      </c>
      <c r="F151" s="31" t="n">
        <v>64812.11</v>
      </c>
      <c r="G151" s="31" t="n">
        <v>417.7</v>
      </c>
      <c r="H151" s="31" t="n">
        <v>-0.07000000000000001</v>
      </c>
      <c r="I151" s="31" t="n">
        <v>3453163</v>
      </c>
      <c r="J151" s="31" t="inlineStr">
        <is>
          <t>540065</t>
        </is>
      </c>
    </row>
    <row r="152">
      <c r="A152" s="31" t="inlineStr">
        <is>
          <t>STLTECH</t>
        </is>
      </c>
      <c r="B152" s="31" t="inlineStr">
        <is>
          <t>Sterlite Technologies Limited</t>
        </is>
      </c>
      <c r="C152" s="31" t="inlineStr">
        <is>
          <t>industrials</t>
        </is>
      </c>
      <c r="D152" s="31" t="inlineStr">
        <is>
          <t>cables - telephone</t>
        </is>
      </c>
      <c r="E152" s="31" t="inlineStr">
        <is>
          <t>largecap</t>
        </is>
      </c>
      <c r="F152" s="31" t="n">
        <v>52116.78</v>
      </c>
      <c r="G152" s="31" t="n">
        <v>1014.15</v>
      </c>
      <c r="H152" s="31" t="n">
        <v>-0.1</v>
      </c>
      <c r="I152" s="31" t="n">
        <v>877882</v>
      </c>
      <c r="J152" s="31" t="inlineStr">
        <is>
          <t>532374</t>
        </is>
      </c>
    </row>
    <row r="153">
      <c r="A153" s="31" t="inlineStr">
        <is>
          <t>PREMEXPLN</t>
        </is>
      </c>
      <c r="B153" s="31" t="inlineStr">
        <is>
          <t>Premier Explosives Limited</t>
        </is>
      </c>
      <c r="C153" s="31" t="inlineStr">
        <is>
          <t>aerospace &amp; defence</t>
        </is>
      </c>
      <c r="D153" s="31" t="inlineStr">
        <is>
          <t>chemicals</t>
        </is>
      </c>
      <c r="E153" s="31" t="inlineStr">
        <is>
          <t>smallcap</t>
        </is>
      </c>
      <c r="F153" s="31" t="n">
        <v>3687.75</v>
      </c>
      <c r="G153" s="31" t="n">
        <v>685.95</v>
      </c>
      <c r="H153" s="31" t="n">
        <v>-0.16</v>
      </c>
      <c r="I153" s="31" t="n">
        <v>213859</v>
      </c>
      <c r="J153" s="31" t="inlineStr">
        <is>
          <t>526247</t>
        </is>
      </c>
    </row>
    <row r="154">
      <c r="A154" s="31" t="inlineStr">
        <is>
          <t>SYNCOMF</t>
        </is>
      </c>
      <c r="B154" s="31" t="inlineStr">
        <is>
          <t>Syncom Formulations (India) Ltd</t>
        </is>
      </c>
      <c r="C154" s="31" t="inlineStr">
        <is>
          <t>healthcare</t>
        </is>
      </c>
      <c r="D154" s="31" t="inlineStr">
        <is>
          <t>pharmaceuticals - indian - bulk drugs &amp; formln</t>
        </is>
      </c>
      <c r="E154" s="31" t="inlineStr">
        <is>
          <t>smallcap</t>
        </is>
      </c>
      <c r="F154" s="31" t="n">
        <v>2184.56</v>
      </c>
      <c r="G154" s="31" t="n">
        <v>23.24</v>
      </c>
      <c r="H154" s="31" t="n">
        <v>-0.17</v>
      </c>
      <c r="I154" s="31" t="n">
        <v>16245930</v>
      </c>
      <c r="J154" s="31" t="inlineStr">
        <is>
          <t>524470</t>
        </is>
      </c>
    </row>
    <row r="155">
      <c r="A155" s="31" t="inlineStr">
        <is>
          <t>TRENT</t>
        </is>
      </c>
      <c r="B155" s="31" t="inlineStr">
        <is>
          <t>Trent Limited</t>
        </is>
      </c>
      <c r="C155" s="31" t="inlineStr">
        <is>
          <t>consumer discretionary</t>
        </is>
      </c>
      <c r="D155" s="31" t="inlineStr">
        <is>
          <t>trading</t>
        </is>
      </c>
      <c r="E155" s="31" t="inlineStr">
        <is>
          <t>largecap</t>
        </is>
      </c>
      <c r="F155" s="31" t="n">
        <v>155330.57</v>
      </c>
      <c r="G155" s="31" t="n">
        <v>2913</v>
      </c>
      <c r="H155" s="31" t="n">
        <v>-0.18</v>
      </c>
      <c r="I155" s="31" t="n">
        <v>636494</v>
      </c>
      <c r="J155" s="31" t="inlineStr">
        <is>
          <t>500251</t>
        </is>
      </c>
    </row>
    <row r="156">
      <c r="A156" s="31" t="inlineStr">
        <is>
          <t>ROSSTECH</t>
        </is>
      </c>
      <c r="B156" s="31" t="inlineStr">
        <is>
          <t>Rossell Techsys Ltd</t>
        </is>
      </c>
      <c r="C156" s="31" t="inlineStr">
        <is>
          <t>aerospace &amp; defence</t>
        </is>
      </c>
      <c r="D156" s="31" t="inlineStr">
        <is>
          <t>engineering</t>
        </is>
      </c>
      <c r="E156" s="31" t="inlineStr">
        <is>
          <t>midcap</t>
        </is>
      </c>
      <c r="F156" s="31" t="n">
        <v>5925.89</v>
      </c>
      <c r="G156" s="31" t="n">
        <v>1572</v>
      </c>
      <c r="H156" s="31" t="n">
        <v>-0.18</v>
      </c>
      <c r="I156" s="31" t="n">
        <v>105442</v>
      </c>
      <c r="J156" s="31" t="inlineStr">
        <is>
          <t>544294</t>
        </is>
      </c>
    </row>
    <row r="157">
      <c r="A157" s="31" t="inlineStr">
        <is>
          <t>PARAGMILK</t>
        </is>
      </c>
      <c r="B157" s="31" t="inlineStr">
        <is>
          <t>Parag Milk Foods Limited</t>
        </is>
      </c>
      <c r="C157" s="31" t="inlineStr">
        <is>
          <t>fmcg</t>
        </is>
      </c>
      <c r="D157" s="31" t="inlineStr">
        <is>
          <t>food - processing - indian</t>
        </is>
      </c>
      <c r="E157" s="31" t="inlineStr">
        <is>
          <t>smallcap</t>
        </is>
      </c>
      <c r="F157" s="31" t="n">
        <v>3841.77</v>
      </c>
      <c r="G157" s="31" t="n">
        <v>305.85</v>
      </c>
      <c r="H157" s="31" t="n">
        <v>-0.18</v>
      </c>
      <c r="I157" s="31" t="n">
        <v>988012</v>
      </c>
      <c r="J157" s="31" t="inlineStr">
        <is>
          <t>539889</t>
        </is>
      </c>
    </row>
    <row r="158">
      <c r="A158" s="31" t="inlineStr">
        <is>
          <t>DIACABS</t>
        </is>
      </c>
      <c r="B158" s="31" t="inlineStr">
        <is>
          <t>Diamond Power Infrastructure Ltd</t>
        </is>
      </c>
      <c r="C158" s="31" t="inlineStr">
        <is>
          <t>industrials</t>
        </is>
      </c>
      <c r="D158" s="31" t="inlineStr">
        <is>
          <t>cables - power</t>
        </is>
      </c>
      <c r="E158" s="31" t="inlineStr">
        <is>
          <t>largecap</t>
        </is>
      </c>
      <c r="F158" s="31" t="n">
        <v>22708.76</v>
      </c>
      <c r="G158" s="31" t="n">
        <v>379.7</v>
      </c>
      <c r="H158" s="31" t="n">
        <v>-0.33</v>
      </c>
      <c r="I158" s="31" t="n">
        <v>537069</v>
      </c>
      <c r="J158" s="31" t="inlineStr">
        <is>
          <t>522163</t>
        </is>
      </c>
    </row>
    <row r="159">
      <c r="A159" s="31" t="inlineStr">
        <is>
          <t>UNITEDPOLY</t>
        </is>
      </c>
      <c r="B159" s="31" t="inlineStr">
        <is>
          <t>United Polyfab Gujarat Ltd</t>
        </is>
      </c>
      <c r="C159" s="31" t="inlineStr">
        <is>
          <t>textiles</t>
        </is>
      </c>
      <c r="D159" s="31" t="inlineStr">
        <is>
          <t>textiles - products</t>
        </is>
      </c>
      <c r="E159" s="31" t="inlineStr">
        <is>
          <t>smallcap</t>
        </is>
      </c>
      <c r="F159" s="31" t="n">
        <v>1145.74</v>
      </c>
      <c r="G159" s="31" t="n">
        <v>49.92</v>
      </c>
      <c r="H159" s="31" t="n">
        <v>-0.4</v>
      </c>
      <c r="I159" s="31" t="n">
        <v>1141962</v>
      </c>
      <c r="J159" s="31" t="inlineStr">
        <is>
          <t>533024</t>
        </is>
      </c>
    </row>
    <row r="160">
      <c r="A160" s="31" t="inlineStr">
        <is>
          <t>CYIENT</t>
        </is>
      </c>
      <c r="B160" s="31" t="inlineStr">
        <is>
          <t>Cyient Limited</t>
        </is>
      </c>
      <c r="C160" s="31" t="inlineStr">
        <is>
          <t>i.t</t>
        </is>
      </c>
      <c r="D160" s="31" t="inlineStr">
        <is>
          <t>computers - software - medium / small</t>
        </is>
      </c>
      <c r="E160" s="31" t="inlineStr">
        <is>
          <t>midcap</t>
        </is>
      </c>
      <c r="F160" s="31" t="n">
        <v>12085.11</v>
      </c>
      <c r="G160" s="31" t="n">
        <v>1153.8</v>
      </c>
      <c r="H160" s="31" t="n">
        <v>-0.43</v>
      </c>
      <c r="I160" s="31" t="n">
        <v>426281</v>
      </c>
      <c r="J160" s="31" t="inlineStr">
        <is>
          <t>532175</t>
        </is>
      </c>
    </row>
    <row r="161">
      <c r="A161" s="31" t="inlineStr">
        <is>
          <t>ADFFOODS</t>
        </is>
      </c>
      <c r="B161" s="31" t="inlineStr">
        <is>
          <t>Adf Foods Limited</t>
        </is>
      </c>
      <c r="C161" s="31" t="inlineStr">
        <is>
          <t>fmcg</t>
        </is>
      </c>
      <c r="D161" s="31" t="inlineStr">
        <is>
          <t>food - processing - indian</t>
        </is>
      </c>
      <c r="E161" s="31" t="inlineStr">
        <is>
          <t>smallcap</t>
        </is>
      </c>
      <c r="F161" s="31" t="n">
        <v>3168.47</v>
      </c>
      <c r="G161" s="31" t="n">
        <v>288.4</v>
      </c>
      <c r="H161" s="31" t="n">
        <v>-0.45</v>
      </c>
      <c r="I161" s="31" t="n">
        <v>75302</v>
      </c>
      <c r="J161" s="31" t="inlineStr">
        <is>
          <t>519183</t>
        </is>
      </c>
    </row>
    <row r="162">
      <c r="A162" s="31" t="inlineStr">
        <is>
          <t>ISGEC</t>
        </is>
      </c>
      <c r="B162" s="31" t="inlineStr">
        <is>
          <t>ISGEC Heavy Engineering  Ltd</t>
        </is>
      </c>
      <c r="C162" s="31" t="inlineStr">
        <is>
          <t>realty</t>
        </is>
      </c>
      <c r="D162" s="31" t="inlineStr">
        <is>
          <t>engineering - turnkey services</t>
        </is>
      </c>
      <c r="E162" s="31" t="inlineStr">
        <is>
          <t>midcap</t>
        </is>
      </c>
      <c r="F162" s="31" t="n">
        <v>6658.46</v>
      </c>
      <c r="G162" s="31" t="n">
        <v>905.55</v>
      </c>
      <c r="H162" s="31" t="n">
        <v>-0.46</v>
      </c>
      <c r="I162" s="31" t="n">
        <v>28747</v>
      </c>
      <c r="J162" s="31" t="inlineStr">
        <is>
          <t>533033</t>
        </is>
      </c>
    </row>
    <row r="163">
      <c r="A163" s="31" t="inlineStr">
        <is>
          <t>NINSYS</t>
        </is>
      </c>
      <c r="B163" s="31" t="inlineStr">
        <is>
          <t>NINtec Systems Ltd</t>
        </is>
      </c>
      <c r="C163" s="31" t="inlineStr">
        <is>
          <t>i.t</t>
        </is>
      </c>
      <c r="D163" s="31" t="inlineStr">
        <is>
          <t>computers - software - medium / small</t>
        </is>
      </c>
      <c r="E163" s="31" t="inlineStr">
        <is>
          <t>smallcap</t>
        </is>
      </c>
      <c r="F163" s="31" t="n">
        <v>1484.59</v>
      </c>
      <c r="G163" s="31" t="n">
        <v>799.2</v>
      </c>
      <c r="H163" s="31" t="n">
        <v>-0.49</v>
      </c>
      <c r="I163" s="31" t="n">
        <v>2777</v>
      </c>
      <c r="J163" s="31" t="inlineStr">
        <is>
          <t>539843</t>
        </is>
      </c>
    </row>
    <row r="164">
      <c r="A164" s="31" t="inlineStr">
        <is>
          <t>VMART</t>
        </is>
      </c>
      <c r="B164" s="31" t="inlineStr">
        <is>
          <t>V-mart Retail Limited</t>
        </is>
      </c>
      <c r="C164" s="31" t="inlineStr">
        <is>
          <t>consumer discretionary</t>
        </is>
      </c>
      <c r="D164" s="31" t="inlineStr">
        <is>
          <t>trading</t>
        </is>
      </c>
      <c r="E164" s="31" t="inlineStr">
        <is>
          <t>midcap</t>
        </is>
      </c>
      <c r="F164" s="31" t="n">
        <v>6504.64</v>
      </c>
      <c r="G164" s="31" t="n">
        <v>817.7</v>
      </c>
      <c r="H164" s="31" t="n">
        <v>-0.52</v>
      </c>
      <c r="I164" s="31" t="n">
        <v>39617</v>
      </c>
      <c r="J164" s="31" t="inlineStr">
        <is>
          <t>534976</t>
        </is>
      </c>
    </row>
    <row r="165">
      <c r="A165" s="31" t="inlineStr">
        <is>
          <t>VHL</t>
        </is>
      </c>
      <c r="B165" s="31" t="inlineStr">
        <is>
          <t>Vardhman Holdings Limited</t>
        </is>
      </c>
      <c r="C165" s="31" t="inlineStr">
        <is>
          <t>financials</t>
        </is>
      </c>
      <c r="D165" s="31" t="inlineStr">
        <is>
          <t>finance &amp; investments</t>
        </is>
      </c>
      <c r="E165" s="31" t="inlineStr">
        <is>
          <t>smallcap</t>
        </is>
      </c>
      <c r="F165" s="31" t="n">
        <v>1157.76</v>
      </c>
      <c r="G165" s="31" t="n">
        <v>3627.6</v>
      </c>
      <c r="H165" s="31" t="n">
        <v>-0.61</v>
      </c>
      <c r="I165" s="31" t="n">
        <v>821</v>
      </c>
      <c r="J165" s="31" t="inlineStr">
        <is>
          <t>500439</t>
        </is>
      </c>
    </row>
    <row r="166">
      <c r="A166" s="31" t="inlineStr">
        <is>
          <t>LOTUSDEV</t>
        </is>
      </c>
      <c r="B166" s="31" t="inlineStr">
        <is>
          <t>Sri Lotus Developers &amp; Realty Ltd</t>
        </is>
      </c>
      <c r="C166" s="31" t="inlineStr">
        <is>
          <t>realty</t>
        </is>
      </c>
      <c r="D166" s="31" t="inlineStr">
        <is>
          <t>construction</t>
        </is>
      </c>
      <c r="E166" s="31" t="inlineStr">
        <is>
          <t>midcap</t>
        </is>
      </c>
      <c r="F166" s="31" t="n">
        <v>11632.11</v>
      </c>
      <c r="G166" s="31" t="n">
        <v>238.01</v>
      </c>
      <c r="H166" s="31" t="n">
        <v>-0.73</v>
      </c>
      <c r="I166" s="31" t="n">
        <v>826779</v>
      </c>
      <c r="J166" s="31" t="inlineStr">
        <is>
          <t>544469</t>
        </is>
      </c>
    </row>
    <row r="167">
      <c r="A167" s="31" t="inlineStr">
        <is>
          <t>INDOAMIN</t>
        </is>
      </c>
      <c r="B167" s="31" t="inlineStr">
        <is>
          <t>Indo Amines Ltd</t>
        </is>
      </c>
      <c r="C167" s="31" t="inlineStr">
        <is>
          <t>chemicals</t>
        </is>
      </c>
      <c r="D167" s="31" t="inlineStr">
        <is>
          <t>chemicals</t>
        </is>
      </c>
      <c r="E167" s="31" t="inlineStr">
        <is>
          <t>smallcap</t>
        </is>
      </c>
      <c r="F167" s="31" t="n">
        <v>1135.27</v>
      </c>
      <c r="G167" s="31" t="n">
        <v>156.4</v>
      </c>
      <c r="H167" s="31" t="n">
        <v>-0.84</v>
      </c>
      <c r="I167" s="31" t="n">
        <v>376474</v>
      </c>
      <c r="J167" s="31" t="inlineStr">
        <is>
          <t>524648</t>
        </is>
      </c>
    </row>
    <row r="168">
      <c r="A168" s="31" t="inlineStr">
        <is>
          <t>ABDL</t>
        </is>
      </c>
      <c r="B168" s="31" t="inlineStr">
        <is>
          <t>Allied Blenders &amp; Distillers Ltd</t>
        </is>
      </c>
      <c r="C168" s="31" t="inlineStr">
        <is>
          <t>fmcg</t>
        </is>
      </c>
      <c r="D168" s="31" t="inlineStr">
        <is>
          <t>breweries &amp; distilleries</t>
        </is>
      </c>
      <c r="E168" s="31" t="inlineStr">
        <is>
          <t>midcap</t>
        </is>
      </c>
      <c r="F168" s="31" t="n">
        <v>19736.35</v>
      </c>
      <c r="G168" s="31" t="n">
        <v>705.6</v>
      </c>
      <c r="H168" s="31" t="n">
        <v>-0.84</v>
      </c>
      <c r="I168" s="31" t="n">
        <v>732714</v>
      </c>
      <c r="J168" s="31" t="inlineStr">
        <is>
          <t>544203</t>
        </is>
      </c>
    </row>
    <row r="169">
      <c r="A169" s="31" t="inlineStr">
        <is>
          <t>DHANBANK</t>
        </is>
      </c>
      <c r="B169" s="31" t="inlineStr">
        <is>
          <t>Dhanlaxmi Bank Limited</t>
        </is>
      </c>
      <c r="C169" s="31" t="inlineStr">
        <is>
          <t>bank</t>
        </is>
      </c>
      <c r="D169" s="31" t="inlineStr">
        <is>
          <t>banks - private sector</t>
        </is>
      </c>
      <c r="E169" s="31" t="inlineStr">
        <is>
          <t>smallcap</t>
        </is>
      </c>
      <c r="F169" s="31" t="n">
        <v>1327.37</v>
      </c>
      <c r="G169" s="31" t="n">
        <v>33.63</v>
      </c>
      <c r="H169" s="31" t="n">
        <v>-0.97</v>
      </c>
      <c r="I169" s="31" t="n">
        <v>955464</v>
      </c>
      <c r="J169" s="31" t="inlineStr">
        <is>
          <t>532180</t>
        </is>
      </c>
    </row>
    <row r="170">
      <c r="A170" s="31" t="inlineStr">
        <is>
          <t>PASUPTAC</t>
        </is>
      </c>
      <c r="B170" s="31" t="inlineStr">
        <is>
          <t>Pasupati Acrylon Ltd</t>
        </is>
      </c>
      <c r="C170" s="31" t="inlineStr">
        <is>
          <t>textiles</t>
        </is>
      </c>
      <c r="D170" s="31" t="inlineStr">
        <is>
          <t>textiles - manmade</t>
        </is>
      </c>
      <c r="E170" s="31" t="inlineStr">
        <is>
          <t>smallcap</t>
        </is>
      </c>
      <c r="F170" s="31" t="n">
        <v>646.39</v>
      </c>
      <c r="G170" s="31" t="n">
        <v>72.52</v>
      </c>
      <c r="H170" s="31" t="n">
        <v>-0.98</v>
      </c>
      <c r="I170" s="31" t="n">
        <v>174163</v>
      </c>
      <c r="J170" s="31" t="inlineStr">
        <is>
          <t>500456</t>
        </is>
      </c>
    </row>
    <row r="171">
      <c r="A171" s="31" t="inlineStr">
        <is>
          <t>KILITCH</t>
        </is>
      </c>
      <c r="B171" s="31" t="inlineStr">
        <is>
          <t>Kilitch Drugs (india) Limited</t>
        </is>
      </c>
      <c r="C171" s="31" t="inlineStr">
        <is>
          <t>healthcare</t>
        </is>
      </c>
      <c r="D171" s="31" t="inlineStr">
        <is>
          <t>pharmaceuticals - indian - formulations</t>
        </is>
      </c>
      <c r="E171" s="31" t="inlineStr">
        <is>
          <t>smallcap</t>
        </is>
      </c>
      <c r="F171" s="31" t="n">
        <v>836.0700000000001</v>
      </c>
      <c r="G171" s="31" t="n">
        <v>239.14</v>
      </c>
      <c r="H171" s="31" t="n">
        <v>-1.02</v>
      </c>
      <c r="I171" s="31" t="n">
        <v>51032</v>
      </c>
      <c r="J171" s="31" t="inlineStr">
        <is>
          <t>524500</t>
        </is>
      </c>
    </row>
    <row r="172">
      <c r="A172" s="31" t="inlineStr">
        <is>
          <t>MTARTECH</t>
        </is>
      </c>
      <c r="B172" s="31" t="inlineStr">
        <is>
          <t>MTAR Technologies Ltd</t>
        </is>
      </c>
      <c r="C172" s="31" t="inlineStr">
        <is>
          <t>aerospace &amp; defence</t>
        </is>
      </c>
      <c r="D172" s="31" t="inlineStr">
        <is>
          <t>engineering</t>
        </is>
      </c>
      <c r="E172" s="31" t="inlineStr">
        <is>
          <t>largecap</t>
        </is>
      </c>
      <c r="F172" s="31" t="n">
        <v>23675.66</v>
      </c>
      <c r="G172" s="31" t="n">
        <v>7697</v>
      </c>
      <c r="H172" s="31" t="n">
        <v>-1.09</v>
      </c>
      <c r="I172" s="31" t="n">
        <v>61415</v>
      </c>
      <c r="J172" s="31" t="inlineStr">
        <is>
          <t>543270</t>
        </is>
      </c>
    </row>
    <row r="173">
      <c r="A173" s="31" t="inlineStr">
        <is>
          <t>SUNTV</t>
        </is>
      </c>
      <c r="B173" s="31" t="inlineStr">
        <is>
          <t>Sun Tv Network Limited</t>
        </is>
      </c>
      <c r="C173" s="31" t="inlineStr">
        <is>
          <t>media</t>
        </is>
      </c>
      <c r="D173" s="31" t="inlineStr">
        <is>
          <t>entertainment / electronic media software</t>
        </is>
      </c>
      <c r="E173" s="31" t="inlineStr">
        <is>
          <t>largecap</t>
        </is>
      </c>
      <c r="F173" s="31" t="n">
        <v>24780.04</v>
      </c>
      <c r="G173" s="31" t="n">
        <v>628.8</v>
      </c>
      <c r="H173" s="31" t="n">
        <v>-1.12</v>
      </c>
      <c r="I173" s="31" t="n">
        <v>494623</v>
      </c>
      <c r="J173" s="31" t="inlineStr">
        <is>
          <t>532733</t>
        </is>
      </c>
    </row>
    <row r="174">
      <c r="A174" s="31" t="inlineStr">
        <is>
          <t>FILATEX</t>
        </is>
      </c>
      <c r="B174" s="31" t="inlineStr">
        <is>
          <t>Filatex India Limited</t>
        </is>
      </c>
      <c r="C174" s="31" t="inlineStr">
        <is>
          <t>textiles</t>
        </is>
      </c>
      <c r="D174" s="31" t="inlineStr">
        <is>
          <t>textiles - manmade</t>
        </is>
      </c>
      <c r="E174" s="31" t="inlineStr">
        <is>
          <t>smallcap</t>
        </is>
      </c>
      <c r="F174" s="31" t="n">
        <v>4786.06</v>
      </c>
      <c r="G174" s="31" t="n">
        <v>107.78</v>
      </c>
      <c r="H174" s="31" t="n">
        <v>-1.17</v>
      </c>
      <c r="I174" s="31" t="n">
        <v>1499074</v>
      </c>
      <c r="J174" s="31" t="inlineStr">
        <is>
          <t>526227</t>
        </is>
      </c>
    </row>
    <row r="175">
      <c r="A175" s="31" t="inlineStr">
        <is>
          <t>CUPID</t>
        </is>
      </c>
      <c r="B175" s="31" t="inlineStr">
        <is>
          <t>Cupid Limited</t>
        </is>
      </c>
      <c r="C175" s="31" t="inlineStr">
        <is>
          <t>fmcg</t>
        </is>
      </c>
      <c r="D175" s="31" t="inlineStr">
        <is>
          <t>personal care - indian</t>
        </is>
      </c>
      <c r="E175" s="31" t="inlineStr">
        <is>
          <t>largecap</t>
        </is>
      </c>
      <c r="F175" s="31" t="n">
        <v>48649.82</v>
      </c>
      <c r="G175" s="31" t="n">
        <v>361.8</v>
      </c>
      <c r="H175" s="31" t="n">
        <v>-1.17</v>
      </c>
      <c r="I175" s="31" t="n">
        <v>19394567</v>
      </c>
      <c r="J175" s="31" t="inlineStr">
        <is>
          <t>530843</t>
        </is>
      </c>
    </row>
    <row r="176">
      <c r="A176" s="31" t="inlineStr">
        <is>
          <t>KRISHANA</t>
        </is>
      </c>
      <c r="B176" s="31" t="inlineStr">
        <is>
          <t>Krishana Phoschem Ltd</t>
        </is>
      </c>
      <c r="C176" s="31" t="inlineStr">
        <is>
          <t>chemicals</t>
        </is>
      </c>
      <c r="D176" s="31" t="inlineStr">
        <is>
          <t>fertilizers</t>
        </is>
      </c>
      <c r="E176" s="31" t="inlineStr">
        <is>
          <t>smallcap</t>
        </is>
      </c>
      <c r="F176" s="31" t="n">
        <v>1204.34</v>
      </c>
      <c r="G176" s="31" t="n">
        <v>194.79</v>
      </c>
      <c r="H176" s="31" t="n">
        <v>-1.18</v>
      </c>
      <c r="I176" s="31" t="n">
        <v>434359</v>
      </c>
      <c r="J176" s="31" t="inlineStr">
        <is>
          <t>538405</t>
        </is>
      </c>
    </row>
    <row r="177">
      <c r="A177" s="31" t="inlineStr">
        <is>
          <t>CPPLUS</t>
        </is>
      </c>
      <c r="B177" s="31" t="inlineStr">
        <is>
          <t>Aditya Infotech Ltd</t>
        </is>
      </c>
      <c r="C177" s="31" t="inlineStr">
        <is>
          <t>consumer discretionary</t>
        </is>
      </c>
      <c r="D177" s="31" t="inlineStr">
        <is>
          <t>trading</t>
        </is>
      </c>
      <c r="E177" s="31" t="inlineStr">
        <is>
          <t>largecap</t>
        </is>
      </c>
      <c r="F177" s="31" t="n">
        <v>50695.2</v>
      </c>
      <c r="G177" s="31" t="n">
        <v>4134.1</v>
      </c>
      <c r="H177" s="31" t="n">
        <v>-1.22</v>
      </c>
      <c r="I177" s="31" t="n">
        <v>648296</v>
      </c>
      <c r="J177" s="31" t="inlineStr">
        <is>
          <t>544466</t>
        </is>
      </c>
    </row>
    <row r="178">
      <c r="A178" s="31" t="inlineStr">
        <is>
          <t>NRL</t>
        </is>
      </c>
      <c r="B178" s="31" t="inlineStr">
        <is>
          <t>Nupur Recyclers Ltd</t>
        </is>
      </c>
      <c r="C178" s="31" t="inlineStr">
        <is>
          <t>services</t>
        </is>
      </c>
      <c r="D178" s="31" t="inlineStr">
        <is>
          <t>trading</t>
        </is>
      </c>
      <c r="E178" s="31" t="inlineStr">
        <is>
          <t>smallcap</t>
        </is>
      </c>
      <c r="F178" s="31" t="n">
        <v>1077.48</v>
      </c>
      <c r="G178" s="31" t="n">
        <v>156</v>
      </c>
      <c r="H178" s="31" t="n">
        <v>-1.27</v>
      </c>
      <c r="I178" s="31" t="n">
        <v>21858</v>
      </c>
      <c r="J178" s="31" t="inlineStr">
        <is>
          <t>535413</t>
        </is>
      </c>
    </row>
    <row r="179">
      <c r="A179" s="31" t="inlineStr">
        <is>
          <t>MMP</t>
        </is>
      </c>
      <c r="B179" s="31" t="inlineStr">
        <is>
          <t>MMP Industries Ltd</t>
        </is>
      </c>
      <c r="C179" s="31" t="inlineStr">
        <is>
          <t>metals &amp; mining</t>
        </is>
      </c>
      <c r="D179" s="31" t="inlineStr">
        <is>
          <t>aluminium and aluminium products</t>
        </is>
      </c>
      <c r="E179" s="31" t="inlineStr">
        <is>
          <t>smallcap</t>
        </is>
      </c>
      <c r="F179" s="31" t="n">
        <v>1257.05</v>
      </c>
      <c r="G179" s="31" t="n">
        <v>494.85</v>
      </c>
      <c r="H179" s="31" t="n">
        <v>-1.3</v>
      </c>
      <c r="I179" s="31" t="n">
        <v>45814</v>
      </c>
      <c r="J179" s="31" t="inlineStr">
        <is>
          <t>535071</t>
        </is>
      </c>
    </row>
    <row r="180">
      <c r="A180" s="31" t="inlineStr">
        <is>
          <t>MOREPENLAB</t>
        </is>
      </c>
      <c r="B180" s="31" t="inlineStr">
        <is>
          <t>Morepen Laboratories Limited</t>
        </is>
      </c>
      <c r="C180" s="31" t="inlineStr">
        <is>
          <t>healthcare</t>
        </is>
      </c>
      <c r="D180" s="31" t="inlineStr">
        <is>
          <t>pharmaceuticals - indian - bulk drugs &amp; formln</t>
        </is>
      </c>
      <c r="E180" s="31" t="inlineStr">
        <is>
          <t>midcap</t>
        </is>
      </c>
      <c r="F180" s="31" t="n">
        <v>7004.49</v>
      </c>
      <c r="G180" s="31" t="n">
        <v>127.83</v>
      </c>
      <c r="H180" s="31" t="n">
        <v>-1.33</v>
      </c>
      <c r="I180" s="31" t="n">
        <v>13504386</v>
      </c>
      <c r="J180" s="31" t="inlineStr">
        <is>
          <t>500288</t>
        </is>
      </c>
    </row>
    <row r="181">
      <c r="A181" s="31" t="inlineStr">
        <is>
          <t>DELTACORP</t>
        </is>
      </c>
      <c r="B181" s="31" t="inlineStr">
        <is>
          <t>Delta Corp Limited</t>
        </is>
      </c>
      <c r="C181" s="31" t="inlineStr">
        <is>
          <t>miscellaneous</t>
        </is>
      </c>
      <c r="D181" s="31" t="inlineStr">
        <is>
          <t>recreation / amusement parks</t>
        </is>
      </c>
      <c r="E181" s="31" t="inlineStr">
        <is>
          <t>smallcap</t>
        </is>
      </c>
      <c r="F181" s="31" t="n">
        <v>2146.72</v>
      </c>
      <c r="G181" s="31" t="n">
        <v>80.17</v>
      </c>
      <c r="H181" s="31" t="n">
        <v>-1.4</v>
      </c>
      <c r="I181" s="31" t="n">
        <v>7744125</v>
      </c>
      <c r="J181" s="31" t="inlineStr">
        <is>
          <t>532848</t>
        </is>
      </c>
    </row>
    <row r="182">
      <c r="A182" s="31" t="inlineStr">
        <is>
          <t>SMCGLOBAL</t>
        </is>
      </c>
      <c r="B182" s="31" t="inlineStr">
        <is>
          <t>SMC Global Securities Ltd</t>
        </is>
      </c>
      <c r="C182" s="31" t="inlineStr">
        <is>
          <t>financials</t>
        </is>
      </c>
      <c r="D182" s="31" t="inlineStr">
        <is>
          <t>finance &amp; investments</t>
        </is>
      </c>
      <c r="E182" s="31" t="inlineStr">
        <is>
          <t>smallcap</t>
        </is>
      </c>
      <c r="F182" s="31" t="n">
        <v>2392.81</v>
      </c>
      <c r="G182" s="31" t="n">
        <v>114.27</v>
      </c>
      <c r="H182" s="31" t="n">
        <v>-1.45</v>
      </c>
      <c r="I182" s="31" t="n">
        <v>18136347</v>
      </c>
      <c r="J182" s="31" t="inlineStr">
        <is>
          <t>543263</t>
        </is>
      </c>
    </row>
    <row r="183">
      <c r="A183" s="31" t="inlineStr">
        <is>
          <t>MOBIKWIK</t>
        </is>
      </c>
      <c r="B183" s="31" t="inlineStr">
        <is>
          <t>One Mobikwik Systems Ltd</t>
        </is>
      </c>
      <c r="C183" s="31" t="inlineStr">
        <is>
          <t>i.t</t>
        </is>
      </c>
      <c r="D183" s="31" t="inlineStr">
        <is>
          <t>miscellaneous</t>
        </is>
      </c>
      <c r="E183" s="31" t="inlineStr">
        <is>
          <t>smallcap</t>
        </is>
      </c>
      <c r="F183" s="31" t="n">
        <v>1895.91</v>
      </c>
      <c r="G183" s="31" t="n">
        <v>240.76</v>
      </c>
      <c r="H183" s="31" t="n">
        <v>-1.93</v>
      </c>
      <c r="I183" s="31" t="n">
        <v>2942621</v>
      </c>
      <c r="J183" s="31" t="inlineStr">
        <is>
          <t>544305</t>
        </is>
      </c>
    </row>
    <row r="184">
      <c r="A184" s="31" t="inlineStr">
        <is>
          <t>MBECL</t>
        </is>
      </c>
      <c r="B184" s="31" t="inlineStr">
        <is>
          <t>Mcnally Bharat Engineering Company Limited</t>
        </is>
      </c>
      <c r="C184" s="31" t="inlineStr">
        <is>
          <t>realty</t>
        </is>
      </c>
      <c r="D184" s="31" t="inlineStr">
        <is>
          <t>engineering - turnkey services</t>
        </is>
      </c>
      <c r="E184" s="31" t="inlineStr">
        <is>
          <t>smallcap</t>
        </is>
      </c>
      <c r="F184" s="31" t="n">
        <v>1518.67</v>
      </c>
      <c r="G184" s="31" t="n">
        <v>455.6</v>
      </c>
      <c r="H184" s="31" t="n">
        <v>-1.99</v>
      </c>
      <c r="I184" s="31" t="n">
        <v>789</v>
      </c>
      <c r="J184" s="31" t="inlineStr">
        <is>
          <t>532629</t>
        </is>
      </c>
    </row>
    <row r="185">
      <c r="A185" s="31" t="inlineStr">
        <is>
          <t>RAYMONDREL</t>
        </is>
      </c>
      <c r="B185" s="31" t="inlineStr">
        <is>
          <t>Raymond Realty Ltd</t>
        </is>
      </c>
      <c r="C185" s="31" t="inlineStr">
        <is>
          <t>realty</t>
        </is>
      </c>
      <c r="D185" s="31" t="inlineStr">
        <is>
          <t>construction</t>
        </is>
      </c>
      <c r="E185" s="31" t="inlineStr">
        <is>
          <t>smallcap</t>
        </is>
      </c>
      <c r="F185" s="31" t="n">
        <v>4545.65</v>
      </c>
      <c r="G185" s="31" t="n">
        <v>682.8</v>
      </c>
      <c r="H185" s="31" t="n">
        <v>-2.21</v>
      </c>
      <c r="I185" s="31" t="n">
        <v>687431</v>
      </c>
      <c r="J185" s="31" t="inlineStr">
        <is>
          <t>544420</t>
        </is>
      </c>
    </row>
    <row r="186">
      <c r="A186" s="31" t="inlineStr">
        <is>
          <t>NELCAST</t>
        </is>
      </c>
      <c r="B186" s="31" t="inlineStr">
        <is>
          <t>Nelcast Limited</t>
        </is>
      </c>
      <c r="C186" s="31" t="inlineStr">
        <is>
          <t>castings, forgings &amp; fasteners</t>
        </is>
      </c>
      <c r="D186" s="31" t="inlineStr">
        <is>
          <t>castings &amp; forgings</t>
        </is>
      </c>
      <c r="E186" s="31" t="inlineStr">
        <is>
          <t>smallcap</t>
        </is>
      </c>
      <c r="F186" s="31" t="n">
        <v>1210.27</v>
      </c>
      <c r="G186" s="31" t="n">
        <v>139.11</v>
      </c>
      <c r="H186" s="31" t="n">
        <v>-2.37</v>
      </c>
      <c r="I186" s="31" t="n">
        <v>137246</v>
      </c>
      <c r="J186" s="31" t="inlineStr">
        <is>
          <t>532864</t>
        </is>
      </c>
    </row>
    <row r="187">
      <c r="A187" s="31" t="inlineStr">
        <is>
          <t>RAYMOND</t>
        </is>
      </c>
      <c r="B187" s="31" t="inlineStr">
        <is>
          <t>Raymond Limited</t>
        </is>
      </c>
      <c r="C187" s="31" t="inlineStr">
        <is>
          <t>transportation</t>
        </is>
      </c>
      <c r="D187" s="31" t="inlineStr">
        <is>
          <t>transport - airlines</t>
        </is>
      </c>
      <c r="E187" s="31" t="inlineStr">
        <is>
          <t>midcap</t>
        </is>
      </c>
      <c r="F187" s="31" t="n">
        <v>7708.57</v>
      </c>
      <c r="G187" s="31" t="n">
        <v>1157.9</v>
      </c>
      <c r="H187" s="31" t="n">
        <v>-2.42</v>
      </c>
      <c r="I187" s="31" t="n">
        <v>606608</v>
      </c>
      <c r="J187" s="31" t="inlineStr">
        <is>
          <t>500330</t>
        </is>
      </c>
    </row>
    <row r="188">
      <c r="A188" s="31" t="inlineStr">
        <is>
          <t>MANORAMA</t>
        </is>
      </c>
      <c r="B188" s="31" t="inlineStr">
        <is>
          <t>Manorama Industries Ltd</t>
        </is>
      </c>
      <c r="C188" s="31" t="inlineStr">
        <is>
          <t>fmcg</t>
        </is>
      </c>
      <c r="D188" s="31" t="inlineStr">
        <is>
          <t>food - processing - indian</t>
        </is>
      </c>
      <c r="E188" s="31" t="inlineStr">
        <is>
          <t>midcap</t>
        </is>
      </c>
      <c r="F188" s="31" t="n">
        <v>11846.17</v>
      </c>
      <c r="G188" s="31" t="n">
        <v>1984</v>
      </c>
      <c r="H188" s="31" t="n">
        <v>-2.91</v>
      </c>
      <c r="I188" s="31" t="n">
        <v>142577</v>
      </c>
      <c r="J188" s="31" t="inlineStr">
        <is>
          <t>541974</t>
        </is>
      </c>
    </row>
    <row r="189">
      <c r="A189" s="31" t="inlineStr">
        <is>
          <t>BOSCH-HCIL</t>
        </is>
      </c>
      <c r="B189" s="31" t="inlineStr">
        <is>
          <t>Bosch Home Comfort India Ltd</t>
        </is>
      </c>
      <c r="C189" s="31" t="inlineStr">
        <is>
          <t>consumer discretionary</t>
        </is>
      </c>
      <c r="D189" s="31" t="inlineStr">
        <is>
          <t>air-conditioners</t>
        </is>
      </c>
      <c r="E189" s="31" t="inlineStr">
        <is>
          <t>midcap</t>
        </is>
      </c>
      <c r="F189" s="31" t="n">
        <v>5226.9</v>
      </c>
      <c r="G189" s="31" t="n">
        <v>1922.3</v>
      </c>
      <c r="H189" s="31" t="n">
        <v>-2.92</v>
      </c>
      <c r="I189" s="31" t="n">
        <v>33432</v>
      </c>
      <c r="J189" s="31" t="inlineStr">
        <is>
          <t>523398</t>
        </is>
      </c>
    </row>
    <row r="190">
      <c r="A190" s="31" t="inlineStr">
        <is>
          <t>INDIAGLYCO</t>
        </is>
      </c>
      <c r="B190" s="31" t="inlineStr">
        <is>
          <t>India Glycols Limited</t>
        </is>
      </c>
      <c r="C190" s="31" t="inlineStr">
        <is>
          <t>fmcg</t>
        </is>
      </c>
      <c r="D190" s="31" t="inlineStr">
        <is>
          <t>breweries &amp; distilleries</t>
        </is>
      </c>
      <c r="E190" s="31" t="inlineStr">
        <is>
          <t>smallcap</t>
        </is>
      </c>
      <c r="F190" s="31" t="n">
        <v>2143.52</v>
      </c>
      <c r="G190" s="31" t="n">
        <v>319.8</v>
      </c>
      <c r="H190" s="31" t="n">
        <v>-2.97</v>
      </c>
      <c r="I190" s="31" t="n">
        <v>521367</v>
      </c>
      <c r="J190" s="31" t="inlineStr">
        <is>
          <t>500201</t>
        </is>
      </c>
    </row>
    <row r="191">
      <c r="A191" s="31" t="inlineStr">
        <is>
          <t>RATNAVEER</t>
        </is>
      </c>
      <c r="B191" s="31" t="inlineStr">
        <is>
          <t>Ratnaveer Precision Engineering Ltd</t>
        </is>
      </c>
      <c r="C191" s="31" t="inlineStr">
        <is>
          <t>metals &amp; mining</t>
        </is>
      </c>
      <c r="D191" s="31" t="inlineStr">
        <is>
          <t>steel - medium / small</t>
        </is>
      </c>
      <c r="E191" s="31" t="inlineStr">
        <is>
          <t>smallcap</t>
        </is>
      </c>
      <c r="F191" s="31" t="n">
        <v>2783.42</v>
      </c>
      <c r="G191" s="31" t="n">
        <v>331.65</v>
      </c>
      <c r="H191" s="31" t="n">
        <v>-3.48</v>
      </c>
      <c r="I191" s="31" t="n">
        <v>4233088</v>
      </c>
      <c r="J191" s="31" t="inlineStr">
        <is>
          <t>543978</t>
        </is>
      </c>
    </row>
    <row r="192">
      <c r="A192" s="31" t="inlineStr">
        <is>
          <t>SPECTRUM</t>
        </is>
      </c>
      <c r="B192" s="31" t="inlineStr">
        <is>
          <t>Spectrum Electrical Industries Ltd</t>
        </is>
      </c>
      <c r="C192" s="31" t="inlineStr">
        <is>
          <t>industrials</t>
        </is>
      </c>
      <c r="D192" s="31" t="inlineStr">
        <is>
          <t>electric equipment</t>
        </is>
      </c>
      <c r="E192" s="31" t="inlineStr">
        <is>
          <t>midcap</t>
        </is>
      </c>
      <c r="F192" s="31" t="n">
        <v>6205.31</v>
      </c>
      <c r="G192" s="31" t="n">
        <v>3631.5</v>
      </c>
      <c r="H192" s="31" t="n">
        <v>-3.85</v>
      </c>
      <c r="I192" s="31" t="n">
        <v>5598</v>
      </c>
      <c r="J192" s="31" t="inlineStr">
        <is>
          <t>535112</t>
        </is>
      </c>
    </row>
    <row r="193">
      <c r="A193" s="31" t="inlineStr">
        <is>
          <t>OPTIEMUS</t>
        </is>
      </c>
      <c r="B193" s="31" t="inlineStr">
        <is>
          <t>Optiemus Infracom Ltd</t>
        </is>
      </c>
      <c r="C193" s="31" t="inlineStr">
        <is>
          <t>telecom</t>
        </is>
      </c>
      <c r="D193" s="31" t="inlineStr">
        <is>
          <t>trading</t>
        </is>
      </c>
      <c r="E193" s="31" t="inlineStr">
        <is>
          <t>midcap</t>
        </is>
      </c>
      <c r="F193" s="31" t="n">
        <v>6997.37</v>
      </c>
      <c r="G193" s="31" t="n">
        <v>776.05</v>
      </c>
      <c r="H193" s="31" t="n">
        <v>-4.88</v>
      </c>
      <c r="I193" s="31" t="n">
        <v>473431</v>
      </c>
      <c r="J193" s="31" t="inlineStr">
        <is>
          <t>530135</t>
        </is>
      </c>
    </row>
  </sheetData>
  <autoFilter ref="A1:J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NAVINFLUOR</t>
        </is>
      </c>
      <c r="E2" s="31" t="inlineStr">
        <is>
          <t>Navin Fluorine International Limited</t>
        </is>
      </c>
      <c r="F2" s="31" t="inlineStr">
        <is>
          <t>Chemicals Fluorine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16</v>
      </c>
      <c r="K2" s="31" t="n">
        <v>14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PREMIERPOL</t>
        </is>
      </c>
      <c r="E3" s="31" t="inlineStr">
        <is>
          <t>Premier Polyfilm Limited</t>
        </is>
      </c>
      <c r="F3" s="31" t="inlineStr">
        <is>
          <t>Plastics Sheets and Films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25</v>
      </c>
      <c r="K3" s="31" t="n">
        <v>19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IBULLSLTD</t>
        </is>
      </c>
      <c r="E4" s="31" t="inlineStr">
        <is>
          <t>Indiabulls Limited</t>
        </is>
      </c>
      <c r="F4" s="31" t="inlineStr">
        <is>
          <t>Diversified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24</v>
      </c>
      <c r="K4" s="31" t="n">
        <v>19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RPTECH</t>
        </is>
      </c>
      <c r="E5" s="31" t="inlineStr">
        <is>
          <t>Rashi Peripherals Ltd</t>
        </is>
      </c>
      <c r="F5" s="31" t="inlineStr">
        <is>
          <t>Trading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24</v>
      </c>
      <c r="K5" s="31" t="n">
        <v>14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OCCLLTD</t>
        </is>
      </c>
      <c r="E6" s="31" t="inlineStr">
        <is>
          <t>OCCL Ltd</t>
        </is>
      </c>
      <c r="F6" s="31" t="inlineStr">
        <is>
          <t>Chemicals Organic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20</v>
      </c>
      <c r="K6" s="31" t="n">
        <v>20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JGCHEM</t>
        </is>
      </c>
      <c r="E7" s="31" t="inlineStr">
        <is>
          <t>J.G.Chemicals Ltd</t>
        </is>
      </c>
      <c r="F7" s="31" t="inlineStr">
        <is>
          <t>Chemicals Inorganic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18</v>
      </c>
      <c r="K7" s="31" t="n">
        <v>14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WSTCSTPAPR</t>
        </is>
      </c>
      <c r="E8" s="31" t="inlineStr">
        <is>
          <t>West Coast Paper Mills Limited</t>
        </is>
      </c>
      <c r="F8" s="31" t="inlineStr">
        <is>
          <t>Paper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21</v>
      </c>
      <c r="K8" s="31" t="n">
        <v>28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PGIL</t>
        </is>
      </c>
      <c r="E9" s="31" t="inlineStr">
        <is>
          <t>Pearl Global Industries Limited</t>
        </is>
      </c>
      <c r="F9" s="31" t="inlineStr">
        <is>
          <t>Textiles Readymade Apparel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23</v>
      </c>
      <c r="K9" s="31" t="n">
        <v>19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TCPLPACK</t>
        </is>
      </c>
      <c r="E10" s="31" t="inlineStr">
        <is>
          <t>TCPL Packaging Ltd</t>
        </is>
      </c>
      <c r="F10" s="31" t="inlineStr">
        <is>
          <t>Packaging FMCG and Consumers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17</v>
      </c>
      <c r="K10" s="31" t="n">
        <v>13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AVTNPL</t>
        </is>
      </c>
      <c r="E11" s="31" t="inlineStr">
        <is>
          <t>Avt Natural Products Limited</t>
        </is>
      </c>
      <c r="F11" s="31" t="inlineStr">
        <is>
          <t>Natural Extracts and Food Ingredients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19</v>
      </c>
      <c r="K11" s="31" t="n">
        <v>18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SMCGLOBAL</t>
        </is>
      </c>
      <c r="E12" s="31" t="inlineStr">
        <is>
          <t>SMC Global Securities Ltd</t>
        </is>
      </c>
      <c r="F12" s="31" t="inlineStr">
        <is>
          <t>Finance Capital Markets Brokers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17</v>
      </c>
      <c r="K12" s="31" t="n">
        <v>22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SWANDEF</t>
        </is>
      </c>
      <c r="E13" s="31" t="inlineStr">
        <is>
          <t>Swan Defence and Heavy Industries Ltd</t>
        </is>
      </c>
      <c r="F13" s="31" t="inlineStr">
        <is>
          <t>Shipbuilding and Repairs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24</v>
      </c>
      <c r="K13" s="31" t="n">
        <v>27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BLUSPRING</t>
        </is>
      </c>
      <c r="E14" s="31" t="inlineStr">
        <is>
          <t>Bluspring Enterprises Ltd</t>
        </is>
      </c>
      <c r="F14" s="31" t="inlineStr">
        <is>
          <t>Diversified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19</v>
      </c>
      <c r="K14" s="31" t="n">
        <v>19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KINGFA</t>
        </is>
      </c>
      <c r="E15" s="31" t="inlineStr">
        <is>
          <t>Kingfa Science &amp; Technology (india) Limited</t>
        </is>
      </c>
      <c r="F15" s="31" t="inlineStr">
        <is>
          <t>Plastics Plastic and Plastic Products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26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DPABHUSHAN</t>
        </is>
      </c>
      <c r="E16" s="31" t="inlineStr">
        <is>
          <t>D.P. Abhushan Ltd</t>
        </is>
      </c>
      <c r="F16" s="31" t="inlineStr">
        <is>
          <t>Diamond Gems and Jewellery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28</v>
      </c>
      <c r="K16" s="31" t="n">
        <v>13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MODISONLTD</t>
        </is>
      </c>
      <c r="E17" s="31" t="inlineStr">
        <is>
          <t>Modison Ltd</t>
        </is>
      </c>
      <c r="F17" s="31" t="inlineStr">
        <is>
          <t>Capital Goods Electric General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20</v>
      </c>
      <c r="K17" s="31" t="n">
        <v>23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TBZ</t>
        </is>
      </c>
      <c r="E18" s="31" t="inlineStr">
        <is>
          <t>Tribhovandas Bhimji Zaveri Limited</t>
        </is>
      </c>
      <c r="F18" s="31" t="inlineStr">
        <is>
          <t>Diamond Gems and Jewellery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17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BHAGERIA</t>
        </is>
      </c>
      <c r="E19" s="31" t="inlineStr">
        <is>
          <t>Bhageria Industries Limited</t>
        </is>
      </c>
      <c r="F19" s="31" t="inlineStr">
        <is>
          <t>Dyes and Pigments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GLAND</t>
        </is>
      </c>
      <c r="E20" s="31" t="inlineStr">
        <is>
          <t>Gland Pharma Ltd</t>
        </is>
      </c>
      <c r="F20" s="31" t="inlineStr">
        <is>
          <t>Pharma Formulations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16</v>
      </c>
      <c r="K20" s="31" t="n">
        <v>20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THELEELA</t>
        </is>
      </c>
      <c r="E21" s="31" t="inlineStr">
        <is>
          <t>Leela Palaces Hotels &amp; Resorts Ltd</t>
        </is>
      </c>
      <c r="F21" s="31" t="inlineStr">
        <is>
          <t>Hotels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14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DELTACORP</t>
        </is>
      </c>
      <c r="E22" s="31" t="inlineStr">
        <is>
          <t>Delta Corp Limited</t>
        </is>
      </c>
      <c r="F22" s="31" t="inlineStr">
        <is>
          <t>Miscellaneous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16</v>
      </c>
      <c r="K22" s="31" t="n">
        <v>13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BIRLACABLE</t>
        </is>
      </c>
      <c r="E23" s="31" t="inlineStr">
        <is>
          <t>Birla Cable Limited</t>
        </is>
      </c>
      <c r="F23" s="31" t="inlineStr">
        <is>
          <t>Cables Telecom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27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SHANTIGOLD</t>
        </is>
      </c>
      <c r="E24" s="31" t="inlineStr">
        <is>
          <t>Shanti Gold International Ltd</t>
        </is>
      </c>
      <c r="F24" s="31" t="inlineStr">
        <is>
          <t>Diamond Gems and Jewellery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23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FINCABLES</t>
        </is>
      </c>
      <c r="E25" s="31" t="inlineStr">
        <is>
          <t>Finolex Cables Limited</t>
        </is>
      </c>
      <c r="F25" s="31" t="inlineStr">
        <is>
          <t>Cables Telecom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25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PCJEWELLER</t>
        </is>
      </c>
      <c r="E26" s="31" t="inlineStr">
        <is>
          <t>Pc Jeweller Limited</t>
        </is>
      </c>
      <c r="F26" s="31" t="inlineStr">
        <is>
          <t>Diamond Gems and Jewellery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18</v>
      </c>
      <c r="K26" s="31" t="n">
        <v>22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WHEELS</t>
        </is>
      </c>
      <c r="E27" s="31" t="inlineStr">
        <is>
          <t>Wheels India Limited</t>
        </is>
      </c>
      <c r="F27" s="31" t="inlineStr">
        <is>
          <t>Auto Wheels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17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RPEL</t>
        </is>
      </c>
      <c r="E28" s="31" t="inlineStr">
        <is>
          <t>Raghav Productivity Enhancers Ltd</t>
        </is>
      </c>
      <c r="F28" s="31" t="inlineStr">
        <is>
          <t>Refractories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18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SGFIN</t>
        </is>
      </c>
      <c r="E29" s="31" t="inlineStr">
        <is>
          <t>SG Finserve Ltd</t>
        </is>
      </c>
      <c r="F29" s="31" t="inlineStr">
        <is>
          <t>Finance and Investments MSME Lending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5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AZAD</t>
        </is>
      </c>
      <c r="E30" s="31" t="inlineStr">
        <is>
          <t>Azad Engineering Ltd</t>
        </is>
      </c>
      <c r="F30" s="31" t="inlineStr">
        <is>
          <t>Aerospace and Defence Equipment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16</v>
      </c>
      <c r="K30" s="31" t="n">
        <v>18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PTCIL</t>
        </is>
      </c>
      <c r="E31" s="31" t="inlineStr">
        <is>
          <t>PTC Industries Ltd</t>
        </is>
      </c>
      <c r="F31" s="31" t="inlineStr">
        <is>
          <t>Castings Steel and Alloy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21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SYRMA</t>
        </is>
      </c>
      <c r="E32" s="31" t="inlineStr">
        <is>
          <t>Syrma SGS Technology Ltd</t>
        </is>
      </c>
      <c r="F32" s="31" t="inlineStr">
        <is>
          <t>EMS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18</v>
      </c>
      <c r="K32" s="31" t="n">
        <v>23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E2E</t>
        </is>
      </c>
      <c r="E33" s="31" t="inlineStr">
        <is>
          <t>E2E Networks Ltd</t>
        </is>
      </c>
      <c r="F33" s="31" t="inlineStr">
        <is>
          <t>Data Centre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17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ATLANTAELE</t>
        </is>
      </c>
      <c r="E34" s="31" t="inlineStr">
        <is>
          <t>Atlanta Electricals Ltd</t>
        </is>
      </c>
      <c r="F34" s="31" t="inlineStr">
        <is>
          <t>Capital Goods Transformers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17</v>
      </c>
      <c r="K34" s="31" t="n">
        <v>4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AEGISLOG</t>
        </is>
      </c>
      <c r="E35" s="31" t="inlineStr">
        <is>
          <t>Aegis Logistics Ltd</t>
        </is>
      </c>
      <c r="F35" s="31" t="inlineStr">
        <is>
          <t>Logistics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25</v>
      </c>
      <c r="K35" s="31" t="n">
        <v>12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LOTUSDEV</t>
        </is>
      </c>
      <c r="E36" s="31" t="inlineStr">
        <is>
          <t>Sri Lotus Developers &amp; Realty Ltd</t>
        </is>
      </c>
      <c r="F36" s="31" t="inlineStr">
        <is>
          <t>Construction Factories and Offices and Commercial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TATVA</t>
        </is>
      </c>
      <c r="E37" s="31" t="inlineStr">
        <is>
          <t>Tatva Chintan Pharma Chem Ltd</t>
        </is>
      </c>
      <c r="F37" s="31" t="inlineStr">
        <is>
          <t>Specialty Chemicals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19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AETHER</t>
        </is>
      </c>
      <c r="E38" s="31" t="inlineStr">
        <is>
          <t>Aether Industries Ltd</t>
        </is>
      </c>
      <c r="F38" s="31" t="inlineStr">
        <is>
          <t>Specialty Chemicals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15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MARINE</t>
        </is>
      </c>
      <c r="E39" s="31" t="inlineStr">
        <is>
          <t>Marine Electricals (India) Ltd</t>
        </is>
      </c>
      <c r="F39" s="31" t="inlineStr">
        <is>
          <t>Shipping Proxy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17</v>
      </c>
      <c r="K39" s="31" t="n">
        <v>25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AVALON</t>
        </is>
      </c>
      <c r="E40" s="31" t="inlineStr">
        <is>
          <t>Avalon Technologies Ltd</t>
        </is>
      </c>
      <c r="F40" s="31" t="inlineStr">
        <is>
          <t>EMS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20</v>
      </c>
      <c r="K40" s="31" t="n">
        <v>17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CUPID</t>
        </is>
      </c>
      <c r="E41" s="31" t="inlineStr">
        <is>
          <t>Cupid Limited</t>
        </is>
      </c>
      <c r="F41" s="31" t="inlineStr">
        <is>
          <t>Contraceptives and Protectives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22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LALPATHLAB</t>
        </is>
      </c>
      <c r="E42" s="31" t="inlineStr">
        <is>
          <t>Dr. Lal Path Labs Ltd.</t>
        </is>
      </c>
      <c r="F42" s="31" t="inlineStr">
        <is>
          <t>Diagnostic Services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16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GALAXYSURF</t>
        </is>
      </c>
      <c r="E43" s="31" t="inlineStr">
        <is>
          <t>Galaxy Surfactants Ltd</t>
        </is>
      </c>
      <c r="F43" s="31" t="inlineStr">
        <is>
          <t>Specialty Chemicals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22</v>
      </c>
      <c r="K43" s="31" t="n">
        <v>11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NRAIL</t>
        </is>
      </c>
      <c r="E44" s="31" t="inlineStr">
        <is>
          <t>N R Agarwal Industries Ltd</t>
        </is>
      </c>
      <c r="F44" s="31" t="inlineStr">
        <is>
          <t>Paper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19</v>
      </c>
      <c r="K44" s="31" t="n">
        <v>26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NAZARA</t>
        </is>
      </c>
      <c r="E45" s="31" t="inlineStr">
        <is>
          <t>Nazara Technologies Ltd</t>
        </is>
      </c>
      <c r="F45" s="31" t="inlineStr">
        <is>
          <t>Entertainment and Media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16</v>
      </c>
      <c r="K45" s="31" t="n">
        <v>26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SOMANYCERA</t>
        </is>
      </c>
      <c r="E46" s="31" t="inlineStr">
        <is>
          <t>Somany Ceramics Limited</t>
        </is>
      </c>
      <c r="F46" s="31" t="inlineStr">
        <is>
          <t>Ceramics Tiles and Sanitaryware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28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CYIENTDLM</t>
        </is>
      </c>
      <c r="E47" s="31" t="inlineStr">
        <is>
          <t>Cyient DLM Ltd</t>
        </is>
      </c>
      <c r="F47" s="31" t="inlineStr">
        <is>
          <t>EMS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16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TDPOWERSYS</t>
        </is>
      </c>
      <c r="E48" s="31" t="inlineStr">
        <is>
          <t>Td Power Systems Limited</t>
        </is>
      </c>
      <c r="F48" s="31" t="inlineStr">
        <is>
          <t>Capital Goods Gensets and Turbines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13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HFCL</t>
        </is>
      </c>
      <c r="E49" s="31" t="inlineStr">
        <is>
          <t>HFCL Ltd</t>
        </is>
      </c>
      <c r="F49" s="31" t="inlineStr">
        <is>
          <t>Telecommunications Equipment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17</v>
      </c>
      <c r="K49" s="31" t="n">
        <v>12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TFCILTD</t>
        </is>
      </c>
      <c r="E50" s="31" t="inlineStr">
        <is>
          <t>Tourism Finance Corporation Of India Limited</t>
        </is>
      </c>
      <c r="F50" s="31" t="inlineStr">
        <is>
          <t>Finance PSU Lending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28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UTTAMSUGAR</t>
        </is>
      </c>
      <c r="E51" s="31" t="inlineStr">
        <is>
          <t>Uttam Sugar Mills Limited</t>
        </is>
      </c>
      <c r="F51" s="31" t="inlineStr">
        <is>
          <t>Sugar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16</v>
      </c>
      <c r="K51" s="31" t="n">
        <v>11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BHEL</t>
        </is>
      </c>
      <c r="E52" s="31" t="inlineStr">
        <is>
          <t>Bharat Heavy Electricals Limited</t>
        </is>
      </c>
      <c r="F52" s="31" t="inlineStr">
        <is>
          <t>Capital Goods Engineering Heavy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18</v>
      </c>
      <c r="K52" s="31" t="n">
        <v>9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PANACHE</t>
        </is>
      </c>
      <c r="E53" s="31" t="inlineStr">
        <is>
          <t>Panache Digilife Ltd</t>
        </is>
      </c>
      <c r="F53" s="31" t="inlineStr">
        <is>
          <t>Computer Hardware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18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KMEW</t>
        </is>
      </c>
      <c r="E54" s="31" t="inlineStr">
        <is>
          <t>Knowledge Marine &amp; Engineering Works Ltd</t>
        </is>
      </c>
      <c r="F54" s="31" t="inlineStr">
        <is>
          <t>Shipping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18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AEROENTER</t>
        </is>
      </c>
      <c r="E55" s="31" t="inlineStr">
        <is>
          <t>Aeroflex Enterprises Ltd</t>
        </is>
      </c>
      <c r="F55" s="31" t="inlineStr">
        <is>
          <t>Miscellaneous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7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ONEPOINT</t>
        </is>
      </c>
      <c r="E56" s="31" t="inlineStr">
        <is>
          <t>One Point One Solutions Ltd</t>
        </is>
      </c>
      <c r="F56" s="31" t="inlineStr">
        <is>
          <t>IT Enabled Services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23</v>
      </c>
      <c r="K56" s="31" t="n">
        <v>22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WELCORP</t>
        </is>
      </c>
      <c r="E57" s="31" t="inlineStr">
        <is>
          <t>Welspun Corp Limited</t>
        </is>
      </c>
      <c r="F57" s="31" t="inlineStr">
        <is>
          <t>DI Pipes and Saw Pipes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23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LAURUSLABS</t>
        </is>
      </c>
      <c r="E58" s="31" t="inlineStr">
        <is>
          <t>Laurus Labs Limited</t>
        </is>
      </c>
      <c r="F58" s="31" t="inlineStr">
        <is>
          <t>Pharma API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29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SKYGOLD</t>
        </is>
      </c>
      <c r="E59" s="31" t="inlineStr">
        <is>
          <t>Sky Gold Ltd</t>
        </is>
      </c>
      <c r="F59" s="31" t="inlineStr">
        <is>
          <t>Diamond Gems and Jewellery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31</v>
      </c>
      <c r="K59" s="31" t="n">
        <v>17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PANAMAPET</t>
        </is>
      </c>
      <c r="E60" s="31" t="inlineStr">
        <is>
          <t>Panama Petrochem Limited</t>
        </is>
      </c>
      <c r="F60" s="31" t="inlineStr">
        <is>
          <t>Specialty Chemicals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AEROFLEX</t>
        </is>
      </c>
      <c r="E61" s="31" t="inlineStr">
        <is>
          <t>Aeroflex Industries Ltd</t>
        </is>
      </c>
      <c r="F61" s="31" t="inlineStr">
        <is>
          <t>Stainless Steel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16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GCSL</t>
        </is>
      </c>
      <c r="E62" s="31" t="inlineStr">
        <is>
          <t>Gretex Corporate Services Ltd</t>
        </is>
      </c>
      <c r="F62" s="31" t="inlineStr">
        <is>
          <t>Finance and Investments Others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16</v>
      </c>
      <c r="K62" s="31" t="n">
        <v>23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DHAMPURSUG</t>
        </is>
      </c>
      <c r="E63" s="31" t="inlineStr">
        <is>
          <t>Dhampur Sugar Mills Limited</t>
        </is>
      </c>
      <c r="F63" s="31" t="inlineStr">
        <is>
          <t>Sugar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16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AVADHSUGAR</t>
        </is>
      </c>
      <c r="E64" s="31" t="inlineStr">
        <is>
          <t>Avadh Sugar &amp; Energy</t>
        </is>
      </c>
      <c r="F64" s="31" t="inlineStr">
        <is>
          <t>Sugar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16</v>
      </c>
      <c r="K64" s="31" t="n">
        <v>18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SHRINGARMS</t>
        </is>
      </c>
      <c r="E65" s="31" t="inlineStr">
        <is>
          <t>Shringar House of Mangalsutra Ltd</t>
        </is>
      </c>
      <c r="F65" s="31" t="inlineStr">
        <is>
          <t>Diamond Gems and Jewellery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19</v>
      </c>
      <c r="K65" s="31" t="n">
        <v>5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GOODLUCK</t>
        </is>
      </c>
      <c r="E66" s="31" t="inlineStr">
        <is>
          <t>Goodluck India Limited</t>
        </is>
      </c>
      <c r="F66" s="31" t="inlineStr">
        <is>
          <t>Steel Tubes and Pipes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13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GANDHAR</t>
        </is>
      </c>
      <c r="E67" s="31" t="inlineStr">
        <is>
          <t>Gandhar Oil Refinery (India) Ltd</t>
        </is>
      </c>
      <c r="F67" s="31" t="inlineStr">
        <is>
          <t>Refineries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22</v>
      </c>
      <c r="K67" s="31" t="n">
        <v>25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SAMBHV</t>
        </is>
      </c>
      <c r="E68" s="31" t="inlineStr">
        <is>
          <t>Sambhv Steel Tubes Ltd</t>
        </is>
      </c>
      <c r="F68" s="31" t="inlineStr">
        <is>
          <t>Steel Tubes and Pipes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18</v>
      </c>
      <c r="K68" s="31" t="n">
        <v>25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PVRINOX</t>
        </is>
      </c>
      <c r="E69" s="31" t="inlineStr">
        <is>
          <t>PVR Inox Ltd</t>
        </is>
      </c>
      <c r="F69" s="31" t="inlineStr">
        <is>
          <t>Entertainment and Media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17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NEOGEN</t>
        </is>
      </c>
      <c r="E70" s="31" t="inlineStr">
        <is>
          <t>Neogen Chemicals Ltd</t>
        </is>
      </c>
      <c r="F70" s="31" t="inlineStr">
        <is>
          <t>Specialty Chemicals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16</v>
      </c>
      <c r="K70" s="31" t="n">
        <v>22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DYNAMATECH</t>
        </is>
      </c>
      <c r="E71" s="31" t="inlineStr">
        <is>
          <t>Dynamatic Technologies Limited</t>
        </is>
      </c>
      <c r="F71" s="31" t="inlineStr">
        <is>
          <t>Aerospace and Defence Equipment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16</v>
      </c>
      <c r="K71" s="31" t="n">
        <v>28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MUKANDLTD</t>
        </is>
      </c>
      <c r="E72" s="31" t="inlineStr">
        <is>
          <t>Mukand Limited</t>
        </is>
      </c>
      <c r="F72" s="31" t="inlineStr">
        <is>
          <t>Steel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17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VHLTD</t>
        </is>
      </c>
      <c r="E73" s="31" t="inlineStr">
        <is>
          <t>Viceroy Hotels Ltd</t>
        </is>
      </c>
      <c r="F73" s="31" t="inlineStr">
        <is>
          <t>Hotels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7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SOTL</t>
        </is>
      </c>
      <c r="E74" s="31" t="inlineStr">
        <is>
          <t>Savita Oil Technologies Limited</t>
        </is>
      </c>
      <c r="F74" s="31" t="inlineStr">
        <is>
          <t>Petrochemicals Others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23</v>
      </c>
      <c r="K74" s="31" t="n">
        <v>15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STLTECH</t>
        </is>
      </c>
      <c r="E75" s="31" t="inlineStr">
        <is>
          <t>Sterlite Technologies Limited</t>
        </is>
      </c>
      <c r="F75" s="31" t="inlineStr">
        <is>
          <t>Cables Telecom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20</v>
      </c>
      <c r="K75" s="31" t="n">
        <v>30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UNITEDPOLY</t>
        </is>
      </c>
      <c r="E76" s="31" t="inlineStr">
        <is>
          <t>United Polyfab Gujarat Ltd</t>
        </is>
      </c>
      <c r="F76" s="31" t="inlineStr">
        <is>
          <t>Textiles Others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16</v>
      </c>
      <c r="K76" s="31" t="n">
        <v>27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SBC</t>
        </is>
      </c>
      <c r="E77" s="31" t="inlineStr">
        <is>
          <t>SBC Exports Ltd</t>
        </is>
      </c>
      <c r="F77" s="31" t="inlineStr">
        <is>
          <t>Textiles Readymade Apparel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21</v>
      </c>
      <c r="K77" s="31" t="n">
        <v>30</v>
      </c>
    </row>
  </sheetData>
  <autoFilter ref="A1:K77"/>
  <conditionalFormatting sqref="G2:G7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7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IF(B2=0,"",RANK(B2,$B$2:$B$171,0))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1203.6</v>
      </c>
      <c r="I2" s="32" t="n">
        <v>114.91</v>
      </c>
      <c r="J2" s="32" t="n">
        <v>11.73</v>
      </c>
      <c r="K2" s="32" t="n">
        <v>8343042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68.2</v>
      </c>
      <c r="P2" s="32" t="n">
        <v>60.29</v>
      </c>
      <c r="Q2" s="32" t="inlineStr"/>
      <c r="R2" s="31" t="inlineStr">
        <is>
          <t>Volume Spike / Accumulation</t>
        </is>
      </c>
      <c r="S2" s="31" t="inlineStr">
        <is>
          <t>Nifty 50</t>
        </is>
      </c>
      <c r="T2" s="32" t="n">
        <v>-10.93</v>
      </c>
      <c r="U2" s="32" t="n">
        <v>130.3</v>
      </c>
      <c r="V2" s="32" t="n">
        <v>158.58</v>
      </c>
      <c r="W2" s="32" t="n">
        <v>33.39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3</t>
        </is>
      </c>
      <c r="BC2" s="31">
        <f>IF(BB2="Stage 2",20,IF(BB2="Stage 1",0,IF(BB2="Stage 3",5,IF(BB2="Stage 4",-5,0))))</f>
        <v/>
      </c>
      <c r="BD2" s="31" t="inlineStr">
        <is>
          <t>Negative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IF(B3=0,"",RANK(B3,$B$2:$B$171,0))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NAVINFLUOR</t>
        </is>
      </c>
      <c r="D3" s="31" t="inlineStr">
        <is>
          <t>Navin Fluorine International Limited</t>
        </is>
      </c>
      <c r="E3" s="31" t="inlineStr">
        <is>
          <t>chemicals</t>
        </is>
      </c>
      <c r="F3" s="31" t="inlineStr">
        <is>
          <t>chemicals</t>
        </is>
      </c>
      <c r="G3" s="31" t="inlineStr">
        <is>
          <t>largecap</t>
        </is>
      </c>
      <c r="H3" s="32" t="n">
        <v>43910.36</v>
      </c>
      <c r="I3" s="32" t="n">
        <v>8561</v>
      </c>
      <c r="J3" s="32" t="n">
        <v>2.5</v>
      </c>
      <c r="K3" s="32" t="n">
        <v>72793</v>
      </c>
      <c r="L3" s="31" t="n">
        <v>41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65.86</v>
      </c>
      <c r="P3" s="32" t="n">
        <v>53.34</v>
      </c>
      <c r="Q3" s="32" t="inlineStr"/>
      <c r="R3" s="31" t="inlineStr">
        <is>
          <t>Earnings / Momentum Support</t>
        </is>
      </c>
      <c r="S3" s="31" t="inlineStr">
        <is>
          <t>Nifty 50</t>
        </is>
      </c>
      <c r="T3" s="32" t="n">
        <v>-10.93</v>
      </c>
      <c r="U3" s="32" t="n">
        <v>76.56999999999999</v>
      </c>
      <c r="V3" s="32" t="n">
        <v>98.25</v>
      </c>
      <c r="W3" s="32" t="n">
        <v>14.06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IF(B4=0,"",RANK(B4,$B$2:$B$171,0))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RADICO</t>
        </is>
      </c>
      <c r="D4" s="31" t="inlineStr">
        <is>
          <t>Radico Khaitan Limited</t>
        </is>
      </c>
      <c r="E4" s="31" t="inlineStr">
        <is>
          <t>fmcg</t>
        </is>
      </c>
      <c r="F4" s="31" t="inlineStr">
        <is>
          <t>breweries &amp; distilleries</t>
        </is>
      </c>
      <c r="G4" s="31" t="inlineStr">
        <is>
          <t>largecap</t>
        </is>
      </c>
      <c r="H4" s="32" t="n">
        <v>61032.02</v>
      </c>
      <c r="I4" s="32" t="n">
        <v>4555</v>
      </c>
      <c r="J4" s="32" t="n">
        <v>0.11</v>
      </c>
      <c r="K4" s="32" t="n">
        <v>216671</v>
      </c>
      <c r="L4" s="31" t="inlineStr"/>
      <c r="M4" s="31" t="inlineStr"/>
      <c r="N4" s="32">
        <f>IF(M4="Underperforming",-5,IF(L4&gt;=95,15,IF(L4&gt;=90,10,IF(L4&gt;=80,5,0))))</f>
        <v/>
      </c>
      <c r="O4" s="32" t="n">
        <v>66.05</v>
      </c>
      <c r="P4" s="32" t="n">
        <v>58.64</v>
      </c>
      <c r="Q4" s="32" t="inlineStr"/>
      <c r="R4" s="31" t="inlineStr">
        <is>
          <t>Earnings / Momentum Support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IF(B5=0,"",RANK(B5,$B$2:$B$171,0))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WSTCSTPAPR</t>
        </is>
      </c>
      <c r="D5" s="31" t="inlineStr">
        <is>
          <t>West Coast Paper Mills Limited</t>
        </is>
      </c>
      <c r="E5" s="31" t="inlineStr">
        <is>
          <t>building materials</t>
        </is>
      </c>
      <c r="F5" s="31" t="inlineStr">
        <is>
          <t>paper</t>
        </is>
      </c>
      <c r="G5" s="31" t="inlineStr">
        <is>
          <t>midcap</t>
        </is>
      </c>
      <c r="H5" s="32" t="n">
        <v>5767.06</v>
      </c>
      <c r="I5" s="32" t="n">
        <v>873.15</v>
      </c>
      <c r="J5" s="32" t="n">
        <v>20</v>
      </c>
      <c r="K5" s="32" t="n">
        <v>4551864</v>
      </c>
      <c r="L5" s="31" t="inlineStr"/>
      <c r="M5" s="31" t="inlineStr"/>
      <c r="N5" s="32">
        <f>IF(M5="Underperforming",-5,IF(L5&gt;=95,15,IF(L5&gt;=90,10,IF(L5&gt;=80,5,0))))</f>
        <v/>
      </c>
      <c r="O5" s="32" t="n">
        <v>71.20999999999999</v>
      </c>
      <c r="P5" s="32" t="n">
        <v>66.15000000000001</v>
      </c>
      <c r="Q5" s="32" t="inlineStr"/>
      <c r="R5" s="31" t="inlineStr">
        <is>
          <t>Volume Spike / Accumulation</t>
        </is>
      </c>
      <c r="S5" s="31" t="inlineStr">
        <is>
          <t>Nifty Infra</t>
        </is>
      </c>
      <c r="T5" s="32" t="inlineStr"/>
      <c r="U5" s="32" t="inlineStr"/>
      <c r="V5" s="32" t="inlineStr"/>
      <c r="W5" s="32" t="inlineStr"/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IF(B6=0,"",RANK(B6,$B$2:$B$171,0))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OCCLLTD</t>
        </is>
      </c>
      <c r="D6" s="31" t="inlineStr">
        <is>
          <t>OCCL Ltd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smallcap</t>
        </is>
      </c>
      <c r="H6" s="32" t="n">
        <v>1163.4</v>
      </c>
      <c r="I6" s="32" t="n">
        <v>232.91</v>
      </c>
      <c r="J6" s="32" t="n">
        <v>6.58</v>
      </c>
      <c r="K6" s="32" t="n">
        <v>665559</v>
      </c>
      <c r="L6" s="31" t="n">
        <v>79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81.45999999999999</v>
      </c>
      <c r="P6" s="32" t="n">
        <v>52.08</v>
      </c>
      <c r="Q6" s="32" t="inlineStr"/>
      <c r="R6" s="31" t="inlineStr">
        <is>
          <t>Volume Spike / Accumulation</t>
        </is>
      </c>
      <c r="S6" s="31" t="inlineStr">
        <is>
          <t>Nifty 50</t>
        </is>
      </c>
      <c r="T6" s="32" t="n">
        <v>-10.93</v>
      </c>
      <c r="U6" s="32" t="n">
        <v>74.54000000000001</v>
      </c>
      <c r="V6" s="32" t="n">
        <v>95.97</v>
      </c>
      <c r="W6" s="32" t="n">
        <v>32.41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IF(B7=0,"",RANK(B7,$B$2:$B$171,0))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VINDHYATEL</t>
        </is>
      </c>
      <c r="D7" s="31" t="inlineStr">
        <is>
          <t>Vindhya Telelinks Limited</t>
        </is>
      </c>
      <c r="E7" s="31" t="inlineStr">
        <is>
          <t>realty</t>
        </is>
      </c>
      <c r="F7" s="31" t="inlineStr">
        <is>
          <t>construction</t>
        </is>
      </c>
      <c r="G7" s="31" t="inlineStr">
        <is>
          <t>smallcap</t>
        </is>
      </c>
      <c r="H7" s="32" t="n">
        <v>3486.76</v>
      </c>
      <c r="I7" s="32" t="n">
        <v>2942.2</v>
      </c>
      <c r="J7" s="32" t="n">
        <v>4.54</v>
      </c>
      <c r="K7" s="32" t="n">
        <v>163550</v>
      </c>
      <c r="L7" s="31" t="inlineStr"/>
      <c r="M7" s="31" t="inlineStr"/>
      <c r="N7" s="32">
        <f>IF(M7="Underperforming",-5,IF(L7&gt;=95,15,IF(L7&gt;=90,10,IF(L7&gt;=80,5,0))))</f>
        <v/>
      </c>
      <c r="O7" s="32" t="n">
        <v>67.77</v>
      </c>
      <c r="P7" s="32" t="n">
        <v>46.44</v>
      </c>
      <c r="Q7" s="32" t="inlineStr"/>
      <c r="R7" s="31" t="inlineStr">
        <is>
          <t>Earnings / Momentum Support</t>
        </is>
      </c>
      <c r="S7" s="31" t="inlineStr">
        <is>
          <t>Nifty Realty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IF(B8=0,"",RANK(B8,$B$2:$B$171,0))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PGIL</t>
        </is>
      </c>
      <c r="D8" s="31" t="inlineStr">
        <is>
          <t>Pearl Global Industries Limited</t>
        </is>
      </c>
      <c r="E8" s="31" t="inlineStr">
        <is>
          <t>readymade garments/apparels</t>
        </is>
      </c>
      <c r="F8" s="31" t="inlineStr">
        <is>
          <t>textiles - products</t>
        </is>
      </c>
      <c r="G8" s="31" t="inlineStr">
        <is>
          <t>midcap</t>
        </is>
      </c>
      <c r="H8" s="32" t="n">
        <v>12299.62</v>
      </c>
      <c r="I8" s="32" t="n">
        <v>1331.4</v>
      </c>
      <c r="J8" s="32" t="n">
        <v>3.93</v>
      </c>
      <c r="K8" s="32" t="n">
        <v>215291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66.68000000000001</v>
      </c>
      <c r="P8" s="32" t="n">
        <v>59.63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-10.93</v>
      </c>
      <c r="U8" s="32" t="n">
        <v>98.55</v>
      </c>
      <c r="V8" s="32" t="n">
        <v>122.93</v>
      </c>
      <c r="W8" s="32" t="n">
        <v>21.07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IF(B9=0,"",RANK(B9,$B$2:$B$171,0))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 - medium / small</t>
        </is>
      </c>
      <c r="G9" s="31" t="inlineStr">
        <is>
          <t>midcap</t>
        </is>
      </c>
      <c r="H9" s="32" t="n">
        <v>8859.25</v>
      </c>
      <c r="I9" s="32" t="n">
        <v>38.03</v>
      </c>
      <c r="J9" s="32" t="n">
        <v>3.85</v>
      </c>
      <c r="K9" s="32" t="n">
        <v>34719650</v>
      </c>
      <c r="L9" s="31" t="n">
        <v>78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73.40000000000001</v>
      </c>
      <c r="P9" s="32" t="n">
        <v>40.06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-10.93</v>
      </c>
      <c r="U9" s="32" t="n">
        <v>112.29</v>
      </c>
      <c r="V9" s="32" t="n">
        <v>138.35</v>
      </c>
      <c r="W9" s="32" t="n">
        <v>32.05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IF(B10=0,"",RANK(B10,$B$2:$B$171,0))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ORBTEXP</t>
        </is>
      </c>
      <c r="D10" s="31" t="inlineStr">
        <is>
          <t>Orbit Exports Limited</t>
        </is>
      </c>
      <c r="E10" s="31" t="inlineStr">
        <is>
          <t>textiles</t>
        </is>
      </c>
      <c r="F10" s="31" t="inlineStr">
        <is>
          <t>textiles - processing</t>
        </is>
      </c>
      <c r="G10" s="31" t="inlineStr">
        <is>
          <t>smallcap</t>
        </is>
      </c>
      <c r="H10" s="32" t="n">
        <v>668.48</v>
      </c>
      <c r="I10" s="32" t="n">
        <v>252.15</v>
      </c>
      <c r="J10" s="32" t="n">
        <v>2.48</v>
      </c>
      <c r="K10" s="32" t="n">
        <v>2979</v>
      </c>
      <c r="L10" s="31" t="n">
        <v>19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</v>
      </c>
      <c r="P10" s="32" t="n">
        <v>55.2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-10.93</v>
      </c>
      <c r="U10" s="32" t="n">
        <v>12.51</v>
      </c>
      <c r="V10" s="32" t="n">
        <v>26.32</v>
      </c>
      <c r="W10" s="32" t="n">
        <v>5.3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IF(B11=0,"",RANK(B11,$B$2:$B$171,0))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JGCHEM</t>
        </is>
      </c>
      <c r="D11" s="31" t="inlineStr">
        <is>
          <t>J.G.Chemicals Ltd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2523.58</v>
      </c>
      <c r="I11" s="32" t="n">
        <v>644</v>
      </c>
      <c r="J11" s="32" t="n">
        <v>2.1</v>
      </c>
      <c r="K11" s="32" t="n">
        <v>224160</v>
      </c>
      <c r="L11" s="31" t="n">
        <v>52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69.98</v>
      </c>
      <c r="P11" s="32" t="n">
        <v>50.04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-10.93</v>
      </c>
      <c r="U11" s="32" t="n">
        <v>48.78</v>
      </c>
      <c r="V11" s="32" t="n">
        <v>67.05</v>
      </c>
      <c r="W11" s="32" t="n">
        <v>18.26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IF(B12=0,"",RANK(B12,$B$2:$B$171,0))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RPTECH</t>
        </is>
      </c>
      <c r="D12" s="31" t="inlineStr">
        <is>
          <t>Rashi Peripherals Ltd</t>
        </is>
      </c>
      <c r="E12" s="31" t="inlineStr">
        <is>
          <t>i.t</t>
        </is>
      </c>
      <c r="F12" s="31" t="inlineStr">
        <is>
          <t>trading</t>
        </is>
      </c>
      <c r="G12" s="31" t="inlineStr">
        <is>
          <t>midcap</t>
        </is>
      </c>
      <c r="H12" s="32" t="n">
        <v>5979.41</v>
      </c>
      <c r="I12" s="32" t="n">
        <v>907.35</v>
      </c>
      <c r="J12" s="32" t="n">
        <v>1.98</v>
      </c>
      <c r="K12" s="32" t="n">
        <v>222075</v>
      </c>
      <c r="L12" s="31" t="n">
        <v>71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65.77</v>
      </c>
      <c r="P12" s="32" t="n">
        <v>66.75</v>
      </c>
      <c r="Q12" s="32" t="inlineStr"/>
      <c r="R12" s="31" t="inlineStr">
        <is>
          <t>Earnings / Momentum Support</t>
        </is>
      </c>
      <c r="S12" s="31" t="inlineStr">
        <is>
          <t>Nifty IT</t>
        </is>
      </c>
      <c r="T12" s="32" t="n">
        <v>-19.75</v>
      </c>
      <c r="U12" s="32" t="n">
        <v>155.48</v>
      </c>
      <c r="V12" s="32" t="n">
        <v>218.37</v>
      </c>
      <c r="W12" s="32" t="n">
        <v>27.33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IF(B13=0,"",RANK(B13,$B$2:$B$171,0))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PASUPTAC</t>
        </is>
      </c>
      <c r="D13" s="31" t="inlineStr">
        <is>
          <t>Pasupati Acrylon Ltd</t>
        </is>
      </c>
      <c r="E13" s="31" t="inlineStr">
        <is>
          <t>textiles</t>
        </is>
      </c>
      <c r="F13" s="31" t="inlineStr">
        <is>
          <t>textiles - manmade</t>
        </is>
      </c>
      <c r="G13" s="31" t="inlineStr">
        <is>
          <t>smallcap</t>
        </is>
      </c>
      <c r="H13" s="32" t="n">
        <v>646.39</v>
      </c>
      <c r="I13" s="32" t="n">
        <v>72.52</v>
      </c>
      <c r="J13" s="32" t="n">
        <v>-0.98</v>
      </c>
      <c r="K13" s="32" t="n">
        <v>174163</v>
      </c>
      <c r="L13" s="31" t="n">
        <v>46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62.75</v>
      </c>
      <c r="P13" s="32" t="n">
        <v>48.59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-10.93</v>
      </c>
      <c r="U13" s="32" t="n">
        <v>65.25</v>
      </c>
      <c r="V13" s="32" t="n">
        <v>85.54000000000001</v>
      </c>
      <c r="W13" s="32" t="n">
        <v>15.57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IF(B14=0,"",RANK(B14,$B$2:$B$171,0))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AVTNPL</t>
        </is>
      </c>
      <c r="D14" s="31" t="inlineStr">
        <is>
          <t>Avt Natural Products Limited</t>
        </is>
      </c>
      <c r="E14" s="31" t="inlineStr">
        <is>
          <t>fmcg</t>
        </is>
      </c>
      <c r="F14" s="31" t="inlineStr">
        <is>
          <t>solvent extraction</t>
        </is>
      </c>
      <c r="G14" s="31" t="inlineStr">
        <is>
          <t>smallcap</t>
        </is>
      </c>
      <c r="H14" s="32" t="n">
        <v>1484.77</v>
      </c>
      <c r="I14" s="32" t="n">
        <v>97.5</v>
      </c>
      <c r="J14" s="32" t="n">
        <v>2.87</v>
      </c>
      <c r="K14" s="32" t="n">
        <v>1879399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68.59999999999999</v>
      </c>
      <c r="P14" s="32" t="n">
        <v>55.22</v>
      </c>
      <c r="Q14" s="32" t="inlineStr"/>
      <c r="R14" s="31" t="inlineStr">
        <is>
          <t>Earnings / Momentum Support</t>
        </is>
      </c>
      <c r="S14" s="31" t="inlineStr">
        <is>
          <t>Nifty FMCG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IF(B15=0,"",RANK(B15,$B$2:$B$171,0))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AUROPHARMA</t>
        </is>
      </c>
      <c r="D15" s="31" t="inlineStr">
        <is>
          <t>Aurobindo Pharma Limited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largecap</t>
        </is>
      </c>
      <c r="H15" s="32" t="n">
        <v>98211.25</v>
      </c>
      <c r="I15" s="32" t="n">
        <v>1706.9</v>
      </c>
      <c r="J15" s="32" t="n">
        <v>0.82</v>
      </c>
      <c r="K15" s="32" t="n">
        <v>1190866</v>
      </c>
      <c r="L15" s="31" t="n">
        <v>33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66.62</v>
      </c>
      <c r="P15" s="32" t="n">
        <v>43.09</v>
      </c>
      <c r="Q15" s="32" t="inlineStr"/>
      <c r="R15" s="31" t="inlineStr">
        <is>
          <t>Earnings / Momentum Support</t>
        </is>
      </c>
      <c r="S15" s="31" t="inlineStr">
        <is>
          <t>Nifty Pharma</t>
        </is>
      </c>
      <c r="T15" s="32" t="n">
        <v>16.85</v>
      </c>
      <c r="U15" s="32" t="n">
        <v>49.78</v>
      </c>
      <c r="V15" s="32" t="n">
        <v>28.18</v>
      </c>
      <c r="W15" s="32" t="n">
        <v>10.2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IF(B16=0,"",RANK(B16,$B$2:$B$171,0))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BLUSPRING</t>
        </is>
      </c>
      <c r="D16" s="31" t="inlineStr">
        <is>
          <t>Bluspring Enterprises Ltd</t>
        </is>
      </c>
      <c r="E16" s="31" t="inlineStr">
        <is>
          <t>miscellaneous</t>
        </is>
      </c>
      <c r="F16" s="31" t="inlineStr">
        <is>
          <t>diversified - large</t>
        </is>
      </c>
      <c r="G16" s="31" t="inlineStr">
        <is>
          <t>smallcap</t>
        </is>
      </c>
      <c r="H16" s="32" t="n">
        <v>2346.37</v>
      </c>
      <c r="I16" s="32" t="n">
        <v>157.01</v>
      </c>
      <c r="J16" s="32" t="n">
        <v>6.84</v>
      </c>
      <c r="K16" s="32" t="n">
        <v>6455822</v>
      </c>
      <c r="L16" s="31" t="n">
        <v>62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69.89</v>
      </c>
      <c r="P16" s="32" t="n">
        <v>58</v>
      </c>
      <c r="Q16" s="32" t="inlineStr"/>
      <c r="R16" s="31" t="inlineStr">
        <is>
          <t>Volume Spike / Accumulation</t>
        </is>
      </c>
      <c r="S16" s="31" t="inlineStr">
        <is>
          <t>Nifty 50</t>
        </is>
      </c>
      <c r="T16" s="32" t="n">
        <v>-10.93</v>
      </c>
      <c r="U16" s="32" t="n">
        <v>80.39</v>
      </c>
      <c r="V16" s="32" t="n">
        <v>102.53</v>
      </c>
      <c r="W16" s="32" t="n">
        <v>23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IF(B17=0,"",RANK(B17,$B$2:$B$171,0))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MODISONLTD</t>
        </is>
      </c>
      <c r="D17" s="31" t="inlineStr">
        <is>
          <t>Modison Ltd</t>
        </is>
      </c>
      <c r="E17" s="31" t="inlineStr">
        <is>
          <t>industrials</t>
        </is>
      </c>
      <c r="F17" s="31" t="inlineStr">
        <is>
          <t>electric equipment</t>
        </is>
      </c>
      <c r="G17" s="31" t="inlineStr">
        <is>
          <t>smallcap</t>
        </is>
      </c>
      <c r="H17" s="32" t="n">
        <v>1605.79</v>
      </c>
      <c r="I17" s="32" t="n">
        <v>494.85</v>
      </c>
      <c r="J17" s="32" t="n">
        <v>5</v>
      </c>
      <c r="K17" s="32" t="n">
        <v>53022</v>
      </c>
      <c r="L17" s="31" t="n">
        <v>93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70.05</v>
      </c>
      <c r="P17" s="32" t="n">
        <v>57.3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-10.93</v>
      </c>
      <c r="U17" s="32" t="n">
        <v>197.44</v>
      </c>
      <c r="V17" s="32" t="n">
        <v>233.96</v>
      </c>
      <c r="W17" s="32" t="n">
        <v>43.94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IF(B18=0,"",RANK(B18,$B$2:$B$171,0))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TBZ</t>
        </is>
      </c>
      <c r="D18" s="31" t="inlineStr">
        <is>
          <t>Tribhovandas Bhimji Zaveri Limited</t>
        </is>
      </c>
      <c r="E18" s="31" t="inlineStr">
        <is>
          <t>consumer discretionary</t>
        </is>
      </c>
      <c r="F18" s="31" t="inlineStr">
        <is>
          <t>diamond cutting / jewellery</t>
        </is>
      </c>
      <c r="G18" s="31" t="inlineStr">
        <is>
          <t>smallcap</t>
        </is>
      </c>
      <c r="H18" s="32" t="n">
        <v>4168.33</v>
      </c>
      <c r="I18" s="32" t="n">
        <v>624.65</v>
      </c>
      <c r="J18" s="32" t="n">
        <v>4.99</v>
      </c>
      <c r="K18" s="32" t="n">
        <v>214295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80.45</v>
      </c>
      <c r="P18" s="32" t="n">
        <v>65.56999999999999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-10.93</v>
      </c>
      <c r="U18" s="32" t="n">
        <v>223.87</v>
      </c>
      <c r="V18" s="32" t="n">
        <v>263.63</v>
      </c>
      <c r="W18" s="32" t="n">
        <v>72.23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Between 0.7 to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IF(B19=0,"",RANK(B19,$B$2:$B$171,0))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BHAGERIA</t>
        </is>
      </c>
      <c r="D19" s="31" t="inlineStr">
        <is>
          <t>Bhageria Industries Limited</t>
        </is>
      </c>
      <c r="E19" s="31" t="inlineStr">
        <is>
          <t>chemicals</t>
        </is>
      </c>
      <c r="F19" s="31" t="inlineStr">
        <is>
          <t>dyes and pigments</t>
        </is>
      </c>
      <c r="G19" s="31" t="inlineStr">
        <is>
          <t>smallcap</t>
        </is>
      </c>
      <c r="H19" s="32" t="n">
        <v>1660.01</v>
      </c>
      <c r="I19" s="32" t="n">
        <v>380.35</v>
      </c>
      <c r="J19" s="32" t="n">
        <v>4.23</v>
      </c>
      <c r="K19" s="32" t="n">
        <v>140643</v>
      </c>
      <c r="L19" s="31" t="n">
        <v>81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73.95999999999999</v>
      </c>
      <c r="P19" s="32" t="n">
        <v>49.37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-10.93</v>
      </c>
      <c r="U19" s="32" t="n">
        <v>98.84999999999999</v>
      </c>
      <c r="V19" s="32" t="n">
        <v>123.26</v>
      </c>
      <c r="W19" s="32" t="n">
        <v>33.16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IF(B20=0,"",RANK(B20,$B$2:$B$171,0))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SWANDEF</t>
        </is>
      </c>
      <c r="D20" s="31" t="inlineStr">
        <is>
          <t>Swan Defence and Heavy Industries Ltd</t>
        </is>
      </c>
      <c r="E20" s="31" t="inlineStr">
        <is>
          <t>transportation</t>
        </is>
      </c>
      <c r="F20" s="31" t="inlineStr">
        <is>
          <t>miscellaneous</t>
        </is>
      </c>
      <c r="G20" s="31" t="inlineStr">
        <is>
          <t>midcap</t>
        </is>
      </c>
      <c r="H20" s="32" t="n">
        <v>15441.67</v>
      </c>
      <c r="I20" s="32" t="n">
        <v>2931.1</v>
      </c>
      <c r="J20" s="32" t="n">
        <v>4.06</v>
      </c>
      <c r="K20" s="32" t="n">
        <v>34275</v>
      </c>
      <c r="L20" s="31" t="n">
        <v>97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68.98</v>
      </c>
      <c r="P20" s="32" t="n">
        <v>56.64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-10.93</v>
      </c>
      <c r="U20" s="32" t="n">
        <v>342.75</v>
      </c>
      <c r="V20" s="32" t="n">
        <v>397.11</v>
      </c>
      <c r="W20" s="32" t="n">
        <v>52.96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More than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IF(B21=0,"",RANK(B21,$B$2:$B$171,0))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FINCABLES</t>
        </is>
      </c>
      <c r="D21" s="31" t="inlineStr">
        <is>
          <t>Finolex Cables Limited</t>
        </is>
      </c>
      <c r="E21" s="31" t="inlineStr">
        <is>
          <t>industrials</t>
        </is>
      </c>
      <c r="F21" s="31" t="inlineStr">
        <is>
          <t>cables - power</t>
        </is>
      </c>
      <c r="G21" s="31" t="inlineStr">
        <is>
          <t>largecap</t>
        </is>
      </c>
      <c r="H21" s="32" t="n">
        <v>21997.27</v>
      </c>
      <c r="I21" s="32" t="n">
        <v>1438.3</v>
      </c>
      <c r="J21" s="32" t="n">
        <v>3.57</v>
      </c>
      <c r="K21" s="32" t="n">
        <v>427159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64.84</v>
      </c>
      <c r="P21" s="32" t="n">
        <v>42.29</v>
      </c>
      <c r="Q21" s="32" t="inlineStr"/>
      <c r="R21" s="31" t="inlineStr">
        <is>
          <t>Earnings / Momentum Support</t>
        </is>
      </c>
      <c r="S21" s="31" t="inlineStr">
        <is>
          <t>Nifty Energy</t>
        </is>
      </c>
      <c r="T21" s="32" t="inlineStr"/>
      <c r="U21" s="32" t="inlineStr"/>
      <c r="V21" s="32" t="inlineStr"/>
      <c r="W21" s="32" t="inlineStr"/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IF(B22=0,"",RANK(B22,$B$2:$B$171,0))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WELSPUNLIV</t>
        </is>
      </c>
      <c r="D22" s="31" t="inlineStr">
        <is>
          <t>Welspun Living Ltd</t>
        </is>
      </c>
      <c r="E22" s="31" t="inlineStr">
        <is>
          <t>textiles</t>
        </is>
      </c>
      <c r="F22" s="31" t="inlineStr">
        <is>
          <t>textiles - products</t>
        </is>
      </c>
      <c r="G22" s="31" t="inlineStr">
        <is>
          <t>largecap</t>
        </is>
      </c>
      <c r="H22" s="32" t="n">
        <v>21417.54</v>
      </c>
      <c r="I22" s="32" t="n">
        <v>226.7</v>
      </c>
      <c r="J22" s="32" t="n">
        <v>1.32</v>
      </c>
      <c r="K22" s="32" t="n">
        <v>1253535</v>
      </c>
      <c r="L22" s="31" t="n">
        <v>58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72.61</v>
      </c>
      <c r="P22" s="32" t="n">
        <v>47.39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-10.93</v>
      </c>
      <c r="U22" s="32" t="n">
        <v>82.36</v>
      </c>
      <c r="V22" s="32" t="n">
        <v>104.75</v>
      </c>
      <c r="W22" s="32" t="n">
        <v>20.93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IF(B23=0,"",RANK(B23,$B$2:$B$171,0))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KINGFA</t>
        </is>
      </c>
      <c r="D23" s="31" t="inlineStr">
        <is>
          <t>Kingfa Science &amp; Technology (india) Limited</t>
        </is>
      </c>
      <c r="E23" s="31" t="inlineStr">
        <is>
          <t>plastic products</t>
        </is>
      </c>
      <c r="F23" s="31" t="inlineStr">
        <is>
          <t>plastics products</t>
        </is>
      </c>
      <c r="G23" s="31" t="inlineStr">
        <is>
          <t>midcap</t>
        </is>
      </c>
      <c r="H23" s="32" t="n">
        <v>9032</v>
      </c>
      <c r="I23" s="32" t="n">
        <v>6665</v>
      </c>
      <c r="J23" s="32" t="n">
        <v>0.82</v>
      </c>
      <c r="K23" s="32" t="n">
        <v>6828</v>
      </c>
      <c r="L23" s="31" t="n">
        <v>41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72.06999999999999</v>
      </c>
      <c r="P23" s="32" t="n">
        <v>48.1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-10.93</v>
      </c>
      <c r="U23" s="32" t="n">
        <v>42.16</v>
      </c>
      <c r="V23" s="32" t="n">
        <v>59.61</v>
      </c>
      <c r="W23" s="32" t="n">
        <v>13.85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IF(B24=0,"",RANK(B24,$B$2:$B$171,0))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BIRLACABLE</t>
        </is>
      </c>
      <c r="D24" s="31" t="inlineStr">
        <is>
          <t>Birla Cable Limited</t>
        </is>
      </c>
      <c r="E24" s="31" t="inlineStr">
        <is>
          <t>industrials</t>
        </is>
      </c>
      <c r="F24" s="31" t="inlineStr">
        <is>
          <t>cables - telephone</t>
        </is>
      </c>
      <c r="G24" s="31" t="inlineStr">
        <is>
          <t>smallcap</t>
        </is>
      </c>
      <c r="H24" s="32" t="n">
        <v>1161.3</v>
      </c>
      <c r="I24" s="32" t="n">
        <v>387.1</v>
      </c>
      <c r="J24" s="32" t="n">
        <v>0.49</v>
      </c>
      <c r="K24" s="32" t="n">
        <v>336552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71.76000000000001</v>
      </c>
      <c r="P24" s="32" t="n">
        <v>56.95</v>
      </c>
      <c r="Q24" s="32" t="inlineStr"/>
      <c r="R24" s="31" t="inlineStr">
        <is>
          <t>Earnings / Momentum Support</t>
        </is>
      </c>
      <c r="S24" s="31" t="inlineStr">
        <is>
          <t>Nifty Infra</t>
        </is>
      </c>
      <c r="T24" s="32" t="inlineStr"/>
      <c r="U24" s="32" t="inlineStr"/>
      <c r="V24" s="32" t="inlineStr"/>
      <c r="W24" s="32" t="inlineStr"/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IF(B25=0,"",RANK(B25,$B$2:$B$171,0))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DPABHUSHAN</t>
        </is>
      </c>
      <c r="D25" s="31" t="inlineStr">
        <is>
          <t>D.P. Abhushan Ltd</t>
        </is>
      </c>
      <c r="E25" s="31" t="inlineStr">
        <is>
          <t>consumer discretionary</t>
        </is>
      </c>
      <c r="F25" s="31" t="inlineStr">
        <is>
          <t>trading</t>
        </is>
      </c>
      <c r="G25" s="31" t="inlineStr">
        <is>
          <t>midcap</t>
        </is>
      </c>
      <c r="H25" s="32" t="n">
        <v>5410.45</v>
      </c>
      <c r="I25" s="32" t="n">
        <v>2370.1</v>
      </c>
      <c r="J25" s="32" t="n">
        <v>0.27</v>
      </c>
      <c r="K25" s="32" t="n">
        <v>100722</v>
      </c>
      <c r="L25" s="31" t="n">
        <v>85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82.06999999999999</v>
      </c>
      <c r="P25" s="32" t="n">
        <v>43.1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-10.93</v>
      </c>
      <c r="U25" s="32" t="n">
        <v>65.65000000000001</v>
      </c>
      <c r="V25" s="32" t="n">
        <v>85.98999999999999</v>
      </c>
      <c r="W25" s="32" t="n">
        <v>36.13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IF(B26=0,"",RANK(B26,$B$2:$B$171,0))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GLAND</t>
        </is>
      </c>
      <c r="D26" s="31" t="inlineStr">
        <is>
          <t>Gland Pharma Ltd</t>
        </is>
      </c>
      <c r="E26" s="31" t="inlineStr">
        <is>
          <t>healthcare</t>
        </is>
      </c>
      <c r="F26" s="31" t="inlineStr">
        <is>
          <t>pharmaceuticals - indian - formulations</t>
        </is>
      </c>
      <c r="G26" s="31" t="inlineStr">
        <is>
          <t>largecap</t>
        </is>
      </c>
      <c r="H26" s="32" t="n">
        <v>50781.19</v>
      </c>
      <c r="I26" s="32" t="n">
        <v>3078.4</v>
      </c>
      <c r="J26" s="32" t="n">
        <v>0.54</v>
      </c>
      <c r="K26" s="32" t="n">
        <v>211881</v>
      </c>
      <c r="L26" s="31" t="n">
        <v>48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73.40000000000001</v>
      </c>
      <c r="P26" s="32" t="n">
        <v>62.67</v>
      </c>
      <c r="Q26" s="32" t="inlineStr"/>
      <c r="R26" s="31" t="inlineStr">
        <is>
          <t>Earnings / Momentum Support</t>
        </is>
      </c>
      <c r="S26" s="31" t="inlineStr">
        <is>
          <t>Nifty Pharma</t>
        </is>
      </c>
      <c r="T26" s="32" t="n">
        <v>16.85</v>
      </c>
      <c r="U26" s="32" t="n">
        <v>60.39</v>
      </c>
      <c r="V26" s="32" t="n">
        <v>37.26</v>
      </c>
      <c r="W26" s="32" t="n">
        <v>16.44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IF(B27=0,"",RANK(B27,$B$2:$B$171,0))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MANORAMA</t>
        </is>
      </c>
      <c r="D27" s="31" t="inlineStr">
        <is>
          <t>Manorama Industries Ltd</t>
        </is>
      </c>
      <c r="E27" s="31" t="inlineStr">
        <is>
          <t>fmcg</t>
        </is>
      </c>
      <c r="F27" s="31" t="inlineStr">
        <is>
          <t>food - processing - indian</t>
        </is>
      </c>
      <c r="G27" s="31" t="inlineStr">
        <is>
          <t>midcap</t>
        </is>
      </c>
      <c r="H27" s="32" t="n">
        <v>11846.17</v>
      </c>
      <c r="I27" s="32" t="n">
        <v>1984</v>
      </c>
      <c r="J27" s="32" t="n">
        <v>-2.91</v>
      </c>
      <c r="K27" s="32" t="n">
        <v>142577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68.8</v>
      </c>
      <c r="P27" s="32" t="n">
        <v>33.01</v>
      </c>
      <c r="Q27" s="32" t="inlineStr"/>
      <c r="R27" s="31" t="inlineStr">
        <is>
          <t>Earnings / Momentum Support</t>
        </is>
      </c>
      <c r="S27" s="31" t="inlineStr">
        <is>
          <t>Nifty FMCG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IF(B28=0,"",RANK(B28,$B$2:$B$171,0))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DMCC</t>
        </is>
      </c>
      <c r="D28" s="31" t="inlineStr">
        <is>
          <t>DMCC Speciality Chemicals Ltd</t>
        </is>
      </c>
      <c r="E28" s="31" t="inlineStr">
        <is>
          <t>chemicals</t>
        </is>
      </c>
      <c r="F28" s="31" t="inlineStr">
        <is>
          <t>chemicals</t>
        </is>
      </c>
      <c r="G28" s="31" t="inlineStr">
        <is>
          <t>smallcap</t>
        </is>
      </c>
      <c r="H28" s="32" t="n">
        <v>890.98</v>
      </c>
      <c r="I28" s="32" t="n">
        <v>357.25</v>
      </c>
      <c r="J28" s="32" t="n">
        <v>7.38</v>
      </c>
      <c r="K28" s="32" t="n">
        <v>581178</v>
      </c>
      <c r="L28" s="31" t="n">
        <v>27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66.66</v>
      </c>
      <c r="P28" s="32" t="n">
        <v>40.02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-10.93</v>
      </c>
      <c r="U28" s="32" t="n">
        <v>9.130000000000001</v>
      </c>
      <c r="V28" s="32" t="n">
        <v>22.52</v>
      </c>
      <c r="W28" s="32" t="n">
        <v>8.74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IF(B29=0,"",RANK(B29,$B$2:$B$171,0))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WHEELS</t>
        </is>
      </c>
      <c r="D29" s="31" t="inlineStr">
        <is>
          <t>Wheels India Limited</t>
        </is>
      </c>
      <c r="E29" s="31" t="inlineStr">
        <is>
          <t>auto</t>
        </is>
      </c>
      <c r="F29" s="31" t="inlineStr">
        <is>
          <t>auto ancillaries</t>
        </is>
      </c>
      <c r="G29" s="31" t="inlineStr">
        <is>
          <t>midcap</t>
        </is>
      </c>
      <c r="H29" s="32" t="n">
        <v>6276.66</v>
      </c>
      <c r="I29" s="32" t="n">
        <v>2336.6</v>
      </c>
      <c r="J29" s="32" t="n">
        <v>5.86</v>
      </c>
      <c r="K29" s="32" t="n">
        <v>143734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73.14</v>
      </c>
      <c r="P29" s="32" t="n">
        <v>61.79</v>
      </c>
      <c r="Q29" s="32" t="inlineStr"/>
      <c r="R29" s="31" t="inlineStr">
        <is>
          <t>Earnings / Momentum Support</t>
        </is>
      </c>
      <c r="S29" s="31" t="inlineStr">
        <is>
          <t>Nifty Auto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IF(B30=0,"",RANK(B30,$B$2:$B$171,0))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KRONOX</t>
        </is>
      </c>
      <c r="D30" s="31" t="inlineStr">
        <is>
          <t>Kronox Lab Sciences Ltd</t>
        </is>
      </c>
      <c r="E30" s="31" t="inlineStr">
        <is>
          <t>chemicals</t>
        </is>
      </c>
      <c r="F30" s="31" t="inlineStr">
        <is>
          <t>chemicals</t>
        </is>
      </c>
      <c r="G30" s="31" t="inlineStr">
        <is>
          <t>smallcap</t>
        </is>
      </c>
      <c r="H30" s="32" t="n">
        <v>772.25</v>
      </c>
      <c r="I30" s="32" t="n">
        <v>208.13</v>
      </c>
      <c r="J30" s="32" t="n">
        <v>4.97</v>
      </c>
      <c r="K30" s="32" t="n">
        <v>79272</v>
      </c>
      <c r="L30" s="31" t="n">
        <v>40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61.23</v>
      </c>
      <c r="P30" s="32" t="n">
        <v>53.16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-10.93</v>
      </c>
      <c r="U30" s="32" t="n">
        <v>30.94</v>
      </c>
      <c r="V30" s="32" t="n">
        <v>47.02</v>
      </c>
      <c r="W30" s="32" t="n">
        <v>12.94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IF(B31=0,"",RANK(B31,$B$2:$B$171,0))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RPEL</t>
        </is>
      </c>
      <c r="D31" s="31" t="inlineStr">
        <is>
          <t>Raghav Productivity Enhancers Ltd</t>
        </is>
      </c>
      <c r="E31" s="31" t="inlineStr">
        <is>
          <t>building materials</t>
        </is>
      </c>
      <c r="F31" s="31" t="inlineStr">
        <is>
          <t>refractories / intermediates</t>
        </is>
      </c>
      <c r="G31" s="31" t="inlineStr">
        <is>
          <t>midcap</t>
        </is>
      </c>
      <c r="H31" s="32" t="n">
        <v>8259.059999999999</v>
      </c>
      <c r="I31" s="32" t="n">
        <v>1798.5</v>
      </c>
      <c r="J31" s="32" t="n">
        <v>3.71</v>
      </c>
      <c r="K31" s="32" t="n">
        <v>88207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68.54000000000001</v>
      </c>
      <c r="P31" s="32" t="n">
        <v>61.63</v>
      </c>
      <c r="Q31" s="32" t="inlineStr"/>
      <c r="R31" s="31" t="inlineStr">
        <is>
          <t>Earnings / Momentum Support</t>
        </is>
      </c>
      <c r="S31" s="31" t="inlineStr">
        <is>
          <t>Nifty Infra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IF(B32=0,"",RANK(B32,$B$2:$B$171,0))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GABRIEL</t>
        </is>
      </c>
      <c r="D32" s="31" t="inlineStr">
        <is>
          <t>Gabriel India Limited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largecap</t>
        </is>
      </c>
      <c r="H32" s="32" t="n">
        <v>26851.79</v>
      </c>
      <c r="I32" s="32" t="n">
        <v>1401.2</v>
      </c>
      <c r="J32" s="32" t="n">
        <v>2.86</v>
      </c>
      <c r="K32" s="32" t="n">
        <v>309507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58.67</v>
      </c>
      <c r="P32" s="32" t="n">
        <v>43.94</v>
      </c>
      <c r="Q32" s="32" t="inlineStr"/>
      <c r="R32" s="31" t="inlineStr">
        <is>
          <t>Earnings / Momentum Support</t>
        </is>
      </c>
      <c r="S32" s="31" t="inlineStr">
        <is>
          <t>Nifty Auto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IF(B33=0,"",RANK(B33,$B$2:$B$171,0))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GRWRHITECH</t>
        </is>
      </c>
      <c r="D33" s="31" t="inlineStr">
        <is>
          <t>Garware Hi Tech Films Ltd</t>
        </is>
      </c>
      <c r="E33" s="31" t="inlineStr">
        <is>
          <t>industrials</t>
        </is>
      </c>
      <c r="F33" s="31" t="inlineStr">
        <is>
          <t>packaging</t>
        </is>
      </c>
      <c r="G33" s="31" t="inlineStr">
        <is>
          <t>midcap</t>
        </is>
      </c>
      <c r="H33" s="32" t="n">
        <v>16712.22</v>
      </c>
      <c r="I33" s="32" t="n">
        <v>7193.5</v>
      </c>
      <c r="J33" s="32" t="n">
        <v>2.8</v>
      </c>
      <c r="K33" s="32" t="n">
        <v>57451</v>
      </c>
      <c r="L33" s="31" t="n">
        <v>62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66.06</v>
      </c>
      <c r="P33" s="32" t="n">
        <v>52.89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-10.93</v>
      </c>
      <c r="U33" s="32" t="n">
        <v>138.3</v>
      </c>
      <c r="V33" s="32" t="n">
        <v>167.55</v>
      </c>
      <c r="W33" s="32" t="n">
        <v>22.81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IF(B34=0,"",RANK(B34,$B$2:$B$171,0))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IGPL</t>
        </is>
      </c>
      <c r="D34" s="31" t="inlineStr">
        <is>
          <t>Ig Petrochemicals Limited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smallcap</t>
        </is>
      </c>
      <c r="H34" s="32" t="n">
        <v>1786.1</v>
      </c>
      <c r="I34" s="32" t="n">
        <v>580</v>
      </c>
      <c r="J34" s="32" t="n">
        <v>2.33</v>
      </c>
      <c r="K34" s="32" t="n">
        <v>24027</v>
      </c>
      <c r="L34" s="31" t="n">
        <v>40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65.41</v>
      </c>
      <c r="P34" s="32" t="n">
        <v>39.11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-10.93</v>
      </c>
      <c r="U34" s="32" t="n">
        <v>33.58</v>
      </c>
      <c r="V34" s="32" t="n">
        <v>49.98</v>
      </c>
      <c r="W34" s="32" t="n">
        <v>13.47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IF(B35=0,"",RANK(B35,$B$2:$B$171,0))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MAYURUNIQ</t>
        </is>
      </c>
      <c r="D35" s="31" t="inlineStr">
        <is>
          <t>Mayur Uniquoters Ltd</t>
        </is>
      </c>
      <c r="E35" s="31" t="inlineStr">
        <is>
          <t>consumer discretionary</t>
        </is>
      </c>
      <c r="F35" s="31" t="inlineStr">
        <is>
          <t>leather / leather products</t>
        </is>
      </c>
      <c r="G35" s="31" t="inlineStr">
        <is>
          <t>smallcap</t>
        </is>
      </c>
      <c r="H35" s="32" t="n">
        <v>3502.71</v>
      </c>
      <c r="I35" s="32" t="n">
        <v>806.1</v>
      </c>
      <c r="J35" s="32" t="n">
        <v>2.25</v>
      </c>
      <c r="K35" s="32" t="n">
        <v>215689</v>
      </c>
      <c r="L35" s="31" t="n">
        <v>34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60.13</v>
      </c>
      <c r="P35" s="32" t="n">
        <v>36.29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-10.93</v>
      </c>
      <c r="U35" s="32" t="n">
        <v>61.66</v>
      </c>
      <c r="V35" s="32" t="n">
        <v>81.5</v>
      </c>
      <c r="W35" s="32" t="n">
        <v>10.74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IF(B36=0,"",RANK(B36,$B$2:$B$171,0))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SSWL</t>
        </is>
      </c>
      <c r="D36" s="31" t="inlineStr">
        <is>
          <t>Steel Strips Wheels Limited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midcap</t>
        </is>
      </c>
      <c r="H36" s="32" t="n">
        <v>6506.48</v>
      </c>
      <c r="I36" s="32" t="n">
        <v>413.95</v>
      </c>
      <c r="J36" s="32" t="n">
        <v>1.76</v>
      </c>
      <c r="K36" s="32" t="n">
        <v>507335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83.34</v>
      </c>
      <c r="P36" s="32" t="n">
        <v>51.48</v>
      </c>
      <c r="Q36" s="32" t="inlineStr"/>
      <c r="R36" s="31" t="inlineStr">
        <is>
          <t>Earnings / Momentum Support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IF(B37=0,"",RANK(B37,$B$2:$B$171,0))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PLASTIBLEN</t>
        </is>
      </c>
      <c r="D37" s="31" t="inlineStr">
        <is>
          <t>Plastiblends India Limited</t>
        </is>
      </c>
      <c r="E37" s="31" t="inlineStr">
        <is>
          <t>chemicals</t>
        </is>
      </c>
      <c r="F37" s="31" t="inlineStr">
        <is>
          <t>chemicals</t>
        </is>
      </c>
      <c r="G37" s="31" t="inlineStr">
        <is>
          <t>smallcap</t>
        </is>
      </c>
      <c r="H37" s="32" t="n">
        <v>533.3200000000001</v>
      </c>
      <c r="I37" s="32" t="n">
        <v>205.21</v>
      </c>
      <c r="J37" s="32" t="n">
        <v>1.69</v>
      </c>
      <c r="K37" s="32" t="n">
        <v>211798</v>
      </c>
      <c r="L37" s="31" t="n">
        <v>21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61.99</v>
      </c>
      <c r="P37" s="32" t="n">
        <v>36.87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-10.93</v>
      </c>
      <c r="U37" s="32" t="n">
        <v>11.58</v>
      </c>
      <c r="V37" s="32" t="n">
        <v>25.27</v>
      </c>
      <c r="W37" s="32" t="n">
        <v>5.8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IF(B38=0,"",RANK(B38,$B$2:$B$171,0))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SHANTIGOLD</t>
        </is>
      </c>
      <c r="D38" s="31" t="inlineStr">
        <is>
          <t>Shanti Gold International Ltd</t>
        </is>
      </c>
      <c r="E38" s="31" t="inlineStr">
        <is>
          <t>consumer discretionary</t>
        </is>
      </c>
      <c r="F38" s="31" t="inlineStr">
        <is>
          <t>diamond cutting / jewellery</t>
        </is>
      </c>
      <c r="G38" s="31" t="inlineStr">
        <is>
          <t>smallcap</t>
        </is>
      </c>
      <c r="H38" s="32" t="n">
        <v>2967.52</v>
      </c>
      <c r="I38" s="32" t="n">
        <v>386.7</v>
      </c>
      <c r="J38" s="32" t="n">
        <v>1.62</v>
      </c>
      <c r="K38" s="32" t="n">
        <v>4733594</v>
      </c>
      <c r="L38" s="31" t="n">
        <v>77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75.91</v>
      </c>
      <c r="P38" s="32" t="n">
        <v>47.78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-10.93</v>
      </c>
      <c r="U38" s="32" t="n">
        <v>77.72</v>
      </c>
      <c r="V38" s="32" t="n">
        <v>99.54000000000001</v>
      </c>
      <c r="W38" s="32" t="n">
        <v>31.98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IF(B39=0,"",RANK(B39,$B$2:$B$171,0))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PCJEWELLER</t>
        </is>
      </c>
      <c r="D39" s="31" t="inlineStr">
        <is>
          <t>Pc Jeweller Limited</t>
        </is>
      </c>
      <c r="E39" s="31" t="inlineStr">
        <is>
          <t>consumer discretionary</t>
        </is>
      </c>
      <c r="F39" s="31" t="inlineStr">
        <is>
          <t>diamond cutting / jewellery</t>
        </is>
      </c>
      <c r="G39" s="31" t="inlineStr">
        <is>
          <t>midcap</t>
        </is>
      </c>
      <c r="H39" s="32" t="n">
        <v>14565.8</v>
      </c>
      <c r="I39" s="32" t="n">
        <v>15</v>
      </c>
      <c r="J39" s="32" t="n">
        <v>1.28</v>
      </c>
      <c r="K39" s="32" t="n">
        <v>602153148</v>
      </c>
      <c r="L39" s="31" t="n">
        <v>43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67.61</v>
      </c>
      <c r="P39" s="32" t="n">
        <v>38.93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-10.93</v>
      </c>
      <c r="U39" s="32" t="n">
        <v>15.34</v>
      </c>
      <c r="V39" s="32" t="n">
        <v>29.5</v>
      </c>
      <c r="W39" s="32" t="n">
        <v>14.92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IF(B40=0,"",RANK(B40,$B$2:$B$171,0))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THELEELA</t>
        </is>
      </c>
      <c r="D40" s="31" t="inlineStr">
        <is>
          <t>Leela Palaces Hotels &amp; Resorts Ltd</t>
        </is>
      </c>
      <c r="E40" s="31" t="inlineStr">
        <is>
          <t>services</t>
        </is>
      </c>
      <c r="F40" s="31" t="inlineStr">
        <is>
          <t>hotels</t>
        </is>
      </c>
      <c r="G40" s="31" t="inlineStr">
        <is>
          <t>midcap</t>
        </is>
      </c>
      <c r="H40" s="32" t="n">
        <v>19862.14</v>
      </c>
      <c r="I40" s="32" t="n">
        <v>594.75</v>
      </c>
      <c r="J40" s="32" t="n">
        <v>1.23</v>
      </c>
      <c r="K40" s="32" t="n">
        <v>131361</v>
      </c>
      <c r="L40" s="31" t="n">
        <v>30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71.98999999999999</v>
      </c>
      <c r="P40" s="32" t="n">
        <v>42.77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-10.93</v>
      </c>
      <c r="U40" s="32" t="n">
        <v>29.73</v>
      </c>
      <c r="V40" s="32" t="n">
        <v>45.66</v>
      </c>
      <c r="W40" s="32" t="n">
        <v>9.210000000000001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IF(B41=0,"",RANK(B41,$B$2:$B$171,0))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VALIANTORG</t>
        </is>
      </c>
      <c r="D41" s="31" t="inlineStr">
        <is>
          <t>Valiant Organics Ltd</t>
        </is>
      </c>
      <c r="E41" s="31" t="inlineStr">
        <is>
          <t>chemicals</t>
        </is>
      </c>
      <c r="F41" s="31" t="inlineStr">
        <is>
          <t>chemicals</t>
        </is>
      </c>
      <c r="G41" s="31" t="inlineStr">
        <is>
          <t>smallcap</t>
        </is>
      </c>
      <c r="H41" s="32" t="n">
        <v>1322.81</v>
      </c>
      <c r="I41" s="32" t="n">
        <v>471.85</v>
      </c>
      <c r="J41" s="32" t="n">
        <v>0.89</v>
      </c>
      <c r="K41" s="32" t="n">
        <v>82815</v>
      </c>
      <c r="L41" s="31" t="n">
        <v>67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73.03</v>
      </c>
      <c r="P41" s="32" t="n">
        <v>51.26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-10.93</v>
      </c>
      <c r="U41" s="32" t="n">
        <v>47.77</v>
      </c>
      <c r="V41" s="32" t="n">
        <v>65.91</v>
      </c>
      <c r="W41" s="32" t="n">
        <v>24.94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IF(B42=0,"",RANK(B42,$B$2:$B$171,0))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APARINDS</t>
        </is>
      </c>
      <c r="D42" s="31" t="inlineStr">
        <is>
          <t>Apar Industries Limited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largecap</t>
        </is>
      </c>
      <c r="H42" s="32" t="n">
        <v>75788.92999999999</v>
      </c>
      <c r="I42" s="32" t="n">
        <v>18100</v>
      </c>
      <c r="J42" s="32" t="n">
        <v>0.65</v>
      </c>
      <c r="K42" s="32" t="n">
        <v>102420</v>
      </c>
      <c r="L42" s="31" t="n">
        <v>64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67.89</v>
      </c>
      <c r="P42" s="32" t="n">
        <v>45.45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-10.93</v>
      </c>
      <c r="U42" s="32" t="n">
        <v>115.22</v>
      </c>
      <c r="V42" s="32" t="n">
        <v>141.65</v>
      </c>
      <c r="W42" s="32" t="n">
        <v>23.37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IF(B43=0,"",RANK(B43,$B$2:$B$171,0))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MATRIMONY</t>
        </is>
      </c>
      <c r="D43" s="31" t="inlineStr">
        <is>
          <t>Matrimony.com Ltd</t>
        </is>
      </c>
      <c r="E43" s="31" t="inlineStr">
        <is>
          <t>miscellaneous</t>
        </is>
      </c>
      <c r="F43" s="31" t="inlineStr">
        <is>
          <t>miscellaneous</t>
        </is>
      </c>
      <c r="G43" s="31" t="inlineStr">
        <is>
          <t>smallcap</t>
        </is>
      </c>
      <c r="H43" s="32" t="n">
        <v>1100.03</v>
      </c>
      <c r="I43" s="32" t="n">
        <v>532.1</v>
      </c>
      <c r="J43" s="32" t="n">
        <v>0.63</v>
      </c>
      <c r="K43" s="32" t="n">
        <v>11779</v>
      </c>
      <c r="L43" s="31" t="n">
        <v>23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59.71</v>
      </c>
      <c r="P43" s="32" t="n">
        <v>44.82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-10.93</v>
      </c>
      <c r="U43" s="32" t="n">
        <v>4.65</v>
      </c>
      <c r="V43" s="32" t="n">
        <v>17.49</v>
      </c>
      <c r="W43" s="32" t="n">
        <v>6.32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IF(B44=0,"",RANK(B44,$B$2:$B$171,0))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MVGJL</t>
        </is>
      </c>
      <c r="D44" s="31" t="inlineStr">
        <is>
          <t>Manoj Vaibhav Gems N Jewellers Ltd</t>
        </is>
      </c>
      <c r="E44" s="31" t="inlineStr">
        <is>
          <t>consumer discretionary</t>
        </is>
      </c>
      <c r="F44" s="31" t="inlineStr">
        <is>
          <t>diamond cutting / jewellery</t>
        </is>
      </c>
      <c r="G44" s="31" t="inlineStr">
        <is>
          <t>smallcap</t>
        </is>
      </c>
      <c r="H44" s="32" t="n">
        <v>1018.22</v>
      </c>
      <c r="I44" s="32" t="n">
        <v>208.45</v>
      </c>
      <c r="J44" s="32" t="n">
        <v>0.28</v>
      </c>
      <c r="K44" s="32" t="n">
        <v>471478</v>
      </c>
      <c r="L44" s="31" t="n">
        <v>32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62.8</v>
      </c>
      <c r="P44" s="32" t="n">
        <v>25.58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-10.93</v>
      </c>
      <c r="U44" s="32" t="n">
        <v>10.88</v>
      </c>
      <c r="V44" s="32" t="n">
        <v>24.5</v>
      </c>
      <c r="W44" s="32" t="n">
        <v>9.710000000000001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IF(B45=0,"",RANK(B45,$B$2:$B$171,0))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FILATEX</t>
        </is>
      </c>
      <c r="D45" s="31" t="inlineStr">
        <is>
          <t>Filatex India Limited</t>
        </is>
      </c>
      <c r="E45" s="31" t="inlineStr">
        <is>
          <t>textiles</t>
        </is>
      </c>
      <c r="F45" s="31" t="inlineStr">
        <is>
          <t>textiles - manmade</t>
        </is>
      </c>
      <c r="G45" s="31" t="inlineStr">
        <is>
          <t>smallcap</t>
        </is>
      </c>
      <c r="H45" s="32" t="n">
        <v>4786.06</v>
      </c>
      <c r="I45" s="32" t="n">
        <v>107.78</v>
      </c>
      <c r="J45" s="32" t="n">
        <v>-1.17</v>
      </c>
      <c r="K45" s="32" t="n">
        <v>1499074</v>
      </c>
      <c r="L45" s="31" t="n">
        <v>84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82.78</v>
      </c>
      <c r="P45" s="32" t="n">
        <v>55.98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-10.93</v>
      </c>
      <c r="U45" s="32" t="n">
        <v>102.36</v>
      </c>
      <c r="V45" s="32" t="n">
        <v>127.2</v>
      </c>
      <c r="W45" s="32" t="n">
        <v>34.52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Between 12 to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IF(B46=0,"",RANK(B46,$B$2:$B$171,0))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NRL</t>
        </is>
      </c>
      <c r="D46" s="31" t="inlineStr">
        <is>
          <t>Nupur Recyclers Ltd</t>
        </is>
      </c>
      <c r="E46" s="31" t="inlineStr">
        <is>
          <t>services</t>
        </is>
      </c>
      <c r="F46" s="31" t="inlineStr">
        <is>
          <t>trading</t>
        </is>
      </c>
      <c r="G46" s="31" t="inlineStr">
        <is>
          <t>smallcap</t>
        </is>
      </c>
      <c r="H46" s="32" t="n">
        <v>1077.48</v>
      </c>
      <c r="I46" s="32" t="n">
        <v>156</v>
      </c>
      <c r="J46" s="32" t="n">
        <v>-1.27</v>
      </c>
      <c r="K46" s="32" t="n">
        <v>21858</v>
      </c>
      <c r="L46" s="31" t="n">
        <v>86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86.72</v>
      </c>
      <c r="P46" s="32" t="n">
        <v>79.05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-10.93</v>
      </c>
      <c r="U46" s="32" t="n">
        <v>122.97</v>
      </c>
      <c r="V46" s="32" t="n">
        <v>150.35</v>
      </c>
      <c r="W46" s="32" t="n">
        <v>36.22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IF(B47=0,"",RANK(B47,$B$2:$B$171,0))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DELTACORP</t>
        </is>
      </c>
      <c r="D47" s="31" t="inlineStr">
        <is>
          <t>Delta Corp Limited</t>
        </is>
      </c>
      <c r="E47" s="31" t="inlineStr">
        <is>
          <t>miscellaneous</t>
        </is>
      </c>
      <c r="F47" s="31" t="inlineStr">
        <is>
          <t>recreation / amusement parks</t>
        </is>
      </c>
      <c r="G47" s="31" t="inlineStr">
        <is>
          <t>smallcap</t>
        </is>
      </c>
      <c r="H47" s="32" t="n">
        <v>2146.72</v>
      </c>
      <c r="I47" s="32" t="n">
        <v>80.17</v>
      </c>
      <c r="J47" s="32" t="n">
        <v>-1.4</v>
      </c>
      <c r="K47" s="32" t="n">
        <v>7744125</v>
      </c>
      <c r="L47" s="31" t="n">
        <v>24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65.37</v>
      </c>
      <c r="P47" s="32" t="n">
        <v>26.27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-10.93</v>
      </c>
      <c r="U47" s="32" t="n">
        <v>3.35</v>
      </c>
      <c r="V47" s="32" t="n">
        <v>16.04</v>
      </c>
      <c r="W47" s="32" t="n">
        <v>7.04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IF(B48=0,"",RANK(B48,$B$2:$B$171,0))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MBECL</t>
        </is>
      </c>
      <c r="D48" s="31" t="inlineStr">
        <is>
          <t>Mcnally Bharat Engineering Company Limited</t>
        </is>
      </c>
      <c r="E48" s="31" t="inlineStr">
        <is>
          <t>realty</t>
        </is>
      </c>
      <c r="F48" s="31" t="inlineStr">
        <is>
          <t>engineering - turnkey services</t>
        </is>
      </c>
      <c r="G48" s="31" t="inlineStr">
        <is>
          <t>smallcap</t>
        </is>
      </c>
      <c r="H48" s="32" t="n">
        <v>1518.67</v>
      </c>
      <c r="I48" s="32" t="n">
        <v>455.6</v>
      </c>
      <c r="J48" s="32" t="n">
        <v>-1.99</v>
      </c>
      <c r="K48" s="32" t="n">
        <v>789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91.76000000000001</v>
      </c>
      <c r="P48" s="32" t="n">
        <v>77.19</v>
      </c>
      <c r="Q48" s="32" t="inlineStr"/>
      <c r="R48" s="31" t="inlineStr">
        <is>
          <t>Earnings / Momentum Support</t>
        </is>
      </c>
      <c r="S48" s="31" t="inlineStr">
        <is>
          <t>Nifty Realty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IF(B49=0,"",RANK(B49,$B$2:$B$171,0))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MAWANASUG</t>
        </is>
      </c>
      <c r="D49" s="31" t="inlineStr">
        <is>
          <t>Mawana Sugars Limited</t>
        </is>
      </c>
      <c r="E49" s="31" t="inlineStr">
        <is>
          <t>fmcg</t>
        </is>
      </c>
      <c r="F49" s="31" t="inlineStr">
        <is>
          <t>sugar</t>
        </is>
      </c>
      <c r="G49" s="31" t="inlineStr">
        <is>
          <t>smallcap</t>
        </is>
      </c>
      <c r="H49" s="32" t="n">
        <v>660.25</v>
      </c>
      <c r="I49" s="32" t="n">
        <v>168.79</v>
      </c>
      <c r="J49" s="32" t="n">
        <v>15.26</v>
      </c>
      <c r="K49" s="32" t="n">
        <v>2840397</v>
      </c>
      <c r="L49" s="31" t="inlineStr"/>
      <c r="M49" s="31" t="inlineStr"/>
      <c r="N49" s="32">
        <f>IF(M49="Underperforming",-5,IF(L49&gt;=95,15,IF(L49&gt;=90,10,IF(L49&gt;=80,5,0))))</f>
        <v/>
      </c>
      <c r="O49" s="32" t="n">
        <v>63.97</v>
      </c>
      <c r="P49" s="32" t="n">
        <v>45.11</v>
      </c>
      <c r="Q49" s="32" t="inlineStr"/>
      <c r="R49" s="31" t="inlineStr">
        <is>
          <t>Earnings / Momentum Support</t>
        </is>
      </c>
      <c r="S49" s="31" t="inlineStr">
        <is>
          <t>Nifty FMCG</t>
        </is>
      </c>
      <c r="T49" s="32" t="inlineStr"/>
      <c r="U49" s="32" t="inlineStr"/>
      <c r="V49" s="32" t="inlineStr"/>
      <c r="W49" s="32" t="inlineStr"/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IF(B50=0,"",RANK(B50,$B$2:$B$171,0))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DALMIASUG</t>
        </is>
      </c>
      <c r="D50" s="31" t="inlineStr">
        <is>
          <t>Dalmia Bharat Sugar And Industries Limited</t>
        </is>
      </c>
      <c r="E50" s="31" t="inlineStr">
        <is>
          <t>fmcg</t>
        </is>
      </c>
      <c r="F50" s="31" t="inlineStr">
        <is>
          <t>sugar</t>
        </is>
      </c>
      <c r="G50" s="31" t="inlineStr">
        <is>
          <t>smallcap</t>
        </is>
      </c>
      <c r="H50" s="32" t="n">
        <v>3921.51</v>
      </c>
      <c r="I50" s="32" t="n">
        <v>484.5</v>
      </c>
      <c r="J50" s="32" t="n">
        <v>11.24</v>
      </c>
      <c r="K50" s="32" t="n">
        <v>2696851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57.45</v>
      </c>
      <c r="P50" s="32" t="n">
        <v>41.39</v>
      </c>
      <c r="Q50" s="32" t="inlineStr"/>
      <c r="R50" s="31" t="inlineStr">
        <is>
          <t>Earnings / Momentum Support</t>
        </is>
      </c>
      <c r="S50" s="31" t="inlineStr">
        <is>
          <t>Nifty FMCG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Less than 12%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IF(B51=0,"",RANK(B51,$B$2:$B$171,0))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E2E</t>
        </is>
      </c>
      <c r="D51" s="31" t="inlineStr">
        <is>
          <t>E2E Networks Ltd</t>
        </is>
      </c>
      <c r="E51" s="31" t="inlineStr">
        <is>
          <t>i.t</t>
        </is>
      </c>
      <c r="F51" s="31" t="inlineStr">
        <is>
          <t>computers - software - medium / small</t>
        </is>
      </c>
      <c r="G51" s="31" t="inlineStr">
        <is>
          <t>midcap</t>
        </is>
      </c>
      <c r="H51" s="32" t="n">
        <v>15120.33</v>
      </c>
      <c r="I51" s="32" t="n">
        <v>735.55</v>
      </c>
      <c r="J51" s="32" t="n">
        <v>4.39</v>
      </c>
      <c r="K51" s="32" t="n">
        <v>1075983</v>
      </c>
      <c r="L51" s="31" t="n">
        <v>90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75.7</v>
      </c>
      <c r="P51" s="32" t="n">
        <v>57.31</v>
      </c>
      <c r="Q51" s="32" t="inlineStr"/>
      <c r="R51" s="31" t="inlineStr">
        <is>
          <t>Earnings / Momentum Support</t>
        </is>
      </c>
      <c r="S51" s="31" t="inlineStr">
        <is>
          <t>Nifty IT</t>
        </is>
      </c>
      <c r="T51" s="32" t="n">
        <v>-19.75</v>
      </c>
      <c r="U51" s="32" t="n">
        <v>106.76</v>
      </c>
      <c r="V51" s="32" t="n">
        <v>157.66</v>
      </c>
      <c r="W51" s="32" t="n">
        <v>39.32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IF(B52=0,"",RANK(B52,$B$2:$B$171,0))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SYNCOMF</t>
        </is>
      </c>
      <c r="D52" s="31" t="inlineStr">
        <is>
          <t>Syncom Formulations (India) Ltd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smallcap</t>
        </is>
      </c>
      <c r="H52" s="32" t="n">
        <v>2184.56</v>
      </c>
      <c r="I52" s="32" t="n">
        <v>23.24</v>
      </c>
      <c r="J52" s="32" t="n">
        <v>-0.17</v>
      </c>
      <c r="K52" s="32" t="n">
        <v>16245930</v>
      </c>
      <c r="L52" s="31" t="n">
        <v>63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75.33</v>
      </c>
      <c r="P52" s="32" t="n">
        <v>41.01</v>
      </c>
      <c r="Q52" s="32" t="inlineStr"/>
      <c r="R52" s="31" t="inlineStr">
        <is>
          <t>Earnings / Momentum Support</t>
        </is>
      </c>
      <c r="S52" s="31" t="inlineStr">
        <is>
          <t>Nifty Pharma</t>
        </is>
      </c>
      <c r="T52" s="32" t="n">
        <v>16.85</v>
      </c>
      <c r="U52" s="32" t="n">
        <v>37.7</v>
      </c>
      <c r="V52" s="32" t="n">
        <v>17.84</v>
      </c>
      <c r="W52" s="32" t="n">
        <v>23.02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IF(B53=0,"",RANK(B53,$B$2:$B$171,0))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SUNTV</t>
        </is>
      </c>
      <c r="D53" s="31" t="inlineStr">
        <is>
          <t>Sun Tv Network Limited</t>
        </is>
      </c>
      <c r="E53" s="31" t="inlineStr">
        <is>
          <t>media</t>
        </is>
      </c>
      <c r="F53" s="31" t="inlineStr">
        <is>
          <t>entertainment / electronic media software</t>
        </is>
      </c>
      <c r="G53" s="31" t="inlineStr">
        <is>
          <t>largecap</t>
        </is>
      </c>
      <c r="H53" s="32" t="n">
        <v>24780.04</v>
      </c>
      <c r="I53" s="32" t="n">
        <v>628.8</v>
      </c>
      <c r="J53" s="32" t="n">
        <v>-1.12</v>
      </c>
      <c r="K53" s="32" t="n">
        <v>494623</v>
      </c>
      <c r="L53" s="31" t="n">
        <v>29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68.40000000000001</v>
      </c>
      <c r="P53" s="32" t="n">
        <v>23.16</v>
      </c>
      <c r="Q53" s="32" t="inlineStr"/>
      <c r="R53" s="31" t="inlineStr">
        <is>
          <t>Earnings / Momentum Support</t>
        </is>
      </c>
      <c r="S53" s="31" t="inlineStr">
        <is>
          <t>Nifty IT</t>
        </is>
      </c>
      <c r="T53" s="32" t="n">
        <v>-19.75</v>
      </c>
      <c r="U53" s="32" t="n">
        <v>12.68</v>
      </c>
      <c r="V53" s="32" t="n">
        <v>40.42</v>
      </c>
      <c r="W53" s="32" t="n">
        <v>9.17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IF(B54=0,"",RANK(B54,$B$2:$B$171,0))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MOREPENLAB</t>
        </is>
      </c>
      <c r="D54" s="31" t="inlineStr">
        <is>
          <t>Morepen Laboratories Limited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midcap</t>
        </is>
      </c>
      <c r="H54" s="32" t="n">
        <v>7004.49</v>
      </c>
      <c r="I54" s="32" t="n">
        <v>127.83</v>
      </c>
      <c r="J54" s="32" t="n">
        <v>-1.33</v>
      </c>
      <c r="K54" s="32" t="n">
        <v>13504386</v>
      </c>
      <c r="L54" s="31" t="n">
        <v>96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84.87</v>
      </c>
      <c r="P54" s="32" t="n">
        <v>58.29</v>
      </c>
      <c r="Q54" s="32" t="inlineStr"/>
      <c r="R54" s="31" t="inlineStr">
        <is>
          <t>Earnings / Momentum Support</t>
        </is>
      </c>
      <c r="S54" s="31" t="inlineStr">
        <is>
          <t>Nifty Pharma</t>
        </is>
      </c>
      <c r="T54" s="32" t="n">
        <v>16.85</v>
      </c>
      <c r="U54" s="32" t="n">
        <v>160.31</v>
      </c>
      <c r="V54" s="32" t="n">
        <v>122.77</v>
      </c>
      <c r="W54" s="32" t="n">
        <v>51.51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IF(B55=0,"",RANK(B55,$B$2:$B$171,0))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INDIAGLYCO</t>
        </is>
      </c>
      <c r="D55" s="31" t="inlineStr">
        <is>
          <t>India Glycols Limited</t>
        </is>
      </c>
      <c r="E55" s="31" t="inlineStr">
        <is>
          <t>fmcg</t>
        </is>
      </c>
      <c r="F55" s="31" t="inlineStr">
        <is>
          <t>breweries &amp; distilleries</t>
        </is>
      </c>
      <c r="G55" s="31" t="inlineStr">
        <is>
          <t>smallcap</t>
        </is>
      </c>
      <c r="H55" s="32" t="n">
        <v>2143.52</v>
      </c>
      <c r="I55" s="32" t="n">
        <v>319.8</v>
      </c>
      <c r="J55" s="32" t="n">
        <v>-2.97</v>
      </c>
      <c r="K55" s="32" t="n">
        <v>521367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28.99</v>
      </c>
      <c r="P55" s="32" t="n">
        <v>41.71</v>
      </c>
      <c r="Q55" s="32" t="inlineStr"/>
      <c r="R55" s="31" t="inlineStr">
        <is>
          <t>Earnings / Momentum Support</t>
        </is>
      </c>
      <c r="S55" s="31" t="inlineStr">
        <is>
          <t>Nifty FMCG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Below 45</t>
        </is>
      </c>
      <c r="BA55" s="31">
        <f>IF(AZ55="Between 50 to 75",10,IF(AZ55="Above 75",0,0))</f>
        <v/>
      </c>
      <c r="BB55" s="31" t="inlineStr">
        <is>
          <t>Stage 4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IF(B56=0,"",RANK(B56,$B$2:$B$171,0))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CARTRADE</t>
        </is>
      </c>
      <c r="D56" s="31" t="inlineStr">
        <is>
          <t>Cartrade Tech Ltd</t>
        </is>
      </c>
      <c r="E56" s="31" t="inlineStr">
        <is>
          <t>consumer discretionary</t>
        </is>
      </c>
      <c r="F56" s="31" t="inlineStr">
        <is>
          <t>miscellaneous</t>
        </is>
      </c>
      <c r="G56" s="31" t="inlineStr">
        <is>
          <t>midcap</t>
        </is>
      </c>
      <c r="H56" s="32" t="n">
        <v>15325.59</v>
      </c>
      <c r="I56" s="32" t="n">
        <v>3191.3</v>
      </c>
      <c r="J56" s="32" t="n">
        <v>8.140000000000001</v>
      </c>
      <c r="K56" s="32" t="n">
        <v>1395231</v>
      </c>
      <c r="L56" s="31" t="n">
        <v>25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60.61</v>
      </c>
      <c r="P56" s="32" t="n">
        <v>47.81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-10.93</v>
      </c>
      <c r="U56" s="32" t="n">
        <v>20.71</v>
      </c>
      <c r="V56" s="32" t="n">
        <v>35.52</v>
      </c>
      <c r="W56" s="32" t="n">
        <v>8.130000000000001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IF(B57=0,"",RANK(B57,$B$2:$B$171,0))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PTCIL</t>
        </is>
      </c>
      <c r="D57" s="31" t="inlineStr">
        <is>
          <t>PTC Industries Ltd</t>
        </is>
      </c>
      <c r="E57" s="31" t="inlineStr">
        <is>
          <t>castings, forgings &amp; fasteners</t>
        </is>
      </c>
      <c r="F57" s="31" t="inlineStr">
        <is>
          <t>castings &amp; forgings</t>
        </is>
      </c>
      <c r="G57" s="31" t="inlineStr">
        <is>
          <t>largecap</t>
        </is>
      </c>
      <c r="H57" s="32" t="n">
        <v>38553.34</v>
      </c>
      <c r="I57" s="32" t="n">
        <v>25715</v>
      </c>
      <c r="J57" s="32" t="n">
        <v>4.81</v>
      </c>
      <c r="K57" s="32" t="n">
        <v>52365</v>
      </c>
      <c r="L57" s="31" t="n">
        <v>51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72.02</v>
      </c>
      <c r="P57" s="32" t="n">
        <v>46.86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-10.93</v>
      </c>
      <c r="U57" s="32" t="n">
        <v>51.01</v>
      </c>
      <c r="V57" s="32" t="n">
        <v>69.55</v>
      </c>
      <c r="W57" s="32" t="n">
        <v>17.81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IF(B58=0,"",RANK(B58,$B$2:$B$171,0))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MAZDA</t>
        </is>
      </c>
      <c r="D58" s="31" t="inlineStr">
        <is>
          <t>Mazda Limited</t>
        </is>
      </c>
      <c r="E58" s="31" t="inlineStr">
        <is>
          <t>industrials</t>
        </is>
      </c>
      <c r="F58" s="31" t="inlineStr">
        <is>
          <t>engineering</t>
        </is>
      </c>
      <c r="G58" s="31" t="inlineStr">
        <is>
          <t>smallcap</t>
        </is>
      </c>
      <c r="H58" s="32" t="n">
        <v>585.23</v>
      </c>
      <c r="I58" s="32" t="n">
        <v>292.25</v>
      </c>
      <c r="J58" s="32" t="n">
        <v>4.73</v>
      </c>
      <c r="K58" s="32" t="n">
        <v>120567</v>
      </c>
      <c r="L58" s="31" t="n">
        <v>15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65.06999999999999</v>
      </c>
      <c r="P58" s="32" t="n">
        <v>36.54</v>
      </c>
      <c r="Q58" s="32" t="inlineStr"/>
      <c r="R58" s="31" t="inlineStr">
        <is>
          <t>Earnings / Momentum Support</t>
        </is>
      </c>
      <c r="S58" s="31" t="inlineStr">
        <is>
          <t>Nifty 50</t>
        </is>
      </c>
      <c r="T58" s="32" t="n">
        <v>-10.93</v>
      </c>
      <c r="U58" s="32" t="n">
        <v>-2.75</v>
      </c>
      <c r="V58" s="32" t="n">
        <v>9.19</v>
      </c>
      <c r="W58" s="32" t="n">
        <v>4.33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IF(B59=0,"",RANK(B59,$B$2:$B$171,0))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AEGISLOG</t>
        </is>
      </c>
      <c r="D59" s="31" t="inlineStr">
        <is>
          <t>Aegis Logistics Ltd</t>
        </is>
      </c>
      <c r="E59" s="31" t="inlineStr">
        <is>
          <t>services</t>
        </is>
      </c>
      <c r="F59" s="31" t="inlineStr">
        <is>
          <t>trading</t>
        </is>
      </c>
      <c r="G59" s="31" t="inlineStr">
        <is>
          <t>largecap</t>
        </is>
      </c>
      <c r="H59" s="32" t="n">
        <v>50895</v>
      </c>
      <c r="I59" s="32" t="n">
        <v>1450</v>
      </c>
      <c r="J59" s="32" t="n">
        <v>4.4</v>
      </c>
      <c r="K59" s="32" t="n">
        <v>724454</v>
      </c>
      <c r="L59" s="31" t="n">
        <v>56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64.34</v>
      </c>
      <c r="P59" s="32" t="n">
        <v>54.59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-10.93</v>
      </c>
      <c r="U59" s="32" t="n">
        <v>71.84999999999999</v>
      </c>
      <c r="V59" s="32" t="n">
        <v>92.95</v>
      </c>
      <c r="W59" s="32" t="n">
        <v>19.51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IF(B60=0,"",RANK(B60,$B$2:$B$171,0))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ATLANTAELE</t>
        </is>
      </c>
      <c r="D60" s="31" t="inlineStr">
        <is>
          <t>Atlanta Electricals Ltd</t>
        </is>
      </c>
      <c r="E60" s="31" t="inlineStr">
        <is>
          <t>industrials</t>
        </is>
      </c>
      <c r="F60" s="31" t="inlineStr">
        <is>
          <t>electric equipment</t>
        </is>
      </c>
      <c r="G60" s="31" t="inlineStr">
        <is>
          <t>midcap</t>
        </is>
      </c>
      <c r="H60" s="32" t="n">
        <v>14195.12</v>
      </c>
      <c r="I60" s="32" t="n">
        <v>1846</v>
      </c>
      <c r="J60" s="32" t="n">
        <v>4.32</v>
      </c>
      <c r="K60" s="32" t="n">
        <v>139754</v>
      </c>
      <c r="L60" s="31" t="n">
        <v>51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56.25</v>
      </c>
      <c r="P60" s="32" t="n">
        <v>23.12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-10.93</v>
      </c>
      <c r="U60" s="32" t="n">
        <v>96.36</v>
      </c>
      <c r="V60" s="32" t="n">
        <v>120.47</v>
      </c>
      <c r="W60" s="32" t="n">
        <v>17.74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IF(B61=0,"",RANK(B61,$B$2:$B$171,0))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TATVA</t>
        </is>
      </c>
      <c r="D61" s="31" t="inlineStr">
        <is>
          <t>Tatva Chintan Pharma Chem Ltd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smallcap</t>
        </is>
      </c>
      <c r="H61" s="32" t="n">
        <v>4376.89</v>
      </c>
      <c r="I61" s="32" t="n">
        <v>1871.1</v>
      </c>
      <c r="J61" s="32" t="n">
        <v>3.67</v>
      </c>
      <c r="K61" s="32" t="n">
        <v>72457</v>
      </c>
      <c r="L61" s="31" t="n">
        <v>55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66.48999999999999</v>
      </c>
      <c r="P61" s="32" t="n">
        <v>44.12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-10.93</v>
      </c>
      <c r="U61" s="32" t="n">
        <v>69</v>
      </c>
      <c r="V61" s="32" t="n">
        <v>89.75</v>
      </c>
      <c r="W61" s="32" t="n">
        <v>19.24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IF(B62=0,"",RANK(B62,$B$2:$B$171,0))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AVALON</t>
        </is>
      </c>
      <c r="D62" s="31" t="inlineStr">
        <is>
          <t>Avalon Technologies Ltd</t>
        </is>
      </c>
      <c r="E62" s="31" t="inlineStr">
        <is>
          <t>consumer discretionary</t>
        </is>
      </c>
      <c r="F62" s="31" t="inlineStr">
        <is>
          <t>electronics - components</t>
        </is>
      </c>
      <c r="G62" s="31" t="inlineStr">
        <is>
          <t>midcap</t>
        </is>
      </c>
      <c r="H62" s="32" t="n">
        <v>15887.84</v>
      </c>
      <c r="I62" s="32" t="n">
        <v>2378</v>
      </c>
      <c r="J62" s="32" t="n">
        <v>3.37</v>
      </c>
      <c r="K62" s="32" t="n">
        <v>267408</v>
      </c>
      <c r="L62" s="31" t="n">
        <v>64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70.18000000000001</v>
      </c>
      <c r="P62" s="32" t="n">
        <v>48.32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-10.93</v>
      </c>
      <c r="U62" s="32" t="n">
        <v>86.97</v>
      </c>
      <c r="V62" s="32" t="n">
        <v>109.93</v>
      </c>
      <c r="W62" s="32" t="n">
        <v>23.58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IF(B63=0,"",RANK(B63,$B$2:$B$171,0))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TCPLPACK</t>
        </is>
      </c>
      <c r="D63" s="31" t="inlineStr">
        <is>
          <t>TCPL Packaging Ltd</t>
        </is>
      </c>
      <c r="E63" s="31" t="inlineStr">
        <is>
          <t>industrials</t>
        </is>
      </c>
      <c r="F63" s="31" t="inlineStr">
        <is>
          <t>packaging</t>
        </is>
      </c>
      <c r="G63" s="31" t="inlineStr">
        <is>
          <t>smallcap</t>
        </is>
      </c>
      <c r="H63" s="32" t="n">
        <v>4019.47</v>
      </c>
      <c r="I63" s="32" t="n">
        <v>4417</v>
      </c>
      <c r="J63" s="32" t="n">
        <v>3.33</v>
      </c>
      <c r="K63" s="32" t="n">
        <v>53787</v>
      </c>
      <c r="L63" s="31" t="n">
        <v>46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67.79000000000001</v>
      </c>
      <c r="P63" s="32" t="n">
        <v>52.32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-10.93</v>
      </c>
      <c r="U63" s="32" t="n">
        <v>26.62</v>
      </c>
      <c r="V63" s="32" t="n">
        <v>42.17</v>
      </c>
      <c r="W63" s="32" t="n">
        <v>15.47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IF(B64=0,"",RANK(B64,$B$2:$B$171,0))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AZAD</t>
        </is>
      </c>
      <c r="D64" s="31" t="inlineStr">
        <is>
          <t>Azad Engineering Ltd</t>
        </is>
      </c>
      <c r="E64" s="31" t="inlineStr">
        <is>
          <t>aerospace &amp; defence</t>
        </is>
      </c>
      <c r="F64" s="31" t="inlineStr">
        <is>
          <t>engineering</t>
        </is>
      </c>
      <c r="G64" s="31" t="inlineStr">
        <is>
          <t>midcap</t>
        </is>
      </c>
      <c r="H64" s="32" t="n">
        <v>19170.44</v>
      </c>
      <c r="I64" s="32" t="n">
        <v>2968.4</v>
      </c>
      <c r="J64" s="32" t="n">
        <v>2</v>
      </c>
      <c r="K64" s="32" t="n">
        <v>554193</v>
      </c>
      <c r="L64" s="31" t="n">
        <v>50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67.98</v>
      </c>
      <c r="P64" s="32" t="n">
        <v>44.93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-10.93</v>
      </c>
      <c r="U64" s="32" t="n">
        <v>75.72</v>
      </c>
      <c r="V64" s="32" t="n">
        <v>97.29000000000001</v>
      </c>
      <c r="W64" s="32" t="n">
        <v>16.72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IF(B65=0,"",RANK(B65,$B$2:$B$171,0))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MARINE</t>
        </is>
      </c>
      <c r="D65" s="31" t="inlineStr">
        <is>
          <t>Marine Electricals (India) Ltd</t>
        </is>
      </c>
      <c r="E65" s="31" t="inlineStr">
        <is>
          <t>industrials</t>
        </is>
      </c>
      <c r="F65" s="31" t="inlineStr">
        <is>
          <t>electric equipment</t>
        </is>
      </c>
      <c r="G65" s="31" t="inlineStr">
        <is>
          <t>midcap</t>
        </is>
      </c>
      <c r="H65" s="32" t="n">
        <v>6502.52</v>
      </c>
      <c r="I65" s="32" t="n">
        <v>464.65</v>
      </c>
      <c r="J65" s="32" t="n">
        <v>1.98</v>
      </c>
      <c r="K65" s="32" t="n">
        <v>876589</v>
      </c>
      <c r="L65" s="31" t="n">
        <v>85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74</v>
      </c>
      <c r="P65" s="32" t="n">
        <v>52.01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-10.93</v>
      </c>
      <c r="U65" s="32" t="n">
        <v>116.34</v>
      </c>
      <c r="V65" s="32" t="n">
        <v>142.9</v>
      </c>
      <c r="W65" s="32" t="n">
        <v>35.65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IF(B66=0,"",RANK(B66,$B$2:$B$171,0))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KABRAEXTRU</t>
        </is>
      </c>
      <c r="D66" s="31" t="inlineStr">
        <is>
          <t>Kabra Extrusion Technik Limited</t>
        </is>
      </c>
      <c r="E66" s="31" t="inlineStr">
        <is>
          <t>industrials</t>
        </is>
      </c>
      <c r="F66" s="31" t="inlineStr">
        <is>
          <t>engineering</t>
        </is>
      </c>
      <c r="G66" s="31" t="inlineStr">
        <is>
          <t>smallcap</t>
        </is>
      </c>
      <c r="H66" s="32" t="n">
        <v>3141.23</v>
      </c>
      <c r="I66" s="32" t="n">
        <v>811</v>
      </c>
      <c r="J66" s="32" t="n">
        <v>1.9</v>
      </c>
      <c r="K66" s="32" t="n">
        <v>41262</v>
      </c>
      <c r="L66" s="31" t="n">
        <v>98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76.58</v>
      </c>
      <c r="P66" s="32" t="n">
        <v>77.41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-10.93</v>
      </c>
      <c r="U66" s="32" t="n">
        <v>214.4</v>
      </c>
      <c r="V66" s="32" t="n">
        <v>253</v>
      </c>
      <c r="W66" s="32" t="n">
        <v>72.36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IF(B67=0,"",RANK(B67,$B$2:$B$171,0))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AETHER</t>
        </is>
      </c>
      <c r="D67" s="31" t="inlineStr">
        <is>
          <t>Aether Industries Ltd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largecap</t>
        </is>
      </c>
      <c r="H67" s="32" t="n">
        <v>23616.27</v>
      </c>
      <c r="I67" s="32" t="n">
        <v>1779.3</v>
      </c>
      <c r="J67" s="32" t="n">
        <v>1.78</v>
      </c>
      <c r="K67" s="32" t="n">
        <v>193201</v>
      </c>
      <c r="L67" s="31" t="n">
        <v>61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68.38</v>
      </c>
      <c r="P67" s="32" t="n">
        <v>61.18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-10.93</v>
      </c>
      <c r="U67" s="32" t="n">
        <v>133.02</v>
      </c>
      <c r="V67" s="32" t="n">
        <v>161.63</v>
      </c>
      <c r="W67" s="32" t="n">
        <v>22.23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IF(B68=0,"",RANK(B68,$B$2:$B$171,0))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HITECHCORP</t>
        </is>
      </c>
      <c r="D68" s="31" t="inlineStr">
        <is>
          <t>Hitech Corporation</t>
        </is>
      </c>
      <c r="E68" s="31" t="inlineStr">
        <is>
          <t>industrials</t>
        </is>
      </c>
      <c r="F68" s="31" t="inlineStr">
        <is>
          <t>packaging</t>
        </is>
      </c>
      <c r="G68" s="31" t="inlineStr">
        <is>
          <t>smallcap</t>
        </is>
      </c>
      <c r="H68" s="32" t="n">
        <v>610.6</v>
      </c>
      <c r="I68" s="32" t="n">
        <v>355.5</v>
      </c>
      <c r="J68" s="32" t="n">
        <v>1.34</v>
      </c>
      <c r="K68" s="32" t="n">
        <v>61690</v>
      </c>
      <c r="L68" s="31" t="n">
        <v>61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80.48</v>
      </c>
      <c r="P68" s="32" t="n">
        <v>65.40000000000001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-10.93</v>
      </c>
      <c r="U68" s="32" t="n">
        <v>78.98999999999999</v>
      </c>
      <c r="V68" s="32" t="n">
        <v>100.97</v>
      </c>
      <c r="W68" s="32" t="n">
        <v>22.69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IF(B69=0,"",RANK(B69,$B$2:$B$171,0))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SYRMA</t>
        </is>
      </c>
      <c r="D69" s="31" t="inlineStr">
        <is>
          <t>Syrma SGS Technology Ltd</t>
        </is>
      </c>
      <c r="E69" s="31" t="inlineStr">
        <is>
          <t>consumer discretionary</t>
        </is>
      </c>
      <c r="F69" s="31" t="inlineStr">
        <is>
          <t>electronics - components</t>
        </is>
      </c>
      <c r="G69" s="31" t="inlineStr">
        <is>
          <t>largecap</t>
        </is>
      </c>
      <c r="H69" s="32" t="n">
        <v>33498.51</v>
      </c>
      <c r="I69" s="32" t="n">
        <v>1737.2</v>
      </c>
      <c r="J69" s="32" t="n">
        <v>1.01</v>
      </c>
      <c r="K69" s="32" t="n">
        <v>844353</v>
      </c>
      <c r="L69" s="31" t="n">
        <v>60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75.33</v>
      </c>
      <c r="P69" s="32" t="n">
        <v>58.89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-10.93</v>
      </c>
      <c r="U69" s="32" t="n">
        <v>104.07</v>
      </c>
      <c r="V69" s="32" t="n">
        <v>129.13</v>
      </c>
      <c r="W69" s="32" t="n">
        <v>22.11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IF(B70=0,"",RANK(B70,$B$2:$B$171,0))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ALICON</t>
        </is>
      </c>
      <c r="D70" s="31" t="inlineStr">
        <is>
          <t>Alicon Castalloy Limited</t>
        </is>
      </c>
      <c r="E70" s="31" t="inlineStr">
        <is>
          <t>castings, forgings &amp; fasteners</t>
        </is>
      </c>
      <c r="F70" s="31" t="inlineStr">
        <is>
          <t>castings &amp; forgings</t>
        </is>
      </c>
      <c r="G70" s="31" t="inlineStr">
        <is>
          <t>smallcap</t>
        </is>
      </c>
      <c r="H70" s="32" t="n">
        <v>1415.11</v>
      </c>
      <c r="I70" s="32" t="n">
        <v>862.25</v>
      </c>
      <c r="J70" s="32" t="n">
        <v>0.06</v>
      </c>
      <c r="K70" s="32" t="n">
        <v>19899</v>
      </c>
      <c r="L70" s="31" t="n">
        <v>30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67.45</v>
      </c>
      <c r="P70" s="32" t="n">
        <v>25.74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-10.93</v>
      </c>
      <c r="U70" s="32" t="n">
        <v>1.73</v>
      </c>
      <c r="V70" s="32" t="n">
        <v>14.22</v>
      </c>
      <c r="W70" s="32" t="n">
        <v>9.23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IF(B71=0,"",RANK(B71,$B$2:$B$171,0))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LOTUSDEV</t>
        </is>
      </c>
      <c r="D71" s="31" t="inlineStr">
        <is>
          <t>Sri Lotus Developers &amp; Realty Ltd</t>
        </is>
      </c>
      <c r="E71" s="31" t="inlineStr">
        <is>
          <t>realty</t>
        </is>
      </c>
      <c r="F71" s="31" t="inlineStr">
        <is>
          <t>construction</t>
        </is>
      </c>
      <c r="G71" s="31" t="inlineStr">
        <is>
          <t>midcap</t>
        </is>
      </c>
      <c r="H71" s="32" t="n">
        <v>11632.11</v>
      </c>
      <c r="I71" s="32" t="n">
        <v>238.01</v>
      </c>
      <c r="J71" s="32" t="n">
        <v>-0.73</v>
      </c>
      <c r="K71" s="32" t="n">
        <v>826779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72.67</v>
      </c>
      <c r="P71" s="32" t="n">
        <v>36.59</v>
      </c>
      <c r="Q71" s="32" t="inlineStr"/>
      <c r="R71" s="31" t="inlineStr">
        <is>
          <t>Earnings / Momentum Support</t>
        </is>
      </c>
      <c r="S71" s="31" t="inlineStr">
        <is>
          <t>Nifty Realty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IF(B72=0,"",RANK(B72,$B$2:$B$171,0))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CPPLUS</t>
        </is>
      </c>
      <c r="D72" s="31" t="inlineStr">
        <is>
          <t>Aditya Infotech Ltd</t>
        </is>
      </c>
      <c r="E72" s="31" t="inlineStr">
        <is>
          <t>consumer discretionary</t>
        </is>
      </c>
      <c r="F72" s="31" t="inlineStr">
        <is>
          <t>trading</t>
        </is>
      </c>
      <c r="G72" s="31" t="inlineStr">
        <is>
          <t>largecap</t>
        </is>
      </c>
      <c r="H72" s="32" t="n">
        <v>50695.2</v>
      </c>
      <c r="I72" s="32" t="n">
        <v>4134.1</v>
      </c>
      <c r="J72" s="32" t="n">
        <v>-1.22</v>
      </c>
      <c r="K72" s="32" t="n">
        <v>648296</v>
      </c>
      <c r="L72" s="31" t="n">
        <v>77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70.09999999999999</v>
      </c>
      <c r="P72" s="32" t="n">
        <v>41.27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-10.93</v>
      </c>
      <c r="U72" s="32" t="n">
        <v>200.97</v>
      </c>
      <c r="V72" s="32" t="n">
        <v>237.92</v>
      </c>
      <c r="W72" s="32" t="n">
        <v>31.56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IF(B73=0,"",RANK(B73,$B$2:$B$171,0))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BOSCH-HCIL</t>
        </is>
      </c>
      <c r="D73" s="31" t="inlineStr">
        <is>
          <t>Bosch Home Comfort India Ltd</t>
        </is>
      </c>
      <c r="E73" s="31" t="inlineStr">
        <is>
          <t>consumer discretionary</t>
        </is>
      </c>
      <c r="F73" s="31" t="inlineStr">
        <is>
          <t>air-conditioners</t>
        </is>
      </c>
      <c r="G73" s="31" t="inlineStr">
        <is>
          <t>midcap</t>
        </is>
      </c>
      <c r="H73" s="32" t="n">
        <v>5226.9</v>
      </c>
      <c r="I73" s="32" t="n">
        <v>1922.3</v>
      </c>
      <c r="J73" s="32" t="n">
        <v>-2.92</v>
      </c>
      <c r="K73" s="32" t="n">
        <v>33432</v>
      </c>
      <c r="L73" s="31" t="n">
        <v>42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72.12</v>
      </c>
      <c r="P73" s="32" t="n">
        <v>42.94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-10.93</v>
      </c>
      <c r="U73" s="32" t="n">
        <v>14.58</v>
      </c>
      <c r="V73" s="32" t="n">
        <v>28.65</v>
      </c>
      <c r="W73" s="32" t="n">
        <v>14.11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IF(B74=0,"",RANK(B74,$B$2:$B$171,0))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ONWARDTEC</t>
        </is>
      </c>
      <c r="D74" s="31" t="inlineStr">
        <is>
          <t>Onward Technologies Limited</t>
        </is>
      </c>
      <c r="E74" s="31" t="inlineStr">
        <is>
          <t>i.t</t>
        </is>
      </c>
      <c r="F74" s="31" t="inlineStr">
        <is>
          <t>computers - software - medium / small</t>
        </is>
      </c>
      <c r="G74" s="31" t="inlineStr">
        <is>
          <t>smallcap</t>
        </is>
      </c>
      <c r="H74" s="32" t="n">
        <v>739.46</v>
      </c>
      <c r="I74" s="32" t="n">
        <v>332.45</v>
      </c>
      <c r="J74" s="32" t="n">
        <v>8.289999999999999</v>
      </c>
      <c r="K74" s="32" t="n">
        <v>307889</v>
      </c>
      <c r="L74" s="31" t="n">
        <v>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64.72</v>
      </c>
      <c r="P74" s="32" t="n">
        <v>20.16</v>
      </c>
      <c r="Q74" s="32" t="inlineStr"/>
      <c r="R74" s="31" t="inlineStr">
        <is>
          <t>Volume Spike / Accumulation</t>
        </is>
      </c>
      <c r="S74" s="31" t="inlineStr">
        <is>
          <t>Nifty IT</t>
        </is>
      </c>
      <c r="T74" s="32" t="n">
        <v>-19.75</v>
      </c>
      <c r="U74" s="32" t="n">
        <v>0.33</v>
      </c>
      <c r="V74" s="32" t="n">
        <v>25.03</v>
      </c>
      <c r="W74" s="32" t="n">
        <v>2.26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IF(B75=0,"",RANK(B75,$B$2:$B$171,0))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LALPATHLAB</t>
        </is>
      </c>
      <c r="D75" s="31" t="inlineStr">
        <is>
          <t>Dr. Lal Path Labs Ltd.</t>
        </is>
      </c>
      <c r="E75" s="31" t="inlineStr">
        <is>
          <t>healthcare</t>
        </is>
      </c>
      <c r="F75" s="31" t="inlineStr">
        <is>
          <t>healthcare</t>
        </is>
      </c>
      <c r="G75" s="31" t="inlineStr">
        <is>
          <t>largecap</t>
        </is>
      </c>
      <c r="H75" s="32" t="n">
        <v>33019.61</v>
      </c>
      <c r="I75" s="32" t="n">
        <v>1969.7</v>
      </c>
      <c r="J75" s="32" t="n">
        <v>1.87</v>
      </c>
      <c r="K75" s="32" t="n">
        <v>191545</v>
      </c>
      <c r="L75" s="31" t="n">
        <v>25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64.22</v>
      </c>
      <c r="P75" s="32" t="n">
        <v>50.21</v>
      </c>
      <c r="Q75" s="32" t="inlineStr"/>
      <c r="R75" s="31" t="inlineStr">
        <is>
          <t>Earnings / Momentum Support</t>
        </is>
      </c>
      <c r="S75" s="31" t="inlineStr">
        <is>
          <t>Nifty Pharma</t>
        </is>
      </c>
      <c r="T75" s="32" t="n">
        <v>16.85</v>
      </c>
      <c r="U75" s="32" t="n">
        <v>26.11</v>
      </c>
      <c r="V75" s="32" t="n">
        <v>7.92</v>
      </c>
      <c r="W75" s="32" t="n">
        <v>8.19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IF(B76=0,"",RANK(B76,$B$2:$B$171,0))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ZIMLAB</t>
        </is>
      </c>
      <c r="D76" s="31" t="inlineStr">
        <is>
          <t>Zim Laboratories Ltd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smallcap</t>
        </is>
      </c>
      <c r="H76" s="32" t="n">
        <v>817.3200000000001</v>
      </c>
      <c r="I76" s="32" t="n">
        <v>152.63</v>
      </c>
      <c r="J76" s="32" t="n">
        <v>1.44</v>
      </c>
      <c r="K76" s="32" t="n">
        <v>491098</v>
      </c>
      <c r="L76" s="31" t="n">
        <v>67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74.34999999999999</v>
      </c>
      <c r="P76" s="32" t="n">
        <v>58.48</v>
      </c>
      <c r="Q76" s="32" t="inlineStr"/>
      <c r="R76" s="31" t="inlineStr">
        <is>
          <t>Earnings / Momentum Support</t>
        </is>
      </c>
      <c r="S76" s="31" t="inlineStr">
        <is>
          <t>Nifty Pharma</t>
        </is>
      </c>
      <c r="T76" s="32" t="n">
        <v>16.85</v>
      </c>
      <c r="U76" s="32" t="n">
        <v>111.3</v>
      </c>
      <c r="V76" s="32" t="n">
        <v>80.83</v>
      </c>
      <c r="W76" s="32" t="n">
        <v>24.62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IF(B77=0,"",RANK(B77,$B$2:$B$171,0))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DIVISLAB</t>
        </is>
      </c>
      <c r="D77" s="31" t="inlineStr">
        <is>
          <t>Divi's Laboratories Limited</t>
        </is>
      </c>
      <c r="E77" s="31" t="inlineStr">
        <is>
          <t>healthcare</t>
        </is>
      </c>
      <c r="F77" s="31" t="inlineStr">
        <is>
          <t>pharmaceuticals - indian - bulk drugs</t>
        </is>
      </c>
      <c r="G77" s="31" t="inlineStr">
        <is>
          <t>largecap</t>
        </is>
      </c>
      <c r="H77" s="32" t="n">
        <v>250230.68</v>
      </c>
      <c r="I77" s="32" t="n">
        <v>9426</v>
      </c>
      <c r="J77" s="32" t="n">
        <v>0.92</v>
      </c>
      <c r="K77" s="32" t="n">
        <v>358499</v>
      </c>
      <c r="L77" s="31" t="n">
        <v>48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76.28</v>
      </c>
      <c r="P77" s="32" t="n">
        <v>59.83</v>
      </c>
      <c r="Q77" s="32" t="inlineStr"/>
      <c r="R77" s="31" t="inlineStr">
        <is>
          <t>Earnings / Momentum Support</t>
        </is>
      </c>
      <c r="S77" s="31" t="inlineStr">
        <is>
          <t>Nifty Pharma</t>
        </is>
      </c>
      <c r="T77" s="32" t="n">
        <v>16.85</v>
      </c>
      <c r="U77" s="32" t="n">
        <v>44.85</v>
      </c>
      <c r="V77" s="32" t="n">
        <v>23.96</v>
      </c>
      <c r="W77" s="32" t="n">
        <v>16.16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IF(B78=0,"",RANK(B78,$B$2:$B$171,0))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ADFFOODS</t>
        </is>
      </c>
      <c r="D78" s="31" t="inlineStr">
        <is>
          <t>Adf Foods Limited</t>
        </is>
      </c>
      <c r="E78" s="31" t="inlineStr">
        <is>
          <t>fmcg</t>
        </is>
      </c>
      <c r="F78" s="31" t="inlineStr">
        <is>
          <t>food - processing - indian</t>
        </is>
      </c>
      <c r="G78" s="31" t="inlineStr">
        <is>
          <t>smallcap</t>
        </is>
      </c>
      <c r="H78" s="32" t="n">
        <v>3168.47</v>
      </c>
      <c r="I78" s="32" t="n">
        <v>288.4</v>
      </c>
      <c r="J78" s="32" t="n">
        <v>-0.45</v>
      </c>
      <c r="K78" s="32" t="n">
        <v>75302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57.87</v>
      </c>
      <c r="P78" s="32" t="n">
        <v>25.27</v>
      </c>
      <c r="Q78" s="32" t="inlineStr"/>
      <c r="R78" s="31" t="inlineStr">
        <is>
          <t>Earnings / Momentum Support</t>
        </is>
      </c>
      <c r="S78" s="31" t="inlineStr">
        <is>
          <t>Nifty FMCG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Between 12 to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IF(B79=0,"",RANK(B79,$B$2:$B$171,0))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CUPID</t>
        </is>
      </c>
      <c r="D79" s="31" t="inlineStr">
        <is>
          <t>Cupid Limited</t>
        </is>
      </c>
      <c r="E79" s="31" t="inlineStr">
        <is>
          <t>fmcg</t>
        </is>
      </c>
      <c r="F79" s="31" t="inlineStr">
        <is>
          <t>personal care - indian</t>
        </is>
      </c>
      <c r="G79" s="31" t="inlineStr">
        <is>
          <t>largecap</t>
        </is>
      </c>
      <c r="H79" s="32" t="n">
        <v>48649.82</v>
      </c>
      <c r="I79" s="32" t="n">
        <v>361.8</v>
      </c>
      <c r="J79" s="32" t="n">
        <v>-1.17</v>
      </c>
      <c r="K79" s="32" t="n">
        <v>19394567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87</v>
      </c>
      <c r="P79" s="32" t="n">
        <v>65.08</v>
      </c>
      <c r="Q79" s="32" t="inlineStr"/>
      <c r="R79" s="31" t="inlineStr">
        <is>
          <t>Earnings / Momentum Support</t>
        </is>
      </c>
      <c r="S79" s="31" t="inlineStr">
        <is>
          <t>Nifty FMCG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IF(B80=0,"",RANK(B80,$B$2:$B$171,0))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NRAIL</t>
        </is>
      </c>
      <c r="D80" s="31" t="inlineStr">
        <is>
          <t>N R Agarwal Industries Ltd</t>
        </is>
      </c>
      <c r="E80" s="31" t="inlineStr">
        <is>
          <t>building materials</t>
        </is>
      </c>
      <c r="F80" s="31" t="inlineStr">
        <is>
          <t>paper</t>
        </is>
      </c>
      <c r="G80" s="31" t="inlineStr">
        <is>
          <t>smallcap</t>
        </is>
      </c>
      <c r="H80" s="32" t="n">
        <v>1201.72</v>
      </c>
      <c r="I80" s="32" t="n">
        <v>706.1</v>
      </c>
      <c r="J80" s="32" t="n">
        <v>11</v>
      </c>
      <c r="K80" s="32" t="n">
        <v>155970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65.2</v>
      </c>
      <c r="P80" s="32" t="n">
        <v>50.39</v>
      </c>
      <c r="Q80" s="32" t="inlineStr"/>
      <c r="R80" s="31" t="inlineStr">
        <is>
          <t>Earnings / Momentum Support</t>
        </is>
      </c>
      <c r="S80" s="31" t="inlineStr">
        <is>
          <t>Nifty Infra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IF(B81=0,"",RANK(B81,$B$2:$B$171,0))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TDPOWERSYS</t>
        </is>
      </c>
      <c r="D81" s="31" t="inlineStr">
        <is>
          <t>Td Power Systems Limited</t>
        </is>
      </c>
      <c r="E81" s="31" t="inlineStr">
        <is>
          <t>industrials</t>
        </is>
      </c>
      <c r="F81" s="31" t="inlineStr">
        <is>
          <t>electric equipment</t>
        </is>
      </c>
      <c r="G81" s="31" t="inlineStr">
        <is>
          <t>largecap</t>
        </is>
      </c>
      <c r="H81" s="32" t="n">
        <v>25901.21</v>
      </c>
      <c r="I81" s="32" t="n">
        <v>825.65</v>
      </c>
      <c r="J81" s="32" t="n">
        <v>4.02</v>
      </c>
      <c r="K81" s="32" t="n">
        <v>5152173</v>
      </c>
      <c r="L81" s="31" t="n">
        <v>75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68.28</v>
      </c>
      <c r="P81" s="32" t="n">
        <v>20.65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-10.93</v>
      </c>
      <c r="U81" s="32" t="n">
        <v>164.99</v>
      </c>
      <c r="V81" s="32" t="n">
        <v>197.52</v>
      </c>
      <c r="W81" s="32" t="n">
        <v>30.08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IF(B82=0,"",RANK(B82,$B$2:$B$171,0))</f>
        <v/>
      </c>
      <c r="B82" s="32">
        <f>SUM(N82,Y82,AA82,AC82,AE82,AG82,AI82,AK82,AM82,AO82,AQ82,AS82,AU82,AW82,AY82,BA82,BC82,BE82,BG82,BI82,BK82,BM82,BO82,BQ82,BS82,BU82,BW82,BY82,CA82,CC82,CE82)</f>
        <v/>
      </c>
      <c r="C82" s="33" t="inlineStr">
        <is>
          <t>LXCHEM</t>
        </is>
      </c>
      <c r="D82" s="33" t="inlineStr">
        <is>
          <t>Laxmi Organic Industries Ltd</t>
        </is>
      </c>
      <c r="E82" s="31" t="inlineStr">
        <is>
          <t>chemicals</t>
        </is>
      </c>
      <c r="F82" s="31" t="inlineStr">
        <is>
          <t>chemicals</t>
        </is>
      </c>
      <c r="G82" s="31" t="inlineStr">
        <is>
          <t>midcap</t>
        </is>
      </c>
      <c r="H82" s="32" t="n">
        <v>5180.25</v>
      </c>
      <c r="I82" s="32" t="n">
        <v>186.87</v>
      </c>
      <c r="J82" s="32" t="n">
        <v>3.62</v>
      </c>
      <c r="K82" s="32" t="n">
        <v>1098971</v>
      </c>
      <c r="L82" s="31" t="n">
        <v>8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61.04</v>
      </c>
      <c r="P82" s="32" t="n">
        <v>40.32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-10.93</v>
      </c>
      <c r="U82" s="32" t="n">
        <v>-11.54</v>
      </c>
      <c r="V82" s="32" t="n">
        <v>-0.68</v>
      </c>
      <c r="W82" s="32" t="n">
        <v>2.61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IF(B83=0,"",RANK(B83,$B$2:$B$171,0))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SOMANYCERA</t>
        </is>
      </c>
      <c r="D83" s="31" t="inlineStr">
        <is>
          <t>Somany Ceramics Limited</t>
        </is>
      </c>
      <c r="E83" s="31" t="inlineStr">
        <is>
          <t>building materials</t>
        </is>
      </c>
      <c r="F83" s="31" t="inlineStr">
        <is>
          <t>ceramics - tiles / sanitaryware</t>
        </is>
      </c>
      <c r="G83" s="31" t="inlineStr">
        <is>
          <t>smallcap</t>
        </is>
      </c>
      <c r="H83" s="32" t="n">
        <v>2507.93</v>
      </c>
      <c r="I83" s="32" t="n">
        <v>611.5</v>
      </c>
      <c r="J83" s="32" t="n">
        <v>3.39</v>
      </c>
      <c r="K83" s="32" t="n">
        <v>69104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65.02</v>
      </c>
      <c r="P83" s="32" t="n">
        <v>32.91</v>
      </c>
      <c r="Q83" s="32" t="inlineStr"/>
      <c r="R83" s="31" t="inlineStr">
        <is>
          <t>Earnings / Momentum Support</t>
        </is>
      </c>
      <c r="S83" s="31" t="inlineStr">
        <is>
          <t>Nifty Infra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IF(B84=0,"",RANK(B84,$B$2:$B$171,0))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CYIENTDLM</t>
        </is>
      </c>
      <c r="D84" s="31" t="inlineStr">
        <is>
          <t>Cyient DLM Ltd</t>
        </is>
      </c>
      <c r="E84" s="31" t="inlineStr">
        <is>
          <t>aerospace &amp; defence</t>
        </is>
      </c>
      <c r="F84" s="31" t="inlineStr">
        <is>
          <t>electronics - components</t>
        </is>
      </c>
      <c r="G84" s="31" t="inlineStr">
        <is>
          <t>midcap</t>
        </is>
      </c>
      <c r="H84" s="32" t="n">
        <v>7772.43</v>
      </c>
      <c r="I84" s="32" t="n">
        <v>979.1</v>
      </c>
      <c r="J84" s="32" t="n">
        <v>2.81</v>
      </c>
      <c r="K84" s="32" t="n">
        <v>328032</v>
      </c>
      <c r="L84" s="31" t="n">
        <v>87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84.06</v>
      </c>
      <c r="P84" s="32" t="n">
        <v>79.28</v>
      </c>
      <c r="Q84" s="32" t="inlineStr"/>
      <c r="R84" s="31" t="inlineStr">
        <is>
          <t>Earnings / Momentum Support</t>
        </is>
      </c>
      <c r="S84" s="31" t="inlineStr">
        <is>
          <t>Nifty 50</t>
        </is>
      </c>
      <c r="T84" s="32" t="n">
        <v>-10.93</v>
      </c>
      <c r="U84" s="32" t="n">
        <v>102.05</v>
      </c>
      <c r="V84" s="32" t="n">
        <v>126.85</v>
      </c>
      <c r="W84" s="32" t="n">
        <v>37.23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IF(B85=0,"",RANK(B85,$B$2:$B$171,0))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RGL</t>
        </is>
      </c>
      <c r="D85" s="31" t="inlineStr">
        <is>
          <t>Renaissance Global Ltd</t>
        </is>
      </c>
      <c r="E85" s="31" t="inlineStr">
        <is>
          <t>consumer discretionary</t>
        </is>
      </c>
      <c r="F85" s="31" t="inlineStr">
        <is>
          <t>diamond cutting / jewellery</t>
        </is>
      </c>
      <c r="G85" s="31" t="inlineStr">
        <is>
          <t>smallcap</t>
        </is>
      </c>
      <c r="H85" s="32" t="n">
        <v>1763.96</v>
      </c>
      <c r="I85" s="32" t="n">
        <v>164.29</v>
      </c>
      <c r="J85" s="32" t="n">
        <v>2.21</v>
      </c>
      <c r="K85" s="32" t="n">
        <v>433298</v>
      </c>
      <c r="L85" s="31" t="n">
        <v>37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70.59999999999999</v>
      </c>
      <c r="P85" s="32" t="n">
        <v>38.7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-10.93</v>
      </c>
      <c r="U85" s="32" t="n">
        <v>18.66</v>
      </c>
      <c r="V85" s="32" t="n">
        <v>33.23</v>
      </c>
      <c r="W85" s="32" t="n">
        <v>11.73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IF(B86=0,"",RANK(B86,$B$2:$B$171,0))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HFCL</t>
        </is>
      </c>
      <c r="D86" s="31" t="inlineStr">
        <is>
          <t>HFCL Ltd</t>
        </is>
      </c>
      <c r="E86" s="31" t="inlineStr">
        <is>
          <t>telecom</t>
        </is>
      </c>
      <c r="F86" s="31" t="inlineStr">
        <is>
          <t>cables - telephone</t>
        </is>
      </c>
      <c r="G86" s="31" t="inlineStr">
        <is>
          <t>largecap</t>
        </is>
      </c>
      <c r="H86" s="32" t="n">
        <v>40634.43</v>
      </c>
      <c r="I86" s="32" t="n">
        <v>265.48</v>
      </c>
      <c r="J86" s="32" t="n">
        <v>1.95</v>
      </c>
      <c r="K86" s="32" t="n">
        <v>5513432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71.37</v>
      </c>
      <c r="P86" s="32" t="n">
        <v>48.32</v>
      </c>
      <c r="Q86" s="32" t="inlineStr"/>
      <c r="R86" s="31" t="inlineStr">
        <is>
          <t>Earnings / Momentum Support</t>
        </is>
      </c>
      <c r="S86" s="31" t="inlineStr">
        <is>
          <t>Nifty Infra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IF(B87=0,"",RANK(B87,$B$2:$B$171,0))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GALAXYSURF</t>
        </is>
      </c>
      <c r="D87" s="31" t="inlineStr">
        <is>
          <t>Galaxy Surfactants Ltd</t>
        </is>
      </c>
      <c r="E87" s="31" t="inlineStr">
        <is>
          <t>chemicals</t>
        </is>
      </c>
      <c r="F87" s="31" t="inlineStr">
        <is>
          <t>chemicals</t>
        </is>
      </c>
      <c r="G87" s="31" t="inlineStr">
        <is>
          <t>midcap</t>
        </is>
      </c>
      <c r="H87" s="32" t="n">
        <v>8978.92</v>
      </c>
      <c r="I87" s="32" t="n">
        <v>2532.5</v>
      </c>
      <c r="J87" s="32" t="n">
        <v>1.21</v>
      </c>
      <c r="K87" s="32" t="n">
        <v>89442</v>
      </c>
      <c r="L87" s="31" t="n">
        <v>27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67.23</v>
      </c>
      <c r="P87" s="32" t="n">
        <v>33.48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-10.93</v>
      </c>
      <c r="U87" s="32" t="n">
        <v>12.19</v>
      </c>
      <c r="V87" s="32" t="n">
        <v>25.96</v>
      </c>
      <c r="W87" s="32" t="n">
        <v>8.529999999999999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IF(B88=0,"",RANK(B88,$B$2:$B$171,0))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GESHIP</t>
        </is>
      </c>
      <c r="D88" s="31" t="inlineStr">
        <is>
          <t>The Great Eastern Shipping Company Limited</t>
        </is>
      </c>
      <c r="E88" s="31" t="inlineStr">
        <is>
          <t>transportation</t>
        </is>
      </c>
      <c r="F88" s="31" t="inlineStr">
        <is>
          <t>shipping</t>
        </is>
      </c>
      <c r="G88" s="31" t="inlineStr">
        <is>
          <t>largecap</t>
        </is>
      </c>
      <c r="H88" s="32" t="n">
        <v>22136.05</v>
      </c>
      <c r="I88" s="32" t="n">
        <v>1550.5</v>
      </c>
      <c r="J88" s="32" t="n">
        <v>1.1</v>
      </c>
      <c r="K88" s="32" t="n">
        <v>569940</v>
      </c>
      <c r="L88" s="31" t="n">
        <v>35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61.48</v>
      </c>
      <c r="P88" s="32" t="n">
        <v>27.8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-10.93</v>
      </c>
      <c r="U88" s="32" t="n">
        <v>50.72</v>
      </c>
      <c r="V88" s="32" t="n">
        <v>69.23</v>
      </c>
      <c r="W88" s="32" t="n">
        <v>10.77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IF(B89=0,"",RANK(B89,$B$2:$B$171,0))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RUBYMILLS</t>
        </is>
      </c>
      <c r="D89" s="31" t="inlineStr">
        <is>
          <t>The Ruby Mills Limited</t>
        </is>
      </c>
      <c r="E89" s="31" t="inlineStr">
        <is>
          <t>textiles</t>
        </is>
      </c>
      <c r="F89" s="31" t="inlineStr">
        <is>
          <t>textiles - composite</t>
        </is>
      </c>
      <c r="G89" s="31" t="inlineStr">
        <is>
          <t>smallcap</t>
        </is>
      </c>
      <c r="H89" s="32" t="n">
        <v>1618.66</v>
      </c>
      <c r="I89" s="32" t="n">
        <v>484.05</v>
      </c>
      <c r="J89" s="32" t="n">
        <v>1.05</v>
      </c>
      <c r="K89" s="32" t="n">
        <v>7753</v>
      </c>
      <c r="L89" s="31" t="n">
        <v>66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72.23999999999999</v>
      </c>
      <c r="P89" s="32" t="n">
        <v>52.36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-10.93</v>
      </c>
      <c r="U89" s="32" t="n">
        <v>116.47</v>
      </c>
      <c r="V89" s="32" t="n">
        <v>143.05</v>
      </c>
      <c r="W89" s="32" t="n">
        <v>24.14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IF(B90=0,"",RANK(B90,$B$2:$B$171,0))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RRKABEL</t>
        </is>
      </c>
      <c r="D90" s="31" t="inlineStr">
        <is>
          <t>R R Kabel Ltd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largecap</t>
        </is>
      </c>
      <c r="H90" s="32" t="n">
        <v>30781.66</v>
      </c>
      <c r="I90" s="32" t="n">
        <v>2721.5</v>
      </c>
      <c r="J90" s="32" t="n">
        <v>0.59</v>
      </c>
      <c r="K90" s="32" t="n">
        <v>211756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64.45999999999999</v>
      </c>
      <c r="P90" s="32" t="n">
        <v>48.71</v>
      </c>
      <c r="Q90" s="32" t="inlineStr"/>
      <c r="R90" s="31" t="inlineStr">
        <is>
          <t>Earnings / Momentum Support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IF(B91=0,"",RANK(B91,$B$2:$B$171,0))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DIACABS</t>
        </is>
      </c>
      <c r="D91" s="31" t="inlineStr">
        <is>
          <t>Diamond Power Infrastructure Ltd</t>
        </is>
      </c>
      <c r="E91" s="31" t="inlineStr">
        <is>
          <t>industrials</t>
        </is>
      </c>
      <c r="F91" s="31" t="inlineStr">
        <is>
          <t>cables - power</t>
        </is>
      </c>
      <c r="G91" s="31" t="inlineStr">
        <is>
          <t>largecap</t>
        </is>
      </c>
      <c r="H91" s="32" t="n">
        <v>22708.76</v>
      </c>
      <c r="I91" s="32" t="n">
        <v>379.7</v>
      </c>
      <c r="J91" s="32" t="n">
        <v>-0.33</v>
      </c>
      <c r="K91" s="32" t="n">
        <v>537069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74.08</v>
      </c>
      <c r="P91" s="32" t="n">
        <v>66.51000000000001</v>
      </c>
      <c r="Q91" s="32" t="inlineStr"/>
      <c r="R91" s="31" t="inlineStr">
        <is>
          <t>Earnings / Momentum Support</t>
        </is>
      </c>
      <c r="S91" s="31" t="inlineStr">
        <is>
          <t>Nifty Energy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IF(B92=0,"",RANK(B92,$B$2:$B$171,0))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KRISHANA</t>
        </is>
      </c>
      <c r="D92" s="31" t="inlineStr">
        <is>
          <t>Krishana Phoschem Ltd</t>
        </is>
      </c>
      <c r="E92" s="31" t="inlineStr">
        <is>
          <t>chemicals</t>
        </is>
      </c>
      <c r="F92" s="31" t="inlineStr">
        <is>
          <t>fertilizers</t>
        </is>
      </c>
      <c r="G92" s="31" t="inlineStr">
        <is>
          <t>smallcap</t>
        </is>
      </c>
      <c r="H92" s="32" t="n">
        <v>1204.34</v>
      </c>
      <c r="I92" s="32" t="n">
        <v>194.79</v>
      </c>
      <c r="J92" s="32" t="n">
        <v>-1.18</v>
      </c>
      <c r="K92" s="32" t="n">
        <v>434359</v>
      </c>
      <c r="L92" s="31" t="n">
        <v>59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70.78</v>
      </c>
      <c r="P92" s="32" t="n">
        <v>53.79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-10.93</v>
      </c>
      <c r="U92" s="32" t="n">
        <v>72.89</v>
      </c>
      <c r="V92" s="32" t="n">
        <v>94.12</v>
      </c>
      <c r="W92" s="32" t="n">
        <v>21.15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More than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IF(B93=0,"",RANK(B93,$B$2:$B$171,0))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MOBIKWIK</t>
        </is>
      </c>
      <c r="D93" s="31" t="inlineStr">
        <is>
          <t>One Mobikwik Systems Ltd</t>
        </is>
      </c>
      <c r="E93" s="31" t="inlineStr">
        <is>
          <t>i.t</t>
        </is>
      </c>
      <c r="F93" s="31" t="inlineStr">
        <is>
          <t>miscellaneous</t>
        </is>
      </c>
      <c r="G93" s="31" t="inlineStr">
        <is>
          <t>smallcap</t>
        </is>
      </c>
      <c r="H93" s="32" t="n">
        <v>1895.91</v>
      </c>
      <c r="I93" s="32" t="n">
        <v>240.76</v>
      </c>
      <c r="J93" s="32" t="n">
        <v>-1.93</v>
      </c>
      <c r="K93" s="32" t="n">
        <v>2942621</v>
      </c>
      <c r="L93" s="31" t="n">
        <v>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64.75</v>
      </c>
      <c r="P93" s="32" t="n">
        <v>21.3</v>
      </c>
      <c r="Q93" s="32" t="inlineStr"/>
      <c r="R93" s="31" t="inlineStr">
        <is>
          <t>Earnings / Momentum Support</t>
        </is>
      </c>
      <c r="S93" s="31" t="inlineStr">
        <is>
          <t>Nifty IT</t>
        </is>
      </c>
      <c r="T93" s="32" t="n">
        <v>-19.75</v>
      </c>
      <c r="U93" s="32" t="n">
        <v>-13.02</v>
      </c>
      <c r="V93" s="32" t="n">
        <v>8.390000000000001</v>
      </c>
      <c r="W93" s="32" t="n">
        <v>0.63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IF(B94=0,"",RANK(B94,$B$2:$B$171,0))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UTTAMSUGAR</t>
        </is>
      </c>
      <c r="D94" s="31" t="inlineStr">
        <is>
          <t>Uttam Sugar Mills Limited</t>
        </is>
      </c>
      <c r="E94" s="31" t="inlineStr">
        <is>
          <t>fmcg</t>
        </is>
      </c>
      <c r="F94" s="31" t="inlineStr">
        <is>
          <t>sugar</t>
        </is>
      </c>
      <c r="G94" s="31" t="inlineStr">
        <is>
          <t>smallcap</t>
        </is>
      </c>
      <c r="H94" s="32" t="n">
        <v>1288.31</v>
      </c>
      <c r="I94" s="32" t="n">
        <v>337.8</v>
      </c>
      <c r="J94" s="32" t="n">
        <v>13.34</v>
      </c>
      <c r="K94" s="32" t="n">
        <v>4061674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59.38</v>
      </c>
      <c r="P94" s="32" t="n">
        <v>31.59</v>
      </c>
      <c r="Q94" s="32" t="inlineStr"/>
      <c r="R94" s="31" t="inlineStr">
        <is>
          <t>Volume Spike / Accumulation</t>
        </is>
      </c>
      <c r="S94" s="31" t="inlineStr">
        <is>
          <t>Nifty FMCG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B2C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IF(B95=0,"",RANK(B95,$B$2:$B$171,0))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MAGADSUGAR</t>
        </is>
      </c>
      <c r="D95" s="31" t="inlineStr">
        <is>
          <t>Magadh Sugar &amp; Energy Ltd</t>
        </is>
      </c>
      <c r="E95" s="31" t="inlineStr">
        <is>
          <t>fmcg</t>
        </is>
      </c>
      <c r="F95" s="31" t="inlineStr">
        <is>
          <t>sugar</t>
        </is>
      </c>
      <c r="G95" s="31" t="inlineStr">
        <is>
          <t>smallcap</t>
        </is>
      </c>
      <c r="H95" s="32" t="n">
        <v>816.33</v>
      </c>
      <c r="I95" s="32" t="n">
        <v>579.3</v>
      </c>
      <c r="J95" s="32" t="n">
        <v>7.5</v>
      </c>
      <c r="K95" s="32" t="n">
        <v>110595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54.53</v>
      </c>
      <c r="P95" s="32" t="n">
        <v>34.59</v>
      </c>
      <c r="Q95" s="32" t="inlineStr"/>
      <c r="R95" s="31" t="inlineStr">
        <is>
          <t>Earnings / Momentum Support</t>
        </is>
      </c>
      <c r="S95" s="31" t="inlineStr">
        <is>
          <t>Nifty FMCG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IF(B96=0,"",RANK(B96,$B$2:$B$171,0))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DBOL</t>
        </is>
      </c>
      <c r="D96" s="31" t="inlineStr">
        <is>
          <t>Dhampur Bio Organics Ltd</t>
        </is>
      </c>
      <c r="E96" s="31" t="inlineStr">
        <is>
          <t>fmcg</t>
        </is>
      </c>
      <c r="F96" s="31" t="inlineStr">
        <is>
          <t>sugar</t>
        </is>
      </c>
      <c r="G96" s="31" t="inlineStr">
        <is>
          <t>smallcap</t>
        </is>
      </c>
      <c r="H96" s="32" t="n">
        <v>979.28</v>
      </c>
      <c r="I96" s="32" t="n">
        <v>147.51</v>
      </c>
      <c r="J96" s="32" t="n">
        <v>4.37</v>
      </c>
      <c r="K96" s="32" t="n">
        <v>779477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67.23999999999999</v>
      </c>
      <c r="P96" s="32" t="n">
        <v>36.26</v>
      </c>
      <c r="Q96" s="32" t="inlineStr"/>
      <c r="R96" s="31" t="inlineStr">
        <is>
          <t>Earnings / Momentum Support</t>
        </is>
      </c>
      <c r="S96" s="31" t="inlineStr">
        <is>
          <t>Nifty FMCG</t>
        </is>
      </c>
      <c r="T96" s="32" t="inlineStr"/>
      <c r="U96" s="32" t="inlineStr"/>
      <c r="V96" s="32" t="inlineStr"/>
      <c r="W96" s="32" t="inlineStr"/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B2C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IF(B97=0,"",RANK(B97,$B$2:$B$171,0))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ONEPOINT</t>
        </is>
      </c>
      <c r="D97" s="31" t="inlineStr">
        <is>
          <t>One Point One Solutions Ltd</t>
        </is>
      </c>
      <c r="E97" s="31" t="inlineStr">
        <is>
          <t>i.t</t>
        </is>
      </c>
      <c r="F97" s="31" t="inlineStr">
        <is>
          <t>computers - software - medium / small</t>
        </is>
      </c>
      <c r="G97" s="31" t="inlineStr">
        <is>
          <t>smallcap</t>
        </is>
      </c>
      <c r="H97" s="32" t="n">
        <v>2196.31</v>
      </c>
      <c r="I97" s="32" t="n">
        <v>83.53</v>
      </c>
      <c r="J97" s="32" t="n">
        <v>3.94</v>
      </c>
      <c r="K97" s="32" t="n">
        <v>3674858</v>
      </c>
      <c r="L97" s="31" t="n">
        <v>59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76.48</v>
      </c>
      <c r="P97" s="32" t="n">
        <v>23.33</v>
      </c>
      <c r="Q97" s="32" t="inlineStr"/>
      <c r="R97" s="31" t="inlineStr">
        <is>
          <t>Earnings / Momentum Support</t>
        </is>
      </c>
      <c r="S97" s="31" t="inlineStr">
        <is>
          <t>Nifty IT</t>
        </is>
      </c>
      <c r="T97" s="32" t="n">
        <v>-19.75</v>
      </c>
      <c r="U97" s="32" t="n">
        <v>61.66</v>
      </c>
      <c r="V97" s="32" t="n">
        <v>101.45</v>
      </c>
      <c r="W97" s="32" t="n">
        <v>21.43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IF(B98=0,"",RANK(B98,$B$2:$B$171,0))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BALRAMCHIN</t>
        </is>
      </c>
      <c r="D98" s="31" t="inlineStr">
        <is>
          <t>Balrampur Chini Mills Limited</t>
        </is>
      </c>
      <c r="E98" s="31" t="inlineStr">
        <is>
          <t>fmcg</t>
        </is>
      </c>
      <c r="F98" s="31" t="inlineStr">
        <is>
          <t>sugar</t>
        </is>
      </c>
      <c r="G98" s="31" t="inlineStr">
        <is>
          <t>midcap</t>
        </is>
      </c>
      <c r="H98" s="32" t="n">
        <v>14828.75</v>
      </c>
      <c r="I98" s="32" t="n">
        <v>700.8</v>
      </c>
      <c r="J98" s="32" t="n">
        <v>3.34</v>
      </c>
      <c r="K98" s="32" t="n">
        <v>1140300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61.49</v>
      </c>
      <c r="P98" s="32" t="n">
        <v>60.63</v>
      </c>
      <c r="Q98" s="32" t="inlineStr"/>
      <c r="R98" s="31" t="inlineStr">
        <is>
          <t>Earnings / Momentum Support</t>
        </is>
      </c>
      <c r="S98" s="31" t="inlineStr">
        <is>
          <t>Nifty FMCG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B2C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IF(B99=0,"",RANK(B99,$B$2:$B$171,0))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BAFNAPH</t>
        </is>
      </c>
      <c r="D99" s="31" t="inlineStr">
        <is>
          <t>Bafna Pharmaceuticals Ltd</t>
        </is>
      </c>
      <c r="E99" s="31" t="inlineStr">
        <is>
          <t>healthcare</t>
        </is>
      </c>
      <c r="F99" s="31" t="inlineStr">
        <is>
          <t>pharmaceuticals - indian - formulations</t>
        </is>
      </c>
      <c r="G99" s="31" t="inlineStr">
        <is>
          <t>smallcap</t>
        </is>
      </c>
      <c r="H99" s="32" t="n">
        <v>1008.59</v>
      </c>
      <c r="I99" s="32" t="n">
        <v>426.35</v>
      </c>
      <c r="J99" s="32" t="n">
        <v>2</v>
      </c>
      <c r="K99" s="32" t="n">
        <v>190</v>
      </c>
      <c r="L99" s="31" t="n">
        <v>95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83.14</v>
      </c>
      <c r="P99" s="32" t="n">
        <v>64.53</v>
      </c>
      <c r="Q99" s="32" t="inlineStr"/>
      <c r="R99" s="31" t="inlineStr">
        <is>
          <t>Earnings / Momentum Support</t>
        </is>
      </c>
      <c r="S99" s="31" t="inlineStr">
        <is>
          <t>Nifty Pharma</t>
        </is>
      </c>
      <c r="T99" s="32" t="n">
        <v>16.85</v>
      </c>
      <c r="U99" s="32" t="n">
        <v>162.53</v>
      </c>
      <c r="V99" s="32" t="n">
        <v>124.67</v>
      </c>
      <c r="W99" s="32" t="n">
        <v>48.52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IF(B100=0,"",RANK(B100,$B$2:$B$171,0))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PARAGMILK</t>
        </is>
      </c>
      <c r="D100" s="31" t="inlineStr">
        <is>
          <t>Parag Milk Foods Limited</t>
        </is>
      </c>
      <c r="E100" s="31" t="inlineStr">
        <is>
          <t>fmcg</t>
        </is>
      </c>
      <c r="F100" s="31" t="inlineStr">
        <is>
          <t>food - processing - indian</t>
        </is>
      </c>
      <c r="G100" s="31" t="inlineStr">
        <is>
          <t>smallcap</t>
        </is>
      </c>
      <c r="H100" s="32" t="n">
        <v>3841.77</v>
      </c>
      <c r="I100" s="32" t="n">
        <v>305.85</v>
      </c>
      <c r="J100" s="32" t="n">
        <v>-0.18</v>
      </c>
      <c r="K100" s="32" t="n">
        <v>988012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72.91</v>
      </c>
      <c r="P100" s="32" t="n">
        <v>26.78</v>
      </c>
      <c r="Q100" s="32" t="inlineStr"/>
      <c r="R100" s="31" t="inlineStr">
        <is>
          <t>Earnings / Momentum Support</t>
        </is>
      </c>
      <c r="S100" s="31" t="inlineStr">
        <is>
          <t>Nifty FMCG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B2C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IF(B101=0,"",RANK(B101,$B$2:$B$171,0))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NINSYS</t>
        </is>
      </c>
      <c r="D101" s="31" t="inlineStr">
        <is>
          <t>NINtec Systems Ltd</t>
        </is>
      </c>
      <c r="E101" s="31" t="inlineStr">
        <is>
          <t>i.t</t>
        </is>
      </c>
      <c r="F101" s="31" t="inlineStr">
        <is>
          <t>computers - software - medium / small</t>
        </is>
      </c>
      <c r="G101" s="31" t="inlineStr">
        <is>
          <t>smallcap</t>
        </is>
      </c>
      <c r="H101" s="32" t="n">
        <v>1484.59</v>
      </c>
      <c r="I101" s="32" t="n">
        <v>799.2</v>
      </c>
      <c r="J101" s="32" t="n">
        <v>-0.49</v>
      </c>
      <c r="K101" s="32" t="n">
        <v>2777</v>
      </c>
      <c r="L101" s="31" t="n">
        <v>51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66.61</v>
      </c>
      <c r="P101" s="32" t="n">
        <v>36.45</v>
      </c>
      <c r="Q101" s="32" t="inlineStr"/>
      <c r="R101" s="31" t="inlineStr">
        <is>
          <t>Earnings / Momentum Support</t>
        </is>
      </c>
      <c r="S101" s="31" t="inlineStr">
        <is>
          <t>Nifty IT</t>
        </is>
      </c>
      <c r="T101" s="32" t="n">
        <v>-19.75</v>
      </c>
      <c r="U101" s="32" t="n">
        <v>81.27</v>
      </c>
      <c r="V101" s="32" t="n">
        <v>125.89</v>
      </c>
      <c r="W101" s="32" t="n">
        <v>17.74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IF(B102=0,"",RANK(B102,$B$2:$B$171,0))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AEROENTER</t>
        </is>
      </c>
      <c r="D102" s="31" t="inlineStr">
        <is>
          <t>Aeroflex Enterprises Ltd</t>
        </is>
      </c>
      <c r="E102" s="31" t="inlineStr">
        <is>
          <t>metals &amp; mining</t>
        </is>
      </c>
      <c r="F102" s="31" t="inlineStr">
        <is>
          <t>steel - medium / small</t>
        </is>
      </c>
      <c r="G102" s="31" t="inlineStr">
        <is>
          <t>smallcap</t>
        </is>
      </c>
      <c r="H102" s="32" t="n">
        <v>1546.73</v>
      </c>
      <c r="I102" s="32" t="n">
        <v>136.68</v>
      </c>
      <c r="J102" s="32" t="n">
        <v>10.84</v>
      </c>
      <c r="K102" s="32" t="n">
        <v>4240032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53.32</v>
      </c>
      <c r="P102" s="32" t="n">
        <v>42.75</v>
      </c>
      <c r="Q102" s="32" t="inlineStr"/>
      <c r="R102" s="31" t="inlineStr">
        <is>
          <t>Earnings / Momentum Support</t>
        </is>
      </c>
      <c r="S102" s="31" t="inlineStr">
        <is>
          <t>Nifty Metal</t>
        </is>
      </c>
      <c r="T102" s="32" t="inlineStr"/>
      <c r="U102" s="32" t="inlineStr"/>
      <c r="V102" s="32" t="inlineStr"/>
      <c r="W102" s="32" t="inlineStr"/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Cyclical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Volatile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IF(B103=0,"",RANK(B103,$B$2:$B$171,0))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NAZARA</t>
        </is>
      </c>
      <c r="D103" s="31" t="inlineStr">
        <is>
          <t>Nazara Technologies Ltd</t>
        </is>
      </c>
      <c r="E103" s="31" t="inlineStr">
        <is>
          <t>i.t</t>
        </is>
      </c>
      <c r="F103" s="31" t="inlineStr">
        <is>
          <t>telecommunications - service provider</t>
        </is>
      </c>
      <c r="G103" s="31" t="inlineStr">
        <is>
          <t>midcap</t>
        </is>
      </c>
      <c r="H103" s="32" t="n">
        <v>15568.65</v>
      </c>
      <c r="I103" s="32" t="n">
        <v>404.7</v>
      </c>
      <c r="J103" s="32" t="n">
        <v>7.16</v>
      </c>
      <c r="K103" s="32" t="n">
        <v>4635770</v>
      </c>
      <c r="L103" s="31" t="n">
        <v>39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71.27</v>
      </c>
      <c r="P103" s="32" t="n">
        <v>36.53</v>
      </c>
      <c r="Q103" s="32" t="inlineStr"/>
      <c r="R103" s="31" t="inlineStr">
        <is>
          <t>Earnings / Momentum Support</t>
        </is>
      </c>
      <c r="S103" s="31" t="inlineStr">
        <is>
          <t>Nifty IT</t>
        </is>
      </c>
      <c r="T103" s="32" t="n">
        <v>-19.75</v>
      </c>
      <c r="U103" s="32" t="n">
        <v>42.54</v>
      </c>
      <c r="V103" s="32" t="n">
        <v>77.62</v>
      </c>
      <c r="W103" s="32" t="n">
        <v>12.86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Oligopoly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Yes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IF(B104=0,"",RANK(B104,$B$2:$B$171,0))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NETWEB</t>
        </is>
      </c>
      <c r="D104" s="31" t="inlineStr">
        <is>
          <t>Netweb Technologies India Ltd</t>
        </is>
      </c>
      <c r="E104" s="31" t="inlineStr">
        <is>
          <t>i.t</t>
        </is>
      </c>
      <c r="F104" s="31" t="inlineStr">
        <is>
          <t>computers - hardware</t>
        </is>
      </c>
      <c r="G104" s="31" t="inlineStr">
        <is>
          <t>largecap</t>
        </is>
      </c>
      <c r="H104" s="32" t="n">
        <v>28476.04</v>
      </c>
      <c r="I104" s="32" t="n">
        <v>5001</v>
      </c>
      <c r="J104" s="32" t="n">
        <v>5.92</v>
      </c>
      <c r="K104" s="32" t="n">
        <v>2319078</v>
      </c>
      <c r="L104" s="31" t="n">
        <v>22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53.99</v>
      </c>
      <c r="P104" s="32" t="n">
        <v>26.83</v>
      </c>
      <c r="Q104" s="32" t="inlineStr"/>
      <c r="R104" s="31" t="inlineStr">
        <is>
          <t>Earnings / Momentum Support</t>
        </is>
      </c>
      <c r="S104" s="31" t="inlineStr">
        <is>
          <t>Nifty IT</t>
        </is>
      </c>
      <c r="T104" s="32" t="n">
        <v>-19.75</v>
      </c>
      <c r="U104" s="32" t="n">
        <v>17.31</v>
      </c>
      <c r="V104" s="32" t="n">
        <v>46.18</v>
      </c>
      <c r="W104" s="32" t="n">
        <v>6.28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IF(B105=0,"",RANK(B105,$B$2:$B$171,0))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WELCORP</t>
        </is>
      </c>
      <c r="D105" s="31" t="inlineStr">
        <is>
          <t>Welspun Corp Limited</t>
        </is>
      </c>
      <c r="E105" s="31" t="inlineStr">
        <is>
          <t>industrials</t>
        </is>
      </c>
      <c r="F105" s="31" t="inlineStr">
        <is>
          <t>steel - large</t>
        </is>
      </c>
      <c r="G105" s="31" t="inlineStr">
        <is>
          <t>largecap</t>
        </is>
      </c>
      <c r="H105" s="32" t="n">
        <v>73700.47</v>
      </c>
      <c r="I105" s="32" t="n">
        <v>2793.9</v>
      </c>
      <c r="J105" s="32" t="n">
        <v>5.81</v>
      </c>
      <c r="K105" s="32" t="n">
        <v>1963676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79.76000000000001</v>
      </c>
      <c r="P105" s="32" t="n">
        <v>70.01000000000001</v>
      </c>
      <c r="Q105" s="32" t="inlineStr"/>
      <c r="R105" s="31" t="inlineStr">
        <is>
          <t>Earnings / Momentum Support</t>
        </is>
      </c>
      <c r="S105" s="31" t="inlineStr">
        <is>
          <t>Nifty Metal</t>
        </is>
      </c>
      <c r="T105" s="32" t="inlineStr"/>
      <c r="U105" s="32" t="inlineStr"/>
      <c r="V105" s="32" t="inlineStr"/>
      <c r="W105" s="32" t="inlineStr"/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IF(B106=0,"",RANK(B106,$B$2:$B$171,0))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PANACHE</t>
        </is>
      </c>
      <c r="D106" s="31" t="inlineStr">
        <is>
          <t>Panache Digilife Ltd</t>
        </is>
      </c>
      <c r="E106" s="31" t="inlineStr">
        <is>
          <t>i.t</t>
        </is>
      </c>
      <c r="F106" s="31" t="inlineStr">
        <is>
          <t>computers - hardware</t>
        </is>
      </c>
      <c r="G106" s="31" t="inlineStr">
        <is>
          <t>smallcap</t>
        </is>
      </c>
      <c r="H106" s="32" t="n">
        <v>1036.91</v>
      </c>
      <c r="I106" s="32" t="n">
        <v>647.5</v>
      </c>
      <c r="J106" s="32" t="n">
        <v>4.81</v>
      </c>
      <c r="K106" s="32" t="n">
        <v>18446</v>
      </c>
      <c r="L106" s="31" t="n">
        <v>54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77.95999999999999</v>
      </c>
      <c r="P106" s="32" t="n">
        <v>42.23</v>
      </c>
      <c r="Q106" s="32" t="inlineStr"/>
      <c r="R106" s="31" t="inlineStr">
        <is>
          <t>Earnings / Momentum Support</t>
        </is>
      </c>
      <c r="S106" s="31" t="inlineStr">
        <is>
          <t>Nifty IT</t>
        </is>
      </c>
      <c r="T106" s="32" t="n">
        <v>-19.75</v>
      </c>
      <c r="U106" s="32" t="n">
        <v>38.52</v>
      </c>
      <c r="V106" s="32" t="n">
        <v>72.62</v>
      </c>
      <c r="W106" s="32" t="n">
        <v>18.49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IF(B107=0,"",RANK(B107,$B$2:$B$171,0))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KMEW</t>
        </is>
      </c>
      <c r="D107" s="31" t="inlineStr">
        <is>
          <t>Knowledge Marine &amp; Engineering Works Ltd</t>
        </is>
      </c>
      <c r="E107" s="31" t="inlineStr">
        <is>
          <t>transportation</t>
        </is>
      </c>
      <c r="F107" s="31" t="inlineStr">
        <is>
          <t>miscellaneous</t>
        </is>
      </c>
      <c r="G107" s="31" t="inlineStr">
        <is>
          <t>midcap</t>
        </is>
      </c>
      <c r="H107" s="32" t="n">
        <v>8433.98</v>
      </c>
      <c r="I107" s="32" t="n">
        <v>3345.7</v>
      </c>
      <c r="J107" s="32" t="n">
        <v>4.3</v>
      </c>
      <c r="K107" s="32" t="n">
        <v>137265</v>
      </c>
      <c r="L107" s="31" t="n">
        <v>75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77.73</v>
      </c>
      <c r="P107" s="32" t="n">
        <v>58.77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-10.93</v>
      </c>
      <c r="U107" s="32" t="n">
        <v>170.2</v>
      </c>
      <c r="V107" s="32" t="n">
        <v>203.37</v>
      </c>
      <c r="W107" s="32" t="n">
        <v>29.78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IF(B108=0,"",RANK(B108,$B$2:$B$171,0))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UNIMECH</t>
        </is>
      </c>
      <c r="D108" s="31" t="inlineStr">
        <is>
          <t>Unimech Aerospace and Manufacturing Ltd</t>
        </is>
      </c>
      <c r="E108" s="31" t="inlineStr">
        <is>
          <t>aerospace &amp; defence</t>
        </is>
      </c>
      <c r="F108" s="31" t="inlineStr">
        <is>
          <t>engineering</t>
        </is>
      </c>
      <c r="G108" s="31" t="inlineStr">
        <is>
          <t>midcap</t>
        </is>
      </c>
      <c r="H108" s="32" t="n">
        <v>9147.6</v>
      </c>
      <c r="I108" s="32" t="n">
        <v>1797.1</v>
      </c>
      <c r="J108" s="32" t="n">
        <v>3.59</v>
      </c>
      <c r="K108" s="32" t="n">
        <v>125479</v>
      </c>
      <c r="L108" s="31" t="n">
        <v>66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76.56</v>
      </c>
      <c r="P108" s="32" t="n">
        <v>52.48</v>
      </c>
      <c r="Q108" s="32" t="inlineStr"/>
      <c r="R108" s="31" t="inlineStr">
        <is>
          <t>Earnings / Momentum Support</t>
        </is>
      </c>
      <c r="S108" s="31" t="inlineStr">
        <is>
          <t>Nifty 50</t>
        </is>
      </c>
      <c r="T108" s="32" t="n">
        <v>-10.93</v>
      </c>
      <c r="U108" s="32" t="n">
        <v>80.95</v>
      </c>
      <c r="V108" s="32" t="n">
        <v>103.17</v>
      </c>
      <c r="W108" s="32" t="n">
        <v>24.05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IF(B109=0,"",RANK(B109,$B$2:$B$171,0))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SATIA</t>
        </is>
      </c>
      <c r="D109" s="31" t="inlineStr">
        <is>
          <t>Satia Industries Ltd</t>
        </is>
      </c>
      <c r="E109" s="31" t="inlineStr">
        <is>
          <t>building materials</t>
        </is>
      </c>
      <c r="F109" s="31" t="inlineStr">
        <is>
          <t>paper</t>
        </is>
      </c>
      <c r="G109" s="31" t="inlineStr">
        <is>
          <t>smallcap</t>
        </is>
      </c>
      <c r="H109" s="32" t="n">
        <v>694.7</v>
      </c>
      <c r="I109" s="32" t="n">
        <v>69.47</v>
      </c>
      <c r="J109" s="32" t="n">
        <v>2.07</v>
      </c>
      <c r="K109" s="32" t="n">
        <v>84927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58.73</v>
      </c>
      <c r="P109" s="32" t="n">
        <v>12.56</v>
      </c>
      <c r="Q109" s="32" t="inlineStr"/>
      <c r="R109" s="31" t="inlineStr">
        <is>
          <t>Earnings / Momentum Support</t>
        </is>
      </c>
      <c r="S109" s="31" t="inlineStr">
        <is>
          <t>Nifty Infra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0 to 20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IF(B110=0,"",RANK(B110,$B$2:$B$171,0))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GREENPLY</t>
        </is>
      </c>
      <c r="D110" s="31" t="inlineStr">
        <is>
          <t>Greenply Industries Limited</t>
        </is>
      </c>
      <c r="E110" s="31" t="inlineStr">
        <is>
          <t>building materials</t>
        </is>
      </c>
      <c r="F110" s="31" t="inlineStr">
        <is>
          <t>miscellaneous</t>
        </is>
      </c>
      <c r="G110" s="31" t="inlineStr">
        <is>
          <t>smallcap</t>
        </is>
      </c>
      <c r="H110" s="32" t="n">
        <v>3909.43</v>
      </c>
      <c r="I110" s="32" t="n">
        <v>313</v>
      </c>
      <c r="J110" s="32" t="n">
        <v>2.05</v>
      </c>
      <c r="K110" s="32" t="n">
        <v>343584</v>
      </c>
      <c r="L110" s="31" t="inlineStr"/>
      <c r="M110" s="31" t="inlineStr"/>
      <c r="N110" s="32">
        <f>IF(M110="Underperforming",-5,IF(L110&gt;=95,15,IF(L110&gt;=90,10,IF(L110&gt;=80,5,0))))</f>
        <v/>
      </c>
      <c r="O110" s="32" t="n">
        <v>58.96</v>
      </c>
      <c r="P110" s="32" t="n">
        <v>17.66</v>
      </c>
      <c r="Q110" s="32" t="inlineStr"/>
      <c r="R110" s="31" t="inlineStr">
        <is>
          <t>Earnings / Momentum Support</t>
        </is>
      </c>
      <c r="S110" s="31" t="inlineStr">
        <is>
          <t>Nifty Infra</t>
        </is>
      </c>
      <c r="T110" s="32" t="inlineStr"/>
      <c r="U110" s="32" t="inlineStr"/>
      <c r="V110" s="32" t="inlineStr"/>
      <c r="W110" s="32" t="inlineStr"/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IF(B111=0,"",RANK(B111,$B$2:$B$171,0))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EBGNG</t>
        </is>
      </c>
      <c r="D111" s="31" t="inlineStr">
        <is>
          <t>GNG Electronics Ltd</t>
        </is>
      </c>
      <c r="E111" s="31" t="inlineStr">
        <is>
          <t>services</t>
        </is>
      </c>
      <c r="F111" s="31" t="inlineStr">
        <is>
          <t>trading</t>
        </is>
      </c>
      <c r="G111" s="31" t="inlineStr">
        <is>
          <t>midcap</t>
        </is>
      </c>
      <c r="H111" s="32" t="n">
        <v>7960.85</v>
      </c>
      <c r="I111" s="32" t="n">
        <v>698.25</v>
      </c>
      <c r="J111" s="32" t="n">
        <v>1.86</v>
      </c>
      <c r="K111" s="32" t="n">
        <v>371396</v>
      </c>
      <c r="L111" s="31" t="n">
        <v>56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64.89</v>
      </c>
      <c r="P111" s="32" t="n">
        <v>37.24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-10.93</v>
      </c>
      <c r="U111" s="32" t="n">
        <v>104.5</v>
      </c>
      <c r="V111" s="32" t="n">
        <v>129.61</v>
      </c>
      <c r="W111" s="32" t="n">
        <v>19.87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IF(B112=0,"",RANK(B112,$B$2:$B$171,0))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BHEL</t>
        </is>
      </c>
      <c r="D112" s="31" t="inlineStr">
        <is>
          <t>Bharat Heavy Electricals Limited</t>
        </is>
      </c>
      <c r="E112" s="31" t="inlineStr">
        <is>
          <t>industrials</t>
        </is>
      </c>
      <c r="F112" s="31" t="inlineStr">
        <is>
          <t>electric equipment</t>
        </is>
      </c>
      <c r="G112" s="31" t="inlineStr">
        <is>
          <t>largecap</t>
        </is>
      </c>
      <c r="H112" s="32" t="n">
        <v>153175.97</v>
      </c>
      <c r="I112" s="32" t="n">
        <v>439.9</v>
      </c>
      <c r="J112" s="32" t="n">
        <v>1.45</v>
      </c>
      <c r="K112" s="32" t="n">
        <v>8403722</v>
      </c>
      <c r="L112" s="31" t="n">
        <v>45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63.28</v>
      </c>
      <c r="P112" s="32" t="n">
        <v>36.95</v>
      </c>
      <c r="Q112" s="32" t="inlineStr"/>
      <c r="R112" s="31" t="inlineStr">
        <is>
          <t>Earnings / Momentum Support</t>
        </is>
      </c>
      <c r="S112" s="31" t="inlineStr">
        <is>
          <t>Nifty 50</t>
        </is>
      </c>
      <c r="T112" s="32" t="n">
        <v>-10.93</v>
      </c>
      <c r="U112" s="32" t="n">
        <v>81.52</v>
      </c>
      <c r="V112" s="32" t="n">
        <v>103.81</v>
      </c>
      <c r="W112" s="32" t="n">
        <v>15.44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Between 1.5 to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IF(B113=0,"",RANK(B113,$B$2:$B$171,0))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FAIRCHEMOR</t>
        </is>
      </c>
      <c r="D113" s="31" t="inlineStr">
        <is>
          <t>Fairchem Organics Ltd</t>
        </is>
      </c>
      <c r="E113" s="31" t="inlineStr">
        <is>
          <t>chemicals</t>
        </is>
      </c>
      <c r="F113" s="31" t="inlineStr">
        <is>
          <t>chemicals</t>
        </is>
      </c>
      <c r="G113" s="31" t="inlineStr">
        <is>
          <t>smallcap</t>
        </is>
      </c>
      <c r="H113" s="32" t="n">
        <v>946.77</v>
      </c>
      <c r="I113" s="32" t="n">
        <v>751.65</v>
      </c>
      <c r="J113" s="32" t="n">
        <v>0.39</v>
      </c>
      <c r="K113" s="32" t="n">
        <v>77819</v>
      </c>
      <c r="L113" s="31" t="n">
        <v>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59.39</v>
      </c>
      <c r="P113" s="32" t="n">
        <v>23.22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-10.93</v>
      </c>
      <c r="U113" s="32" t="n">
        <v>-3.67</v>
      </c>
      <c r="V113" s="32" t="n">
        <v>8.15</v>
      </c>
      <c r="W113" s="32" t="n">
        <v>2.73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IF(B114=0,"",RANK(B114,$B$2:$B$171,0))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VMART</t>
        </is>
      </c>
      <c r="D114" s="31" t="inlineStr">
        <is>
          <t>V-mart Retail Limited</t>
        </is>
      </c>
      <c r="E114" s="31" t="inlineStr">
        <is>
          <t>consumer discretionary</t>
        </is>
      </c>
      <c r="F114" s="31" t="inlineStr">
        <is>
          <t>trading</t>
        </is>
      </c>
      <c r="G114" s="31" t="inlineStr">
        <is>
          <t>midcap</t>
        </is>
      </c>
      <c r="H114" s="32" t="n">
        <v>6504.64</v>
      </c>
      <c r="I114" s="32" t="n">
        <v>817.7</v>
      </c>
      <c r="J114" s="32" t="n">
        <v>-0.52</v>
      </c>
      <c r="K114" s="32" t="n">
        <v>39617</v>
      </c>
      <c r="L114" s="31" t="n">
        <v>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59.59</v>
      </c>
      <c r="P114" s="32" t="n">
        <v>21.96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-10.93</v>
      </c>
      <c r="U114" s="32" t="n">
        <v>-3.54</v>
      </c>
      <c r="V114" s="32" t="n">
        <v>8.300000000000001</v>
      </c>
      <c r="W114" s="32" t="n">
        <v>1.71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IF(B115=0,"",RANK(B115,$B$2:$B$171,0))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RAYMOND</t>
        </is>
      </c>
      <c r="D115" s="31" t="inlineStr">
        <is>
          <t>Raymond Limited</t>
        </is>
      </c>
      <c r="E115" s="31" t="inlineStr">
        <is>
          <t>transportation</t>
        </is>
      </c>
      <c r="F115" s="31" t="inlineStr">
        <is>
          <t>transport - airlines</t>
        </is>
      </c>
      <c r="G115" s="31" t="inlineStr">
        <is>
          <t>midcap</t>
        </is>
      </c>
      <c r="H115" s="32" t="n">
        <v>7708.57</v>
      </c>
      <c r="I115" s="32" t="n">
        <v>1157.9</v>
      </c>
      <c r="J115" s="32" t="n">
        <v>-2.42</v>
      </c>
      <c r="K115" s="32" t="n">
        <v>606608</v>
      </c>
      <c r="L115" s="31" t="n">
        <v>92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83.8</v>
      </c>
      <c r="P115" s="32" t="n">
        <v>61.98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-10.93</v>
      </c>
      <c r="U115" s="32" t="n">
        <v>104.75</v>
      </c>
      <c r="V115" s="32" t="n">
        <v>129.88</v>
      </c>
      <c r="W115" s="32" t="n">
        <v>40.86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IF(B116=0,"",RANK(B116,$B$2:$B$171,0))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SPECTRUM</t>
        </is>
      </c>
      <c r="D116" s="31" t="inlineStr">
        <is>
          <t>Spectrum Electrical Industries Ltd</t>
        </is>
      </c>
      <c r="E116" s="31" t="inlineStr">
        <is>
          <t>industrials</t>
        </is>
      </c>
      <c r="F116" s="31" t="inlineStr">
        <is>
          <t>electric equipment</t>
        </is>
      </c>
      <c r="G116" s="31" t="inlineStr">
        <is>
          <t>midcap</t>
        </is>
      </c>
      <c r="H116" s="32" t="n">
        <v>6205.31</v>
      </c>
      <c r="I116" s="32" t="n">
        <v>3631.5</v>
      </c>
      <c r="J116" s="32" t="n">
        <v>-3.85</v>
      </c>
      <c r="K116" s="32" t="n">
        <v>5598</v>
      </c>
      <c r="L116" s="31" t="n">
        <v>95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82.16</v>
      </c>
      <c r="P116" s="32" t="n">
        <v>66.83</v>
      </c>
      <c r="Q116" s="32" t="inlineStr"/>
      <c r="R116" s="31" t="inlineStr">
        <is>
          <t>Earnings / Momentum Support</t>
        </is>
      </c>
      <c r="S116" s="31" t="inlineStr">
        <is>
          <t>Nifty 50</t>
        </is>
      </c>
      <c r="T116" s="32" t="n">
        <v>-10.93</v>
      </c>
      <c r="U116" s="32" t="n">
        <v>182.08</v>
      </c>
      <c r="V116" s="32" t="n">
        <v>216.71</v>
      </c>
      <c r="W116" s="32" t="n">
        <v>48.86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IF(B117=0,"",RANK(B117,$B$2:$B$171,0))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LAURUSLABS</t>
        </is>
      </c>
      <c r="D117" s="31" t="inlineStr">
        <is>
          <t>Laurus Labs Limited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largecap</t>
        </is>
      </c>
      <c r="H117" s="32" t="n">
        <v>111788.44</v>
      </c>
      <c r="I117" s="32" t="n">
        <v>2069.2</v>
      </c>
      <c r="J117" s="32" t="n">
        <v>1.6</v>
      </c>
      <c r="K117" s="32" t="n">
        <v>1417097</v>
      </c>
      <c r="L117" s="31" t="n">
        <v>69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76.93000000000001</v>
      </c>
      <c r="P117" s="32" t="n">
        <v>78.8</v>
      </c>
      <c r="Q117" s="32" t="inlineStr"/>
      <c r="R117" s="31" t="inlineStr">
        <is>
          <t>Earnings / Momentum Support</t>
        </is>
      </c>
      <c r="S117" s="31" t="inlineStr">
        <is>
          <t>Nifty Pharma</t>
        </is>
      </c>
      <c r="T117" s="32" t="n">
        <v>16.85</v>
      </c>
      <c r="U117" s="32" t="n">
        <v>132.71</v>
      </c>
      <c r="V117" s="32" t="n">
        <v>99.15000000000001</v>
      </c>
      <c r="W117" s="32" t="n">
        <v>26.01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IF(B118=0,"",RANK(B118,$B$2:$B$171,0))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CYIENT</t>
        </is>
      </c>
      <c r="D118" s="31" t="inlineStr">
        <is>
          <t>Cyient Limited</t>
        </is>
      </c>
      <c r="E118" s="31" t="inlineStr">
        <is>
          <t>i.t</t>
        </is>
      </c>
      <c r="F118" s="31" t="inlineStr">
        <is>
          <t>computers - software - medium / small</t>
        </is>
      </c>
      <c r="G118" s="31" t="inlineStr">
        <is>
          <t>midcap</t>
        </is>
      </c>
      <c r="H118" s="32" t="n">
        <v>12085.11</v>
      </c>
      <c r="I118" s="32" t="n">
        <v>1153.8</v>
      </c>
      <c r="J118" s="32" t="n">
        <v>-0.43</v>
      </c>
      <c r="K118" s="32" t="n">
        <v>426281</v>
      </c>
      <c r="L118" s="31" t="n">
        <v>31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68.98</v>
      </c>
      <c r="P118" s="32" t="n">
        <v>29.5</v>
      </c>
      <c r="Q118" s="32" t="inlineStr"/>
      <c r="R118" s="31" t="inlineStr">
        <is>
          <t>Earnings / Momentum Support</t>
        </is>
      </c>
      <c r="S118" s="31" t="inlineStr">
        <is>
          <t>Nifty IT</t>
        </is>
      </c>
      <c r="T118" s="32" t="n">
        <v>-19.75</v>
      </c>
      <c r="U118" s="32" t="n">
        <v>-0.22</v>
      </c>
      <c r="V118" s="32" t="n">
        <v>24.34</v>
      </c>
      <c r="W118" s="32" t="n">
        <v>9.26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IF(B119=0,"",RANK(B119,$B$2:$B$171,0))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ABDL</t>
        </is>
      </c>
      <c r="D119" s="31" t="inlineStr">
        <is>
          <t>Allied Blenders &amp; Distillers Ltd</t>
        </is>
      </c>
      <c r="E119" s="31" t="inlineStr">
        <is>
          <t>fmcg</t>
        </is>
      </c>
      <c r="F119" s="31" t="inlineStr">
        <is>
          <t>breweries &amp; distilleries</t>
        </is>
      </c>
      <c r="G119" s="31" t="inlineStr">
        <is>
          <t>midcap</t>
        </is>
      </c>
      <c r="H119" s="32" t="n">
        <v>19736.35</v>
      </c>
      <c r="I119" s="32" t="n">
        <v>705.6</v>
      </c>
      <c r="J119" s="32" t="n">
        <v>-0.84</v>
      </c>
      <c r="K119" s="32" t="n">
        <v>732714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66.05</v>
      </c>
      <c r="P119" s="32" t="n">
        <v>26.22</v>
      </c>
      <c r="Q119" s="32" t="inlineStr"/>
      <c r="R119" s="31" t="inlineStr">
        <is>
          <t>Earnings / Momentum Support</t>
        </is>
      </c>
      <c r="S119" s="31" t="inlineStr">
        <is>
          <t>Nifty FMCG</t>
        </is>
      </c>
      <c r="T119" s="32" t="inlineStr"/>
      <c r="U119" s="32" t="inlineStr"/>
      <c r="V119" s="32" t="inlineStr"/>
      <c r="W119" s="32" t="inlineStr"/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B2C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IF(B120=0,"",RANK(B120,$B$2:$B$171,0))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AEROFLEX</t>
        </is>
      </c>
      <c r="D120" s="31" t="inlineStr">
        <is>
          <t>Aeroflex Industries Ltd</t>
        </is>
      </c>
      <c r="E120" s="31" t="inlineStr">
        <is>
          <t>metals &amp; mining</t>
        </is>
      </c>
      <c r="F120" s="31" t="inlineStr">
        <is>
          <t>steel - medium / small</t>
        </is>
      </c>
      <c r="G120" s="31" t="inlineStr">
        <is>
          <t>midcap</t>
        </is>
      </c>
      <c r="H120" s="32" t="n">
        <v>7515.06</v>
      </c>
      <c r="I120" s="32" t="n">
        <v>567.9</v>
      </c>
      <c r="J120" s="32" t="n">
        <v>9.109999999999999</v>
      </c>
      <c r="K120" s="32" t="n">
        <v>12895314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63.73</v>
      </c>
      <c r="P120" s="32" t="n">
        <v>45.76</v>
      </c>
      <c r="Q120" s="32" t="inlineStr"/>
      <c r="R120" s="31" t="inlineStr">
        <is>
          <t>Volume Spike / Accumulation</t>
        </is>
      </c>
      <c r="S120" s="31" t="inlineStr">
        <is>
          <t>Nifty Metal</t>
        </is>
      </c>
      <c r="T120" s="32" t="inlineStr"/>
      <c r="U120" s="32" t="inlineStr"/>
      <c r="V120" s="32" t="inlineStr"/>
      <c r="W120" s="32" t="inlineStr"/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Cyclical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Volatile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IF(B121=0,"",RANK(B121,$B$2:$B$171,0))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SKYGOLD</t>
        </is>
      </c>
      <c r="D121" s="31" t="inlineStr">
        <is>
          <t>Sky Gold Ltd</t>
        </is>
      </c>
      <c r="E121" s="31" t="inlineStr">
        <is>
          <t>consumer discretionary</t>
        </is>
      </c>
      <c r="F121" s="31" t="inlineStr">
        <is>
          <t>diamond cutting / jewellery</t>
        </is>
      </c>
      <c r="G121" s="31" t="inlineStr">
        <is>
          <t>midcap</t>
        </is>
      </c>
      <c r="H121" s="32" t="n">
        <v>14995.66</v>
      </c>
      <c r="I121" s="32" t="n">
        <v>968.25</v>
      </c>
      <c r="J121" s="32" t="n">
        <v>5.13</v>
      </c>
      <c r="K121" s="32" t="n">
        <v>3146900</v>
      </c>
      <c r="L121" s="31" t="n">
        <v>83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78.84</v>
      </c>
      <c r="P121" s="32" t="n">
        <v>69.06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-10.93</v>
      </c>
      <c r="U121" s="32" t="n">
        <v>168.79</v>
      </c>
      <c r="V121" s="32" t="n">
        <v>201.79</v>
      </c>
      <c r="W121" s="32" t="n">
        <v>33.87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IF(B122=0,"",RANK(B122,$B$2:$B$171,0))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PANAMAPET</t>
        </is>
      </c>
      <c r="D122" s="31" t="inlineStr">
        <is>
          <t>Panama Petrochem Limited</t>
        </is>
      </c>
      <c r="E122" s="31" t="inlineStr">
        <is>
          <t>energy</t>
        </is>
      </c>
      <c r="F122" s="31" t="inlineStr">
        <is>
          <t>petrochemicals</t>
        </is>
      </c>
      <c r="G122" s="31" t="inlineStr">
        <is>
          <t>smallcap</t>
        </is>
      </c>
      <c r="H122" s="32" t="n">
        <v>3103.32</v>
      </c>
      <c r="I122" s="32" t="n">
        <v>513</v>
      </c>
      <c r="J122" s="32" t="n">
        <v>3.45</v>
      </c>
      <c r="K122" s="32" t="n">
        <v>227949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62.83</v>
      </c>
      <c r="P122" s="32" t="n">
        <v>64.06</v>
      </c>
      <c r="Q122" s="32" t="inlineStr"/>
      <c r="R122" s="31" t="inlineStr">
        <is>
          <t>Earnings / Momentum Support</t>
        </is>
      </c>
      <c r="S122" s="31" t="inlineStr">
        <is>
          <t>Nifty Energy</t>
        </is>
      </c>
      <c r="T122" s="32" t="inlineStr"/>
      <c r="U122" s="32" t="inlineStr"/>
      <c r="V122" s="32" t="inlineStr"/>
      <c r="W122" s="32" t="inlineStr"/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Cyclical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Volatile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IF(B123=0,"",RANK(B123,$B$2:$B$171,0))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JAMNAAUTO</t>
        </is>
      </c>
      <c r="D123" s="31" t="inlineStr">
        <is>
          <t>Jamna Auto Industries Limited</t>
        </is>
      </c>
      <c r="E123" s="31" t="inlineStr">
        <is>
          <t>auto</t>
        </is>
      </c>
      <c r="F123" s="31" t="inlineStr">
        <is>
          <t>auto ancillaries</t>
        </is>
      </c>
      <c r="G123" s="31" t="inlineStr">
        <is>
          <t>midcap</t>
        </is>
      </c>
      <c r="H123" s="32" t="n">
        <v>5844.48</v>
      </c>
      <c r="I123" s="32" t="n">
        <v>146.19</v>
      </c>
      <c r="J123" s="32" t="n">
        <v>2.47</v>
      </c>
      <c r="K123" s="32" t="n">
        <v>1929131</v>
      </c>
      <c r="L123" s="31" t="inlineStr"/>
      <c r="M123" s="31" t="inlineStr"/>
      <c r="N123" s="32">
        <f>IF(M123="Underperforming",-5,IF(L123&gt;=95,15,IF(L123&gt;=90,10,IF(L123&gt;=80,5,0))))</f>
        <v/>
      </c>
      <c r="O123" s="32" t="n">
        <v>57.96</v>
      </c>
      <c r="P123" s="32" t="n">
        <v>35.33</v>
      </c>
      <c r="Q123" s="32" t="inlineStr"/>
      <c r="R123" s="31" t="inlineStr">
        <is>
          <t>Earnings / Momentum Support</t>
        </is>
      </c>
      <c r="S123" s="31" t="inlineStr">
        <is>
          <t>Nifty Auto</t>
        </is>
      </c>
      <c r="T123" s="32" t="inlineStr"/>
      <c r="U123" s="32" t="inlineStr"/>
      <c r="V123" s="32" t="inlineStr"/>
      <c r="W123" s="32" t="inlineStr"/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IF(B124=0,"",RANK(B124,$B$2:$B$171,0))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SHREEJISPG</t>
        </is>
      </c>
      <c r="D124" s="31" t="inlineStr">
        <is>
          <t>Shreeji Shipping Global Ltd</t>
        </is>
      </c>
      <c r="E124" s="31" t="inlineStr">
        <is>
          <t>transportation</t>
        </is>
      </c>
      <c r="F124" s="31" t="inlineStr">
        <is>
          <t>shipping</t>
        </is>
      </c>
      <c r="G124" s="31" t="inlineStr">
        <is>
          <t>midcap</t>
        </is>
      </c>
      <c r="H124" s="32" t="n">
        <v>13416.32</v>
      </c>
      <c r="I124" s="32" t="n">
        <v>823.5</v>
      </c>
      <c r="J124" s="32" t="n">
        <v>1.44</v>
      </c>
      <c r="K124" s="32" t="n">
        <v>545993</v>
      </c>
      <c r="L124" s="31" t="n">
        <v>88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85.23</v>
      </c>
      <c r="P124" s="32" t="n">
        <v>56.7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-10.93</v>
      </c>
      <c r="U124" s="32" t="n">
        <v>222.62</v>
      </c>
      <c r="V124" s="32" t="n">
        <v>262.23</v>
      </c>
      <c r="W124" s="32" t="n">
        <v>38.96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IF(B125=0,"",RANK(B125,$B$2:$B$171,0))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RAYMONDREL</t>
        </is>
      </c>
      <c r="D125" s="31" t="inlineStr">
        <is>
          <t>Raymond Realty Ltd</t>
        </is>
      </c>
      <c r="E125" s="31" t="inlineStr">
        <is>
          <t>realty</t>
        </is>
      </c>
      <c r="F125" s="31" t="inlineStr">
        <is>
          <t>construction</t>
        </is>
      </c>
      <c r="G125" s="31" t="inlineStr">
        <is>
          <t>smallcap</t>
        </is>
      </c>
      <c r="H125" s="32" t="n">
        <v>4545.65</v>
      </c>
      <c r="I125" s="32" t="n">
        <v>682.8</v>
      </c>
      <c r="J125" s="32" t="n">
        <v>-2.21</v>
      </c>
      <c r="K125" s="32" t="n">
        <v>687431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58.41</v>
      </c>
      <c r="P125" s="32" t="n">
        <v>28.24</v>
      </c>
      <c r="Q125" s="32" t="inlineStr"/>
      <c r="R125" s="31" t="inlineStr">
        <is>
          <t>Earnings / Momentum Support</t>
        </is>
      </c>
      <c r="S125" s="31" t="inlineStr">
        <is>
          <t>Nifty Realty</t>
        </is>
      </c>
      <c r="T125" s="32" t="inlineStr"/>
      <c r="U125" s="32" t="inlineStr"/>
      <c r="V125" s="32" t="inlineStr"/>
      <c r="W125" s="32" t="inlineStr"/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IF(B126=0,"",RANK(B126,$B$2:$B$171,0))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OPTIEMUS</t>
        </is>
      </c>
      <c r="D126" s="31" t="inlineStr">
        <is>
          <t>Optiemus Infracom Ltd</t>
        </is>
      </c>
      <c r="E126" s="31" t="inlineStr">
        <is>
          <t>telecom</t>
        </is>
      </c>
      <c r="F126" s="31" t="inlineStr">
        <is>
          <t>trading</t>
        </is>
      </c>
      <c r="G126" s="31" t="inlineStr">
        <is>
          <t>midcap</t>
        </is>
      </c>
      <c r="H126" s="32" t="n">
        <v>6997.37</v>
      </c>
      <c r="I126" s="32" t="n">
        <v>776.05</v>
      </c>
      <c r="J126" s="32" t="n">
        <v>-4.88</v>
      </c>
      <c r="K126" s="32" t="n">
        <v>473431</v>
      </c>
      <c r="L126" s="31" t="n">
        <v>54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76.67</v>
      </c>
      <c r="P126" s="32" t="n">
        <v>47.67</v>
      </c>
      <c r="Q126" s="32" t="inlineStr"/>
      <c r="R126" s="31" t="inlineStr">
        <is>
          <t>Earnings / Momentum Support</t>
        </is>
      </c>
      <c r="S126" s="31" t="inlineStr">
        <is>
          <t>Nifty 50</t>
        </is>
      </c>
      <c r="T126" s="32" t="n">
        <v>-10.93</v>
      </c>
      <c r="U126" s="32" t="n">
        <v>19.7</v>
      </c>
      <c r="V126" s="32" t="n">
        <v>34.39</v>
      </c>
      <c r="W126" s="32" t="n">
        <v>18.85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Oligopoly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IF(B127=0,"",RANK(B127,$B$2:$B$171,0))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PVRINOX</t>
        </is>
      </c>
      <c r="D127" s="31" t="inlineStr">
        <is>
          <t>PVR Inox Ltd</t>
        </is>
      </c>
      <c r="E127" s="31" t="inlineStr">
        <is>
          <t>media</t>
        </is>
      </c>
      <c r="F127" s="31" t="inlineStr">
        <is>
          <t>entertainment / electronic media software</t>
        </is>
      </c>
      <c r="G127" s="31" t="inlineStr">
        <is>
          <t>midcap</t>
        </is>
      </c>
      <c r="H127" s="32" t="n">
        <v>13470.84</v>
      </c>
      <c r="I127" s="32" t="n">
        <v>1401.3</v>
      </c>
      <c r="J127" s="32" t="n">
        <v>5.58</v>
      </c>
      <c r="K127" s="32" t="n">
        <v>1150779</v>
      </c>
      <c r="L127" s="31" t="n">
        <v>36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69.02</v>
      </c>
      <c r="P127" s="32" t="n">
        <v>36.71</v>
      </c>
      <c r="Q127" s="32" t="inlineStr"/>
      <c r="R127" s="31" t="inlineStr">
        <is>
          <t>Earnings / Momentum Support</t>
        </is>
      </c>
      <c r="S127" s="31" t="inlineStr">
        <is>
          <t>Nifty IT</t>
        </is>
      </c>
      <c r="T127" s="32" t="n">
        <v>-19.75</v>
      </c>
      <c r="U127" s="32" t="n">
        <v>21.76</v>
      </c>
      <c r="V127" s="32" t="n">
        <v>51.73</v>
      </c>
      <c r="W127" s="32" t="n">
        <v>11.42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IF(B128=0,"",RANK(B128,$B$2:$B$171,0))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DHAMPURSUG</t>
        </is>
      </c>
      <c r="D128" s="31" t="inlineStr">
        <is>
          <t>Dhampur Sugar Mills Limited</t>
        </is>
      </c>
      <c r="E128" s="31" t="inlineStr">
        <is>
          <t>fmcg</t>
        </is>
      </c>
      <c r="F128" s="31" t="inlineStr">
        <is>
          <t>sugar</t>
        </is>
      </c>
      <c r="G128" s="31" t="inlineStr">
        <is>
          <t>smallcap</t>
        </is>
      </c>
      <c r="H128" s="32" t="n">
        <v>1251.4</v>
      </c>
      <c r="I128" s="32" t="n">
        <v>194.6</v>
      </c>
      <c r="J128" s="32" t="n">
        <v>5.43</v>
      </c>
      <c r="K128" s="32" t="n">
        <v>2279376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65.36</v>
      </c>
      <c r="P128" s="32" t="n">
        <v>27.39</v>
      </c>
      <c r="Q128" s="32" t="inlineStr"/>
      <c r="R128" s="31" t="inlineStr">
        <is>
          <t>Earnings / Momentum Support</t>
        </is>
      </c>
      <c r="S128" s="31" t="inlineStr">
        <is>
          <t>Nifty FMCG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B2C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IF(B129=0,"",RANK(B129,$B$2:$B$171,0))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AVADHSUGAR</t>
        </is>
      </c>
      <c r="D129" s="31" t="inlineStr">
        <is>
          <t>Avadh Sugar &amp; Energy</t>
        </is>
      </c>
      <c r="E129" s="31" t="inlineStr">
        <is>
          <t>fmcg</t>
        </is>
      </c>
      <c r="F129" s="31" t="inlineStr">
        <is>
          <t>sugar</t>
        </is>
      </c>
      <c r="G129" s="31" t="inlineStr">
        <is>
          <t>smallcap</t>
        </is>
      </c>
      <c r="H129" s="32" t="n">
        <v>1976.32</v>
      </c>
      <c r="I129" s="32" t="n">
        <v>987.25</v>
      </c>
      <c r="J129" s="32" t="n">
        <v>4.39</v>
      </c>
      <c r="K129" s="32" t="n">
        <v>233112</v>
      </c>
      <c r="L129" s="31" t="inlineStr"/>
      <c r="M129" s="31" t="inlineStr"/>
      <c r="N129" s="32">
        <f>IF(M129="Underperforming",-5,IF(L129&gt;=95,15,IF(L129&gt;=90,10,IF(L129&gt;=80,5,0))))</f>
        <v/>
      </c>
      <c r="O129" s="32" t="n">
        <v>76.51000000000001</v>
      </c>
      <c r="P129" s="32" t="n">
        <v>59.55</v>
      </c>
      <c r="Q129" s="32" t="inlineStr"/>
      <c r="R129" s="31" t="inlineStr">
        <is>
          <t>Earnings / Momentum Support</t>
        </is>
      </c>
      <c r="S129" s="31" t="inlineStr">
        <is>
          <t>Nifty FMCG</t>
        </is>
      </c>
      <c r="T129" s="32" t="inlineStr"/>
      <c r="U129" s="32" t="inlineStr"/>
      <c r="V129" s="32" t="inlineStr"/>
      <c r="W129" s="32" t="inlineStr"/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More than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IF(B130=0,"",RANK(B130,$B$2:$B$171,0))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KILITCH</t>
        </is>
      </c>
      <c r="D130" s="31" t="inlineStr">
        <is>
          <t>Kilitch Drugs (india) Limited</t>
        </is>
      </c>
      <c r="E130" s="31" t="inlineStr">
        <is>
          <t>healthcare</t>
        </is>
      </c>
      <c r="F130" s="31" t="inlineStr">
        <is>
          <t>pharmaceuticals - indian - formulations</t>
        </is>
      </c>
      <c r="G130" s="31" t="inlineStr">
        <is>
          <t>smallcap</t>
        </is>
      </c>
      <c r="H130" s="32" t="n">
        <v>836.0700000000001</v>
      </c>
      <c r="I130" s="32" t="n">
        <v>239.14</v>
      </c>
      <c r="J130" s="32" t="n">
        <v>-1.02</v>
      </c>
      <c r="K130" s="32" t="n">
        <v>51032</v>
      </c>
      <c r="L130" s="31" t="n">
        <v>44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70.55</v>
      </c>
      <c r="P130" s="32" t="n">
        <v>30.56</v>
      </c>
      <c r="Q130" s="32" t="inlineStr"/>
      <c r="R130" s="31" t="inlineStr">
        <is>
          <t>Earnings / Momentum Support</t>
        </is>
      </c>
      <c r="S130" s="31" t="inlineStr">
        <is>
          <t>Nifty Pharma</t>
        </is>
      </c>
      <c r="T130" s="32" t="n">
        <v>16.85</v>
      </c>
      <c r="U130" s="32" t="n">
        <v>33.76</v>
      </c>
      <c r="V130" s="32" t="n">
        <v>14.47</v>
      </c>
      <c r="W130" s="32" t="n">
        <v>15.22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IF(B131=0,"",RANK(B131,$B$2:$B$171,0))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SHRINGARMS</t>
        </is>
      </c>
      <c r="D131" s="31" t="inlineStr">
        <is>
          <t>Shringar House of Mangalsutra Ltd</t>
        </is>
      </c>
      <c r="E131" s="31" t="inlineStr">
        <is>
          <t>consumer discretionary</t>
        </is>
      </c>
      <c r="F131" s="31" t="inlineStr">
        <is>
          <t>diamond cutting / jewellery</t>
        </is>
      </c>
      <c r="G131" s="31" t="inlineStr">
        <is>
          <t>smallcap</t>
        </is>
      </c>
      <c r="H131" s="32" t="n">
        <v>2558.83</v>
      </c>
      <c r="I131" s="32" t="n">
        <v>265.35</v>
      </c>
      <c r="J131" s="32" t="n">
        <v>20</v>
      </c>
      <c r="K131" s="32" t="n">
        <v>12953143</v>
      </c>
      <c r="L131" s="31" t="n">
        <v>5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51.53</v>
      </c>
      <c r="P131" s="32" t="n">
        <v>18.51</v>
      </c>
      <c r="Q131" s="32" t="inlineStr"/>
      <c r="R131" s="31" t="inlineStr">
        <is>
          <t>Volume Spike / Accumulation</t>
        </is>
      </c>
      <c r="S131" s="31" t="inlineStr">
        <is>
          <t>Nifty 50</t>
        </is>
      </c>
      <c r="T131" s="32" t="n">
        <v>-10.93</v>
      </c>
      <c r="U131" s="32" t="n">
        <v>4.48</v>
      </c>
      <c r="V131" s="32" t="n">
        <v>17.31</v>
      </c>
      <c r="W131" s="32" t="n">
        <v>0.93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IF(B132=0,"",RANK(B132,$B$2:$B$171,0))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GOODLUCK</t>
        </is>
      </c>
      <c r="D132" s="31" t="inlineStr">
        <is>
          <t>Goodluck India Limited</t>
        </is>
      </c>
      <c r="E132" s="31" t="inlineStr">
        <is>
          <t>metals &amp; mining</t>
        </is>
      </c>
      <c r="F132" s="31" t="inlineStr">
        <is>
          <t>steel - medium / small</t>
        </is>
      </c>
      <c r="G132" s="31" t="inlineStr">
        <is>
          <t>midcap</t>
        </is>
      </c>
      <c r="H132" s="32" t="n">
        <v>5647.39</v>
      </c>
      <c r="I132" s="32" t="n">
        <v>566.35</v>
      </c>
      <c r="J132" s="32" t="n">
        <v>13.21</v>
      </c>
      <c r="K132" s="32" t="n">
        <v>9109290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55.61</v>
      </c>
      <c r="P132" s="32" t="n">
        <v>28.72</v>
      </c>
      <c r="Q132" s="32" t="inlineStr"/>
      <c r="R132" s="31" t="inlineStr">
        <is>
          <t>Volume Spike / Accumulation</t>
        </is>
      </c>
      <c r="S132" s="31" t="inlineStr">
        <is>
          <t>Nifty Metal</t>
        </is>
      </c>
      <c r="T132" s="32" t="inlineStr"/>
      <c r="U132" s="32" t="inlineStr"/>
      <c r="V132" s="32" t="inlineStr"/>
      <c r="W132" s="32" t="inlineStr"/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Cyclical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Volatile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IF(B133=0,"",RANK(B133,$B$2:$B$171,0))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NEOGEN</t>
        </is>
      </c>
      <c r="D133" s="31" t="inlineStr">
        <is>
          <t>Neogen Chemicals Ltd</t>
        </is>
      </c>
      <c r="E133" s="31" t="inlineStr">
        <is>
          <t>chemicals</t>
        </is>
      </c>
      <c r="F133" s="31" t="inlineStr">
        <is>
          <t>chemicals</t>
        </is>
      </c>
      <c r="G133" s="31" t="inlineStr">
        <is>
          <t>midcap</t>
        </is>
      </c>
      <c r="H133" s="32" t="n">
        <v>7614.25</v>
      </c>
      <c r="I133" s="32" t="n">
        <v>2534.5</v>
      </c>
      <c r="J133" s="32" t="n">
        <v>6.57</v>
      </c>
      <c r="K133" s="32" t="n">
        <v>410407</v>
      </c>
      <c r="L133" s="31" t="n">
        <v>45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65.77</v>
      </c>
      <c r="P133" s="32" t="n">
        <v>59.49</v>
      </c>
      <c r="Q133" s="32" t="inlineStr"/>
      <c r="R133" s="31" t="inlineStr">
        <is>
          <t>Earnings / Momentum Support</t>
        </is>
      </c>
      <c r="S133" s="31" t="inlineStr">
        <is>
          <t>Nifty 50</t>
        </is>
      </c>
      <c r="T133" s="32" t="n">
        <v>-10.93</v>
      </c>
      <c r="U133" s="32" t="n">
        <v>57.53</v>
      </c>
      <c r="V133" s="32" t="n">
        <v>76.87</v>
      </c>
      <c r="W133" s="32" t="n">
        <v>15.31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IF(B134=0,"",RANK(B134,$B$2:$B$171,0))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DYNAMATECH</t>
        </is>
      </c>
      <c r="D134" s="31" t="inlineStr">
        <is>
          <t>Dynamatic Technologies Limited</t>
        </is>
      </c>
      <c r="E134" s="31" t="inlineStr">
        <is>
          <t>aerospace &amp; defence</t>
        </is>
      </c>
      <c r="F134" s="31" t="inlineStr">
        <is>
          <t>engineering</t>
        </is>
      </c>
      <c r="G134" s="31" t="inlineStr">
        <is>
          <t>midcap</t>
        </is>
      </c>
      <c r="H134" s="32" t="n">
        <v>9594.950000000001</v>
      </c>
      <c r="I134" s="32" t="n">
        <v>14128</v>
      </c>
      <c r="J134" s="32" t="n">
        <v>6.06</v>
      </c>
      <c r="K134" s="32" t="n">
        <v>28117</v>
      </c>
      <c r="L134" s="31" t="n">
        <v>49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66.19</v>
      </c>
      <c r="P134" s="32" t="n">
        <v>35.5</v>
      </c>
      <c r="Q134" s="32" t="inlineStr"/>
      <c r="R134" s="31" t="inlineStr">
        <is>
          <t>Earnings / Momentum Support</t>
        </is>
      </c>
      <c r="S134" s="31" t="inlineStr">
        <is>
          <t>Nifty 50</t>
        </is>
      </c>
      <c r="T134" s="32" t="n">
        <v>-10.93</v>
      </c>
      <c r="U134" s="32" t="n">
        <v>71.06</v>
      </c>
      <c r="V134" s="32" t="n">
        <v>92.06</v>
      </c>
      <c r="W134" s="32" t="n">
        <v>16.65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IF(B135=0,"",RANK(B135,$B$2:$B$171,0))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GANDHAR</t>
        </is>
      </c>
      <c r="D135" s="31" t="inlineStr">
        <is>
          <t>Gandhar Oil Refinery (India) Ltd</t>
        </is>
      </c>
      <c r="E135" s="31" t="inlineStr">
        <is>
          <t>energy</t>
        </is>
      </c>
      <c r="F135" s="31" t="inlineStr">
        <is>
          <t>refineries</t>
        </is>
      </c>
      <c r="G135" s="31" t="inlineStr">
        <is>
          <t>smallcap</t>
        </is>
      </c>
      <c r="H135" s="32" t="n">
        <v>3014.69</v>
      </c>
      <c r="I135" s="32" t="n">
        <v>308</v>
      </c>
      <c r="J135" s="32" t="n">
        <v>3.86</v>
      </c>
      <c r="K135" s="32" t="n">
        <v>1722761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71.68000000000001</v>
      </c>
      <c r="P135" s="32" t="n">
        <v>78.77</v>
      </c>
      <c r="Q135" s="32" t="inlineStr"/>
      <c r="R135" s="31" t="inlineStr">
        <is>
          <t>Earnings / Momentum Support</t>
        </is>
      </c>
      <c r="S135" s="31" t="inlineStr">
        <is>
          <t>Nifty Energy</t>
        </is>
      </c>
      <c r="T135" s="32" t="inlineStr"/>
      <c r="U135" s="32" t="inlineStr"/>
      <c r="V135" s="32" t="inlineStr"/>
      <c r="W135" s="32" t="inlineStr"/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IF(B136=0,"",RANK(B136,$B$2:$B$171,0))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BIL</t>
        </is>
      </c>
      <c r="D136" s="31" t="inlineStr">
        <is>
          <t>Bhartiya International Limited</t>
        </is>
      </c>
      <c r="E136" s="31" t="inlineStr">
        <is>
          <t>consumer discretionary</t>
        </is>
      </c>
      <c r="F136" s="31" t="inlineStr">
        <is>
          <t>leather / leather products</t>
        </is>
      </c>
      <c r="G136" s="31" t="inlineStr">
        <is>
          <t>smallcap</t>
        </is>
      </c>
      <c r="H136" s="32" t="n">
        <v>1442.76</v>
      </c>
      <c r="I136" s="32" t="n">
        <v>1075.85</v>
      </c>
      <c r="J136" s="32" t="n">
        <v>3.24</v>
      </c>
      <c r="K136" s="32" t="n">
        <v>12778</v>
      </c>
      <c r="L136" s="31" t="n">
        <v>47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67.58</v>
      </c>
      <c r="P136" s="32" t="n">
        <v>34.14</v>
      </c>
      <c r="Q136" s="32" t="inlineStr"/>
      <c r="R136" s="31" t="inlineStr">
        <is>
          <t>Earnings / Momentum Support</t>
        </is>
      </c>
      <c r="S136" s="31" t="inlineStr">
        <is>
          <t>Nifty 50</t>
        </is>
      </c>
      <c r="T136" s="32" t="n">
        <v>-10.93</v>
      </c>
      <c r="U136" s="32" t="n">
        <v>30.69</v>
      </c>
      <c r="V136" s="32" t="n">
        <v>46.73</v>
      </c>
      <c r="W136" s="32" t="n">
        <v>15.77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IF(B137=0,"",RANK(B137,$B$2:$B$171,0))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SHYAMMETL</t>
        </is>
      </c>
      <c r="D137" s="31" t="inlineStr">
        <is>
          <t>Shyam Metalics &amp; Energy Ltd</t>
        </is>
      </c>
      <c r="E137" s="31" t="inlineStr">
        <is>
          <t>metals &amp; mining</t>
        </is>
      </c>
      <c r="F137" s="31" t="inlineStr">
        <is>
          <t>steel - large</t>
        </is>
      </c>
      <c r="G137" s="31" t="inlineStr">
        <is>
          <t>largecap</t>
        </is>
      </c>
      <c r="H137" s="32" t="n">
        <v>30383.5</v>
      </c>
      <c r="I137" s="32" t="n">
        <v>1088.5</v>
      </c>
      <c r="J137" s="32" t="n">
        <v>2.68</v>
      </c>
      <c r="K137" s="32" t="n">
        <v>268135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59.55</v>
      </c>
      <c r="P137" s="32" t="n">
        <v>27.77</v>
      </c>
      <c r="Q137" s="32" t="inlineStr"/>
      <c r="R137" s="31" t="inlineStr">
        <is>
          <t>Earnings / Momentum Support</t>
        </is>
      </c>
      <c r="S137" s="31" t="inlineStr">
        <is>
          <t>Nifty Metal</t>
        </is>
      </c>
      <c r="T137" s="32" t="inlineStr"/>
      <c r="U137" s="32" t="inlineStr"/>
      <c r="V137" s="32" t="inlineStr"/>
      <c r="W137" s="32" t="inlineStr"/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IF(B138=0,"",RANK(B138,$B$2:$B$171,0))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MUKANDLTD</t>
        </is>
      </c>
      <c r="D138" s="31" t="inlineStr">
        <is>
          <t>Mukand Limited</t>
        </is>
      </c>
      <c r="E138" s="31" t="inlineStr">
        <is>
          <t>metals &amp; mining</t>
        </is>
      </c>
      <c r="F138" s="31" t="inlineStr">
        <is>
          <t>steel - medium / small</t>
        </is>
      </c>
      <c r="G138" s="31" t="inlineStr">
        <is>
          <t>smallcap</t>
        </is>
      </c>
      <c r="H138" s="32" t="n">
        <v>2565.95</v>
      </c>
      <c r="I138" s="32" t="n">
        <v>177.58</v>
      </c>
      <c r="J138" s="32" t="n">
        <v>0.9</v>
      </c>
      <c r="K138" s="32" t="n">
        <v>248113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72.59999999999999</v>
      </c>
      <c r="P138" s="32" t="n">
        <v>46.1</v>
      </c>
      <c r="Q138" s="32" t="inlineStr"/>
      <c r="R138" s="31" t="inlineStr">
        <is>
          <t>Earnings / Momentum Support</t>
        </is>
      </c>
      <c r="S138" s="31" t="inlineStr">
        <is>
          <t>Nifty Metal</t>
        </is>
      </c>
      <c r="T138" s="32" t="inlineStr"/>
      <c r="U138" s="32" t="inlineStr"/>
      <c r="V138" s="32" t="inlineStr"/>
      <c r="W138" s="32" t="inlineStr"/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Cyclical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Volatile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IF(B139=0,"",RANK(B139,$B$2:$B$171,0))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SAMBHV</t>
        </is>
      </c>
      <c r="D139" s="31" t="inlineStr">
        <is>
          <t>Sambhv Steel Tubes Ltd</t>
        </is>
      </c>
      <c r="E139" s="31" t="inlineStr">
        <is>
          <t>metals &amp; mining</t>
        </is>
      </c>
      <c r="F139" s="31" t="inlineStr">
        <is>
          <t>steel - medium / small</t>
        </is>
      </c>
      <c r="G139" s="31" t="inlineStr">
        <is>
          <t>smallcap</t>
        </is>
      </c>
      <c r="H139" s="32" t="n">
        <v>4761.6</v>
      </c>
      <c r="I139" s="32" t="n">
        <v>161.59</v>
      </c>
      <c r="J139" s="32" t="n">
        <v>0.74</v>
      </c>
      <c r="K139" s="32" t="n">
        <v>3151898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77.8</v>
      </c>
      <c r="P139" s="32" t="n">
        <v>52.43</v>
      </c>
      <c r="Q139" s="32" t="inlineStr"/>
      <c r="R139" s="31" t="inlineStr">
        <is>
          <t>Earnings / Momentum Support</t>
        </is>
      </c>
      <c r="S139" s="31" t="inlineStr">
        <is>
          <t>Nifty Metal</t>
        </is>
      </c>
      <c r="T139" s="32" t="inlineStr"/>
      <c r="U139" s="32" t="inlineStr"/>
      <c r="V139" s="32" t="inlineStr"/>
      <c r="W139" s="32" t="inlineStr"/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Cyclical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Volatile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IF(B140=0,"",RANK(B140,$B$2:$B$171,0))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PRIMO</t>
        </is>
      </c>
      <c r="D140" s="31" t="inlineStr">
        <is>
          <t>Primo Chemicals Ltd</t>
        </is>
      </c>
      <c r="E140" s="31" t="inlineStr">
        <is>
          <t>chemicals</t>
        </is>
      </c>
      <c r="F140" s="31" t="inlineStr">
        <is>
          <t>chlor alkali / soda ash</t>
        </is>
      </c>
      <c r="G140" s="31" t="inlineStr">
        <is>
          <t>smallcap</t>
        </is>
      </c>
      <c r="H140" s="32" t="n">
        <v>641.97</v>
      </c>
      <c r="I140" s="32" t="n">
        <v>26.49</v>
      </c>
      <c r="J140" s="32" t="n">
        <v>0.72</v>
      </c>
      <c r="K140" s="32" t="n">
        <v>609036</v>
      </c>
      <c r="L140" s="31" t="n">
        <v>16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56.94</v>
      </c>
      <c r="P140" s="32" t="n">
        <v>21.8</v>
      </c>
      <c r="Q140" s="32" t="inlineStr"/>
      <c r="R140" s="31" t="inlineStr">
        <is>
          <t>Earnings / Momentum Support</t>
        </is>
      </c>
      <c r="S140" s="31" t="inlineStr">
        <is>
          <t>Nifty 50</t>
        </is>
      </c>
      <c r="T140" s="32" t="n">
        <v>-10.93</v>
      </c>
      <c r="U140" s="32" t="n">
        <v>12.25</v>
      </c>
      <c r="V140" s="32" t="n">
        <v>26.03</v>
      </c>
      <c r="W140" s="32" t="n">
        <v>4.35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IF(B141=0,"",RANK(B141,$B$2:$B$171,0))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PREMEXPLN</t>
        </is>
      </c>
      <c r="D141" s="31" t="inlineStr">
        <is>
          <t>Premier Explosives Limited</t>
        </is>
      </c>
      <c r="E141" s="31" t="inlineStr">
        <is>
          <t>aerospace &amp; defence</t>
        </is>
      </c>
      <c r="F141" s="31" t="inlineStr">
        <is>
          <t>chemicals</t>
        </is>
      </c>
      <c r="G141" s="31" t="inlineStr">
        <is>
          <t>smallcap</t>
        </is>
      </c>
      <c r="H141" s="32" t="n">
        <v>3687.75</v>
      </c>
      <c r="I141" s="32" t="n">
        <v>685.95</v>
      </c>
      <c r="J141" s="32" t="n">
        <v>-0.16</v>
      </c>
      <c r="K141" s="32" t="n">
        <v>213859</v>
      </c>
      <c r="L141" s="31" t="n">
        <v>14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58.99</v>
      </c>
      <c r="P141" s="32" t="n">
        <v>30.82</v>
      </c>
      <c r="Q141" s="32" t="inlineStr"/>
      <c r="R141" s="31" t="inlineStr">
        <is>
          <t>Earnings / Momentum Support</t>
        </is>
      </c>
      <c r="S141" s="31" t="inlineStr">
        <is>
          <t>Nifty 50</t>
        </is>
      </c>
      <c r="T141" s="32" t="n">
        <v>-10.93</v>
      </c>
      <c r="U141" s="32" t="n">
        <v>4.54</v>
      </c>
      <c r="V141" s="32" t="n">
        <v>17.37</v>
      </c>
      <c r="W141" s="32" t="n">
        <v>3.41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IF(B142=0,"",RANK(B142,$B$2:$B$171,0))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MTARTECH</t>
        </is>
      </c>
      <c r="D142" s="31" t="inlineStr">
        <is>
          <t>MTAR Technologies Ltd</t>
        </is>
      </c>
      <c r="E142" s="31" t="inlineStr">
        <is>
          <t>aerospace &amp; defence</t>
        </is>
      </c>
      <c r="F142" s="31" t="inlineStr">
        <is>
          <t>engineering</t>
        </is>
      </c>
      <c r="G142" s="31" t="inlineStr">
        <is>
          <t>largecap</t>
        </is>
      </c>
      <c r="H142" s="32" t="n">
        <v>23675.66</v>
      </c>
      <c r="I142" s="32" t="n">
        <v>7697</v>
      </c>
      <c r="J142" s="32" t="n">
        <v>-1.09</v>
      </c>
      <c r="K142" s="32" t="n">
        <v>61415</v>
      </c>
      <c r="L142" s="31" t="n">
        <v>87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63.9</v>
      </c>
      <c r="P142" s="32" t="n">
        <v>18.58</v>
      </c>
      <c r="Q142" s="32" t="inlineStr"/>
      <c r="R142" s="31" t="inlineStr">
        <is>
          <t>Earnings / Momentum Support</t>
        </is>
      </c>
      <c r="S142" s="31" t="inlineStr">
        <is>
          <t>Nifty 50</t>
        </is>
      </c>
      <c r="T142" s="32" t="n">
        <v>-10.93</v>
      </c>
      <c r="U142" s="32" t="n">
        <v>313.76</v>
      </c>
      <c r="V142" s="32" t="n">
        <v>364.55</v>
      </c>
      <c r="W142" s="32" t="n">
        <v>37.5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IF(B143=0,"",RANK(B143,$B$2:$B$171,0))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MMP</t>
        </is>
      </c>
      <c r="D143" s="31" t="inlineStr">
        <is>
          <t>MMP Industries Ltd</t>
        </is>
      </c>
      <c r="E143" s="31" t="inlineStr">
        <is>
          <t>metals &amp; mining</t>
        </is>
      </c>
      <c r="F143" s="31" t="inlineStr">
        <is>
          <t>aluminium and aluminium products</t>
        </is>
      </c>
      <c r="G143" s="31" t="inlineStr">
        <is>
          <t>smallcap</t>
        </is>
      </c>
      <c r="H143" s="32" t="n">
        <v>1257.05</v>
      </c>
      <c r="I143" s="32" t="n">
        <v>494.85</v>
      </c>
      <c r="J143" s="32" t="n">
        <v>-1.3</v>
      </c>
      <c r="K143" s="32" t="n">
        <v>45814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81.88</v>
      </c>
      <c r="P143" s="32" t="n">
        <v>64.48</v>
      </c>
      <c r="Q143" s="32" t="inlineStr"/>
      <c r="R143" s="31" t="inlineStr">
        <is>
          <t>Earnings / Momentum Support</t>
        </is>
      </c>
      <c r="S143" s="31" t="inlineStr">
        <is>
          <t>Nifty Metal</t>
        </is>
      </c>
      <c r="T143" s="32" t="inlineStr"/>
      <c r="U143" s="32" t="inlineStr"/>
      <c r="V143" s="32" t="inlineStr"/>
      <c r="W143" s="32" t="inlineStr"/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IF(B144=0,"",RANK(B144,$B$2:$B$171,0))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VHLTD</t>
        </is>
      </c>
      <c r="D144" s="31" t="inlineStr">
        <is>
          <t>Viceroy Hotels Ltd</t>
        </is>
      </c>
      <c r="E144" s="31" t="inlineStr">
        <is>
          <t>services</t>
        </is>
      </c>
      <c r="F144" s="31" t="inlineStr">
        <is>
          <t>hotels</t>
        </is>
      </c>
      <c r="G144" s="31" t="inlineStr">
        <is>
          <t>smallcap</t>
        </is>
      </c>
      <c r="H144" s="32" t="n">
        <v>1152.04</v>
      </c>
      <c r="I144" s="32" t="n">
        <v>150.04</v>
      </c>
      <c r="J144" s="32" t="n">
        <v>5</v>
      </c>
      <c r="K144" s="32" t="n">
        <v>99146</v>
      </c>
      <c r="L144" s="31" t="n">
        <v>17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61.64</v>
      </c>
      <c r="P144" s="32" t="n">
        <v>18.3</v>
      </c>
      <c r="Q144" s="32" t="inlineStr"/>
      <c r="R144" s="31" t="inlineStr">
        <is>
          <t>Earnings / Momentum Support</t>
        </is>
      </c>
      <c r="S144" s="31" t="inlineStr">
        <is>
          <t>Nifty 50</t>
        </is>
      </c>
      <c r="T144" s="32" t="n">
        <v>-10.93</v>
      </c>
      <c r="U144" s="32" t="n">
        <v>12.79</v>
      </c>
      <c r="V144" s="32" t="n">
        <v>26.63</v>
      </c>
      <c r="W144" s="32" t="n">
        <v>4.96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IF(B145=0,"",RANK(B145,$B$2:$B$171,0))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LOKESHMACH</t>
        </is>
      </c>
      <c r="D145" s="31" t="inlineStr">
        <is>
          <t>Lokesh Machines Limited</t>
        </is>
      </c>
      <c r="E145" s="31" t="inlineStr">
        <is>
          <t>industrials</t>
        </is>
      </c>
      <c r="F145" s="31" t="inlineStr">
        <is>
          <t>engineering</t>
        </is>
      </c>
      <c r="G145" s="31" t="inlineStr">
        <is>
          <t>smallcap</t>
        </is>
      </c>
      <c r="H145" s="32" t="n">
        <v>1009.95</v>
      </c>
      <c r="I145" s="32" t="n">
        <v>463.35</v>
      </c>
      <c r="J145" s="32" t="n">
        <v>2.8</v>
      </c>
      <c r="K145" s="32" t="n">
        <v>90493</v>
      </c>
      <c r="L145" s="31" t="n">
        <v>72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77.55</v>
      </c>
      <c r="P145" s="32" t="n">
        <v>40.01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-10.93</v>
      </c>
      <c r="U145" s="32" t="n">
        <v>135.69</v>
      </c>
      <c r="V145" s="32" t="n">
        <v>164.62</v>
      </c>
      <c r="W145" s="32" t="n">
        <v>27.42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IF(B146=0,"",RANK(B146,$B$2:$B$171,0))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SOTL</t>
        </is>
      </c>
      <c r="D146" s="31" t="inlineStr">
        <is>
          <t>Savita Oil Technologies Limited</t>
        </is>
      </c>
      <c r="E146" s="31" t="inlineStr">
        <is>
          <t>energy</t>
        </is>
      </c>
      <c r="F146" s="31" t="inlineStr">
        <is>
          <t>petrochemicals</t>
        </is>
      </c>
      <c r="G146" s="31" t="inlineStr">
        <is>
          <t>midcap</t>
        </is>
      </c>
      <c r="H146" s="32" t="n">
        <v>5355.25</v>
      </c>
      <c r="I146" s="32" t="n">
        <v>781.1</v>
      </c>
      <c r="J146" s="32" t="n">
        <v>2.13</v>
      </c>
      <c r="K146" s="32" t="n">
        <v>168363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68.43000000000001</v>
      </c>
      <c r="P146" s="32" t="n">
        <v>67.58</v>
      </c>
      <c r="Q146" s="32" t="inlineStr"/>
      <c r="R146" s="31" t="inlineStr">
        <is>
          <t>Earnings / Momentum Support</t>
        </is>
      </c>
      <c r="S146" s="31" t="inlineStr">
        <is>
          <t>Nifty Energy</t>
        </is>
      </c>
      <c r="T146" s="32" t="inlineStr"/>
      <c r="U146" s="32" t="inlineStr"/>
      <c r="V146" s="32" t="inlineStr"/>
      <c r="W146" s="32" t="inlineStr"/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Oligopoly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Cyclical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Volatile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IF(B147=0,"",RANK(B147,$B$2:$B$171,0))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FINEORG</t>
        </is>
      </c>
      <c r="D147" s="31" t="inlineStr">
        <is>
          <t>Fine Organic Industries Ltd</t>
        </is>
      </c>
      <c r="E147" s="31" t="inlineStr">
        <is>
          <t>chemicals</t>
        </is>
      </c>
      <c r="F147" s="31" t="inlineStr">
        <is>
          <t>chemicals</t>
        </is>
      </c>
      <c r="G147" s="31" t="inlineStr">
        <is>
          <t>midcap</t>
        </is>
      </c>
      <c r="H147" s="32" t="n">
        <v>16867.59</v>
      </c>
      <c r="I147" s="32" t="n">
        <v>5501.5</v>
      </c>
      <c r="J147" s="32" t="n">
        <v>1.68</v>
      </c>
      <c r="K147" s="32" t="n">
        <v>19474</v>
      </c>
      <c r="L147" s="31" t="n">
        <v>18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63.59</v>
      </c>
      <c r="P147" s="32" t="n">
        <v>17.05</v>
      </c>
      <c r="Q147" s="32" t="inlineStr"/>
      <c r="R147" s="31" t="inlineStr">
        <is>
          <t>Earnings / Momentum Support</t>
        </is>
      </c>
      <c r="S147" s="31" t="inlineStr">
        <is>
          <t>Nifty 50</t>
        </is>
      </c>
      <c r="T147" s="32" t="n">
        <v>-10.93</v>
      </c>
      <c r="U147" s="32" t="n">
        <v>16.41</v>
      </c>
      <c r="V147" s="32" t="n">
        <v>30.7</v>
      </c>
      <c r="W147" s="32" t="n">
        <v>5.06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IF(B148=0,"",RANK(B148,$B$2:$B$171,0))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STLTECH</t>
        </is>
      </c>
      <c r="D148" s="31" t="inlineStr">
        <is>
          <t>Sterlite Technologies Limited</t>
        </is>
      </c>
      <c r="E148" s="31" t="inlineStr">
        <is>
          <t>industrials</t>
        </is>
      </c>
      <c r="F148" s="31" t="inlineStr">
        <is>
          <t>cables - telephone</t>
        </is>
      </c>
      <c r="G148" s="31" t="inlineStr">
        <is>
          <t>largecap</t>
        </is>
      </c>
      <c r="H148" s="32" t="n">
        <v>52116.78</v>
      </c>
      <c r="I148" s="32" t="n">
        <v>1014.15</v>
      </c>
      <c r="J148" s="32" t="n">
        <v>-0.1</v>
      </c>
      <c r="K148" s="32" t="n">
        <v>877882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80.01000000000001</v>
      </c>
      <c r="P148" s="32" t="n">
        <v>72.81</v>
      </c>
      <c r="Q148" s="32" t="inlineStr"/>
      <c r="R148" s="31" t="inlineStr">
        <is>
          <t>Earnings / Momentum Support</t>
        </is>
      </c>
      <c r="S148" s="31" t="inlineStr">
        <is>
          <t>Nifty Infra</t>
        </is>
      </c>
      <c r="T148" s="32" t="inlineStr"/>
      <c r="U148" s="32" t="inlineStr"/>
      <c r="V148" s="32" t="inlineStr"/>
      <c r="W148" s="32" t="inlineStr"/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IF(B149=0,"",RANK(B149,$B$2:$B$171,0))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INDOAMIN</t>
        </is>
      </c>
      <c r="D149" s="31" t="inlineStr">
        <is>
          <t>Indo Amines Ltd</t>
        </is>
      </c>
      <c r="E149" s="31" t="inlineStr">
        <is>
          <t>chemicals</t>
        </is>
      </c>
      <c r="F149" s="31" t="inlineStr">
        <is>
          <t>chemicals</t>
        </is>
      </c>
      <c r="G149" s="31" t="inlineStr">
        <is>
          <t>smallcap</t>
        </is>
      </c>
      <c r="H149" s="32" t="n">
        <v>1135.27</v>
      </c>
      <c r="I149" s="32" t="n">
        <v>156.4</v>
      </c>
      <c r="J149" s="32" t="n">
        <v>-0.84</v>
      </c>
      <c r="K149" s="32" t="n">
        <v>376474</v>
      </c>
      <c r="L149" s="31" t="n">
        <v>28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70.43000000000001</v>
      </c>
      <c r="P149" s="32" t="n">
        <v>26.33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-10.93</v>
      </c>
      <c r="U149" s="32" t="n">
        <v>16.11</v>
      </c>
      <c r="V149" s="32" t="n">
        <v>30.37</v>
      </c>
      <c r="W149" s="32" t="n">
        <v>9.02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IF(B150=0,"",RANK(B150,$B$2:$B$171,0))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KSL</t>
        </is>
      </c>
      <c r="D150" s="31" t="inlineStr">
        <is>
          <t>Kalyani Steels Limited</t>
        </is>
      </c>
      <c r="E150" s="31" t="inlineStr">
        <is>
          <t>metals &amp; mining</t>
        </is>
      </c>
      <c r="F150" s="31" t="inlineStr">
        <is>
          <t>steel - medium / small</t>
        </is>
      </c>
      <c r="G150" s="31" t="inlineStr">
        <is>
          <t>smallcap</t>
        </is>
      </c>
      <c r="H150" s="32" t="n">
        <v>4335.62</v>
      </c>
      <c r="I150" s="32" t="n">
        <v>993.2</v>
      </c>
      <c r="J150" s="32" t="n">
        <v>6.16</v>
      </c>
      <c r="K150" s="32" t="n">
        <v>309424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59.33</v>
      </c>
      <c r="P150" s="32" t="n">
        <v>30.94</v>
      </c>
      <c r="Q150" s="32" t="inlineStr"/>
      <c r="R150" s="31" t="inlineStr">
        <is>
          <t>Earnings / Momentum Support</t>
        </is>
      </c>
      <c r="S150" s="31" t="inlineStr">
        <is>
          <t>Nifty Metal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IF(B151=0,"",RANK(B151,$B$2:$B$171,0))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SANATHAN</t>
        </is>
      </c>
      <c r="D151" s="31" t="inlineStr">
        <is>
          <t>Sanathan Textiles Ltd</t>
        </is>
      </c>
      <c r="E151" s="31" t="inlineStr">
        <is>
          <t>textiles</t>
        </is>
      </c>
      <c r="F151" s="31" t="inlineStr">
        <is>
          <t>textiles - cotton/blended</t>
        </is>
      </c>
      <c r="G151" s="31" t="inlineStr">
        <is>
          <t>smallcap</t>
        </is>
      </c>
      <c r="H151" s="32" t="n">
        <v>4419.82</v>
      </c>
      <c r="I151" s="32" t="n">
        <v>523.65</v>
      </c>
      <c r="J151" s="32" t="n">
        <v>4.06</v>
      </c>
      <c r="K151" s="32" t="n">
        <v>59980</v>
      </c>
      <c r="L151" s="31" t="n">
        <v>12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62.32</v>
      </c>
      <c r="P151" s="32" t="n">
        <v>25.12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-10.93</v>
      </c>
      <c r="U151" s="32" t="n">
        <v>0.64</v>
      </c>
      <c r="V151" s="32" t="n">
        <v>13</v>
      </c>
      <c r="W151" s="32" t="n">
        <v>3.14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IF(B152=0,"",RANK(B152,$B$2:$B$171,0))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GPPL</t>
        </is>
      </c>
      <c r="D152" s="31" t="inlineStr">
        <is>
          <t>Gujarat Pipavav Port Limited</t>
        </is>
      </c>
      <c r="E152" s="31" t="inlineStr">
        <is>
          <t>transportation</t>
        </is>
      </c>
      <c r="F152" s="31" t="inlineStr">
        <is>
          <t>miscellaneous</t>
        </is>
      </c>
      <c r="G152" s="31" t="inlineStr">
        <is>
          <t>midcap</t>
        </is>
      </c>
      <c r="H152" s="32" t="n">
        <v>8368.34</v>
      </c>
      <c r="I152" s="32" t="n">
        <v>173.1</v>
      </c>
      <c r="J152" s="32" t="n">
        <v>3.1</v>
      </c>
      <c r="K152" s="32" t="n">
        <v>1594878</v>
      </c>
      <c r="L152" s="31" t="n">
        <v>19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64.41</v>
      </c>
      <c r="P152" s="32" t="n">
        <v>24.19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-10.93</v>
      </c>
      <c r="U152" s="32" t="n">
        <v>10.17</v>
      </c>
      <c r="V152" s="32" t="n">
        <v>23.7</v>
      </c>
      <c r="W152" s="32" t="n">
        <v>5.16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Shallow Cyclical (2 to 3 Years Growth)</t>
        </is>
      </c>
      <c r="AG152" s="31">
        <f>IF(AF152="Structural (10 Years Consistency)",10,IF(AF152="Shallow Cyclical (2 to 3 years growth)",5,0))</f>
        <v/>
      </c>
      <c r="AH152" s="31" t="inlineStr">
        <is>
          <t>Yes due to Product Mix change or Operating Leverage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Allocated capital in Non-core Areas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Sideways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Overhead supply in last 2 years in last 2 years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More than 15%</t>
        </is>
      </c>
      <c r="CC152" s="31">
        <f>IF(CB152="More than 15%",-10,IF(CB152="Less than 15%",10,0))</f>
        <v/>
      </c>
      <c r="CD152" s="31" t="inlineStr">
        <is>
          <t>Yes Upto 10%</t>
        </is>
      </c>
      <c r="CE152" s="31">
        <f>IF(CD152="Yes, more than 10%",-10,IF(CD152="No",10,0))</f>
        <v/>
      </c>
    </row>
    <row r="153">
      <c r="A153" s="31">
        <f>IF(B153=0,"",RANK(B153,$B$2:$B$171,0))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PATELRMART</t>
        </is>
      </c>
      <c r="D153" s="31" t="inlineStr">
        <is>
          <t>Patel Retail Ltd</t>
        </is>
      </c>
      <c r="E153" s="31" t="inlineStr">
        <is>
          <t>consumer discretionary</t>
        </is>
      </c>
      <c r="F153" s="31" t="inlineStr">
        <is>
          <t>trading</t>
        </is>
      </c>
      <c r="G153" s="31" t="inlineStr">
        <is>
          <t>smallcap</t>
        </is>
      </c>
      <c r="H153" s="32" t="n">
        <v>819.85</v>
      </c>
      <c r="I153" s="32" t="n">
        <v>245.46</v>
      </c>
      <c r="J153" s="32" t="n">
        <v>3.01</v>
      </c>
      <c r="K153" s="32" t="n">
        <v>178045</v>
      </c>
      <c r="L153" s="31" t="n">
        <v>11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59.87</v>
      </c>
      <c r="P153" s="32" t="n">
        <v>15.6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-10.93</v>
      </c>
      <c r="U153" s="32" t="n">
        <v>5.17</v>
      </c>
      <c r="V153" s="32" t="n">
        <v>18.08</v>
      </c>
      <c r="W153" s="32" t="n">
        <v>3.1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IF(B154=0,"",RANK(B154,$B$2:$B$171,0))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UNITEDPOLY</t>
        </is>
      </c>
      <c r="D154" s="31" t="inlineStr">
        <is>
          <t>United Polyfab Gujarat Ltd</t>
        </is>
      </c>
      <c r="E154" s="31" t="inlineStr">
        <is>
          <t>textiles</t>
        </is>
      </c>
      <c r="F154" s="31" t="inlineStr">
        <is>
          <t>textiles - products</t>
        </is>
      </c>
      <c r="G154" s="31" t="inlineStr">
        <is>
          <t>smallcap</t>
        </is>
      </c>
      <c r="H154" s="32" t="n">
        <v>1145.74</v>
      </c>
      <c r="I154" s="32" t="n">
        <v>49.92</v>
      </c>
      <c r="J154" s="32" t="n">
        <v>-0.4</v>
      </c>
      <c r="K154" s="32" t="n">
        <v>1141962</v>
      </c>
      <c r="L154" s="31" t="n">
        <v>57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78.23999999999999</v>
      </c>
      <c r="P154" s="32" t="n">
        <v>32.7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-10.93</v>
      </c>
      <c r="U154" s="32" t="n">
        <v>13.04</v>
      </c>
      <c r="V154" s="32" t="n">
        <v>26.91</v>
      </c>
      <c r="W154" s="32" t="n">
        <v>20.75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Shallow Cyclical (2 to 3 Years Growth)</t>
        </is>
      </c>
      <c r="AG154" s="31">
        <f>IF(AF154="Structural (10 Years Consistency)",10,IF(AF154="Shallow Cyclical (2 to 3 years growth)",5,0))</f>
        <v/>
      </c>
      <c r="AH154" s="31" t="inlineStr">
        <is>
          <t>Yes due to Product Mix change or Operating Leverage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Allocated capital in Non-core Areas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Sideways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Overhead supply in last 2 years in last 2 years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More than 15%</t>
        </is>
      </c>
      <c r="CC154" s="31">
        <f>IF(CB154="More than 15%",-10,IF(CB154="Less than 15%",10,0))</f>
        <v/>
      </c>
      <c r="CD154" s="31" t="inlineStr">
        <is>
          <t>Yes Upto 10%</t>
        </is>
      </c>
      <c r="CE154" s="31">
        <f>IF(CD154="Yes, more than 10%",-10,IF(CD154="No",10,0))</f>
        <v/>
      </c>
    </row>
    <row r="155">
      <c r="A155" s="31">
        <f>IF(B155=0,"",RANK(B155,$B$2:$B$171,0))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ISGEC</t>
        </is>
      </c>
      <c r="D155" s="31" t="inlineStr">
        <is>
          <t>ISGEC Heavy Engineering  Ltd</t>
        </is>
      </c>
      <c r="E155" s="31" t="inlineStr">
        <is>
          <t>realty</t>
        </is>
      </c>
      <c r="F155" s="31" t="inlineStr">
        <is>
          <t>engineering - turnkey services</t>
        </is>
      </c>
      <c r="G155" s="31" t="inlineStr">
        <is>
          <t>midcap</t>
        </is>
      </c>
      <c r="H155" s="32" t="n">
        <v>6658.46</v>
      </c>
      <c r="I155" s="32" t="n">
        <v>905.55</v>
      </c>
      <c r="J155" s="32" t="n">
        <v>-0.46</v>
      </c>
      <c r="K155" s="32" t="n">
        <v>28747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55.03</v>
      </c>
      <c r="P155" s="32" t="n">
        <v>19.71</v>
      </c>
      <c r="Q155" s="32" t="inlineStr"/>
      <c r="R155" s="31" t="inlineStr">
        <is>
          <t>Earnings / Momentum Support</t>
        </is>
      </c>
      <c r="S155" s="31" t="inlineStr">
        <is>
          <t>Nifty Realty</t>
        </is>
      </c>
      <c r="T155" s="32" t="inlineStr"/>
      <c r="U155" s="32" t="inlineStr"/>
      <c r="V155" s="32" t="inlineStr"/>
      <c r="W155" s="32" t="inlineStr"/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IF(B156=0,"",RANK(B156,$B$2:$B$171,0))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NELCAST</t>
        </is>
      </c>
      <c r="D156" s="31" t="inlineStr">
        <is>
          <t>Nelcast Limited</t>
        </is>
      </c>
      <c r="E156" s="31" t="inlineStr">
        <is>
          <t>castings, forgings &amp; fasteners</t>
        </is>
      </c>
      <c r="F156" s="31" t="inlineStr">
        <is>
          <t>castings &amp; forgings</t>
        </is>
      </c>
      <c r="G156" s="31" t="inlineStr">
        <is>
          <t>smallcap</t>
        </is>
      </c>
      <c r="H156" s="32" t="n">
        <v>1210.27</v>
      </c>
      <c r="I156" s="32" t="n">
        <v>139.11</v>
      </c>
      <c r="J156" s="32" t="n">
        <v>-2.37</v>
      </c>
      <c r="K156" s="32" t="n">
        <v>137246</v>
      </c>
      <c r="L156" s="31" t="n">
        <v>22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59.76</v>
      </c>
      <c r="P156" s="32" t="n">
        <v>18.18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-10.93</v>
      </c>
      <c r="U156" s="32" t="n">
        <v>26.17</v>
      </c>
      <c r="V156" s="32" t="n">
        <v>41.66</v>
      </c>
      <c r="W156" s="32" t="n">
        <v>6.17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IF(B157=0,"",RANK(B157,$B$2:$B$171,0))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PERSISTENT</t>
        </is>
      </c>
      <c r="D157" s="31" t="inlineStr">
        <is>
          <t>Persistent Systems Limited</t>
        </is>
      </c>
      <c r="E157" s="31" t="inlineStr">
        <is>
          <t>i.t</t>
        </is>
      </c>
      <c r="F157" s="31" t="inlineStr">
        <is>
          <t>computers - software - large</t>
        </is>
      </c>
      <c r="G157" s="31" t="inlineStr">
        <is>
          <t>largecap</t>
        </is>
      </c>
      <c r="H157" s="32" t="n">
        <v>91289.92999999999</v>
      </c>
      <c r="I157" s="32" t="n">
        <v>5787</v>
      </c>
      <c r="J157" s="32" t="n">
        <v>0.29</v>
      </c>
      <c r="K157" s="32" t="n">
        <v>332431</v>
      </c>
      <c r="L157" s="31" t="n">
        <v>20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59.09</v>
      </c>
      <c r="P157" s="32" t="n">
        <v>13.34</v>
      </c>
      <c r="Q157" s="32" t="inlineStr"/>
      <c r="R157" s="31" t="inlineStr">
        <is>
          <t>Earnings / Momentum Support</t>
        </is>
      </c>
      <c r="S157" s="31" t="inlineStr">
        <is>
          <t>Nifty IT</t>
        </is>
      </c>
      <c r="T157" s="32" t="n">
        <v>-19.75</v>
      </c>
      <c r="U157" s="32" t="n">
        <v>8.460000000000001</v>
      </c>
      <c r="V157" s="32" t="n">
        <v>35.16</v>
      </c>
      <c r="W157" s="32" t="n">
        <v>5.38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Between 50% to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IF(B158=0,"",RANK(B158,$B$2:$B$171,0))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VENUSPIPES</t>
        </is>
      </c>
      <c r="D158" s="31" t="inlineStr">
        <is>
          <t>Venus Pipes &amp; Tubes Ltd</t>
        </is>
      </c>
      <c r="E158" s="31" t="inlineStr">
        <is>
          <t>metals &amp; mining</t>
        </is>
      </c>
      <c r="F158" s="31" t="inlineStr">
        <is>
          <t>steel - medium / small</t>
        </is>
      </c>
      <c r="G158" s="31" t="inlineStr">
        <is>
          <t>smallcap</t>
        </is>
      </c>
      <c r="H158" s="32" t="n">
        <v>4438.63</v>
      </c>
      <c r="I158" s="32" t="n">
        <v>2142.6</v>
      </c>
      <c r="J158" s="32" t="n">
        <v>4.96</v>
      </c>
      <c r="K158" s="32" t="n">
        <v>169018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64.06999999999999</v>
      </c>
      <c r="P158" s="32" t="n">
        <v>42.1</v>
      </c>
      <c r="Q158" s="32" t="inlineStr"/>
      <c r="R158" s="31" t="inlineStr">
        <is>
          <t>Earnings / Momentum Support</t>
        </is>
      </c>
      <c r="S158" s="31" t="inlineStr">
        <is>
          <t>Nifty Metal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IF(B159=0,"",RANK(B159,$B$2:$B$171,0))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BLKASHYAP</t>
        </is>
      </c>
      <c r="D159" s="31" t="inlineStr">
        <is>
          <t>B. L. Kashyap And Sons Limited</t>
        </is>
      </c>
      <c r="E159" s="31" t="inlineStr">
        <is>
          <t>realty</t>
        </is>
      </c>
      <c r="F159" s="31" t="inlineStr">
        <is>
          <t>construction</t>
        </is>
      </c>
      <c r="G159" s="31" t="inlineStr">
        <is>
          <t>smallcap</t>
        </is>
      </c>
      <c r="H159" s="32" t="n">
        <v>1285.46</v>
      </c>
      <c r="I159" s="32" t="n">
        <v>57.02</v>
      </c>
      <c r="J159" s="32" t="n">
        <v>3.17</v>
      </c>
      <c r="K159" s="32" t="n">
        <v>1355398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51.29</v>
      </c>
      <c r="P159" s="32" t="n">
        <v>18.54</v>
      </c>
      <c r="Q159" s="32" t="inlineStr"/>
      <c r="R159" s="31" t="inlineStr">
        <is>
          <t>Earnings / Momentum Support</t>
        </is>
      </c>
      <c r="S159" s="31" t="inlineStr">
        <is>
          <t>Nifty Realty</t>
        </is>
      </c>
      <c r="T159" s="32" t="inlineStr"/>
      <c r="U159" s="32" t="inlineStr"/>
      <c r="V159" s="32" t="inlineStr"/>
      <c r="W159" s="32" t="inlineStr"/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IF(B160=0,"",RANK(B160,$B$2:$B$171,0))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SBC</t>
        </is>
      </c>
      <c r="D160" s="31" t="inlineStr">
        <is>
          <t>SBC Exports Ltd</t>
        </is>
      </c>
      <c r="E160" s="31" t="inlineStr">
        <is>
          <t>textiles</t>
        </is>
      </c>
      <c r="F160" s="31" t="inlineStr">
        <is>
          <t>textiles - products</t>
        </is>
      </c>
      <c r="G160" s="31" t="inlineStr">
        <is>
          <t>smallcap</t>
        </is>
      </c>
      <c r="H160" s="32" t="n">
        <v>3056.19</v>
      </c>
      <c r="I160" s="32" t="n">
        <v>64.18000000000001</v>
      </c>
      <c r="J160" s="32" t="n">
        <v>2.8</v>
      </c>
      <c r="K160" s="32" t="n">
        <v>25712281</v>
      </c>
      <c r="L160" s="31" t="n">
        <v>80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86.65000000000001</v>
      </c>
      <c r="P160" s="32" t="n">
        <v>32.67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-10.93</v>
      </c>
      <c r="U160" s="32" t="n">
        <v>174.42</v>
      </c>
      <c r="V160" s="32" t="n">
        <v>208.11</v>
      </c>
      <c r="W160" s="32" t="n">
        <v>32.82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More than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IF(B161=0,"",RANK(B161,$B$2:$B$171,0))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GLOBAL</t>
        </is>
      </c>
      <c r="D161" s="31" t="inlineStr">
        <is>
          <t>Global Education Ltd</t>
        </is>
      </c>
      <c r="E161" s="31" t="inlineStr">
        <is>
          <t>services</t>
        </is>
      </c>
      <c r="F161" s="31" t="inlineStr">
        <is>
          <t>miscellaneous</t>
        </is>
      </c>
      <c r="G161" s="31" t="inlineStr">
        <is>
          <t>smallcap</t>
        </is>
      </c>
      <c r="H161" s="32" t="n">
        <v>728.5</v>
      </c>
      <c r="I161" s="32" t="n">
        <v>143.12</v>
      </c>
      <c r="J161" s="32" t="n">
        <v>0.65</v>
      </c>
      <c r="K161" s="32" t="n">
        <v>76021</v>
      </c>
      <c r="L161" s="31" t="n">
        <v>72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78.13</v>
      </c>
      <c r="P161" s="32" t="n">
        <v>33.82</v>
      </c>
      <c r="Q161" s="32" t="inlineStr"/>
      <c r="R161" s="31" t="inlineStr">
        <is>
          <t>Earnings / Momentum Support</t>
        </is>
      </c>
      <c r="S161" s="31" t="inlineStr">
        <is>
          <t>Nifty 50</t>
        </is>
      </c>
      <c r="T161" s="32" t="n">
        <v>-10.93</v>
      </c>
      <c r="U161" s="32" t="n">
        <v>132.22</v>
      </c>
      <c r="V161" s="32" t="n">
        <v>160.73</v>
      </c>
      <c r="W161" s="32" t="n">
        <v>27.35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Less than 50%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IF(B162=0,"",RANK(B162,$B$2:$B$171,0))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BBOX</t>
        </is>
      </c>
      <c r="D162" s="31" t="inlineStr">
        <is>
          <t>Black Box Ltd</t>
        </is>
      </c>
      <c r="E162" s="31" t="inlineStr">
        <is>
          <t>i.t</t>
        </is>
      </c>
      <c r="F162" s="31" t="inlineStr">
        <is>
          <t>computers - software - medium / small</t>
        </is>
      </c>
      <c r="G162" s="31" t="inlineStr">
        <is>
          <t>midcap</t>
        </is>
      </c>
      <c r="H162" s="32" t="n">
        <v>16420.82</v>
      </c>
      <c r="I162" s="32" t="n">
        <v>924.6</v>
      </c>
      <c r="J162" s="32" t="n">
        <v>3.64</v>
      </c>
      <c r="K162" s="32" t="n">
        <v>1459449</v>
      </c>
      <c r="L162" s="31" t="n">
        <v>38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60.79</v>
      </c>
      <c r="P162" s="32" t="n">
        <v>9.029999999999999</v>
      </c>
      <c r="Q162" s="32" t="inlineStr"/>
      <c r="R162" s="31" t="inlineStr">
        <is>
          <t>Earnings / Momentum Support</t>
        </is>
      </c>
      <c r="S162" s="31" t="inlineStr">
        <is>
          <t>Nifty IT</t>
        </is>
      </c>
      <c r="T162" s="32" t="n">
        <v>-19.75</v>
      </c>
      <c r="U162" s="32" t="n">
        <v>55.25</v>
      </c>
      <c r="V162" s="32" t="n">
        <v>93.47</v>
      </c>
      <c r="W162" s="32" t="n">
        <v>12.22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Between 12 to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IF(B163=0,"",RANK(B163,$B$2:$B$171,0))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BMWVENTLTD</t>
        </is>
      </c>
      <c r="D163" s="31" t="inlineStr">
        <is>
          <t>BMW Ventures Ltd</t>
        </is>
      </c>
      <c r="E163" s="31" t="inlineStr">
        <is>
          <t>services</t>
        </is>
      </c>
      <c r="F163" s="31" t="inlineStr">
        <is>
          <t>trading</t>
        </is>
      </c>
      <c r="G163" s="31" t="inlineStr">
        <is>
          <t>smallcap</t>
        </is>
      </c>
      <c r="H163" s="32" t="n">
        <v>548.47</v>
      </c>
      <c r="I163" s="32" t="n">
        <v>63.25</v>
      </c>
      <c r="J163" s="32" t="n">
        <v>9.15</v>
      </c>
      <c r="K163" s="32" t="n">
        <v>2273649</v>
      </c>
      <c r="L163" s="31" t="n">
        <v>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47.34</v>
      </c>
      <c r="P163" s="32" t="n">
        <v>11.93</v>
      </c>
      <c r="Q163" s="32" t="inlineStr"/>
      <c r="R163" s="31" t="inlineStr">
        <is>
          <t>Volume Spike / Accumulation</t>
        </is>
      </c>
      <c r="S163" s="31" t="inlineStr">
        <is>
          <t>Nifty 50</t>
        </is>
      </c>
      <c r="T163" s="32" t="n">
        <v>-10.93</v>
      </c>
      <c r="U163" s="32" t="n">
        <v>-1.99</v>
      </c>
      <c r="V163" s="32" t="n">
        <v>10.05</v>
      </c>
      <c r="W163" s="32" t="n">
        <v>-0.48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Below 45</t>
        </is>
      </c>
      <c r="BA163" s="31">
        <f>IF(AZ163="Between 50 to 75",10,IF(AZ163="Above 75",0,0))</f>
        <v/>
      </c>
      <c r="BB163" s="31" t="inlineStr">
        <is>
          <t>Stage 4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IF(B164=0,"",RANK(B164,$B$2:$B$171,0))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SUNFLAG</t>
        </is>
      </c>
      <c r="D164" s="31" t="inlineStr">
        <is>
          <t>Sunflag Iron And Steel Company Limited</t>
        </is>
      </c>
      <c r="E164" s="31" t="inlineStr">
        <is>
          <t>metals &amp; mining</t>
        </is>
      </c>
      <c r="F164" s="31" t="inlineStr">
        <is>
          <t>steel - medium / small</t>
        </is>
      </c>
      <c r="G164" s="31" t="inlineStr">
        <is>
          <t>midcap</t>
        </is>
      </c>
      <c r="H164" s="32" t="n">
        <v>7947.68</v>
      </c>
      <c r="I164" s="32" t="n">
        <v>441</v>
      </c>
      <c r="J164" s="32" t="n">
        <v>0.27</v>
      </c>
      <c r="K164" s="32" t="n">
        <v>168059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71.20999999999999</v>
      </c>
      <c r="P164" s="32" t="n">
        <v>37.21</v>
      </c>
      <c r="Q164" s="32" t="inlineStr"/>
      <c r="R164" s="31" t="inlineStr">
        <is>
          <t>Earnings / Momentum Support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Cyclical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Volatile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IF(B165=0,"",RANK(B165,$B$2:$B$171,0))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ROSSTECH</t>
        </is>
      </c>
      <c r="D165" s="31" t="inlineStr">
        <is>
          <t>Rossell Techsys Ltd</t>
        </is>
      </c>
      <c r="E165" s="31" t="inlineStr">
        <is>
          <t>aerospace &amp; defence</t>
        </is>
      </c>
      <c r="F165" s="31" t="inlineStr">
        <is>
          <t>engineering</t>
        </is>
      </c>
      <c r="G165" s="31" t="inlineStr">
        <is>
          <t>midcap</t>
        </is>
      </c>
      <c r="H165" s="32" t="n">
        <v>5925.89</v>
      </c>
      <c r="I165" s="32" t="n">
        <v>1572</v>
      </c>
      <c r="J165" s="32" t="n">
        <v>-0.18</v>
      </c>
      <c r="K165" s="32" t="n">
        <v>105442</v>
      </c>
      <c r="L165" s="31" t="n">
        <v>79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81.98</v>
      </c>
      <c r="P165" s="32" t="n">
        <v>38.45</v>
      </c>
      <c r="Q165" s="32" t="inlineStr"/>
      <c r="R165" s="31" t="inlineStr">
        <is>
          <t>Earnings / Momentum Support</t>
        </is>
      </c>
      <c r="S165" s="31" t="inlineStr">
        <is>
          <t>Nifty 50</t>
        </is>
      </c>
      <c r="T165" s="32" t="n">
        <v>-10.93</v>
      </c>
      <c r="U165" s="32" t="n">
        <v>125.96</v>
      </c>
      <c r="V165" s="32" t="n">
        <v>153.7</v>
      </c>
      <c r="W165" s="32" t="n">
        <v>32.77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IF(B166=0,"",RANK(B166,$B$2:$B$171,0))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RATNAVEER</t>
        </is>
      </c>
      <c r="D166" s="31" t="inlineStr">
        <is>
          <t>Ratnaveer Precision Engineering Ltd</t>
        </is>
      </c>
      <c r="E166" s="31" t="inlineStr">
        <is>
          <t>metals &amp; mining</t>
        </is>
      </c>
      <c r="F166" s="31" t="inlineStr">
        <is>
          <t>steel - medium / small</t>
        </is>
      </c>
      <c r="G166" s="31" t="inlineStr">
        <is>
          <t>smallcap</t>
        </is>
      </c>
      <c r="H166" s="32" t="n">
        <v>2783.42</v>
      </c>
      <c r="I166" s="32" t="n">
        <v>331.65</v>
      </c>
      <c r="J166" s="32" t="n">
        <v>-3.48</v>
      </c>
      <c r="K166" s="32" t="n">
        <v>4233088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81.27</v>
      </c>
      <c r="P166" s="32" t="n">
        <v>71.95</v>
      </c>
      <c r="Q166" s="32" t="inlineStr"/>
      <c r="R166" s="31" t="inlineStr">
        <is>
          <t>Earnings / Momentum Support</t>
        </is>
      </c>
      <c r="S166" s="31" t="inlineStr">
        <is>
          <t>Nifty Metal</t>
        </is>
      </c>
      <c r="T166" s="32" t="inlineStr"/>
      <c r="U166" s="32" t="inlineStr"/>
      <c r="V166" s="32" t="inlineStr"/>
      <c r="W166" s="32" t="inlineStr"/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IF(B167=0,"",RANK(B167,$B$2:$B$171,0))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TIPSMUSIC</t>
        </is>
      </c>
      <c r="D167" s="31" t="inlineStr">
        <is>
          <t>Tips Music Ltd</t>
        </is>
      </c>
      <c r="E167" s="31" t="inlineStr">
        <is>
          <t>media</t>
        </is>
      </c>
      <c r="F167" s="31" t="inlineStr">
        <is>
          <t>entertainment / electronic media software</t>
        </is>
      </c>
      <c r="G167" s="31" t="inlineStr">
        <is>
          <t>midcap</t>
        </is>
      </c>
      <c r="H167" s="32" t="n">
        <v>8721.309999999999</v>
      </c>
      <c r="I167" s="32" t="n">
        <v>682.25</v>
      </c>
      <c r="J167" s="32" t="n">
        <v>7.21</v>
      </c>
      <c r="K167" s="32" t="n">
        <v>1435419</v>
      </c>
      <c r="L167" s="31" t="n">
        <v>7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49.11</v>
      </c>
      <c r="P167" s="32" t="n">
        <v>15.1</v>
      </c>
      <c r="Q167" s="32" t="inlineStr"/>
      <c r="R167" s="31" t="inlineStr">
        <is>
          <t>Earnings / Momentum Support</t>
        </is>
      </c>
      <c r="S167" s="31" t="inlineStr">
        <is>
          <t>Nifty IT</t>
        </is>
      </c>
      <c r="T167" s="32" t="n">
        <v>-19.75</v>
      </c>
      <c r="U167" s="32" t="n">
        <v>17.89</v>
      </c>
      <c r="V167" s="32" t="n">
        <v>46.91</v>
      </c>
      <c r="W167" s="32" t="n">
        <v>2.16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Below 45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IF(B168=0,"",RANK(B168,$B$2:$B$171,0))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ARFIN</t>
        </is>
      </c>
      <c r="D168" s="31" t="inlineStr">
        <is>
          <t>Arfin India Ltd</t>
        </is>
      </c>
      <c r="E168" s="31" t="inlineStr">
        <is>
          <t>metals &amp; mining</t>
        </is>
      </c>
      <c r="F168" s="31" t="inlineStr">
        <is>
          <t>aluminium and aluminium products</t>
        </is>
      </c>
      <c r="G168" s="31" t="inlineStr">
        <is>
          <t>smallcap</t>
        </is>
      </c>
      <c r="H168" s="32" t="n">
        <v>1789.64</v>
      </c>
      <c r="I168" s="32" t="n">
        <v>106.07</v>
      </c>
      <c r="J168" s="32" t="n">
        <v>0.88</v>
      </c>
      <c r="K168" s="32" t="n">
        <v>5036723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67.5</v>
      </c>
      <c r="P168" s="32" t="n">
        <v>26.21</v>
      </c>
      <c r="Q168" s="32" t="inlineStr"/>
      <c r="R168" s="31" t="inlineStr">
        <is>
          <t>Earnings / Momentum Support</t>
        </is>
      </c>
      <c r="S168" s="31" t="inlineStr">
        <is>
          <t>Nifty Metal</t>
        </is>
      </c>
      <c r="T168" s="32" t="inlineStr"/>
      <c r="U168" s="32" t="inlineStr"/>
      <c r="V168" s="32" t="inlineStr"/>
      <c r="W168" s="32" t="inlineStr"/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Cyclical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Volatile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IF(B169=0,"",RANK(B169,$B$2:$B$171,0))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SWARAJENG</t>
        </is>
      </c>
      <c r="D169" s="33" t="inlineStr">
        <is>
          <t>Swaraj Engines Limited</t>
        </is>
      </c>
      <c r="E169" s="31" t="inlineStr">
        <is>
          <t>industrials</t>
        </is>
      </c>
      <c r="F169" s="31" t="inlineStr">
        <is>
          <t>engines</t>
        </is>
      </c>
      <c r="G169" s="31" t="inlineStr">
        <is>
          <t>smallcap</t>
        </is>
      </c>
      <c r="H169" s="32" t="n">
        <v>4542.11</v>
      </c>
      <c r="I169" s="32" t="n">
        <v>3738.4</v>
      </c>
      <c r="J169" s="32" t="n">
        <v>8.699999999999999</v>
      </c>
      <c r="K169" s="32" t="n">
        <v>1409494</v>
      </c>
      <c r="L169" s="31" t="n">
        <v>1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40.68</v>
      </c>
      <c r="P169" s="32" t="n">
        <v>8.1</v>
      </c>
      <c r="Q169" s="32" t="inlineStr"/>
      <c r="R169" s="31" t="inlineStr">
        <is>
          <t>Volume Spike / Accumulation</t>
        </is>
      </c>
      <c r="S169" s="31" t="inlineStr">
        <is>
          <t>Nifty 50</t>
        </is>
      </c>
      <c r="T169" s="32" t="n">
        <v>-10.93</v>
      </c>
      <c r="U169" s="32" t="n">
        <v>-16.66</v>
      </c>
      <c r="V169" s="32" t="n">
        <v>-6.43</v>
      </c>
      <c r="W169" s="32" t="n">
        <v>-5.05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Below 45</t>
        </is>
      </c>
      <c r="BA169" s="31">
        <f>IF(AZ169="Between 50 to 75",10,IF(AZ169="Above 75",0,0))</f>
        <v/>
      </c>
      <c r="BB169" s="31" t="inlineStr">
        <is>
          <t>Stage 4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IF(B170=0,"",RANK(B170,$B$2:$B$171,0))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TRENT</t>
        </is>
      </c>
      <c r="D170" s="33" t="inlineStr">
        <is>
          <t>Trent Limited</t>
        </is>
      </c>
      <c r="E170" s="31" t="inlineStr">
        <is>
          <t>consumer discretionary</t>
        </is>
      </c>
      <c r="F170" s="31" t="inlineStr">
        <is>
          <t>trading</t>
        </is>
      </c>
      <c r="G170" s="31" t="inlineStr">
        <is>
          <t>largecap</t>
        </is>
      </c>
      <c r="H170" s="32" t="n">
        <v>155330.57</v>
      </c>
      <c r="I170" s="32" t="n">
        <v>2913</v>
      </c>
      <c r="J170" s="32" t="n">
        <v>-0.18</v>
      </c>
      <c r="K170" s="32" t="n">
        <v>636494</v>
      </c>
      <c r="L170" s="31" t="n">
        <v>1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49.63</v>
      </c>
      <c r="P170" s="32" t="n">
        <v>6.62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-10.93</v>
      </c>
      <c r="U170" s="32" t="n">
        <v>-37.7</v>
      </c>
      <c r="V170" s="32" t="n">
        <v>-30.05</v>
      </c>
      <c r="W170" s="32" t="n">
        <v>-6.51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Below 45</t>
        </is>
      </c>
      <c r="BA170" s="31">
        <f>IF(AZ170="Between 50 to 75",10,IF(AZ170="Above 75",0,0))</f>
        <v/>
      </c>
      <c r="BB170" s="31" t="inlineStr">
        <is>
          <t>Stage 4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IF(B171=0,"",RANK(B171,$B$2:$B$171,0))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WESTLIFE</t>
        </is>
      </c>
      <c r="D171" s="31" t="inlineStr">
        <is>
          <t>Westlife Foodworld Ltd</t>
        </is>
      </c>
      <c r="E171" s="31" t="inlineStr">
        <is>
          <t>consumer discretionary</t>
        </is>
      </c>
      <c r="F171" s="31" t="inlineStr">
        <is>
          <t>hotels</t>
        </is>
      </c>
      <c r="G171" s="31" t="inlineStr">
        <is>
          <t>midcap</t>
        </is>
      </c>
      <c r="H171" s="32" t="n">
        <v>9151.889999999999</v>
      </c>
      <c r="I171" s="32" t="n">
        <v>586.9</v>
      </c>
      <c r="J171" s="32" t="n">
        <v>1.09</v>
      </c>
      <c r="K171" s="32" t="n">
        <v>183064</v>
      </c>
      <c r="L171" s="31" t="n">
        <v>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58.79</v>
      </c>
      <c r="P171" s="32" t="n">
        <v>15.94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-10.93</v>
      </c>
      <c r="U171" s="32" t="n">
        <v>-9.470000000000001</v>
      </c>
      <c r="V171" s="32" t="n">
        <v>1.65</v>
      </c>
      <c r="W171" s="32" t="n">
        <v>1.77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More than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</sheetData>
  <autoFilter ref="A1:CE171"/>
  <conditionalFormatting sqref="B2:B17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7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71">
    <cfRule type="cellIs" priority="36" operator="equal" dxfId="3" stopIfTrue="1">
      <formula>"Underperforming"</formula>
    </cfRule>
  </conditionalFormatting>
  <conditionalFormatting sqref="N2:N171">
    <cfRule type="cellIs" priority="37" operator="equal" dxfId="3" stopIfTrue="1">
      <formula>-5</formula>
    </cfRule>
  </conditionalFormatting>
  <conditionalFormatting sqref="Q2:Q17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71" showDropDown="0" showInputMessage="0" showErrorMessage="0" allowBlank="1" type="list">
      <formula1>"Growing Industry,Stagnant Industry,Cyclical in an Upturn"</formula1>
    </dataValidation>
    <dataValidation sqref="Z2:Z17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71" showDropDown="0" showInputMessage="0" showErrorMessage="0" allowBlank="1" type="list">
      <formula1>"Yes,No"</formula1>
    </dataValidation>
    <dataValidation sqref="AD2:AD171" showDropDown="0" showInputMessage="0" showErrorMessage="0" allowBlank="1" type="list">
      <formula1>"Tailwind,Headwind"</formula1>
    </dataValidation>
    <dataValidation sqref="AF2:AF171" showDropDown="0" showInputMessage="0" showErrorMessage="0" allowBlank="1" type="list">
      <formula1>"Structural (10 Years Consistency),Shallow Cyclical (2 to 3 Years Growth),Cyclical"</formula1>
    </dataValidation>
    <dataValidation sqref="AH2:AH171" showDropDown="0" showInputMessage="0" showErrorMessage="0" allowBlank="1" type="list">
      <formula1>"Yes due to Product Mix change or Operating Leverage,Yes, these are peak margins,No"</formula1>
    </dataValidation>
    <dataValidation sqref="AJ2:AJ171" showDropDown="0" showInputMessage="0" showErrorMessage="0" allowBlank="1" type="list">
      <formula1>"Stable,Volatile"</formula1>
    </dataValidation>
    <dataValidation sqref="AL2:AL171" showDropDown="0" showInputMessage="0" showErrorMessage="0" allowBlank="1" type="list">
      <formula1>"Yes,No"</formula1>
    </dataValidation>
    <dataValidation sqref="AN2:AN171" showDropDown="0" showInputMessage="0" showErrorMessage="0" allowBlank="1" type="list">
      <formula1>"B2C,B2B,B2G"</formula1>
    </dataValidation>
    <dataValidation sqref="AP2:AP171" showDropDown="0" showInputMessage="0" showErrorMessage="0" allowBlank="1" type="list">
      <formula1>"Yes,No"</formula1>
    </dataValidation>
    <dataValidation sqref="AR2:AR171" showDropDown="0" showInputMessage="0" showErrorMessage="0" allowBlank="1" type="list">
      <formula1>"Fully Annuity,Higher Annuity, Lower One time,Higher One Time, Lower Annuity,Fully One Time"</formula1>
    </dataValidation>
    <dataValidation sqref="AT2:AT171" showDropDown="0" showInputMessage="0" showErrorMessage="0" allowBlank="1" type="list">
      <formula1>"Good,Allocated capital in Non-core Areas"</formula1>
    </dataValidation>
    <dataValidation sqref="AV2:AV171" showDropDown="0" showInputMessage="0" showErrorMessage="0" allowBlank="1" type="list">
      <formula1>"Yes for more than 2 years,Yes only for next 1 to 2 years,No"</formula1>
    </dataValidation>
    <dataValidation sqref="AX2:AX171" showDropDown="0" showInputMessage="0" showErrorMessage="0" allowBlank="1" type="list">
      <formula1>"Above 40,20 to 40,0 to 20"</formula1>
    </dataValidation>
    <dataValidation sqref="AZ2:AZ171" showDropDown="0" showInputMessage="0" showErrorMessage="0" allowBlank="1" type="list">
      <formula1>"Between 50 to 75,Above 75,Below 45"</formula1>
    </dataValidation>
    <dataValidation sqref="BB2:BB171" showDropDown="0" showInputMessage="0" showErrorMessage="0" allowBlank="1" type="list">
      <formula1>"Stage 1,Stage 2,Stage 3,Stage 4"</formula1>
    </dataValidation>
    <dataValidation sqref="BD2:BD171" showDropDown="0" showInputMessage="0" showErrorMessage="0" allowBlank="1" type="list">
      <formula1>"Positive Trend,Negative Trend"</formula1>
    </dataValidation>
    <dataValidation sqref="BF2:BF171" showDropDown="0" showInputMessage="0" showErrorMessage="0" allowBlank="1" type="list">
      <formula1>"Uptrend,Sideways,Downtrend"</formula1>
    </dataValidation>
    <dataValidation sqref="BH2:BH171" showDropDown="0" showInputMessage="0" showErrorMessage="0" allowBlank="1" type="list">
      <formula1>"Uptrend,Sideways,Downtrend"</formula1>
    </dataValidation>
    <dataValidation sqref="BJ2:BJ17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71" showDropDown="0" showInputMessage="0" showErrorMessage="0" allowBlank="1" type="list">
      <formula1>"Yes,No"</formula1>
    </dataValidation>
    <dataValidation sqref="BN2:BN171" showDropDown="0" showInputMessage="0" showErrorMessage="0" allowBlank="1" type="list">
      <formula1>"More than 20%,Between 12 to 20%,Less than 12%"</formula1>
    </dataValidation>
    <dataValidation sqref="BP2:BP171" showDropDown="0" showInputMessage="0" showErrorMessage="0" allowBlank="1" type="list">
      <formula1>"Yes,No"</formula1>
    </dataValidation>
    <dataValidation sqref="BR2:BR171" showDropDown="0" showInputMessage="0" showErrorMessage="0" allowBlank="1" type="list">
      <formula1>"Yes,No"</formula1>
    </dataValidation>
    <dataValidation sqref="BT2:BT171" showDropDown="0" showInputMessage="0" showErrorMessage="0" allowBlank="1" type="list">
      <formula1>"Above 2,Between 1.5 to 2,Less than 1.5"</formula1>
    </dataValidation>
    <dataValidation sqref="BV2:BV171" showDropDown="0" showInputMessage="0" showErrorMessage="0" allowBlank="1" type="list">
      <formula1>"Above 70%,Between 50% to 70%,Less than 50%,Less than 50% and Borrowings are increasing,Negative"</formula1>
    </dataValidation>
    <dataValidation sqref="BX2:BX171" showDropDown="0" showInputMessage="0" showErrorMessage="0" allowBlank="1" type="list">
      <formula1>"More than 1.2,Between 0.7 to 1.2,Less than 0.7"</formula1>
    </dataValidation>
    <dataValidation sqref="BZ2:BZ171" showDropDown="0" showInputMessage="0" showErrorMessage="0" allowBlank="1" type="list">
      <formula1>"Yes,No"</formula1>
    </dataValidation>
    <dataValidation sqref="CB2:CB171" showDropDown="0" showInputMessage="0" showErrorMessage="0" allowBlank="1" type="list">
      <formula1>"More than 15%,Less than 15%"</formula1>
    </dataValidation>
    <dataValidation sqref="CD2:CD17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12770.04</v>
      </c>
      <c r="I2" s="32" t="n">
        <v>337.65</v>
      </c>
      <c r="J2" s="32" t="n">
        <v>2.88</v>
      </c>
      <c r="K2" s="32" t="n">
        <v>2360467</v>
      </c>
      <c r="L2" s="31" t="n">
        <v>53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66.78</v>
      </c>
      <c r="P2" s="32" t="n">
        <v>58.26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-2.39</v>
      </c>
      <c r="U2" s="32" t="n">
        <v>90.88</v>
      </c>
      <c r="V2" s="32" t="n">
        <v>95.56</v>
      </c>
      <c r="W2" s="32" t="n">
        <v>18.38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MANBA</t>
        </is>
      </c>
      <c r="D3" s="31" t="inlineStr">
        <is>
          <t>Manba Finance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713.8</v>
      </c>
      <c r="I3" s="32" t="n">
        <v>142.08</v>
      </c>
      <c r="J3" s="32" t="n">
        <v>0.37</v>
      </c>
      <c r="K3" s="32" t="n">
        <v>72089</v>
      </c>
      <c r="L3" s="31" t="n">
        <v>10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64.38</v>
      </c>
      <c r="P3" s="32" t="n">
        <v>40.67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-2.39</v>
      </c>
      <c r="U3" s="32" t="n">
        <v>6.53</v>
      </c>
      <c r="V3" s="32" t="n">
        <v>9.140000000000001</v>
      </c>
      <c r="W3" s="32" t="n">
        <v>2.87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DCBBANK</t>
        </is>
      </c>
      <c r="D4" s="31" t="inlineStr">
        <is>
          <t>Dcb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6921.12</v>
      </c>
      <c r="I4" s="32" t="n">
        <v>214.89</v>
      </c>
      <c r="J4" s="32" t="n">
        <v>5.45</v>
      </c>
      <c r="K4" s="32" t="n">
        <v>4729568</v>
      </c>
      <c r="L4" s="31" t="n">
        <v>37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55.48</v>
      </c>
      <c r="P4" s="32" t="n">
        <v>33.27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-2.39</v>
      </c>
      <c r="U4" s="32" t="n">
        <v>57.89</v>
      </c>
      <c r="V4" s="32" t="n">
        <v>61.76</v>
      </c>
      <c r="W4" s="32" t="n">
        <v>11.99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ESAFSFB</t>
        </is>
      </c>
      <c r="D5" s="31" t="inlineStr">
        <is>
          <t>ESAF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smallcap</t>
        </is>
      </c>
      <c r="H5" s="32" t="n">
        <v>2242.84</v>
      </c>
      <c r="I5" s="32" t="n">
        <v>43.47</v>
      </c>
      <c r="J5" s="32" t="n">
        <v>5</v>
      </c>
      <c r="K5" s="32" t="n">
        <v>1181927</v>
      </c>
      <c r="L5" s="31" t="n">
        <v>38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59.51</v>
      </c>
      <c r="P5" s="32" t="n">
        <v>38.26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-2.39</v>
      </c>
      <c r="U5" s="32" t="n">
        <v>42.12</v>
      </c>
      <c r="V5" s="32" t="n">
        <v>45.6</v>
      </c>
      <c r="W5" s="32" t="n">
        <v>12.81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KARURVYSYA</t>
        </is>
      </c>
      <c r="D6" s="31" t="inlineStr">
        <is>
          <t>Karur Vysya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33089.07</v>
      </c>
      <c r="I6" s="32" t="n">
        <v>342.3</v>
      </c>
      <c r="J6" s="32" t="n">
        <v>0.71</v>
      </c>
      <c r="K6" s="32" t="n">
        <v>2260026</v>
      </c>
      <c r="L6" s="31" t="n">
        <v>35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62.03</v>
      </c>
      <c r="P6" s="32" t="n">
        <v>30.96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-2.39</v>
      </c>
      <c r="U6" s="32" t="n">
        <v>51.17</v>
      </c>
      <c r="V6" s="32" t="n">
        <v>54.88</v>
      </c>
      <c r="W6" s="32" t="n">
        <v>11.17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DHANBANK</t>
        </is>
      </c>
      <c r="D7" s="31" t="inlineStr">
        <is>
          <t>Dhanlaxmi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1327.37</v>
      </c>
      <c r="I7" s="32" t="n">
        <v>33.63</v>
      </c>
      <c r="J7" s="32" t="n">
        <v>-0.97</v>
      </c>
      <c r="K7" s="32" t="n">
        <v>955464</v>
      </c>
      <c r="L7" s="31" t="n">
        <v>20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57.89</v>
      </c>
      <c r="P7" s="32" t="n">
        <v>22.41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-2.39</v>
      </c>
      <c r="U7" s="32" t="n">
        <v>30.41</v>
      </c>
      <c r="V7" s="32" t="n">
        <v>33.61</v>
      </c>
      <c r="W7" s="32" t="n">
        <v>5.73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SMCGLOBAL</t>
        </is>
      </c>
      <c r="D8" s="31" t="inlineStr">
        <is>
          <t>SMC Global Securities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2392.81</v>
      </c>
      <c r="I8" s="32" t="n">
        <v>114.27</v>
      </c>
      <c r="J8" s="32" t="n">
        <v>-1.45</v>
      </c>
      <c r="K8" s="32" t="n">
        <v>18136347</v>
      </c>
      <c r="L8" s="31" t="n">
        <v>68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77.03</v>
      </c>
      <c r="P8" s="32" t="n">
        <v>43.19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-2.39</v>
      </c>
      <c r="U8" s="32" t="n">
        <v>68.94</v>
      </c>
      <c r="V8" s="32" t="n">
        <v>73.08</v>
      </c>
      <c r="W8" s="32" t="n">
        <v>25.38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IF(B9=0,"",RANK(B9,$B$2:$B$23,0))</f>
        <v/>
      </c>
      <c r="B9" s="32">
        <f>SUM(N9,Y9,AA9,AC9,AE9,AG9,AI9,AK9,AM9,AO9,AQ9,AS9,AU9,AW9,AY9,BA9,BC9,BE9,BG9,BI9,BK9,BM9,BO9,BQ9,BS9,BU9,BW9,BY9,CA9)</f>
        <v/>
      </c>
      <c r="C9" s="33" t="inlineStr">
        <is>
          <t>ARIHANTCAP</t>
        </is>
      </c>
      <c r="D9" s="33" t="inlineStr">
        <is>
          <t>Arihant Capital Markets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1059.19</v>
      </c>
      <c r="I9" s="32" t="n">
        <v>96.63</v>
      </c>
      <c r="J9" s="32" t="n">
        <v>0.46</v>
      </c>
      <c r="K9" s="32" t="n">
        <v>396346</v>
      </c>
      <c r="L9" s="31" t="n">
        <v>14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67.51000000000001</v>
      </c>
      <c r="P9" s="32" t="n">
        <v>24.24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-2.39</v>
      </c>
      <c r="U9" s="32" t="n">
        <v>-14.68</v>
      </c>
      <c r="V9" s="32" t="n">
        <v>-12.59</v>
      </c>
      <c r="W9" s="32" t="n">
        <v>4.26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SGFIN</t>
        </is>
      </c>
      <c r="D10" s="31" t="inlineStr">
        <is>
          <t>SG Finserve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4537.2</v>
      </c>
      <c r="I10" s="32" t="n">
        <v>688.55</v>
      </c>
      <c r="J10" s="32" t="n">
        <v>1.85</v>
      </c>
      <c r="K10" s="32" t="n">
        <v>615946</v>
      </c>
      <c r="L10" s="31" t="n">
        <v>43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61.02</v>
      </c>
      <c r="P10" s="32" t="n">
        <v>27.53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-2.39</v>
      </c>
      <c r="U10" s="32" t="n">
        <v>84.18000000000001</v>
      </c>
      <c r="V10" s="32" t="n">
        <v>88.69</v>
      </c>
      <c r="W10" s="32" t="n">
        <v>14.89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PNBHOUSING</t>
        </is>
      </c>
      <c r="D11" s="31" t="inlineStr">
        <is>
          <t>Pnb Housing Finance Limited</t>
        </is>
      </c>
      <c r="E11" s="31" t="inlineStr">
        <is>
          <t>financials</t>
        </is>
      </c>
      <c r="F11" s="31" t="inlineStr">
        <is>
          <t>finance - housing</t>
        </is>
      </c>
      <c r="G11" s="31" t="inlineStr">
        <is>
          <t>largecap</t>
        </is>
      </c>
      <c r="H11" s="32" t="n">
        <v>31270.79</v>
      </c>
      <c r="I11" s="32" t="n">
        <v>1200</v>
      </c>
      <c r="J11" s="32" t="n">
        <v>3.63</v>
      </c>
      <c r="K11" s="32" t="n">
        <v>1808660</v>
      </c>
      <c r="L11" s="31" t="n">
        <v>26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62.12</v>
      </c>
      <c r="P11" s="32" t="n">
        <v>31.54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-2.39</v>
      </c>
      <c r="U11" s="32" t="n">
        <v>36.72</v>
      </c>
      <c r="V11" s="32" t="n">
        <v>40.07</v>
      </c>
      <c r="W11" s="32" t="n">
        <v>8.289999999999999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SOUTHBANK</t>
        </is>
      </c>
      <c r="D12" s="31" t="inlineStr">
        <is>
          <t>The South Indian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12831.14</v>
      </c>
      <c r="I12" s="32" t="n">
        <v>49.01</v>
      </c>
      <c r="J12" s="32" t="n">
        <v>2.3</v>
      </c>
      <c r="K12" s="32" t="n">
        <v>13161293</v>
      </c>
      <c r="L12" s="31" t="n">
        <v>28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59.53</v>
      </c>
      <c r="P12" s="32" t="n">
        <v>38.88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-2.39</v>
      </c>
      <c r="U12" s="32" t="n">
        <v>41.22</v>
      </c>
      <c r="V12" s="32" t="n">
        <v>44.68</v>
      </c>
      <c r="W12" s="32" t="n">
        <v>8.779999999999999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KOTAKBANK</t>
        </is>
      </c>
      <c r="D13" s="31" t="inlineStr">
        <is>
          <t>Kotak Mahindra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441037.08</v>
      </c>
      <c r="I13" s="32" t="n">
        <v>443.4</v>
      </c>
      <c r="J13" s="32" t="n">
        <v>0.54</v>
      </c>
      <c r="K13" s="32" t="n">
        <v>17833238</v>
      </c>
      <c r="L13" s="31" t="n">
        <v>16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64.53</v>
      </c>
      <c r="P13" s="32" t="n">
        <v>14.78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-2.39</v>
      </c>
      <c r="U13" s="32" t="n">
        <v>2.73</v>
      </c>
      <c r="V13" s="32" t="n">
        <v>5.25</v>
      </c>
      <c r="W13" s="32" t="n">
        <v>4.35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RBLBANK</t>
        </is>
      </c>
      <c r="D14" s="31" t="inlineStr">
        <is>
          <t>Rbl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64812.11</v>
      </c>
      <c r="I14" s="32" t="n">
        <v>417.7</v>
      </c>
      <c r="J14" s="32" t="n">
        <v>-0.07000000000000001</v>
      </c>
      <c r="K14" s="32" t="n">
        <v>3453163</v>
      </c>
      <c r="L14" s="31" t="n">
        <v>32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67.51000000000001</v>
      </c>
      <c r="P14" s="32" t="n">
        <v>35.13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-2.39</v>
      </c>
      <c r="U14" s="32" t="n">
        <v>43.72</v>
      </c>
      <c r="V14" s="32" t="n">
        <v>47.24</v>
      </c>
      <c r="W14" s="32" t="n">
        <v>9.710000000000001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TFCILTD</t>
        </is>
      </c>
      <c r="D15" s="31" t="inlineStr">
        <is>
          <t>Tourism Finance Corporation Of India Limited</t>
        </is>
      </c>
      <c r="E15" s="31" t="inlineStr">
        <is>
          <t>financials</t>
        </is>
      </c>
      <c r="F15" s="31" t="inlineStr">
        <is>
          <t>finance - term-lending institutions</t>
        </is>
      </c>
      <c r="G15" s="31" t="inlineStr">
        <is>
          <t>midcap</t>
        </is>
      </c>
      <c r="H15" s="32" t="n">
        <v>7026.61</v>
      </c>
      <c r="I15" s="32" t="n">
        <v>151.77</v>
      </c>
      <c r="J15" s="32" t="n">
        <v>3.21</v>
      </c>
      <c r="K15" s="32" t="n">
        <v>5395064</v>
      </c>
      <c r="L15" s="31" t="n">
        <v>89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82.67</v>
      </c>
      <c r="P15" s="32" t="n">
        <v>76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-2.39</v>
      </c>
      <c r="U15" s="32" t="n">
        <v>100.16</v>
      </c>
      <c r="V15" s="32" t="n">
        <v>105.06</v>
      </c>
      <c r="W15" s="32" t="n">
        <v>39.3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IF(B16=0,"",RANK(B16,$B$2:$B$23,0))</f>
        <v/>
      </c>
      <c r="B16" s="32">
        <f>SUM(N16,Y16,AA16,AC16,AE16,AG16,AI16,AK16,AM16,AO16,AQ16,AS16,AU16,AW16,AY16,BA16,BC16,BE16,BG16,BI16,BK16,BM16,BO16,BQ16,BS16,BU16,BW16,BY16,CA16)</f>
        <v/>
      </c>
      <c r="C16" s="33" t="inlineStr">
        <is>
          <t>VHL</t>
        </is>
      </c>
      <c r="D16" s="33" t="inlineStr">
        <is>
          <t>Vardhman Holdings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1157.76</v>
      </c>
      <c r="I16" s="32" t="n">
        <v>3627.6</v>
      </c>
      <c r="J16" s="32" t="n">
        <v>-0.61</v>
      </c>
      <c r="K16" s="32" t="n">
        <v>821</v>
      </c>
      <c r="L16" s="31" t="n">
        <v>2</v>
      </c>
      <c r="M16" s="31" t="inlineStr">
        <is>
          <t>Underperforming</t>
        </is>
      </c>
      <c r="N16" s="32">
        <f>IF(M16="Underperforming",-5,IF(L16&gt;=95,15,IF(L16&gt;=90,10,IF(L16&gt;=80,5,0))))</f>
        <v/>
      </c>
      <c r="O16" s="32" t="n">
        <v>57.08</v>
      </c>
      <c r="P16" s="32" t="n">
        <v>7.45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-2.39</v>
      </c>
      <c r="U16" s="32" t="n">
        <v>-6.14</v>
      </c>
      <c r="V16" s="32" t="n">
        <v>-3.85</v>
      </c>
      <c r="W16" s="32" t="n">
        <v>-0.45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NUVAMA</t>
        </is>
      </c>
      <c r="D17" s="31" t="inlineStr">
        <is>
          <t>Nuvama Wealth Management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34110.99</v>
      </c>
      <c r="I17" s="32" t="n">
        <v>1868.8</v>
      </c>
      <c r="J17" s="32" t="n">
        <v>5.92</v>
      </c>
      <c r="K17" s="32" t="n">
        <v>726457</v>
      </c>
      <c r="L17" s="31" t="n">
        <v>17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55.85</v>
      </c>
      <c r="P17" s="32" t="n">
        <v>29.48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-2.39</v>
      </c>
      <c r="U17" s="32" t="n">
        <v>24.26</v>
      </c>
      <c r="V17" s="32" t="n">
        <v>27.3</v>
      </c>
      <c r="W17" s="32" t="n">
        <v>4.47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MCX</t>
        </is>
      </c>
      <c r="D18" s="31" t="inlineStr">
        <is>
          <t>Multi Commodity Exchange Of India Limited</t>
        </is>
      </c>
      <c r="E18" s="31" t="inlineStr">
        <is>
          <t>financials</t>
        </is>
      </c>
      <c r="F18" s="31" t="inlineStr">
        <is>
          <t>miscellaneous</t>
        </is>
      </c>
      <c r="G18" s="31" t="inlineStr">
        <is>
          <t>largecap</t>
        </is>
      </c>
      <c r="H18" s="32" t="n">
        <v>86442.24000000001</v>
      </c>
      <c r="I18" s="32" t="n">
        <v>3390</v>
      </c>
      <c r="J18" s="32" t="n">
        <v>2.16</v>
      </c>
      <c r="K18" s="32" t="n">
        <v>1699974</v>
      </c>
      <c r="L18" s="31" t="n">
        <v>53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65.08</v>
      </c>
      <c r="P18" s="32" t="n">
        <v>24.76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-2.39</v>
      </c>
      <c r="U18" s="32" t="n">
        <v>91.42</v>
      </c>
      <c r="V18" s="32" t="n">
        <v>96.11</v>
      </c>
      <c r="W18" s="32" t="n">
        <v>18.36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IF(B19=0,"",RANK(B19,$B$2:$B$23,0))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PRIMESECU</t>
        </is>
      </c>
      <c r="D19" s="33" t="inlineStr">
        <is>
          <t>Prime Securities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1059.62</v>
      </c>
      <c r="I19" s="32" t="n">
        <v>312.2</v>
      </c>
      <c r="J19" s="32" t="n">
        <v>4.26</v>
      </c>
      <c r="K19" s="32" t="n">
        <v>232623</v>
      </c>
      <c r="L19" s="31" t="n">
        <v>4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56.36</v>
      </c>
      <c r="P19" s="32" t="n">
        <v>34.11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-2.39</v>
      </c>
      <c r="U19" s="32" t="n">
        <v>-3.22</v>
      </c>
      <c r="V19" s="32" t="n">
        <v>-0.85</v>
      </c>
      <c r="W19" s="32" t="n">
        <v>0.85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GCSL</t>
        </is>
      </c>
      <c r="D20" s="31" t="inlineStr">
        <is>
          <t>Gretex Corporate Services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1809.01</v>
      </c>
      <c r="I20" s="32" t="n">
        <v>723.45</v>
      </c>
      <c r="J20" s="32" t="n">
        <v>3.2</v>
      </c>
      <c r="K20" s="32" t="n">
        <v>250671</v>
      </c>
      <c r="L20" s="31" t="n">
        <v>84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81.81999999999999</v>
      </c>
      <c r="P20" s="32" t="n">
        <v>34.87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-2.39</v>
      </c>
      <c r="U20" s="32" t="n">
        <v>204.08</v>
      </c>
      <c r="V20" s="32" t="n">
        <v>211.52</v>
      </c>
      <c r="W20" s="32" t="n">
        <v>35.57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LICHSGFIN</t>
        </is>
      </c>
      <c r="D21" s="31" t="inlineStr">
        <is>
          <t>Lic Housing Finance Limited</t>
        </is>
      </c>
      <c r="E21" s="31" t="inlineStr">
        <is>
          <t>financials</t>
        </is>
      </c>
      <c r="F21" s="31" t="inlineStr">
        <is>
          <t>finance - housing</t>
        </is>
      </c>
      <c r="G21" s="31" t="inlineStr">
        <is>
          <t>largecap</t>
        </is>
      </c>
      <c r="H21" s="32" t="n">
        <v>31243.58</v>
      </c>
      <c r="I21" s="32" t="n">
        <v>568</v>
      </c>
      <c r="J21" s="32" t="n">
        <v>2.96</v>
      </c>
      <c r="K21" s="32" t="n">
        <v>3553143</v>
      </c>
      <c r="L21" s="31" t="n">
        <v>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53.93</v>
      </c>
      <c r="P21" s="32" t="n">
        <v>12.68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-2.39</v>
      </c>
      <c r="U21" s="32" t="n">
        <v>-1.01</v>
      </c>
      <c r="V21" s="32" t="n">
        <v>1.42</v>
      </c>
      <c r="W21" s="32" t="n">
        <v>0.36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MOTILALOFS</t>
        </is>
      </c>
      <c r="D22" s="31" t="inlineStr">
        <is>
          <t>Motilal Oswal Financial Services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63285.62</v>
      </c>
      <c r="I22" s="32" t="n">
        <v>1051</v>
      </c>
      <c r="J22" s="32" t="n">
        <v>2.44</v>
      </c>
      <c r="K22" s="32" t="n">
        <v>953453</v>
      </c>
      <c r="L22" s="31" t="n">
        <v>12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61.03</v>
      </c>
      <c r="P22" s="32" t="n">
        <v>19.16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-2.39</v>
      </c>
      <c r="U22" s="32" t="n">
        <v>6.92</v>
      </c>
      <c r="V22" s="32" t="n">
        <v>9.539999999999999</v>
      </c>
      <c r="W22" s="32" t="n">
        <v>3.21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ANGELONE</t>
        </is>
      </c>
      <c r="D23" s="31" t="inlineStr">
        <is>
          <t>Angel One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27611.11</v>
      </c>
      <c r="I23" s="32" t="n">
        <v>302.25</v>
      </c>
      <c r="J23" s="32" t="n">
        <v>3.51</v>
      </c>
      <c r="K23" s="32" t="n">
        <v>6496974</v>
      </c>
      <c r="L23" s="31" t="n">
        <v>13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48.26</v>
      </c>
      <c r="P23" s="32" t="n">
        <v>10.18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-2.39</v>
      </c>
      <c r="U23" s="32" t="n">
        <v>29.22</v>
      </c>
      <c r="V23" s="32" t="n">
        <v>32.39</v>
      </c>
      <c r="W23" s="32" t="n">
        <v>3.22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Below 45</t>
        </is>
      </c>
      <c r="BO23" s="31">
        <f>IF(BN23="Between 50 to 75",10,IF(BN23="Above 75",0,0))</f>
        <v/>
      </c>
      <c r="BP23" s="31" t="inlineStr">
        <is>
          <t>Stage 4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</sheetData>
  <autoFilter ref="A1:CA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3">
    <cfRule type="cellIs" priority="34" operator="equal" dxfId="3" stopIfTrue="1">
      <formula>"Underperforming"</formula>
    </cfRule>
  </conditionalFormatting>
  <conditionalFormatting sqref="N2:N23">
    <cfRule type="cellIs" priority="35" operator="equal" dxfId="3" stopIfTrue="1">
      <formula>-5</formula>
    </cfRule>
  </conditionalFormatting>
  <conditionalFormatting sqref="Q2:Q2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3" showDropDown="0" showInputMessage="0" showErrorMessage="0" allowBlank="1" type="list">
      <formula1>"Growing Industry,Stagnant Industry,Cyclical in an Upturn"</formula1>
    </dataValidation>
    <dataValidation sqref="Z2:Z23" showDropDown="0" showInputMessage="0" showErrorMessage="0" allowBlank="1" type="list">
      <formula1>"Fragmented with Low ROE,Fragmented with High ROE,Highly Cyclical"</formula1>
    </dataValidation>
    <dataValidation sqref="AB2:AB23" showDropDown="0" showInputMessage="0" showErrorMessage="0" allowBlank="1" type="list">
      <formula1>"Yes,No"</formula1>
    </dataValidation>
    <dataValidation sqref="AD2:AD23" showDropDown="0" showInputMessage="0" showErrorMessage="0" allowBlank="1" type="list">
      <formula1>"Tailwind,Headwind"</formula1>
    </dataValidation>
    <dataValidation sqref="AF2:AF2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3" showDropDown="0" showInputMessage="0" showErrorMessage="0" allowBlank="1" type="list">
      <formula1>"Yes,No"</formula1>
    </dataValidation>
    <dataValidation sqref="AJ2:AJ23" showDropDown="0" showInputMessage="0" showErrorMessage="0" allowBlank="1" type="list">
      <formula1>"Yes,No,Not Applicable"</formula1>
    </dataValidation>
    <dataValidation sqref="AL2:AL23" showDropDown="0" showInputMessage="0" showErrorMessage="0" allowBlank="1" type="list">
      <formula1>"Yes,No"</formula1>
    </dataValidation>
    <dataValidation sqref="AN2:AN23" showDropDown="0" showInputMessage="0" showErrorMessage="0" allowBlank="1" type="list">
      <formula1>"Yes,No"</formula1>
    </dataValidation>
    <dataValidation sqref="AP2:AP23" showDropDown="0" showInputMessage="0" showErrorMessage="0" allowBlank="1" type="list">
      <formula1>"Yes,No"</formula1>
    </dataValidation>
    <dataValidation sqref="AR2:AR23" showDropDown="0" showInputMessage="0" showErrorMessage="0" allowBlank="1" type="list">
      <formula1>"Yes,No"</formula1>
    </dataValidation>
    <dataValidation sqref="AT2:AT23" showDropDown="0" showInputMessage="0" showErrorMessage="0" allowBlank="1" type="list">
      <formula1>"No,Yes"</formula1>
    </dataValidation>
    <dataValidation sqref="AV2:AV23" showDropDown="0" showInputMessage="0" showErrorMessage="0" allowBlank="1" type="list">
      <formula1>"No,Yes"</formula1>
    </dataValidation>
    <dataValidation sqref="AX2:AX23" showDropDown="0" showInputMessage="0" showErrorMessage="0" allowBlank="1" type="list">
      <formula1>"No,Yes CEO Resignation,Yes CEO Retirement"</formula1>
    </dataValidation>
    <dataValidation sqref="AZ2:AZ23" showDropDown="0" showInputMessage="0" showErrorMessage="0" allowBlank="1" type="list">
      <formula1>"No,Yes"</formula1>
    </dataValidation>
    <dataValidation sqref="BB2:BB23" showDropDown="0" showInputMessage="0" showErrorMessage="0" allowBlank="1" type="list">
      <formula1>"No,Yes"</formula1>
    </dataValidation>
    <dataValidation sqref="BD2:BD23" showDropDown="0" showInputMessage="0" showErrorMessage="0" allowBlank="1" type="list">
      <formula1>"Yes,No"</formula1>
    </dataValidation>
    <dataValidation sqref="BF2:BF23" showDropDown="0" showInputMessage="0" showErrorMessage="0" allowBlank="1" type="list">
      <formula1>"Yes,No"</formula1>
    </dataValidation>
    <dataValidation sqref="BH2:BH23" showDropDown="0" showInputMessage="0" showErrorMessage="0" allowBlank="1" type="list">
      <formula1>"Yes,No"</formula1>
    </dataValidation>
    <dataValidation sqref="BJ2:BJ2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3" showDropDown="0" showInputMessage="0" showErrorMessage="0" allowBlank="1" type="list">
      <formula1>"Above 40,20 to 40,0 to 20"</formula1>
    </dataValidation>
    <dataValidation sqref="BN2:BN23" showDropDown="0" showInputMessage="0" showErrorMessage="0" allowBlank="1" type="list">
      <formula1>"Between 50 to 75,Above 75,Below 45"</formula1>
    </dataValidation>
    <dataValidation sqref="BP2:BP23" showDropDown="0" showInputMessage="0" showErrorMessage="0" allowBlank="1" type="list">
      <formula1>"Stage 1,Stage 2,Stage 3,Stage 4"</formula1>
    </dataValidation>
    <dataValidation sqref="BR2:BR23" showDropDown="0" showInputMessage="0" showErrorMessage="0" allowBlank="1" type="list">
      <formula1>"Positive Trend,Negative Trend"</formula1>
    </dataValidation>
    <dataValidation sqref="BT2:BT23" showDropDown="0" showInputMessage="0" showErrorMessage="0" allowBlank="1" type="list">
      <formula1>"Uptrend,Sideways,Downtrend"</formula1>
    </dataValidation>
    <dataValidation sqref="BV2:BV23" showDropDown="0" showInputMessage="0" showErrorMessage="0" allowBlank="1" type="list">
      <formula1>"Uptrend,Sideways,Downtrend"</formula1>
    </dataValidation>
    <dataValidation sqref="BX2:BX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9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ACCENTMIC</t>
        </is>
      </c>
      <c r="D2" s="31" t="inlineStr">
        <is>
          <t>Accent Microcell Ltd</t>
        </is>
      </c>
      <c r="E2" s="31" t="inlineStr">
        <is>
          <t>unknown</t>
        </is>
      </c>
      <c r="F2" s="31" t="inlineStr">
        <is>
          <t>Pharma Formulations</t>
        </is>
      </c>
      <c r="G2" s="31" t="inlineStr">
        <is>
          <t>smallcap</t>
        </is>
      </c>
      <c r="H2" s="32" t="n">
        <v>1587.47</v>
      </c>
      <c r="I2" s="32" t="n">
        <v>661.75</v>
      </c>
      <c r="J2" s="32" t="n">
        <v>1.85</v>
      </c>
      <c r="K2" s="32" t="n">
        <v>0</v>
      </c>
      <c r="L2" s="31" t="n">
        <v>71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68.65000000000001</v>
      </c>
      <c r="P2" s="32" t="n">
        <v>68.20999999999999</v>
      </c>
      <c r="Q2" s="32" t="n">
        <v>587.96</v>
      </c>
      <c r="R2" s="31" t="inlineStr">
        <is>
          <t>Earnings / Momentum Support</t>
        </is>
      </c>
      <c r="S2" s="31" t="inlineStr">
        <is>
          <t>Nifty 50</t>
        </is>
      </c>
      <c r="T2" s="32" t="n">
        <v>-10.93</v>
      </c>
      <c r="U2" s="32" t="n">
        <v>156.31</v>
      </c>
      <c r="V2" s="32" t="n">
        <v>187.78</v>
      </c>
      <c r="W2" s="32" t="n">
        <v>26.76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Negative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16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PREMIERPOL</t>
        </is>
      </c>
      <c r="D3" s="31" t="inlineStr">
        <is>
          <t>Premier Polyfilm Ltd</t>
        </is>
      </c>
      <c r="E3" s="31" t="inlineStr">
        <is>
          <t>plastic products</t>
        </is>
      </c>
      <c r="F3" s="31" t="inlineStr">
        <is>
          <t>Plastics Sheets and Films</t>
        </is>
      </c>
      <c r="G3" s="31" t="inlineStr">
        <is>
          <t>smallcap</t>
        </is>
      </c>
      <c r="H3" s="32" t="n">
        <v>1203.6</v>
      </c>
      <c r="I3" s="32" t="n">
        <v>114.91</v>
      </c>
      <c r="J3" s="32" t="n">
        <v>11.73</v>
      </c>
      <c r="K3" s="32" t="n">
        <v>0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68.2</v>
      </c>
      <c r="P3" s="32" t="n">
        <v>60.29</v>
      </c>
      <c r="Q3" s="32" t="inlineStr"/>
      <c r="R3" s="31" t="inlineStr">
        <is>
          <t>Volume Spike / Accumulation</t>
        </is>
      </c>
      <c r="S3" s="31" t="inlineStr">
        <is>
          <t>Nifty 50</t>
        </is>
      </c>
      <c r="T3" s="32" t="n">
        <v>-10.93</v>
      </c>
      <c r="U3" s="32" t="n">
        <v>130.3</v>
      </c>
      <c r="V3" s="32" t="n">
        <v>158.58</v>
      </c>
      <c r="W3" s="32" t="n">
        <v>33.39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25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NAVINFLUOR</t>
        </is>
      </c>
      <c r="D4" s="31" t="inlineStr">
        <is>
          <t>Navin Fluorine International Ltd</t>
        </is>
      </c>
      <c r="E4" s="31" t="inlineStr">
        <is>
          <t>chemicals</t>
        </is>
      </c>
      <c r="F4" s="31" t="inlineStr">
        <is>
          <t>Chemicals Fluorine</t>
        </is>
      </c>
      <c r="G4" s="31" t="inlineStr">
        <is>
          <t>largecap</t>
        </is>
      </c>
      <c r="H4" s="32" t="n">
        <v>43930.44</v>
      </c>
      <c r="I4" s="32" t="n">
        <v>8561</v>
      </c>
      <c r="J4" s="32" t="n">
        <v>2.5</v>
      </c>
      <c r="K4" s="32" t="n">
        <v>0</v>
      </c>
      <c r="L4" s="31" t="n">
        <v>41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65.86</v>
      </c>
      <c r="P4" s="32" t="n">
        <v>53.34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-10.93</v>
      </c>
      <c r="U4" s="32" t="n">
        <v>76.56999999999999</v>
      </c>
      <c r="V4" s="32" t="n">
        <v>98.25</v>
      </c>
      <c r="W4" s="32" t="n">
        <v>14.06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Shallow Cyclical (2 to 3 Years Growth)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16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AXISOL</t>
        </is>
      </c>
      <c r="D5" s="31" t="inlineStr">
        <is>
          <t>Axis Solutions Ltd</t>
        </is>
      </c>
      <c r="E5" s="31" t="inlineStr">
        <is>
          <t>Industrials</t>
        </is>
      </c>
      <c r="F5" s="31" t="inlineStr">
        <is>
          <t>Engineering Light General</t>
        </is>
      </c>
      <c r="G5" s="31" t="inlineStr">
        <is>
          <t>smallcap</t>
        </is>
      </c>
      <c r="H5" s="32" t="n">
        <v>2903.44</v>
      </c>
      <c r="I5" s="32" t="n">
        <v>614.35</v>
      </c>
      <c r="J5" s="32" t="n">
        <v>-1.99</v>
      </c>
      <c r="K5" s="32" t="n">
        <v>0</v>
      </c>
      <c r="L5" s="31" t="n">
        <v>99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74.54000000000001</v>
      </c>
      <c r="P5" s="32" t="n">
        <v>64.89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-10.93</v>
      </c>
      <c r="U5" s="32" t="n">
        <v>1335.54</v>
      </c>
      <c r="V5" s="32" t="n">
        <v>1511.79</v>
      </c>
      <c r="W5" s="32" t="n">
        <v>104.49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17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IBULLSLTD</t>
        </is>
      </c>
      <c r="D6" s="31" t="inlineStr">
        <is>
          <t>Indiabulls Limited</t>
        </is>
      </c>
      <c r="E6" s="31" t="inlineStr">
        <is>
          <t>miscellaneous</t>
        </is>
      </c>
      <c r="F6" s="31" t="inlineStr">
        <is>
          <t>Diversified</t>
        </is>
      </c>
      <c r="G6" s="31" t="inlineStr">
        <is>
          <t>midcap</t>
        </is>
      </c>
      <c r="H6" s="32" t="n">
        <v>8869.370000000001</v>
      </c>
      <c r="I6" s="32" t="n">
        <v>38.03</v>
      </c>
      <c r="J6" s="32" t="n">
        <v>3.85</v>
      </c>
      <c r="K6" s="32" t="n">
        <v>0</v>
      </c>
      <c r="L6" s="31" t="n">
        <v>78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73.40000000000001</v>
      </c>
      <c r="P6" s="32" t="n">
        <v>40.06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-10.93</v>
      </c>
      <c r="U6" s="32" t="n">
        <v>112.29</v>
      </c>
      <c r="V6" s="32" t="n">
        <v>138.35</v>
      </c>
      <c r="W6" s="32" t="n">
        <v>32.05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24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RPTECH</t>
        </is>
      </c>
      <c r="D7" s="31" t="inlineStr">
        <is>
          <t>Rashi Peripherals Ltd</t>
        </is>
      </c>
      <c r="E7" s="31" t="inlineStr">
        <is>
          <t>i.t</t>
        </is>
      </c>
      <c r="F7" s="31" t="inlineStr">
        <is>
          <t>Trading</t>
        </is>
      </c>
      <c r="G7" s="31" t="inlineStr">
        <is>
          <t>midcap</t>
        </is>
      </c>
      <c r="H7" s="32" t="n">
        <v>6025.33</v>
      </c>
      <c r="I7" s="32" t="n">
        <v>907.35</v>
      </c>
      <c r="J7" s="32" t="n">
        <v>1.98</v>
      </c>
      <c r="K7" s="32" t="n">
        <v>0</v>
      </c>
      <c r="L7" s="31" t="n">
        <v>71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65.77</v>
      </c>
      <c r="P7" s="32" t="n">
        <v>66.75</v>
      </c>
      <c r="Q7" s="32" t="inlineStr"/>
      <c r="R7" s="31" t="inlineStr">
        <is>
          <t>Earnings / Momentum Support</t>
        </is>
      </c>
      <c r="S7" s="31" t="inlineStr">
        <is>
          <t>Nifty IT</t>
        </is>
      </c>
      <c r="T7" s="32" t="n">
        <v>-19.75</v>
      </c>
      <c r="U7" s="32" t="n">
        <v>155.48</v>
      </c>
      <c r="V7" s="32" t="n">
        <v>218.37</v>
      </c>
      <c r="W7" s="32" t="n">
        <v>27.33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PGIL</t>
        </is>
      </c>
      <c r="D8" s="31" t="inlineStr">
        <is>
          <t>Pearl Global Industries Ltd</t>
        </is>
      </c>
      <c r="E8" s="31" t="inlineStr">
        <is>
          <t>readymade garments/apparels</t>
        </is>
      </c>
      <c r="F8" s="31" t="inlineStr">
        <is>
          <t>Textiles Readymade Apparel</t>
        </is>
      </c>
      <c r="G8" s="31" t="inlineStr">
        <is>
          <t>midcap</t>
        </is>
      </c>
      <c r="H8" s="32" t="n">
        <v>12299.62</v>
      </c>
      <c r="I8" s="32" t="n">
        <v>1331.4</v>
      </c>
      <c r="J8" s="32" t="n">
        <v>3.93</v>
      </c>
      <c r="K8" s="32" t="n">
        <v>0</v>
      </c>
      <c r="L8" s="31" t="n">
        <v>58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66.68000000000001</v>
      </c>
      <c r="P8" s="32" t="n">
        <v>59.63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-10.93</v>
      </c>
      <c r="U8" s="32" t="n">
        <v>98.55</v>
      </c>
      <c r="V8" s="32" t="n">
        <v>122.93</v>
      </c>
      <c r="W8" s="32" t="n">
        <v>21.07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WSTCSTPAPR</t>
        </is>
      </c>
      <c r="D9" s="31" t="inlineStr">
        <is>
          <t>West Coast Paper Mills Ltd</t>
        </is>
      </c>
      <c r="E9" s="31" t="inlineStr">
        <is>
          <t>building materials</t>
        </is>
      </c>
      <c r="F9" s="31" t="inlineStr">
        <is>
          <t>Paper</t>
        </is>
      </c>
      <c r="G9" s="31" t="inlineStr">
        <is>
          <t>midcap</t>
        </is>
      </c>
      <c r="H9" s="32" t="n">
        <v>5767.06</v>
      </c>
      <c r="I9" s="32" t="n">
        <v>873.15</v>
      </c>
      <c r="J9" s="32" t="n">
        <v>20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71.20999999999999</v>
      </c>
      <c r="P9" s="32" t="n">
        <v>66.15000000000001</v>
      </c>
      <c r="Q9" s="32" t="inlineStr"/>
      <c r="R9" s="31" t="inlineStr">
        <is>
          <t>Volume Spike / Accumulation</t>
        </is>
      </c>
      <c r="S9" s="31" t="inlineStr">
        <is>
          <t>Nifty Infra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OCCLLTD</t>
        </is>
      </c>
      <c r="D10" s="31" t="inlineStr">
        <is>
          <t>OCCL Ltd</t>
        </is>
      </c>
      <c r="E10" s="31" t="inlineStr">
        <is>
          <t>chemicals</t>
        </is>
      </c>
      <c r="F10" s="31" t="inlineStr">
        <is>
          <t>Chemicals Organic</t>
        </is>
      </c>
      <c r="G10" s="31" t="inlineStr">
        <is>
          <t>smallcap</t>
        </is>
      </c>
      <c r="H10" s="32" t="n">
        <v>1163.4</v>
      </c>
      <c r="I10" s="32" t="n">
        <v>232.91</v>
      </c>
      <c r="J10" s="32" t="n">
        <v>6.58</v>
      </c>
      <c r="K10" s="32" t="n">
        <v>0</v>
      </c>
      <c r="L10" s="31" t="n">
        <v>79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81.45999999999999</v>
      </c>
      <c r="P10" s="32" t="n">
        <v>52.08</v>
      </c>
      <c r="Q10" s="32" t="inlineStr"/>
      <c r="R10" s="31" t="inlineStr">
        <is>
          <t>Volume Spike / Accumulation</t>
        </is>
      </c>
      <c r="S10" s="31" t="inlineStr">
        <is>
          <t>Nifty 50</t>
        </is>
      </c>
      <c r="T10" s="32" t="n">
        <v>-10.93</v>
      </c>
      <c r="U10" s="32" t="n">
        <v>74.54000000000001</v>
      </c>
      <c r="V10" s="32" t="n">
        <v>95.97</v>
      </c>
      <c r="W10" s="32" t="n">
        <v>32.41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JGCHEM</t>
        </is>
      </c>
      <c r="D11" s="31" t="inlineStr">
        <is>
          <t>JGChemicals Ltd</t>
        </is>
      </c>
      <c r="E11" s="31" t="inlineStr">
        <is>
          <t>chemicals</t>
        </is>
      </c>
      <c r="F11" s="31" t="inlineStr">
        <is>
          <t>Chemicals Inorganic</t>
        </is>
      </c>
      <c r="G11" s="31" t="inlineStr">
        <is>
          <t>smallcap</t>
        </is>
      </c>
      <c r="H11" s="32" t="n">
        <v>2523.58</v>
      </c>
      <c r="I11" s="32" t="n">
        <v>644</v>
      </c>
      <c r="J11" s="32" t="n">
        <v>2.1</v>
      </c>
      <c r="K11" s="32" t="n">
        <v>0</v>
      </c>
      <c r="L11" s="31" t="n">
        <v>52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69.98</v>
      </c>
      <c r="P11" s="32" t="n">
        <v>50.04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-10.93</v>
      </c>
      <c r="U11" s="32" t="n">
        <v>48.78</v>
      </c>
      <c r="V11" s="32" t="n">
        <v>67.05</v>
      </c>
      <c r="W11" s="32" t="n">
        <v>18.26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TIMEX</t>
        </is>
      </c>
      <c r="D12" s="31" t="inlineStr">
        <is>
          <t>Timex Group India Ltd</t>
        </is>
      </c>
      <c r="E12" s="31" t="inlineStr">
        <is>
          <t>Consumer Cyclical</t>
        </is>
      </c>
      <c r="F12" s="31" t="inlineStr">
        <is>
          <t>Watches</t>
        </is>
      </c>
      <c r="G12" s="31" t="inlineStr">
        <is>
          <t>midcap</t>
        </is>
      </c>
      <c r="H12" s="32" t="n">
        <v>7262.34</v>
      </c>
      <c r="I12" s="32" t="n">
        <v>719.4</v>
      </c>
      <c r="J12" s="32" t="n">
        <v>-0.82</v>
      </c>
      <c r="K12" s="32" t="n">
        <v>0</v>
      </c>
      <c r="L12" s="31" t="n">
        <v>70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72.31999999999999</v>
      </c>
      <c r="P12" s="32" t="n">
        <v>59.34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-10.93</v>
      </c>
      <c r="U12" s="32" t="n">
        <v>79.72</v>
      </c>
      <c r="V12" s="32" t="n">
        <v>101.78</v>
      </c>
      <c r="W12" s="32" t="n">
        <v>26.09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17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AVTNPL</t>
        </is>
      </c>
      <c r="D13" s="31" t="inlineStr">
        <is>
          <t>AVT Natural Products Ltd</t>
        </is>
      </c>
      <c r="E13" s="31" t="inlineStr">
        <is>
          <t>fmcg</t>
        </is>
      </c>
      <c r="F13" s="31" t="inlineStr">
        <is>
          <t>Natural Extracts and Food Ingredients</t>
        </is>
      </c>
      <c r="G13" s="31" t="inlineStr">
        <is>
          <t>smallcap</t>
        </is>
      </c>
      <c r="H13" s="32" t="n">
        <v>1484.77</v>
      </c>
      <c r="I13" s="32" t="n">
        <v>97.5</v>
      </c>
      <c r="J13" s="32" t="n">
        <v>2.87</v>
      </c>
      <c r="K13" s="32" t="n">
        <v>0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68.59999999999999</v>
      </c>
      <c r="P13" s="32" t="n">
        <v>55.22</v>
      </c>
      <c r="Q13" s="32" t="inlineStr"/>
      <c r="R13" s="31" t="inlineStr">
        <is>
          <t>Earnings / Momentum Support</t>
        </is>
      </c>
      <c r="S13" s="31" t="inlineStr">
        <is>
          <t>Nifty FMCG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MODINSU</t>
        </is>
      </c>
      <c r="D14" s="31" t="inlineStr">
        <is>
          <t>Modern Insulators Ltd</t>
        </is>
      </c>
      <c r="E14" s="31" t="inlineStr">
        <is>
          <t>Technology</t>
        </is>
      </c>
      <c r="F14" s="31" t="inlineStr">
        <is>
          <t>Capital Goods Electric General</t>
        </is>
      </c>
      <c r="G14" s="31" t="inlineStr">
        <is>
          <t>smallcap</t>
        </is>
      </c>
      <c r="H14" s="32" t="n">
        <v>2472.7</v>
      </c>
      <c r="I14" s="32" t="n">
        <v>524.5</v>
      </c>
      <c r="J14" s="32" t="n">
        <v>-2.92</v>
      </c>
      <c r="K14" s="32" t="n">
        <v>0</v>
      </c>
      <c r="L14" s="31" t="n">
        <v>88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64.48</v>
      </c>
      <c r="P14" s="32" t="n">
        <v>25.67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-10.93</v>
      </c>
      <c r="U14" s="32" t="n">
        <v>328.77</v>
      </c>
      <c r="V14" s="32" t="n">
        <v>381.41</v>
      </c>
      <c r="W14" s="32" t="n">
        <v>38.82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TCPLPACK</t>
        </is>
      </c>
      <c r="D15" s="31" t="inlineStr">
        <is>
          <t>TCPL Packaging Ltd</t>
        </is>
      </c>
      <c r="E15" s="31" t="inlineStr">
        <is>
          <t>industrials</t>
        </is>
      </c>
      <c r="F15" s="31" t="inlineStr">
        <is>
          <t>Packaging FMCG and Consumers</t>
        </is>
      </c>
      <c r="G15" s="31" t="inlineStr">
        <is>
          <t>smallcap</t>
        </is>
      </c>
      <c r="H15" s="32" t="n">
        <v>4019.47</v>
      </c>
      <c r="I15" s="32" t="n">
        <v>4417</v>
      </c>
      <c r="J15" s="32" t="n">
        <v>3.33</v>
      </c>
      <c r="K15" s="32" t="n">
        <v>0</v>
      </c>
      <c r="L15" s="31" t="n">
        <v>46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67.79000000000001</v>
      </c>
      <c r="P15" s="32" t="n">
        <v>52.32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-10.93</v>
      </c>
      <c r="U15" s="32" t="n">
        <v>26.62</v>
      </c>
      <c r="V15" s="32" t="n">
        <v>42.17</v>
      </c>
      <c r="W15" s="32" t="n">
        <v>15.47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Between 0.7 to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17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VINCOFE</t>
        </is>
      </c>
      <c r="D16" s="31" t="inlineStr">
        <is>
          <t>Vintage Coffee &amp; Beverages Ltd</t>
        </is>
      </c>
      <c r="E16" s="31" t="inlineStr">
        <is>
          <t>Consumer Defensive</t>
        </is>
      </c>
      <c r="F16" s="31" t="inlineStr">
        <is>
          <t>FMCG Coffee</t>
        </is>
      </c>
      <c r="G16" s="31" t="inlineStr">
        <is>
          <t>smallcap</t>
        </is>
      </c>
      <c r="H16" s="32" t="n">
        <v>2583.32</v>
      </c>
      <c r="I16" s="32" t="n">
        <v>176.35</v>
      </c>
      <c r="J16" s="32" t="n">
        <v>1.55</v>
      </c>
      <c r="K16" s="32" t="n">
        <v>0</v>
      </c>
      <c r="L16" s="31" t="n">
        <v>24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58.99</v>
      </c>
      <c r="P16" s="32" t="n">
        <v>30.29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-10.93</v>
      </c>
      <c r="U16" s="32" t="n">
        <v>23.98</v>
      </c>
      <c r="V16" s="32" t="n">
        <v>39.2</v>
      </c>
      <c r="W16" s="32" t="n">
        <v>6.7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16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DPABHUSHAN</t>
        </is>
      </c>
      <c r="D17" s="31" t="inlineStr">
        <is>
          <t>DP Abhushan Ltd</t>
        </is>
      </c>
      <c r="E17" s="31" t="inlineStr">
        <is>
          <t>consumer discretionary</t>
        </is>
      </c>
      <c r="F17" s="31" t="inlineStr">
        <is>
          <t>Diamond Gems and Jewellery</t>
        </is>
      </c>
      <c r="G17" s="31" t="inlineStr">
        <is>
          <t>midcap</t>
        </is>
      </c>
      <c r="H17" s="32" t="n">
        <v>5410.45</v>
      </c>
      <c r="I17" s="32" t="n">
        <v>2370.1</v>
      </c>
      <c r="J17" s="32" t="n">
        <v>0.27</v>
      </c>
      <c r="K17" s="32" t="n">
        <v>0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82.06999999999999</v>
      </c>
      <c r="P17" s="32" t="n">
        <v>43.1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-10.93</v>
      </c>
      <c r="U17" s="32" t="n">
        <v>65.65000000000001</v>
      </c>
      <c r="V17" s="32" t="n">
        <v>85.98999999999999</v>
      </c>
      <c r="W17" s="32" t="n">
        <v>36.13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28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SWANDEF</t>
        </is>
      </c>
      <c r="D18" s="31" t="inlineStr">
        <is>
          <t>Swan Defence and Heavy Industries Ltd</t>
        </is>
      </c>
      <c r="E18" s="31" t="inlineStr">
        <is>
          <t>transportation</t>
        </is>
      </c>
      <c r="F18" s="31" t="inlineStr">
        <is>
          <t>Shipbuilding and Repairs</t>
        </is>
      </c>
      <c r="G18" s="31" t="inlineStr">
        <is>
          <t>midcap</t>
        </is>
      </c>
      <c r="H18" s="32" t="n">
        <v>15441.66</v>
      </c>
      <c r="I18" s="32" t="n">
        <v>2931.1</v>
      </c>
      <c r="J18" s="32" t="n">
        <v>4.06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68.98</v>
      </c>
      <c r="P18" s="32" t="n">
        <v>56.64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-10.93</v>
      </c>
      <c r="U18" s="32" t="n">
        <v>342.75</v>
      </c>
      <c r="V18" s="32" t="n">
        <v>397.11</v>
      </c>
      <c r="W18" s="32" t="n">
        <v>52.96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More than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24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KINGFA</t>
        </is>
      </c>
      <c r="D19" s="31" t="inlineStr">
        <is>
          <t>Kingfa Science &amp; Technology (India) Ltd</t>
        </is>
      </c>
      <c r="E19" s="31" t="inlineStr">
        <is>
          <t>plastic products</t>
        </is>
      </c>
      <c r="F19" s="31" t="inlineStr">
        <is>
          <t>Plastics Plastic and Plastic Products</t>
        </is>
      </c>
      <c r="G19" s="31" t="inlineStr">
        <is>
          <t>midcap</t>
        </is>
      </c>
      <c r="H19" s="32" t="n">
        <v>9032</v>
      </c>
      <c r="I19" s="32" t="n">
        <v>6665</v>
      </c>
      <c r="J19" s="32" t="n">
        <v>0.82</v>
      </c>
      <c r="K19" s="32" t="n">
        <v>0</v>
      </c>
      <c r="L19" s="31" t="n">
        <v>41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72.06999999999999</v>
      </c>
      <c r="P19" s="32" t="n">
        <v>48.1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-10.93</v>
      </c>
      <c r="U19" s="32" t="n">
        <v>42.16</v>
      </c>
      <c r="V19" s="32" t="n">
        <v>59.61</v>
      </c>
      <c r="W19" s="32" t="n">
        <v>13.85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MODISONLTD</t>
        </is>
      </c>
      <c r="D20" s="31" t="inlineStr">
        <is>
          <t>Modison Ltd</t>
        </is>
      </c>
      <c r="E20" s="31" t="inlineStr">
        <is>
          <t>industrials</t>
        </is>
      </c>
      <c r="F20" s="31" t="inlineStr">
        <is>
          <t>Capital Goods Electric General</t>
        </is>
      </c>
      <c r="G20" s="31" t="inlineStr">
        <is>
          <t>smallcap</t>
        </is>
      </c>
      <c r="H20" s="32" t="n">
        <v>1605.79</v>
      </c>
      <c r="I20" s="32" t="n">
        <v>494.85</v>
      </c>
      <c r="J20" s="32" t="n">
        <v>5</v>
      </c>
      <c r="K20" s="32" t="n">
        <v>0</v>
      </c>
      <c r="L20" s="31" t="n">
        <v>93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70.05</v>
      </c>
      <c r="P20" s="32" t="n">
        <v>57.3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-10.93</v>
      </c>
      <c r="U20" s="32" t="n">
        <v>197.44</v>
      </c>
      <c r="V20" s="32" t="n">
        <v>233.96</v>
      </c>
      <c r="W20" s="32" t="n">
        <v>43.94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BHAGERIA</t>
        </is>
      </c>
      <c r="D21" s="31" t="inlineStr">
        <is>
          <t>Bhageria Industries Ltd</t>
        </is>
      </c>
      <c r="E21" s="31" t="inlineStr">
        <is>
          <t>chemicals</t>
        </is>
      </c>
      <c r="F21" s="31" t="inlineStr">
        <is>
          <t>Dyes and Pigments</t>
        </is>
      </c>
      <c r="G21" s="31" t="inlineStr">
        <is>
          <t>smallcap</t>
        </is>
      </c>
      <c r="H21" s="32" t="n">
        <v>1660.01</v>
      </c>
      <c r="I21" s="32" t="n">
        <v>380.35</v>
      </c>
      <c r="J21" s="32" t="n">
        <v>4.23</v>
      </c>
      <c r="K21" s="32" t="n">
        <v>0</v>
      </c>
      <c r="L21" s="31" t="n">
        <v>81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73.95999999999999</v>
      </c>
      <c r="P21" s="32" t="n">
        <v>49.37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-10.93</v>
      </c>
      <c r="U21" s="32" t="n">
        <v>98.84999999999999</v>
      </c>
      <c r="V21" s="32" t="n">
        <v>123.26</v>
      </c>
      <c r="W21" s="32" t="n">
        <v>33.16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BLUSPRING</t>
        </is>
      </c>
      <c r="D22" s="31" t="inlineStr">
        <is>
          <t>Bluspring Enterprises Ltd</t>
        </is>
      </c>
      <c r="E22" s="31" t="inlineStr">
        <is>
          <t>miscellaneous</t>
        </is>
      </c>
      <c r="F22" s="31" t="inlineStr">
        <is>
          <t>Diversified</t>
        </is>
      </c>
      <c r="G22" s="31" t="inlineStr">
        <is>
          <t>smallcap</t>
        </is>
      </c>
      <c r="H22" s="32" t="n">
        <v>2347.33</v>
      </c>
      <c r="I22" s="32" t="n">
        <v>157.01</v>
      </c>
      <c r="J22" s="32" t="n">
        <v>6.84</v>
      </c>
      <c r="K22" s="32" t="n">
        <v>0</v>
      </c>
      <c r="L22" s="31" t="n">
        <v>62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69.89</v>
      </c>
      <c r="P22" s="32" t="n">
        <v>58</v>
      </c>
      <c r="Q22" s="32" t="inlineStr"/>
      <c r="R22" s="31" t="inlineStr">
        <is>
          <t>Volume Spike / Accumulation</t>
        </is>
      </c>
      <c r="S22" s="31" t="inlineStr">
        <is>
          <t>Nifty 50</t>
        </is>
      </c>
      <c r="T22" s="32" t="n">
        <v>-10.93</v>
      </c>
      <c r="U22" s="32" t="n">
        <v>80.39</v>
      </c>
      <c r="V22" s="32" t="n">
        <v>102.53</v>
      </c>
      <c r="W22" s="32" t="n">
        <v>23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TBZ</t>
        </is>
      </c>
      <c r="D23" s="31" t="inlineStr">
        <is>
          <t>Tribhovandas Bhimji Zaveri Ltd</t>
        </is>
      </c>
      <c r="E23" s="31" t="inlineStr">
        <is>
          <t>consumer discretionary</t>
        </is>
      </c>
      <c r="F23" s="31" t="inlineStr">
        <is>
          <t>Diamond Gems and Jewellery</t>
        </is>
      </c>
      <c r="G23" s="31" t="inlineStr">
        <is>
          <t>smallcap</t>
        </is>
      </c>
      <c r="H23" s="32" t="n">
        <v>4168.33</v>
      </c>
      <c r="I23" s="32" t="n">
        <v>624.65</v>
      </c>
      <c r="J23" s="32" t="n">
        <v>4.99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80.45</v>
      </c>
      <c r="P23" s="32" t="n">
        <v>65.56999999999999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-10.93</v>
      </c>
      <c r="U23" s="32" t="n">
        <v>223.87</v>
      </c>
      <c r="V23" s="32" t="n">
        <v>263.63</v>
      </c>
      <c r="W23" s="32" t="n">
        <v>72.23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VIKRAMTH</t>
        </is>
      </c>
      <c r="D24" s="31" t="inlineStr">
        <is>
          <t>Vikram Thermo (India) Ltd</t>
        </is>
      </c>
      <c r="E24" s="31" t="inlineStr">
        <is>
          <t>Healthcare</t>
        </is>
      </c>
      <c r="F24" s="31" t="inlineStr">
        <is>
          <t>Specialty Chemicals</t>
        </is>
      </c>
      <c r="G24" s="31" t="inlineStr">
        <is>
          <t>smallcap</t>
        </is>
      </c>
      <c r="H24" s="32" t="n">
        <v>1337.88</v>
      </c>
      <c r="I24" s="32" t="n">
        <v>426.65</v>
      </c>
      <c r="J24" s="32" t="n">
        <v>10.6</v>
      </c>
      <c r="K24" s="32" t="n">
        <v>0</v>
      </c>
      <c r="L24" s="31" t="n">
        <v>80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76.41</v>
      </c>
      <c r="P24" s="32" t="n">
        <v>70.69</v>
      </c>
      <c r="Q24" s="32" t="inlineStr"/>
      <c r="R24" s="31" t="inlineStr">
        <is>
          <t>Earnings / Momentum Support</t>
        </is>
      </c>
      <c r="S24" s="31" t="inlineStr">
        <is>
          <t>Nifty Pharma</t>
        </is>
      </c>
      <c r="T24" s="32" t="n">
        <v>16.85</v>
      </c>
      <c r="U24" s="32" t="n">
        <v>131.87</v>
      </c>
      <c r="V24" s="32" t="n">
        <v>98.44</v>
      </c>
      <c r="W24" s="32" t="n">
        <v>32.93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KPL</t>
        </is>
      </c>
      <c r="D25" s="31" t="inlineStr">
        <is>
          <t>Kwality Pharmaceuticals Ltd</t>
        </is>
      </c>
      <c r="E25" s="31" t="inlineStr">
        <is>
          <t>Healthcare</t>
        </is>
      </c>
      <c r="F25" s="31" t="inlineStr">
        <is>
          <t>Pharma Formulations</t>
        </is>
      </c>
      <c r="G25" s="31" t="inlineStr">
        <is>
          <t>smallcap</t>
        </is>
      </c>
      <c r="H25" s="32" t="n">
        <v>3696.31</v>
      </c>
      <c r="I25" s="32" t="n">
        <v>3562.3</v>
      </c>
      <c r="J25" s="32" t="n">
        <v>-0.01</v>
      </c>
      <c r="K25" s="32" t="n">
        <v>0</v>
      </c>
      <c r="L25" s="31" t="n">
        <v>92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71.34999999999999</v>
      </c>
      <c r="P25" s="32" t="n">
        <v>67.48999999999999</v>
      </c>
      <c r="Q25" s="32" t="inlineStr"/>
      <c r="R25" s="31" t="inlineStr">
        <is>
          <t>Earnings / Momentum Support</t>
        </is>
      </c>
      <c r="S25" s="31" t="inlineStr">
        <is>
          <t>Nifty Pharma</t>
        </is>
      </c>
      <c r="T25" s="32" t="n">
        <v>16.85</v>
      </c>
      <c r="U25" s="32" t="n">
        <v>308.73</v>
      </c>
      <c r="V25" s="32" t="n">
        <v>249.79</v>
      </c>
      <c r="W25" s="32" t="n">
        <v>41.73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GLAND</t>
        </is>
      </c>
      <c r="D26" s="31" t="inlineStr">
        <is>
          <t>Gland Pharma Ltd</t>
        </is>
      </c>
      <c r="E26" s="31" t="inlineStr">
        <is>
          <t>healthcare</t>
        </is>
      </c>
      <c r="F26" s="31" t="inlineStr">
        <is>
          <t>Pharma Formulations</t>
        </is>
      </c>
      <c r="G26" s="31" t="inlineStr">
        <is>
          <t>largecap</t>
        </is>
      </c>
      <c r="H26" s="32" t="n">
        <v>50796.94</v>
      </c>
      <c r="I26" s="32" t="n">
        <v>3078.4</v>
      </c>
      <c r="J26" s="32" t="n">
        <v>0.54</v>
      </c>
      <c r="K26" s="32" t="n">
        <v>0</v>
      </c>
      <c r="L26" s="31" t="n">
        <v>48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73.40000000000001</v>
      </c>
      <c r="P26" s="32" t="n">
        <v>62.67</v>
      </c>
      <c r="Q26" s="32" t="inlineStr"/>
      <c r="R26" s="31" t="inlineStr">
        <is>
          <t>Earnings / Momentum Support</t>
        </is>
      </c>
      <c r="S26" s="31" t="inlineStr">
        <is>
          <t>Nifty Pharma</t>
        </is>
      </c>
      <c r="T26" s="32" t="n">
        <v>16.85</v>
      </c>
      <c r="U26" s="32" t="n">
        <v>60.39</v>
      </c>
      <c r="V26" s="32" t="n">
        <v>37.26</v>
      </c>
      <c r="W26" s="32" t="n">
        <v>16.44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16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THELEELA</t>
        </is>
      </c>
      <c r="D27" s="31" t="inlineStr">
        <is>
          <t>Leela Palaces Hotels &amp; Resorts Ltd</t>
        </is>
      </c>
      <c r="E27" s="31" t="inlineStr">
        <is>
          <t>services</t>
        </is>
      </c>
      <c r="F27" s="31" t="inlineStr">
        <is>
          <t>Hotels</t>
        </is>
      </c>
      <c r="G27" s="31" t="inlineStr">
        <is>
          <t>midcap</t>
        </is>
      </c>
      <c r="H27" s="32" t="n">
        <v>19862.14</v>
      </c>
      <c r="I27" s="32" t="n">
        <v>594.75</v>
      </c>
      <c r="J27" s="32" t="n">
        <v>1.23</v>
      </c>
      <c r="K27" s="32" t="n">
        <v>0</v>
      </c>
      <c r="L27" s="31" t="n">
        <v>30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71.98999999999999</v>
      </c>
      <c r="P27" s="32" t="n">
        <v>42.77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-10.93</v>
      </c>
      <c r="U27" s="32" t="n">
        <v>29.73</v>
      </c>
      <c r="V27" s="32" t="n">
        <v>45.66</v>
      </c>
      <c r="W27" s="32" t="n">
        <v>9.210000000000001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21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BIRLACABLE</t>
        </is>
      </c>
      <c r="D28" s="31" t="inlineStr">
        <is>
          <t>Birla Cable Ltd</t>
        </is>
      </c>
      <c r="E28" s="31" t="inlineStr">
        <is>
          <t>industrials</t>
        </is>
      </c>
      <c r="F28" s="31" t="inlineStr">
        <is>
          <t>Cables Telecom</t>
        </is>
      </c>
      <c r="G28" s="31" t="inlineStr">
        <is>
          <t>smallcap</t>
        </is>
      </c>
      <c r="H28" s="32" t="n">
        <v>1161.3</v>
      </c>
      <c r="I28" s="32" t="n">
        <v>387.1</v>
      </c>
      <c r="J28" s="32" t="n">
        <v>0.49</v>
      </c>
      <c r="K28" s="32" t="n">
        <v>0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71.76000000000001</v>
      </c>
      <c r="P28" s="32" t="n">
        <v>56.95</v>
      </c>
      <c r="Q28" s="32" t="inlineStr"/>
      <c r="R28" s="31" t="inlineStr">
        <is>
          <t>Earnings / Momentum Support</t>
        </is>
      </c>
      <c r="S28" s="31" t="inlineStr">
        <is>
          <t>Nifty Infra</t>
        </is>
      </c>
      <c r="T28" s="32" t="inlineStr"/>
      <c r="U28" s="32" t="inlineStr"/>
      <c r="V28" s="32" t="inlineStr"/>
      <c r="W28" s="32" t="inlineStr"/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Oligopoly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SHANTIGOLD</t>
        </is>
      </c>
      <c r="D29" s="31" t="inlineStr">
        <is>
          <t>Shanti Gold International Ltd</t>
        </is>
      </c>
      <c r="E29" s="31" t="inlineStr">
        <is>
          <t>consumer discretionary</t>
        </is>
      </c>
      <c r="F29" s="31" t="inlineStr">
        <is>
          <t>Diamond Gems and Jewellery</t>
        </is>
      </c>
      <c r="G29" s="31" t="inlineStr">
        <is>
          <t>smallcap</t>
        </is>
      </c>
      <c r="H29" s="32" t="n">
        <v>2967.52</v>
      </c>
      <c r="I29" s="32" t="n">
        <v>386.7</v>
      </c>
      <c r="J29" s="32" t="n">
        <v>1.62</v>
      </c>
      <c r="K29" s="32" t="n">
        <v>0</v>
      </c>
      <c r="L29" s="31" t="n">
        <v>77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75.91</v>
      </c>
      <c r="P29" s="32" t="n">
        <v>47.78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-10.93</v>
      </c>
      <c r="U29" s="32" t="n">
        <v>77.72</v>
      </c>
      <c r="V29" s="32" t="n">
        <v>99.54000000000001</v>
      </c>
      <c r="W29" s="32" t="n">
        <v>31.98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20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FINCABLES</t>
        </is>
      </c>
      <c r="D30" s="31" t="inlineStr">
        <is>
          <t>Finolex Cables Ltd</t>
        </is>
      </c>
      <c r="E30" s="31" t="inlineStr">
        <is>
          <t>industrials</t>
        </is>
      </c>
      <c r="F30" s="31" t="inlineStr">
        <is>
          <t>Cables Telecom</t>
        </is>
      </c>
      <c r="G30" s="31" t="inlineStr">
        <is>
          <t>largecap</t>
        </is>
      </c>
      <c r="H30" s="32" t="n">
        <v>21997.27</v>
      </c>
      <c r="I30" s="32" t="n">
        <v>1438.3</v>
      </c>
      <c r="J30" s="32" t="n">
        <v>3.57</v>
      </c>
      <c r="K30" s="32" t="n">
        <v>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64.84</v>
      </c>
      <c r="P30" s="32" t="n">
        <v>42.29</v>
      </c>
      <c r="Q30" s="32" t="inlineStr"/>
      <c r="R30" s="31" t="inlineStr">
        <is>
          <t>Earnings / Momentum Support</t>
        </is>
      </c>
      <c r="S30" s="31" t="inlineStr">
        <is>
          <t>Nifty Energy</t>
        </is>
      </c>
      <c r="T30" s="32" t="inlineStr"/>
      <c r="U30" s="32" t="inlineStr"/>
      <c r="V30" s="32" t="inlineStr"/>
      <c r="W30" s="32" t="inlineStr"/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Oligopoly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RPEL</t>
        </is>
      </c>
      <c r="D31" s="31" t="inlineStr">
        <is>
          <t>Raghav Productivity Enhancers Ltd</t>
        </is>
      </c>
      <c r="E31" s="31" t="inlineStr">
        <is>
          <t>building materials</t>
        </is>
      </c>
      <c r="F31" s="31" t="inlineStr">
        <is>
          <t>Refractories</t>
        </is>
      </c>
      <c r="G31" s="31" t="inlineStr">
        <is>
          <t>midcap</t>
        </is>
      </c>
      <c r="H31" s="32" t="n">
        <v>8259.059999999999</v>
      </c>
      <c r="I31" s="32" t="n">
        <v>1798.5</v>
      </c>
      <c r="J31" s="32" t="n">
        <v>3.71</v>
      </c>
      <c r="K31" s="32" t="n">
        <v>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68.54000000000001</v>
      </c>
      <c r="P31" s="32" t="n">
        <v>61.63</v>
      </c>
      <c r="Q31" s="32" t="inlineStr"/>
      <c r="R31" s="31" t="inlineStr">
        <is>
          <t>Earnings / Momentum Support</t>
        </is>
      </c>
      <c r="S31" s="31" t="inlineStr">
        <is>
          <t>Nifty Infra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18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PCJEWELLER</t>
        </is>
      </c>
      <c r="D32" s="31" t="inlineStr">
        <is>
          <t>PC Jeweller Ltd</t>
        </is>
      </c>
      <c r="E32" s="31" t="inlineStr">
        <is>
          <t>consumer discretionary</t>
        </is>
      </c>
      <c r="F32" s="31" t="inlineStr">
        <is>
          <t>Diamond Gems and Jewellery</t>
        </is>
      </c>
      <c r="G32" s="31" t="inlineStr">
        <is>
          <t>midcap</t>
        </is>
      </c>
      <c r="H32" s="32" t="n">
        <v>14711.64</v>
      </c>
      <c r="I32" s="32" t="n">
        <v>15</v>
      </c>
      <c r="J32" s="32" t="n">
        <v>1.28</v>
      </c>
      <c r="K32" s="32" t="n">
        <v>0</v>
      </c>
      <c r="L32" s="31" t="n">
        <v>43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67.61</v>
      </c>
      <c r="P32" s="32" t="n">
        <v>38.93</v>
      </c>
      <c r="Q32" s="32" t="inlineStr"/>
      <c r="R32" s="31" t="inlineStr">
        <is>
          <t>Earnings / Momentum Support</t>
        </is>
      </c>
      <c r="S32" s="31" t="inlineStr">
        <is>
          <t>Nifty 50</t>
        </is>
      </c>
      <c r="T32" s="32" t="n">
        <v>-10.93</v>
      </c>
      <c r="U32" s="32" t="n">
        <v>15.34</v>
      </c>
      <c r="V32" s="32" t="n">
        <v>29.5</v>
      </c>
      <c r="W32" s="32" t="n">
        <v>14.92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18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WHEELS</t>
        </is>
      </c>
      <c r="D33" s="31" t="inlineStr">
        <is>
          <t>Wheels India Ltd</t>
        </is>
      </c>
      <c r="E33" s="31" t="inlineStr">
        <is>
          <t>auto</t>
        </is>
      </c>
      <c r="F33" s="31" t="inlineStr">
        <is>
          <t>Auto Wheels</t>
        </is>
      </c>
      <c r="G33" s="31" t="inlineStr">
        <is>
          <t>midcap</t>
        </is>
      </c>
      <c r="H33" s="32" t="n">
        <v>6276.66</v>
      </c>
      <c r="I33" s="32" t="n">
        <v>2336.6</v>
      </c>
      <c r="J33" s="32" t="n">
        <v>5.86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73.14</v>
      </c>
      <c r="P33" s="32" t="n">
        <v>61.79</v>
      </c>
      <c r="Q33" s="32" t="inlineStr"/>
      <c r="R33" s="31" t="inlineStr">
        <is>
          <t>Earnings / Momentum Support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Between 0.7 to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17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DELTACORP</t>
        </is>
      </c>
      <c r="D34" s="31" t="inlineStr">
        <is>
          <t>Delta Corp Ltd</t>
        </is>
      </c>
      <c r="E34" s="31" t="inlineStr">
        <is>
          <t>miscellaneous</t>
        </is>
      </c>
      <c r="F34" s="31" t="inlineStr">
        <is>
          <t>Miscellaneous</t>
        </is>
      </c>
      <c r="G34" s="31" t="inlineStr">
        <is>
          <t>smallcap</t>
        </is>
      </c>
      <c r="H34" s="32" t="n">
        <v>2146.72</v>
      </c>
      <c r="I34" s="32" t="n">
        <v>80.17</v>
      </c>
      <c r="J34" s="32" t="n">
        <v>-1.4</v>
      </c>
      <c r="K34" s="32" t="n">
        <v>0</v>
      </c>
      <c r="L34" s="31" t="n">
        <v>24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65.37</v>
      </c>
      <c r="P34" s="32" t="n">
        <v>26.27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-10.93</v>
      </c>
      <c r="U34" s="32" t="n">
        <v>3.35</v>
      </c>
      <c r="V34" s="32" t="n">
        <v>16.04</v>
      </c>
      <c r="W34" s="32" t="n">
        <v>7.04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16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HIIL</t>
        </is>
      </c>
      <c r="D35" s="31" t="inlineStr">
        <is>
          <t>Hindusthan Insulators &amp; Industries Ltd</t>
        </is>
      </c>
      <c r="E35" s="31" t="inlineStr">
        <is>
          <t>Industrials</t>
        </is>
      </c>
      <c r="F35" s="31" t="inlineStr">
        <is>
          <t>Electric Equipment General</t>
        </is>
      </c>
      <c r="G35" s="31" t="inlineStr">
        <is>
          <t>smallcap</t>
        </is>
      </c>
      <c r="H35" s="32" t="n">
        <v>1257.91</v>
      </c>
      <c r="I35" s="32" t="n">
        <v>581.2</v>
      </c>
      <c r="J35" s="32" t="n">
        <v>1.99</v>
      </c>
      <c r="K35" s="32" t="n">
        <v>0</v>
      </c>
      <c r="L35" s="31" t="n">
        <v>93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96.44</v>
      </c>
      <c r="P35" s="32" t="n">
        <v>85.70999999999999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-10.93</v>
      </c>
      <c r="U35" s="32" t="n">
        <v>290.2</v>
      </c>
      <c r="V35" s="32" t="n">
        <v>338.1</v>
      </c>
      <c r="W35" s="32" t="n">
        <v>42.04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27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AEGISLOG</t>
        </is>
      </c>
      <c r="D36" s="31" t="inlineStr">
        <is>
          <t>Aegis Logistics Ltd</t>
        </is>
      </c>
      <c r="E36" s="31" t="inlineStr">
        <is>
          <t>services</t>
        </is>
      </c>
      <c r="F36" s="31" t="inlineStr">
        <is>
          <t>Logistics</t>
        </is>
      </c>
      <c r="G36" s="31" t="inlineStr">
        <is>
          <t>largecap</t>
        </is>
      </c>
      <c r="H36" s="32" t="n">
        <v>50895</v>
      </c>
      <c r="I36" s="32" t="n">
        <v>1450</v>
      </c>
      <c r="J36" s="32" t="n">
        <v>4.4</v>
      </c>
      <c r="K36" s="32" t="n">
        <v>0</v>
      </c>
      <c r="L36" s="31" t="n">
        <v>56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64.34</v>
      </c>
      <c r="P36" s="32" t="n">
        <v>54.59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-10.93</v>
      </c>
      <c r="U36" s="32" t="n">
        <v>71.84999999999999</v>
      </c>
      <c r="V36" s="32" t="n">
        <v>92.95</v>
      </c>
      <c r="W36" s="32" t="n">
        <v>19.51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25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LOTUSDEV</t>
        </is>
      </c>
      <c r="D37" s="31" t="inlineStr">
        <is>
          <t>Sri Lotus Developers &amp; Realty Ltd</t>
        </is>
      </c>
      <c r="E37" s="31" t="inlineStr">
        <is>
          <t>realty</t>
        </is>
      </c>
      <c r="F37" s="31" t="inlineStr">
        <is>
          <t>Construction Factories and Offices and Commercial</t>
        </is>
      </c>
      <c r="G37" s="31" t="inlineStr">
        <is>
          <t>midcap</t>
        </is>
      </c>
      <c r="H37" s="32" t="n">
        <v>11632.11</v>
      </c>
      <c r="I37" s="32" t="n">
        <v>238.01</v>
      </c>
      <c r="J37" s="32" t="n">
        <v>-0.73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72.67</v>
      </c>
      <c r="P37" s="32" t="n">
        <v>36.59</v>
      </c>
      <c r="Q37" s="32" t="inlineStr"/>
      <c r="R37" s="31" t="inlineStr">
        <is>
          <t>Earnings / Momentum Support</t>
        </is>
      </c>
      <c r="S37" s="31" t="inlineStr">
        <is>
          <t>Nifty Realty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AVALON</t>
        </is>
      </c>
      <c r="D38" s="31" t="inlineStr">
        <is>
          <t>Avalon Technologies Ltd</t>
        </is>
      </c>
      <c r="E38" s="31" t="inlineStr">
        <is>
          <t>consumer discretionary</t>
        </is>
      </c>
      <c r="F38" s="31" t="inlineStr">
        <is>
          <t>EMS</t>
        </is>
      </c>
      <c r="G38" s="31" t="inlineStr">
        <is>
          <t>midcap</t>
        </is>
      </c>
      <c r="H38" s="32" t="n">
        <v>15904.61</v>
      </c>
      <c r="I38" s="32" t="n">
        <v>2378</v>
      </c>
      <c r="J38" s="32" t="n">
        <v>3.37</v>
      </c>
      <c r="K38" s="32" t="n">
        <v>0</v>
      </c>
      <c r="L38" s="31" t="n">
        <v>64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70.18000000000001</v>
      </c>
      <c r="P38" s="32" t="n">
        <v>48.32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-10.93</v>
      </c>
      <c r="U38" s="32" t="n">
        <v>86.97</v>
      </c>
      <c r="V38" s="32" t="n">
        <v>109.93</v>
      </c>
      <c r="W38" s="32" t="n">
        <v>23.58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TATVA</t>
        </is>
      </c>
      <c r="D39" s="31" t="inlineStr">
        <is>
          <t>Tatva Chintan Pharma Chem Ltd</t>
        </is>
      </c>
      <c r="E39" s="31" t="inlineStr">
        <is>
          <t>chemicals</t>
        </is>
      </c>
      <c r="F39" s="31" t="inlineStr">
        <is>
          <t>Specialty Chemicals</t>
        </is>
      </c>
      <c r="G39" s="31" t="inlineStr">
        <is>
          <t>smallcap</t>
        </is>
      </c>
      <c r="H39" s="32" t="n">
        <v>4376.89</v>
      </c>
      <c r="I39" s="32" t="n">
        <v>1871.1</v>
      </c>
      <c r="J39" s="32" t="n">
        <v>3.67</v>
      </c>
      <c r="K39" s="32" t="n">
        <v>0</v>
      </c>
      <c r="L39" s="31" t="n">
        <v>55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66.48999999999999</v>
      </c>
      <c r="P39" s="32" t="n">
        <v>44.12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-10.93</v>
      </c>
      <c r="U39" s="32" t="n">
        <v>69</v>
      </c>
      <c r="V39" s="32" t="n">
        <v>89.75</v>
      </c>
      <c r="W39" s="32" t="n">
        <v>19.24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SYRMA</t>
        </is>
      </c>
      <c r="D40" s="31" t="inlineStr">
        <is>
          <t>Syrma SGS Technology Ltd</t>
        </is>
      </c>
      <c r="E40" s="31" t="inlineStr">
        <is>
          <t>consumer discretionary</t>
        </is>
      </c>
      <c r="F40" s="31" t="inlineStr">
        <is>
          <t>EMS</t>
        </is>
      </c>
      <c r="G40" s="31" t="inlineStr">
        <is>
          <t>largecap</t>
        </is>
      </c>
      <c r="H40" s="32" t="n">
        <v>33498.51</v>
      </c>
      <c r="I40" s="32" t="n">
        <v>1737.2</v>
      </c>
      <c r="J40" s="32" t="n">
        <v>1.01</v>
      </c>
      <c r="K40" s="32" t="n">
        <v>0</v>
      </c>
      <c r="L40" s="31" t="n">
        <v>60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75.33</v>
      </c>
      <c r="P40" s="32" t="n">
        <v>58.89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-10.93</v>
      </c>
      <c r="U40" s="32" t="n">
        <v>104.07</v>
      </c>
      <c r="V40" s="32" t="n">
        <v>129.13</v>
      </c>
      <c r="W40" s="32" t="n">
        <v>22.11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MARINE</t>
        </is>
      </c>
      <c r="D41" s="31" t="inlineStr">
        <is>
          <t>Marine Electricals (India) Ltd</t>
        </is>
      </c>
      <c r="E41" s="31" t="inlineStr">
        <is>
          <t>industrials</t>
        </is>
      </c>
      <c r="F41" s="31" t="inlineStr">
        <is>
          <t>Shipping Proxy</t>
        </is>
      </c>
      <c r="G41" s="31" t="inlineStr">
        <is>
          <t>midcap</t>
        </is>
      </c>
      <c r="H41" s="32" t="n">
        <v>6502.52</v>
      </c>
      <c r="I41" s="32" t="n">
        <v>464.65</v>
      </c>
      <c r="J41" s="32" t="n">
        <v>1.98</v>
      </c>
      <c r="K41" s="32" t="n">
        <v>0</v>
      </c>
      <c r="L41" s="31" t="n">
        <v>85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</v>
      </c>
      <c r="P41" s="32" t="n">
        <v>52.01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-10.93</v>
      </c>
      <c r="U41" s="32" t="n">
        <v>116.34</v>
      </c>
      <c r="V41" s="32" t="n">
        <v>142.9</v>
      </c>
      <c r="W41" s="32" t="n">
        <v>35.65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17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ATLANTAELE</t>
        </is>
      </c>
      <c r="D42" s="31" t="inlineStr">
        <is>
          <t>Atlanta Electricals Ltd</t>
        </is>
      </c>
      <c r="E42" s="31" t="inlineStr">
        <is>
          <t>industrials</t>
        </is>
      </c>
      <c r="F42" s="31" t="inlineStr">
        <is>
          <t>Capital Goods Transformers</t>
        </is>
      </c>
      <c r="G42" s="31" t="inlineStr">
        <is>
          <t>midcap</t>
        </is>
      </c>
      <c r="H42" s="32" t="n">
        <v>14195.12</v>
      </c>
      <c r="I42" s="32" t="n">
        <v>1846</v>
      </c>
      <c r="J42" s="32" t="n">
        <v>4.32</v>
      </c>
      <c r="K42" s="32" t="n">
        <v>0</v>
      </c>
      <c r="L42" s="31" t="n">
        <v>51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56.25</v>
      </c>
      <c r="P42" s="32" t="n">
        <v>23.12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-10.93</v>
      </c>
      <c r="U42" s="32" t="n">
        <v>96.36</v>
      </c>
      <c r="V42" s="32" t="n">
        <v>120.47</v>
      </c>
      <c r="W42" s="32" t="n">
        <v>17.74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PTCIL</t>
        </is>
      </c>
      <c r="D43" s="31" t="inlineStr">
        <is>
          <t>PTC Industries Ltd</t>
        </is>
      </c>
      <c r="E43" s="31" t="inlineStr">
        <is>
          <t>castings, forgings &amp; fasteners</t>
        </is>
      </c>
      <c r="F43" s="31" t="inlineStr">
        <is>
          <t>Castings Steel and Alloy</t>
        </is>
      </c>
      <c r="G43" s="31" t="inlineStr">
        <is>
          <t>largecap</t>
        </is>
      </c>
      <c r="H43" s="32" t="n">
        <v>38553.34</v>
      </c>
      <c r="I43" s="32" t="n">
        <v>25715</v>
      </c>
      <c r="J43" s="32" t="n">
        <v>4.81</v>
      </c>
      <c r="K43" s="32" t="n">
        <v>0</v>
      </c>
      <c r="L43" s="31" t="n">
        <v>51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72.02</v>
      </c>
      <c r="P43" s="32" t="n">
        <v>46.86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-10.93</v>
      </c>
      <c r="U43" s="32" t="n">
        <v>51.01</v>
      </c>
      <c r="V43" s="32" t="n">
        <v>69.55</v>
      </c>
      <c r="W43" s="32" t="n">
        <v>17.81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E2E</t>
        </is>
      </c>
      <c r="D44" s="31" t="inlineStr">
        <is>
          <t>E2E Networks Ltd</t>
        </is>
      </c>
      <c r="E44" s="31" t="inlineStr">
        <is>
          <t>i.t</t>
        </is>
      </c>
      <c r="F44" s="31" t="inlineStr">
        <is>
          <t>Data Centre</t>
        </is>
      </c>
      <c r="G44" s="31" t="inlineStr">
        <is>
          <t>midcap</t>
        </is>
      </c>
      <c r="H44" s="32" t="n">
        <v>15120.33</v>
      </c>
      <c r="I44" s="32" t="n">
        <v>735.55</v>
      </c>
      <c r="J44" s="32" t="n">
        <v>4.39</v>
      </c>
      <c r="K44" s="32" t="n">
        <v>0</v>
      </c>
      <c r="L44" s="31" t="n">
        <v>90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75.7</v>
      </c>
      <c r="P44" s="32" t="n">
        <v>57.31</v>
      </c>
      <c r="Q44" s="32" t="inlineStr"/>
      <c r="R44" s="31" t="inlineStr">
        <is>
          <t>Earnings / Momentum Support</t>
        </is>
      </c>
      <c r="S44" s="31" t="inlineStr">
        <is>
          <t>Nifty IT</t>
        </is>
      </c>
      <c r="T44" s="32" t="n">
        <v>-19.75</v>
      </c>
      <c r="U44" s="32" t="n">
        <v>106.76</v>
      </c>
      <c r="V44" s="32" t="n">
        <v>157.66</v>
      </c>
      <c r="W44" s="32" t="n">
        <v>39.32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17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AETHER</t>
        </is>
      </c>
      <c r="D45" s="31" t="inlineStr">
        <is>
          <t>Aether Industries Ltd</t>
        </is>
      </c>
      <c r="E45" s="31" t="inlineStr">
        <is>
          <t>chemicals</t>
        </is>
      </c>
      <c r="F45" s="31" t="inlineStr">
        <is>
          <t>Specialty Chemicals</t>
        </is>
      </c>
      <c r="G45" s="31" t="inlineStr">
        <is>
          <t>largecap</t>
        </is>
      </c>
      <c r="H45" s="32" t="n">
        <v>23616.35</v>
      </c>
      <c r="I45" s="32" t="n">
        <v>1779.3</v>
      </c>
      <c r="J45" s="32" t="n">
        <v>1.78</v>
      </c>
      <c r="K45" s="32" t="n">
        <v>0</v>
      </c>
      <c r="L45" s="31" t="n">
        <v>61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68.38</v>
      </c>
      <c r="P45" s="32" t="n">
        <v>61.18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-10.93</v>
      </c>
      <c r="U45" s="32" t="n">
        <v>133.02</v>
      </c>
      <c r="V45" s="32" t="n">
        <v>161.63</v>
      </c>
      <c r="W45" s="32" t="n">
        <v>22.23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16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AZAD</t>
        </is>
      </c>
      <c r="D46" s="31" t="inlineStr">
        <is>
          <t>Azad Engineering Ltd</t>
        </is>
      </c>
      <c r="E46" s="31" t="inlineStr">
        <is>
          <t>aerospace &amp; defence</t>
        </is>
      </c>
      <c r="F46" s="31" t="inlineStr">
        <is>
          <t>Aerospace and Defence Equipment</t>
        </is>
      </c>
      <c r="G46" s="31" t="inlineStr">
        <is>
          <t>midcap</t>
        </is>
      </c>
      <c r="H46" s="32" t="n">
        <v>19170.44</v>
      </c>
      <c r="I46" s="32" t="n">
        <v>2968.4</v>
      </c>
      <c r="J46" s="32" t="n">
        <v>2</v>
      </c>
      <c r="K46" s="32" t="n">
        <v>0</v>
      </c>
      <c r="L46" s="31" t="n">
        <v>50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67.98</v>
      </c>
      <c r="P46" s="32" t="n">
        <v>44.93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-10.93</v>
      </c>
      <c r="U46" s="32" t="n">
        <v>75.72</v>
      </c>
      <c r="V46" s="32" t="n">
        <v>97.29000000000001</v>
      </c>
      <c r="W46" s="32" t="n">
        <v>16.72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CUPID</t>
        </is>
      </c>
      <c r="D47" s="31" t="inlineStr">
        <is>
          <t>Cupid Ltd</t>
        </is>
      </c>
      <c r="E47" s="31" t="inlineStr">
        <is>
          <t>fmcg</t>
        </is>
      </c>
      <c r="F47" s="31" t="inlineStr">
        <is>
          <t>Contraceptives and Protectives</t>
        </is>
      </c>
      <c r="G47" s="31" t="inlineStr">
        <is>
          <t>largecap</t>
        </is>
      </c>
      <c r="H47" s="32" t="n">
        <v>48649.82</v>
      </c>
      <c r="I47" s="32" t="n">
        <v>361.8</v>
      </c>
      <c r="J47" s="32" t="n">
        <v>-1.17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87</v>
      </c>
      <c r="P47" s="32" t="n">
        <v>65.08</v>
      </c>
      <c r="Q47" s="32" t="inlineStr"/>
      <c r="R47" s="31" t="inlineStr">
        <is>
          <t>Earnings / Momentum Support</t>
        </is>
      </c>
      <c r="S47" s="31" t="inlineStr">
        <is>
          <t>Nifty FMCG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21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FREDUN</t>
        </is>
      </c>
      <c r="D48" s="31" t="inlineStr">
        <is>
          <t>Fredun Pharmaceuticals Ltd</t>
        </is>
      </c>
      <c r="E48" s="31" t="inlineStr">
        <is>
          <t>Healthcare</t>
        </is>
      </c>
      <c r="F48" s="31" t="inlineStr">
        <is>
          <t>Pharma Formulations</t>
        </is>
      </c>
      <c r="G48" s="31" t="inlineStr">
        <is>
          <t>smallcap</t>
        </is>
      </c>
      <c r="H48" s="32" t="n">
        <v>2486.99</v>
      </c>
      <c r="I48" s="32" t="n">
        <v>1503.8</v>
      </c>
      <c r="J48" s="32" t="n">
        <v>-3.18</v>
      </c>
      <c r="K48" s="32" t="n">
        <v>0</v>
      </c>
      <c r="L48" s="31" t="n">
        <v>94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73.05</v>
      </c>
      <c r="P48" s="32" t="n">
        <v>62.71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16.85</v>
      </c>
      <c r="U48" s="32" t="n">
        <v>225.9</v>
      </c>
      <c r="V48" s="32" t="n">
        <v>178.91</v>
      </c>
      <c r="W48" s="32" t="n">
        <v>45.96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ASMTEC</t>
        </is>
      </c>
      <c r="D49" s="31" t="inlineStr">
        <is>
          <t>ASM Technologies Ltd</t>
        </is>
      </c>
      <c r="E49" s="31" t="inlineStr">
        <is>
          <t>Technology</t>
        </is>
      </c>
      <c r="F49" s="31" t="inlineStr">
        <is>
          <t>IT Services</t>
        </is>
      </c>
      <c r="G49" s="31" t="inlineStr">
        <is>
          <t>midcap</t>
        </is>
      </c>
      <c r="H49" s="32" t="n">
        <v>9796.91</v>
      </c>
      <c r="I49" s="32" t="n">
        <v>6716.35</v>
      </c>
      <c r="J49" s="32" t="n">
        <v>0.52</v>
      </c>
      <c r="K49" s="32" t="n">
        <v>0</v>
      </c>
      <c r="L49" s="31" t="n">
        <v>73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75.52</v>
      </c>
      <c r="P49" s="32" t="n">
        <v>60.65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-10.93</v>
      </c>
      <c r="U49" s="32" t="n">
        <v>77.69</v>
      </c>
      <c r="V49" s="32" t="n">
        <v>99.5</v>
      </c>
      <c r="W49" s="32" t="n">
        <v>28.15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LALPATHLAB</t>
        </is>
      </c>
      <c r="D50" s="31" t="inlineStr">
        <is>
          <t>Dr Lal Pathlabs Ltd</t>
        </is>
      </c>
      <c r="E50" s="31" t="inlineStr">
        <is>
          <t>healthcare</t>
        </is>
      </c>
      <c r="F50" s="31" t="inlineStr">
        <is>
          <t>Diagnostic Services</t>
        </is>
      </c>
      <c r="G50" s="31" t="inlineStr">
        <is>
          <t>largecap</t>
        </is>
      </c>
      <c r="H50" s="32" t="n">
        <v>33061.18</v>
      </c>
      <c r="I50" s="32" t="n">
        <v>1969.7</v>
      </c>
      <c r="J50" s="32" t="n">
        <v>1.87</v>
      </c>
      <c r="K50" s="32" t="n">
        <v>0</v>
      </c>
      <c r="L50" s="31" t="n">
        <v>25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64.22</v>
      </c>
      <c r="P50" s="32" t="n">
        <v>50.21</v>
      </c>
      <c r="Q50" s="32" t="inlineStr"/>
      <c r="R50" s="31" t="inlineStr">
        <is>
          <t>Earnings / Momentum Support</t>
        </is>
      </c>
      <c r="S50" s="31" t="inlineStr">
        <is>
          <t>Nifty Pharma</t>
        </is>
      </c>
      <c r="T50" s="32" t="n">
        <v>16.85</v>
      </c>
      <c r="U50" s="32" t="n">
        <v>26.11</v>
      </c>
      <c r="V50" s="32" t="n">
        <v>7.92</v>
      </c>
      <c r="W50" s="32" t="n">
        <v>8.19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16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SHILPAMED</t>
        </is>
      </c>
      <c r="D51" s="31" t="inlineStr">
        <is>
          <t>Shilpa Medicare Ltd</t>
        </is>
      </c>
      <c r="E51" s="31" t="inlineStr">
        <is>
          <t>Healthcare</t>
        </is>
      </c>
      <c r="F51" s="31" t="inlineStr">
        <is>
          <t>Pharma API</t>
        </is>
      </c>
      <c r="G51" s="31" t="inlineStr">
        <is>
          <t>midcap</t>
        </is>
      </c>
      <c r="H51" s="32" t="n">
        <v>19830.04</v>
      </c>
      <c r="I51" s="32" t="n">
        <v>1013.9</v>
      </c>
      <c r="J51" s="32" t="n">
        <v>-0.76</v>
      </c>
      <c r="K51" s="32" t="n">
        <v>0</v>
      </c>
      <c r="L51" s="31" t="n">
        <v>90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83.18000000000001</v>
      </c>
      <c r="P51" s="32" t="n">
        <v>84.09999999999999</v>
      </c>
      <c r="Q51" s="32" t="inlineStr"/>
      <c r="R51" s="31" t="inlineStr">
        <is>
          <t>Earnings / Momentum Support</t>
        </is>
      </c>
      <c r="S51" s="31" t="inlineStr">
        <is>
          <t>Nifty Pharma</t>
        </is>
      </c>
      <c r="T51" s="32" t="n">
        <v>16.85</v>
      </c>
      <c r="U51" s="32" t="n">
        <v>178.72</v>
      </c>
      <c r="V51" s="32" t="n">
        <v>138.53</v>
      </c>
      <c r="W51" s="32" t="n">
        <v>39.36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16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SHUKRAPHAR</t>
        </is>
      </c>
      <c r="D52" s="31" t="inlineStr">
        <is>
          <t>Shukra Pharmaceuticals Ltd</t>
        </is>
      </c>
      <c r="E52" s="31" t="inlineStr">
        <is>
          <t>Healthcare</t>
        </is>
      </c>
      <c r="F52" s="31" t="inlineStr">
        <is>
          <t>Pharma Others</t>
        </is>
      </c>
      <c r="G52" s="31" t="inlineStr">
        <is>
          <t>smallcap</t>
        </is>
      </c>
      <c r="H52" s="32" t="n">
        <v>2942.77</v>
      </c>
      <c r="I52" s="32" t="n">
        <v>66.5</v>
      </c>
      <c r="J52" s="32" t="n">
        <v>-0.73</v>
      </c>
      <c r="K52" s="32" t="n">
        <v>0</v>
      </c>
      <c r="L52" s="31" t="n">
        <v>91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79.97</v>
      </c>
      <c r="P52" s="32" t="n">
        <v>45.97</v>
      </c>
      <c r="Q52" s="32" t="inlineStr"/>
      <c r="R52" s="31" t="inlineStr">
        <is>
          <t>Earnings / Momentum Support</t>
        </is>
      </c>
      <c r="S52" s="31" t="inlineStr">
        <is>
          <t>Nifty Pharma</t>
        </is>
      </c>
      <c r="T52" s="32" t="n">
        <v>16.85</v>
      </c>
      <c r="U52" s="32" t="n">
        <v>98.58</v>
      </c>
      <c r="V52" s="32" t="n">
        <v>69.95</v>
      </c>
      <c r="W52" s="32" t="n">
        <v>40.5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16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TDPOWERSYS</t>
        </is>
      </c>
      <c r="D53" s="31" t="inlineStr">
        <is>
          <t>TD Power Systems Ltd</t>
        </is>
      </c>
      <c r="E53" s="31" t="inlineStr">
        <is>
          <t>industrials</t>
        </is>
      </c>
      <c r="F53" s="31" t="inlineStr">
        <is>
          <t>Capital Goods Gensets and Turbines</t>
        </is>
      </c>
      <c r="G53" s="31" t="inlineStr">
        <is>
          <t>largecap</t>
        </is>
      </c>
      <c r="H53" s="32" t="n">
        <v>25901.21</v>
      </c>
      <c r="I53" s="32" t="n">
        <v>825.65</v>
      </c>
      <c r="J53" s="32" t="n">
        <v>4.02</v>
      </c>
      <c r="K53" s="32" t="n">
        <v>0</v>
      </c>
      <c r="L53" s="31" t="n">
        <v>75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68.28</v>
      </c>
      <c r="P53" s="32" t="n">
        <v>20.65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-10.93</v>
      </c>
      <c r="U53" s="32" t="n">
        <v>164.99</v>
      </c>
      <c r="V53" s="32" t="n">
        <v>197.52</v>
      </c>
      <c r="W53" s="32" t="n">
        <v>30.08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23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GALAXYSURF</t>
        </is>
      </c>
      <c r="D54" s="31" t="inlineStr">
        <is>
          <t>Galaxy Surfactants Ltd</t>
        </is>
      </c>
      <c r="E54" s="31" t="inlineStr">
        <is>
          <t>chemicals</t>
        </is>
      </c>
      <c r="F54" s="31" t="inlineStr">
        <is>
          <t>Specialty Chemicals</t>
        </is>
      </c>
      <c r="G54" s="31" t="inlineStr">
        <is>
          <t>midcap</t>
        </is>
      </c>
      <c r="H54" s="32" t="n">
        <v>8978.92</v>
      </c>
      <c r="I54" s="32" t="n">
        <v>2532.5</v>
      </c>
      <c r="J54" s="32" t="n">
        <v>1.21</v>
      </c>
      <c r="K54" s="32" t="n">
        <v>0</v>
      </c>
      <c r="L54" s="31" t="n">
        <v>27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67.23</v>
      </c>
      <c r="P54" s="32" t="n">
        <v>33.48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-10.93</v>
      </c>
      <c r="U54" s="32" t="n">
        <v>12.19</v>
      </c>
      <c r="V54" s="32" t="n">
        <v>25.96</v>
      </c>
      <c r="W54" s="32" t="n">
        <v>8.529999999999999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NRAIL</t>
        </is>
      </c>
      <c r="D55" s="31" t="inlineStr">
        <is>
          <t>N R Agarwal Industries Ltd</t>
        </is>
      </c>
      <c r="E55" s="31" t="inlineStr">
        <is>
          <t>building materials</t>
        </is>
      </c>
      <c r="F55" s="31" t="inlineStr">
        <is>
          <t>Paper</t>
        </is>
      </c>
      <c r="G55" s="31" t="inlineStr">
        <is>
          <t>smallcap</t>
        </is>
      </c>
      <c r="H55" s="32" t="n">
        <v>1201.72</v>
      </c>
      <c r="I55" s="32" t="n">
        <v>706.1</v>
      </c>
      <c r="J55" s="32" t="n">
        <v>11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65.2</v>
      </c>
      <c r="P55" s="32" t="n">
        <v>50.39</v>
      </c>
      <c r="Q55" s="32" t="inlineStr"/>
      <c r="R55" s="31" t="inlineStr">
        <is>
          <t>Earnings / Momentum Support</t>
        </is>
      </c>
      <c r="S55" s="31" t="inlineStr">
        <is>
          <t>Nifty Infra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HFCL</t>
        </is>
      </c>
      <c r="D56" s="31" t="inlineStr">
        <is>
          <t>HFCL Ltd</t>
        </is>
      </c>
      <c r="E56" s="31" t="inlineStr">
        <is>
          <t>telecom</t>
        </is>
      </c>
      <c r="F56" s="31" t="inlineStr">
        <is>
          <t>Telecommunications Equipment</t>
        </is>
      </c>
      <c r="G56" s="31" t="inlineStr">
        <is>
          <t>largecap</t>
        </is>
      </c>
      <c r="H56" s="32" t="n">
        <v>40634.43</v>
      </c>
      <c r="I56" s="32" t="n">
        <v>265.48</v>
      </c>
      <c r="J56" s="32" t="n">
        <v>1.95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71.37</v>
      </c>
      <c r="P56" s="32" t="n">
        <v>48.32</v>
      </c>
      <c r="Q56" s="32" t="inlineStr"/>
      <c r="R56" s="31" t="inlineStr">
        <is>
          <t>Earnings / Momentum Support</t>
        </is>
      </c>
      <c r="S56" s="31" t="inlineStr">
        <is>
          <t>Nifty Infra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SOMANYCERA</t>
        </is>
      </c>
      <c r="D57" s="31" t="inlineStr">
        <is>
          <t>Somany Ceramics Ltd</t>
        </is>
      </c>
      <c r="E57" s="31" t="inlineStr">
        <is>
          <t>building materials</t>
        </is>
      </c>
      <c r="F57" s="31" t="inlineStr">
        <is>
          <t>Ceramics Tiles and Sanitaryware</t>
        </is>
      </c>
      <c r="G57" s="31" t="inlineStr">
        <is>
          <t>smallcap</t>
        </is>
      </c>
      <c r="H57" s="32" t="n">
        <v>2507.93</v>
      </c>
      <c r="I57" s="32" t="n">
        <v>611.5</v>
      </c>
      <c r="J57" s="32" t="n">
        <v>3.39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65.02</v>
      </c>
      <c r="P57" s="32" t="n">
        <v>32.91</v>
      </c>
      <c r="Q57" s="32" t="inlineStr"/>
      <c r="R57" s="31" t="inlineStr">
        <is>
          <t>Earnings / Momentum Support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16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NAZARA</t>
        </is>
      </c>
      <c r="D58" s="31" t="inlineStr">
        <is>
          <t>Nazara Technologies Ltd</t>
        </is>
      </c>
      <c r="E58" s="31" t="inlineStr">
        <is>
          <t>i.t</t>
        </is>
      </c>
      <c r="F58" s="31" t="inlineStr">
        <is>
          <t>Entertainment and Media</t>
        </is>
      </c>
      <c r="G58" s="31" t="inlineStr">
        <is>
          <t>midcap</t>
        </is>
      </c>
      <c r="H58" s="32" t="n">
        <v>15532.23</v>
      </c>
      <c r="I58" s="32" t="n">
        <v>404.7</v>
      </c>
      <c r="J58" s="32" t="n">
        <v>7.16</v>
      </c>
      <c r="K58" s="32" t="n">
        <v>0</v>
      </c>
      <c r="L58" s="31" t="n">
        <v>39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71.27</v>
      </c>
      <c r="P58" s="32" t="n">
        <v>36.53</v>
      </c>
      <c r="Q58" s="32" t="inlineStr"/>
      <c r="R58" s="31" t="inlineStr">
        <is>
          <t>Earnings / Momentum Support</t>
        </is>
      </c>
      <c r="S58" s="31" t="inlineStr">
        <is>
          <t>Nifty IT</t>
        </is>
      </c>
      <c r="T58" s="32" t="n">
        <v>-19.75</v>
      </c>
      <c r="U58" s="32" t="n">
        <v>42.54</v>
      </c>
      <c r="V58" s="32" t="n">
        <v>77.62</v>
      </c>
      <c r="W58" s="32" t="n">
        <v>12.86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CYIENTDLM</t>
        </is>
      </c>
      <c r="D59" s="31" t="inlineStr">
        <is>
          <t>Cyient DLM Ltd</t>
        </is>
      </c>
      <c r="E59" s="31" t="inlineStr">
        <is>
          <t>aerospace &amp; defence</t>
        </is>
      </c>
      <c r="F59" s="31" t="inlineStr">
        <is>
          <t>EMS</t>
        </is>
      </c>
      <c r="G59" s="31" t="inlineStr">
        <is>
          <t>midcap</t>
        </is>
      </c>
      <c r="H59" s="32" t="n">
        <v>7772.43</v>
      </c>
      <c r="I59" s="32" t="n">
        <v>979.1</v>
      </c>
      <c r="J59" s="32" t="n">
        <v>2.81</v>
      </c>
      <c r="K59" s="32" t="n">
        <v>0</v>
      </c>
      <c r="L59" s="31" t="n">
        <v>87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84.06</v>
      </c>
      <c r="P59" s="32" t="n">
        <v>79.28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-10.93</v>
      </c>
      <c r="U59" s="32" t="n">
        <v>102.05</v>
      </c>
      <c r="V59" s="32" t="n">
        <v>126.85</v>
      </c>
      <c r="W59" s="32" t="n">
        <v>37.23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3" t="inlineStr">
        <is>
          <t>AMAL</t>
        </is>
      </c>
      <c r="D60" s="33" t="inlineStr">
        <is>
          <t>Amal Ltd</t>
        </is>
      </c>
      <c r="E60" s="31" t="inlineStr">
        <is>
          <t>Basic Materials</t>
        </is>
      </c>
      <c r="F60" s="31" t="inlineStr">
        <is>
          <t>Specialty Chemicals</t>
        </is>
      </c>
      <c r="G60" s="31" t="inlineStr">
        <is>
          <t>smallcap</t>
        </is>
      </c>
      <c r="H60" s="32" t="n">
        <v>1134.77</v>
      </c>
      <c r="I60" s="32" t="n">
        <v>917.9</v>
      </c>
      <c r="J60" s="32" t="n">
        <v>19.99</v>
      </c>
      <c r="K60" s="32" t="n">
        <v>0</v>
      </c>
      <c r="L60" s="31" t="n">
        <v>9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60.75</v>
      </c>
      <c r="P60" s="32" t="n">
        <v>45.71</v>
      </c>
      <c r="Q60" s="32" t="inlineStr"/>
      <c r="R60" s="31" t="inlineStr">
        <is>
          <t>Volume Spike / Accumulation</t>
        </is>
      </c>
      <c r="S60" s="31" t="inlineStr">
        <is>
          <t>Nifty 50</t>
        </is>
      </c>
      <c r="T60" s="32" t="n">
        <v>-10.93</v>
      </c>
      <c r="U60" s="32" t="n">
        <v>-21.9</v>
      </c>
      <c r="V60" s="32" t="n">
        <v>-12.31</v>
      </c>
      <c r="W60" s="32" t="n">
        <v>2.65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UTTAMSUGAR</t>
        </is>
      </c>
      <c r="D61" s="31" t="inlineStr">
        <is>
          <t>Uttam Sugar Mills Ltd</t>
        </is>
      </c>
      <c r="E61" s="31" t="inlineStr">
        <is>
          <t>fmcg</t>
        </is>
      </c>
      <c r="F61" s="31" t="inlineStr">
        <is>
          <t>Sugar</t>
        </is>
      </c>
      <c r="G61" s="31" t="inlineStr">
        <is>
          <t>smallcap</t>
        </is>
      </c>
      <c r="H61" s="32" t="n">
        <v>1288.31</v>
      </c>
      <c r="I61" s="32" t="n">
        <v>337.8</v>
      </c>
      <c r="J61" s="32" t="n">
        <v>13.34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59.38</v>
      </c>
      <c r="P61" s="32" t="n">
        <v>31.59</v>
      </c>
      <c r="Q61" s="32" t="inlineStr"/>
      <c r="R61" s="31" t="inlineStr">
        <is>
          <t>Volume Spike / Accumulation</t>
        </is>
      </c>
      <c r="S61" s="31" t="inlineStr">
        <is>
          <t>Nifty FMCG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16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ONEPOINT</t>
        </is>
      </c>
      <c r="D62" s="31" t="inlineStr">
        <is>
          <t>One Point One Solutions Ltd</t>
        </is>
      </c>
      <c r="E62" s="31" t="inlineStr">
        <is>
          <t>i.t</t>
        </is>
      </c>
      <c r="F62" s="31" t="inlineStr">
        <is>
          <t>IT Enabled Services</t>
        </is>
      </c>
      <c r="G62" s="31" t="inlineStr">
        <is>
          <t>smallcap</t>
        </is>
      </c>
      <c r="H62" s="32" t="n">
        <v>2196.31</v>
      </c>
      <c r="I62" s="32" t="n">
        <v>83.53</v>
      </c>
      <c r="J62" s="32" t="n">
        <v>3.94</v>
      </c>
      <c r="K62" s="32" t="n">
        <v>0</v>
      </c>
      <c r="L62" s="31" t="n">
        <v>59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76.48</v>
      </c>
      <c r="P62" s="32" t="n">
        <v>23.33</v>
      </c>
      <c r="Q62" s="32" t="inlineStr"/>
      <c r="R62" s="31" t="inlineStr">
        <is>
          <t>Earnings / Momentum Support</t>
        </is>
      </c>
      <c r="S62" s="31" t="inlineStr">
        <is>
          <t>Nifty IT</t>
        </is>
      </c>
      <c r="T62" s="32" t="n">
        <v>-19.75</v>
      </c>
      <c r="U62" s="32" t="n">
        <v>61.66</v>
      </c>
      <c r="V62" s="32" t="n">
        <v>101.45</v>
      </c>
      <c r="W62" s="32" t="n">
        <v>21.43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KMEW</t>
        </is>
      </c>
      <c r="D63" s="31" t="inlineStr">
        <is>
          <t>Knowledge Marine &amp; Engineering Works Ltd</t>
        </is>
      </c>
      <c r="E63" s="31" t="inlineStr">
        <is>
          <t>transportation</t>
        </is>
      </c>
      <c r="F63" s="31" t="inlineStr">
        <is>
          <t>Shipping</t>
        </is>
      </c>
      <c r="G63" s="31" t="inlineStr">
        <is>
          <t>midcap</t>
        </is>
      </c>
      <c r="H63" s="32" t="n">
        <v>8490.709999999999</v>
      </c>
      <c r="I63" s="32" t="n">
        <v>3347.5</v>
      </c>
      <c r="J63" s="32" t="n">
        <v>4.36</v>
      </c>
      <c r="K63" s="32" t="n">
        <v>0</v>
      </c>
      <c r="L63" s="31" t="n">
        <v>75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77.73</v>
      </c>
      <c r="P63" s="32" t="n">
        <v>58.77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-10.93</v>
      </c>
      <c r="U63" s="32" t="n">
        <v>170.2</v>
      </c>
      <c r="V63" s="32" t="n">
        <v>203.37</v>
      </c>
      <c r="W63" s="32" t="n">
        <v>29.78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FCL</t>
        </is>
      </c>
      <c r="D64" s="31" t="inlineStr">
        <is>
          <t>Fineotex Chemical Ltd</t>
        </is>
      </c>
      <c r="E64" s="31" t="inlineStr">
        <is>
          <t>Basic Materials</t>
        </is>
      </c>
      <c r="F64" s="31" t="inlineStr">
        <is>
          <t>Specialty Chemicals</t>
        </is>
      </c>
      <c r="G64" s="31" t="inlineStr">
        <is>
          <t>midcap</t>
        </is>
      </c>
      <c r="H64" s="32" t="n">
        <v>6587.58</v>
      </c>
      <c r="I64" s="32" t="n">
        <v>56.57</v>
      </c>
      <c r="J64" s="32" t="n">
        <v>-2.36</v>
      </c>
      <c r="K64" s="32" t="n">
        <v>0</v>
      </c>
      <c r="L64" s="31" t="n">
        <v>82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72.41</v>
      </c>
      <c r="P64" s="32" t="n">
        <v>49.95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-10.93</v>
      </c>
      <c r="U64" s="32" t="n">
        <v>137.05</v>
      </c>
      <c r="V64" s="32" t="n">
        <v>166.16</v>
      </c>
      <c r="W64" s="32" t="n">
        <v>33.48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PANACHE</t>
        </is>
      </c>
      <c r="D65" s="31" t="inlineStr">
        <is>
          <t>Panache Digilife Ltd</t>
        </is>
      </c>
      <c r="E65" s="31" t="inlineStr">
        <is>
          <t>i.t</t>
        </is>
      </c>
      <c r="F65" s="31" t="inlineStr">
        <is>
          <t>Computer Hardware</t>
        </is>
      </c>
      <c r="G65" s="31" t="inlineStr">
        <is>
          <t>smallcap</t>
        </is>
      </c>
      <c r="H65" s="32" t="n">
        <v>1036.91</v>
      </c>
      <c r="I65" s="32" t="n">
        <v>647.5</v>
      </c>
      <c r="J65" s="32" t="n">
        <v>4.81</v>
      </c>
      <c r="K65" s="32" t="n">
        <v>0</v>
      </c>
      <c r="L65" s="31" t="n">
        <v>54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77.95999999999999</v>
      </c>
      <c r="P65" s="32" t="n">
        <v>42.23</v>
      </c>
      <c r="Q65" s="32" t="inlineStr"/>
      <c r="R65" s="31" t="inlineStr">
        <is>
          <t>Earnings / Momentum Support</t>
        </is>
      </c>
      <c r="S65" s="31" t="inlineStr">
        <is>
          <t>Nifty IT</t>
        </is>
      </c>
      <c r="T65" s="32" t="n">
        <v>-19.75</v>
      </c>
      <c r="U65" s="32" t="n">
        <v>38.52</v>
      </c>
      <c r="V65" s="32" t="n">
        <v>72.62</v>
      </c>
      <c r="W65" s="32" t="n">
        <v>18.49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WELCORP</t>
        </is>
      </c>
      <c r="D66" s="31" t="inlineStr">
        <is>
          <t>Welspun Corp Ltd</t>
        </is>
      </c>
      <c r="E66" s="31" t="inlineStr">
        <is>
          <t>industrials</t>
        </is>
      </c>
      <c r="F66" s="31" t="inlineStr">
        <is>
          <t>DI Pipes and Saw Pipes</t>
        </is>
      </c>
      <c r="G66" s="31" t="inlineStr">
        <is>
          <t>largecap</t>
        </is>
      </c>
      <c r="H66" s="32" t="n">
        <v>73700.47</v>
      </c>
      <c r="I66" s="32" t="n">
        <v>2793.9</v>
      </c>
      <c r="J66" s="32" t="n">
        <v>5.81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79.76000000000001</v>
      </c>
      <c r="P66" s="32" t="n">
        <v>70.01000000000001</v>
      </c>
      <c r="Q66" s="32" t="inlineStr"/>
      <c r="R66" s="31" t="inlineStr">
        <is>
          <t>Earnings / Momentum Support</t>
        </is>
      </c>
      <c r="S66" s="31" t="inlineStr">
        <is>
          <t>Nifty Metal</t>
        </is>
      </c>
      <c r="T66" s="32" t="inlineStr"/>
      <c r="U66" s="32" t="inlineStr"/>
      <c r="V66" s="32" t="inlineStr"/>
      <c r="W66" s="32" t="inlineStr"/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BHEL</t>
        </is>
      </c>
      <c r="D67" s="31" t="inlineStr">
        <is>
          <t>Bharat Heavy Electricals Ltd</t>
        </is>
      </c>
      <c r="E67" s="31" t="inlineStr">
        <is>
          <t>industrials</t>
        </is>
      </c>
      <c r="F67" s="31" t="inlineStr">
        <is>
          <t>Capital Goods Engineering Heavy</t>
        </is>
      </c>
      <c r="G67" s="31" t="inlineStr">
        <is>
          <t>largecap</t>
        </is>
      </c>
      <c r="H67" s="32" t="n">
        <v>153175.97</v>
      </c>
      <c r="I67" s="32" t="n">
        <v>439.9</v>
      </c>
      <c r="J67" s="32" t="n">
        <v>1.45</v>
      </c>
      <c r="K67" s="32" t="n">
        <v>0</v>
      </c>
      <c r="L67" s="31" t="n">
        <v>45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63.28</v>
      </c>
      <c r="P67" s="32" t="n">
        <v>36.95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-10.93</v>
      </c>
      <c r="U67" s="32" t="n">
        <v>81.52</v>
      </c>
      <c r="V67" s="32" t="n">
        <v>103.81</v>
      </c>
      <c r="W67" s="32" t="n">
        <v>15.44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18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AEROENTER</t>
        </is>
      </c>
      <c r="D68" s="31" t="inlineStr">
        <is>
          <t>Aeroflex Enterprises Ltd</t>
        </is>
      </c>
      <c r="E68" s="31" t="inlineStr">
        <is>
          <t>metals &amp; mining</t>
        </is>
      </c>
      <c r="F68" s="31" t="inlineStr">
        <is>
          <t>Miscellaneous</t>
        </is>
      </c>
      <c r="G68" s="31" t="inlineStr">
        <is>
          <t>smallcap</t>
        </is>
      </c>
      <c r="H68" s="32" t="n">
        <v>1546.73</v>
      </c>
      <c r="I68" s="32" t="n">
        <v>136.68</v>
      </c>
      <c r="J68" s="32" t="n">
        <v>10.84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53.32</v>
      </c>
      <c r="P68" s="32" t="n">
        <v>42.75</v>
      </c>
      <c r="Q68" s="32" t="inlineStr"/>
      <c r="R68" s="31" t="inlineStr">
        <is>
          <t>Earnings / Momentum Support</t>
        </is>
      </c>
      <c r="S68" s="31" t="inlineStr">
        <is>
          <t>Nifty Metal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16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LAURUSLABS</t>
        </is>
      </c>
      <c r="D69" s="31" t="inlineStr">
        <is>
          <t>Laurus Labs Ltd</t>
        </is>
      </c>
      <c r="E69" s="31" t="inlineStr">
        <is>
          <t>healthcare</t>
        </is>
      </c>
      <c r="F69" s="31" t="inlineStr">
        <is>
          <t>Pharma API</t>
        </is>
      </c>
      <c r="G69" s="31" t="inlineStr">
        <is>
          <t>largecap</t>
        </is>
      </c>
      <c r="H69" s="32" t="n">
        <v>111801.4</v>
      </c>
      <c r="I69" s="32" t="n">
        <v>2069.2</v>
      </c>
      <c r="J69" s="32" t="n">
        <v>1.6</v>
      </c>
      <c r="K69" s="32" t="n">
        <v>0</v>
      </c>
      <c r="L69" s="31" t="n">
        <v>69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76.93000000000001</v>
      </c>
      <c r="P69" s="32" t="n">
        <v>78.8</v>
      </c>
      <c r="Q69" s="32" t="inlineStr"/>
      <c r="R69" s="31" t="inlineStr">
        <is>
          <t>Earnings / Momentum Support</t>
        </is>
      </c>
      <c r="S69" s="31" t="inlineStr">
        <is>
          <t>Nifty Pharma</t>
        </is>
      </c>
      <c r="T69" s="32" t="n">
        <v>16.85</v>
      </c>
      <c r="U69" s="32" t="n">
        <v>132.71</v>
      </c>
      <c r="V69" s="32" t="n">
        <v>99.15000000000001</v>
      </c>
      <c r="W69" s="32" t="n">
        <v>26.01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VALIANT</t>
        </is>
      </c>
      <c r="D70" s="31" t="inlineStr">
        <is>
          <t>Valiant Communications Ltd</t>
        </is>
      </c>
      <c r="E70" s="31" t="inlineStr">
        <is>
          <t>Technology</t>
        </is>
      </c>
      <c r="F70" s="31" t="inlineStr">
        <is>
          <t>Telecommunications Equipment</t>
        </is>
      </c>
      <c r="G70" s="31" t="inlineStr">
        <is>
          <t>smallcap</t>
        </is>
      </c>
      <c r="H70" s="32" t="n">
        <v>1990.17</v>
      </c>
      <c r="I70" s="32" t="n">
        <v>1702.15</v>
      </c>
      <c r="J70" s="32" t="n">
        <v>0.09</v>
      </c>
      <c r="K70" s="32" t="n">
        <v>0</v>
      </c>
      <c r="L70" s="31" t="n">
        <v>76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77.86</v>
      </c>
      <c r="P70" s="32" t="n">
        <v>36.97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-10.93</v>
      </c>
      <c r="U70" s="32" t="n">
        <v>130.09</v>
      </c>
      <c r="V70" s="32" t="n">
        <v>158.33</v>
      </c>
      <c r="W70" s="32" t="n">
        <v>31.13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KMCSHIL</t>
        </is>
      </c>
      <c r="D71" s="31" t="inlineStr">
        <is>
          <t>KMC Speciality Hospitals (India) Ltd</t>
        </is>
      </c>
      <c r="E71" s="31" t="inlineStr">
        <is>
          <t>Healthcare</t>
        </is>
      </c>
      <c r="F71" s="31" t="inlineStr">
        <is>
          <t>Hospitals</t>
        </is>
      </c>
      <c r="G71" s="31" t="inlineStr">
        <is>
          <t>smallcap</t>
        </is>
      </c>
      <c r="H71" s="32" t="n">
        <v>2628.11</v>
      </c>
      <c r="I71" s="32" t="n">
        <v>161.15</v>
      </c>
      <c r="J71" s="32" t="n">
        <v>-4.9</v>
      </c>
      <c r="K71" s="32" t="n">
        <v>0</v>
      </c>
      <c r="L71" s="31" t="n">
        <v>69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79.20999999999999</v>
      </c>
      <c r="P71" s="32" t="n">
        <v>51.36</v>
      </c>
      <c r="Q71" s="32" t="inlineStr"/>
      <c r="R71" s="31" t="inlineStr">
        <is>
          <t>Earnings / Momentum Support</t>
        </is>
      </c>
      <c r="S71" s="31" t="inlineStr">
        <is>
          <t>Nifty Pharma</t>
        </is>
      </c>
      <c r="T71" s="32" t="n">
        <v>16.85</v>
      </c>
      <c r="U71" s="32" t="n">
        <v>137.96</v>
      </c>
      <c r="V71" s="32" t="n">
        <v>103.64</v>
      </c>
      <c r="W71" s="32" t="n">
        <v>25.63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SKYGOLD</t>
        </is>
      </c>
      <c r="D72" s="31" t="inlineStr">
        <is>
          <t>Sky Gold &amp; Diamonds Ltd</t>
        </is>
      </c>
      <c r="E72" s="31" t="inlineStr">
        <is>
          <t>consumer discretionary</t>
        </is>
      </c>
      <c r="F72" s="31" t="inlineStr">
        <is>
          <t>Diamond Gems and Jewellery</t>
        </is>
      </c>
      <c r="G72" s="31" t="inlineStr">
        <is>
          <t>midcap</t>
        </is>
      </c>
      <c r="H72" s="32" t="n">
        <v>14995.66</v>
      </c>
      <c r="I72" s="32" t="n">
        <v>968.25</v>
      </c>
      <c r="J72" s="32" t="n">
        <v>5.13</v>
      </c>
      <c r="K72" s="32" t="n">
        <v>0</v>
      </c>
      <c r="L72" s="31" t="n">
        <v>83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78.84</v>
      </c>
      <c r="P72" s="32" t="n">
        <v>69.06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-10.93</v>
      </c>
      <c r="U72" s="32" t="n">
        <v>168.79</v>
      </c>
      <c r="V72" s="32" t="n">
        <v>201.79</v>
      </c>
      <c r="W72" s="32" t="n">
        <v>33.87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31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CHENNPETRO</t>
        </is>
      </c>
      <c r="D73" s="31" t="inlineStr">
        <is>
          <t>Chennai Petroleum Corporation Ltd</t>
        </is>
      </c>
      <c r="E73" s="31" t="inlineStr">
        <is>
          <t>Energy</t>
        </is>
      </c>
      <c r="F73" s="31" t="inlineStr">
        <is>
          <t>Refineries</t>
        </is>
      </c>
      <c r="G73" s="31" t="inlineStr">
        <is>
          <t>largecap</t>
        </is>
      </c>
      <c r="H73" s="32" t="n">
        <v>21839.35</v>
      </c>
      <c r="I73" s="32" t="n">
        <v>1466.6</v>
      </c>
      <c r="J73" s="32" t="n">
        <v>-1.42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65.44</v>
      </c>
      <c r="P73" s="32" t="n">
        <v>65.81</v>
      </c>
      <c r="Q73" s="32" t="inlineStr"/>
      <c r="R73" s="31" t="inlineStr">
        <is>
          <t>Earnings / Momentum Support</t>
        </is>
      </c>
      <c r="S73" s="31" t="inlineStr">
        <is>
          <t>Nifty Energy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PANAMAPET</t>
        </is>
      </c>
      <c r="D74" s="31" t="inlineStr">
        <is>
          <t>Panama Petrochem Ltd</t>
        </is>
      </c>
      <c r="E74" s="31" t="inlineStr">
        <is>
          <t>energy</t>
        </is>
      </c>
      <c r="F74" s="31" t="inlineStr">
        <is>
          <t>Specialty Chemicals</t>
        </is>
      </c>
      <c r="G74" s="31" t="inlineStr">
        <is>
          <t>smallcap</t>
        </is>
      </c>
      <c r="H74" s="32" t="n">
        <v>3103.32</v>
      </c>
      <c r="I74" s="32" t="n">
        <v>513</v>
      </c>
      <c r="J74" s="32" t="n">
        <v>3.45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62.83</v>
      </c>
      <c r="P74" s="32" t="n">
        <v>64.06</v>
      </c>
      <c r="Q74" s="32" t="inlineStr"/>
      <c r="R74" s="31" t="inlineStr">
        <is>
          <t>Earnings / Momentum Support</t>
        </is>
      </c>
      <c r="S74" s="31" t="inlineStr">
        <is>
          <t>Nifty Energy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AEROFLEX</t>
        </is>
      </c>
      <c r="D75" s="31" t="inlineStr">
        <is>
          <t>Aeroflex Industries Ltd</t>
        </is>
      </c>
      <c r="E75" s="31" t="inlineStr">
        <is>
          <t>metals &amp; mining</t>
        </is>
      </c>
      <c r="F75" s="31" t="inlineStr">
        <is>
          <t>Stainless Steel</t>
        </is>
      </c>
      <c r="G75" s="31" t="inlineStr">
        <is>
          <t>midcap</t>
        </is>
      </c>
      <c r="H75" s="32" t="n">
        <v>7515.06</v>
      </c>
      <c r="I75" s="32" t="n">
        <v>567.9</v>
      </c>
      <c r="J75" s="32" t="n">
        <v>9.109999999999999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63.73</v>
      </c>
      <c r="P75" s="32" t="n">
        <v>45.76</v>
      </c>
      <c r="Q75" s="32" t="inlineStr"/>
      <c r="R75" s="31" t="inlineStr">
        <is>
          <t>Volume Spike / Accumulation</t>
        </is>
      </c>
      <c r="S75" s="31" t="inlineStr">
        <is>
          <t>Nifty Metal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BODALCHEM</t>
        </is>
      </c>
      <c r="D76" s="31" t="inlineStr">
        <is>
          <t>Bodal Chemicals Ltd</t>
        </is>
      </c>
      <c r="E76" s="31" t="inlineStr">
        <is>
          <t>Basic Materials</t>
        </is>
      </c>
      <c r="F76" s="31" t="inlineStr">
        <is>
          <t>Dyes and Pigments</t>
        </is>
      </c>
      <c r="G76" s="31" t="inlineStr">
        <is>
          <t>smallcap</t>
        </is>
      </c>
      <c r="H76" s="32" t="n">
        <v>2238.91</v>
      </c>
      <c r="I76" s="32" t="n">
        <v>177.77</v>
      </c>
      <c r="J76" s="32" t="n">
        <v>3</v>
      </c>
      <c r="K76" s="32" t="n">
        <v>0</v>
      </c>
      <c r="L76" s="31" t="n">
        <v>98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73.41</v>
      </c>
      <c r="P76" s="32" t="n">
        <v>54.75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-10.93</v>
      </c>
      <c r="U76" s="32" t="n">
        <v>184.85</v>
      </c>
      <c r="V76" s="32" t="n">
        <v>219.82</v>
      </c>
      <c r="W76" s="32" t="n">
        <v>79.20999999999999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AVADHSUGAR</t>
        </is>
      </c>
      <c r="D77" s="31" t="inlineStr">
        <is>
          <t>Avadh Sugar &amp; Energy Ltd</t>
        </is>
      </c>
      <c r="E77" s="31" t="inlineStr">
        <is>
          <t>fmcg</t>
        </is>
      </c>
      <c r="F77" s="31" t="inlineStr">
        <is>
          <t>Sugar</t>
        </is>
      </c>
      <c r="G77" s="31" t="inlineStr">
        <is>
          <t>smallcap</t>
        </is>
      </c>
      <c r="H77" s="32" t="n">
        <v>1976.32</v>
      </c>
      <c r="I77" s="32" t="n">
        <v>987.25</v>
      </c>
      <c r="J77" s="32" t="n">
        <v>4.39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76.51000000000001</v>
      </c>
      <c r="P77" s="32" t="n">
        <v>59.55</v>
      </c>
      <c r="Q77" s="32" t="inlineStr"/>
      <c r="R77" s="31" t="inlineStr">
        <is>
          <t>Earnings / Momentum Support</t>
        </is>
      </c>
      <c r="S77" s="31" t="inlineStr">
        <is>
          <t>Nifty FMCG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DHAMPURSUG</t>
        </is>
      </c>
      <c r="D78" s="31" t="inlineStr">
        <is>
          <t>Dhampur Sugar Mills Ltd</t>
        </is>
      </c>
      <c r="E78" s="31" t="inlineStr">
        <is>
          <t>fmcg</t>
        </is>
      </c>
      <c r="F78" s="31" t="inlineStr">
        <is>
          <t>Sugar</t>
        </is>
      </c>
      <c r="G78" s="31" t="inlineStr">
        <is>
          <t>smallcap</t>
        </is>
      </c>
      <c r="H78" s="32" t="n">
        <v>1251.4</v>
      </c>
      <c r="I78" s="32" t="n">
        <v>194.6</v>
      </c>
      <c r="J78" s="32" t="n">
        <v>5.43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65.36</v>
      </c>
      <c r="P78" s="32" t="n">
        <v>27.39</v>
      </c>
      <c r="Q78" s="32" t="inlineStr"/>
      <c r="R78" s="31" t="inlineStr">
        <is>
          <t>Earnings / Momentum Support</t>
        </is>
      </c>
      <c r="S78" s="31" t="inlineStr">
        <is>
          <t>Nifty FMCG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GOODLUCK</t>
        </is>
      </c>
      <c r="D79" s="31" t="inlineStr">
        <is>
          <t>Goodluck India Ltd</t>
        </is>
      </c>
      <c r="E79" s="31" t="inlineStr">
        <is>
          <t>metals &amp; mining</t>
        </is>
      </c>
      <c r="F79" s="31" t="inlineStr">
        <is>
          <t>Steel Tubes and Pipes</t>
        </is>
      </c>
      <c r="G79" s="31" t="inlineStr">
        <is>
          <t>midcap</t>
        </is>
      </c>
      <c r="H79" s="32" t="n">
        <v>5647.39</v>
      </c>
      <c r="I79" s="32" t="n">
        <v>566.35</v>
      </c>
      <c r="J79" s="32" t="n">
        <v>13.21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55.61</v>
      </c>
      <c r="P79" s="32" t="n">
        <v>28.72</v>
      </c>
      <c r="Q79" s="32" t="inlineStr"/>
      <c r="R79" s="31" t="inlineStr">
        <is>
          <t>Volume Spike / Accumulation</t>
        </is>
      </c>
      <c r="S79" s="31" t="inlineStr">
        <is>
          <t>Nifty Metal</t>
        </is>
      </c>
      <c r="T79" s="32" t="inlineStr"/>
      <c r="U79" s="32" t="inlineStr"/>
      <c r="V79" s="32" t="inlineStr"/>
      <c r="W79" s="32" t="inlineStr"/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23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GANDHAR</t>
        </is>
      </c>
      <c r="D80" s="31" t="inlineStr">
        <is>
          <t>Gandhar Oil Refinery (India) Ltd</t>
        </is>
      </c>
      <c r="E80" s="31" t="inlineStr">
        <is>
          <t>energy</t>
        </is>
      </c>
      <c r="F80" s="31" t="inlineStr">
        <is>
          <t>Refineries</t>
        </is>
      </c>
      <c r="G80" s="31" t="inlineStr">
        <is>
          <t>smallcap</t>
        </is>
      </c>
      <c r="H80" s="32" t="n">
        <v>3014.98</v>
      </c>
      <c r="I80" s="32" t="n">
        <v>308</v>
      </c>
      <c r="J80" s="32" t="n">
        <v>3.86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71.68000000000001</v>
      </c>
      <c r="P80" s="32" t="n">
        <v>78.77</v>
      </c>
      <c r="Q80" s="32" t="inlineStr"/>
      <c r="R80" s="31" t="inlineStr">
        <is>
          <t>Earnings / Momentum Support</t>
        </is>
      </c>
      <c r="S80" s="31" t="inlineStr">
        <is>
          <t>Nifty Energy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PVRINOX</t>
        </is>
      </c>
      <c r="D81" s="31" t="inlineStr">
        <is>
          <t>PVR Inox Ltd</t>
        </is>
      </c>
      <c r="E81" s="31" t="inlineStr">
        <is>
          <t>media</t>
        </is>
      </c>
      <c r="F81" s="31" t="inlineStr">
        <is>
          <t>Entertainment and Media</t>
        </is>
      </c>
      <c r="G81" s="31" t="inlineStr">
        <is>
          <t>midcap</t>
        </is>
      </c>
      <c r="H81" s="32" t="n">
        <v>13760.76</v>
      </c>
      <c r="I81" s="32" t="n">
        <v>1401.3</v>
      </c>
      <c r="J81" s="32" t="n">
        <v>5.58</v>
      </c>
      <c r="K81" s="32" t="n">
        <v>0</v>
      </c>
      <c r="L81" s="31" t="n">
        <v>36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69.02</v>
      </c>
      <c r="P81" s="32" t="n">
        <v>36.71</v>
      </c>
      <c r="Q81" s="32" t="inlineStr"/>
      <c r="R81" s="31" t="inlineStr">
        <is>
          <t>Earnings / Momentum Support</t>
        </is>
      </c>
      <c r="S81" s="31" t="inlineStr">
        <is>
          <t>Nifty IT</t>
        </is>
      </c>
      <c r="T81" s="32" t="n">
        <v>-19.75</v>
      </c>
      <c r="U81" s="32" t="n">
        <v>21.76</v>
      </c>
      <c r="V81" s="32" t="n">
        <v>51.73</v>
      </c>
      <c r="W81" s="32" t="n">
        <v>11.42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SHRINGARMS</t>
        </is>
      </c>
      <c r="D82" s="31" t="inlineStr">
        <is>
          <t>Shringar House of Mangalsutra Ltd</t>
        </is>
      </c>
      <c r="E82" s="31" t="inlineStr">
        <is>
          <t>consumer discretionary</t>
        </is>
      </c>
      <c r="F82" s="31" t="inlineStr">
        <is>
          <t>Diamond Gems and Jewellery</t>
        </is>
      </c>
      <c r="G82" s="31" t="inlineStr">
        <is>
          <t>smallcap</t>
        </is>
      </c>
      <c r="H82" s="32" t="n">
        <v>2558.83</v>
      </c>
      <c r="I82" s="32" t="n">
        <v>265.35</v>
      </c>
      <c r="J82" s="32" t="n">
        <v>20</v>
      </c>
      <c r="K82" s="32" t="n">
        <v>0</v>
      </c>
      <c r="L82" s="31" t="n">
        <v>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51.53</v>
      </c>
      <c r="P82" s="32" t="n">
        <v>18.51</v>
      </c>
      <c r="Q82" s="32" t="inlineStr"/>
      <c r="R82" s="31" t="inlineStr">
        <is>
          <t>Volume Spike / Accumulation</t>
        </is>
      </c>
      <c r="S82" s="31" t="inlineStr">
        <is>
          <t>Nifty 50</t>
        </is>
      </c>
      <c r="T82" s="32" t="n">
        <v>-10.93</v>
      </c>
      <c r="U82" s="32" t="n">
        <v>4.48</v>
      </c>
      <c r="V82" s="32" t="n">
        <v>17.31</v>
      </c>
      <c r="W82" s="32" t="n">
        <v>0.93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SAMBHV</t>
        </is>
      </c>
      <c r="D83" s="31" t="inlineStr">
        <is>
          <t>Sambhv Steel Tubes Ltd</t>
        </is>
      </c>
      <c r="E83" s="31" t="inlineStr">
        <is>
          <t>metals &amp; mining</t>
        </is>
      </c>
      <c r="F83" s="31" t="inlineStr">
        <is>
          <t>Steel Tubes and Pipes</t>
        </is>
      </c>
      <c r="G83" s="31" t="inlineStr">
        <is>
          <t>smallcap</t>
        </is>
      </c>
      <c r="H83" s="32" t="n">
        <v>4761.6</v>
      </c>
      <c r="I83" s="32" t="n">
        <v>161.59</v>
      </c>
      <c r="J83" s="32" t="n">
        <v>0.74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77.8</v>
      </c>
      <c r="P83" s="32" t="n">
        <v>52.43</v>
      </c>
      <c r="Q83" s="32" t="inlineStr"/>
      <c r="R83" s="31" t="inlineStr">
        <is>
          <t>Earnings / Momentum Support</t>
        </is>
      </c>
      <c r="S83" s="31" t="inlineStr">
        <is>
          <t>Nifty Metal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18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MUKANDLTD</t>
        </is>
      </c>
      <c r="D84" s="31" t="inlineStr">
        <is>
          <t>Mukand Ltd</t>
        </is>
      </c>
      <c r="E84" s="31" t="inlineStr">
        <is>
          <t>metals &amp; mining</t>
        </is>
      </c>
      <c r="F84" s="31" t="inlineStr">
        <is>
          <t>Steel</t>
        </is>
      </c>
      <c r="G84" s="31" t="inlineStr">
        <is>
          <t>smallcap</t>
        </is>
      </c>
      <c r="H84" s="32" t="n">
        <v>2565.95</v>
      </c>
      <c r="I84" s="32" t="n">
        <v>177.58</v>
      </c>
      <c r="J84" s="32" t="n">
        <v>0.9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72.59999999999999</v>
      </c>
      <c r="P84" s="32" t="n">
        <v>46.1</v>
      </c>
      <c r="Q84" s="32" t="inlineStr"/>
      <c r="R84" s="31" t="inlineStr">
        <is>
          <t>Earnings / Momentum Support</t>
        </is>
      </c>
      <c r="S84" s="31" t="inlineStr">
        <is>
          <t>Nifty Metal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18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DYNAMATECH</t>
        </is>
      </c>
      <c r="D85" s="31" t="inlineStr">
        <is>
          <t>Dynamatic Technologies Ltd</t>
        </is>
      </c>
      <c r="E85" s="31" t="inlineStr">
        <is>
          <t>aerospace &amp; defence</t>
        </is>
      </c>
      <c r="F85" s="31" t="inlineStr">
        <is>
          <t>Aerospace and Defence Equipment</t>
        </is>
      </c>
      <c r="G85" s="31" t="inlineStr">
        <is>
          <t>midcap</t>
        </is>
      </c>
      <c r="H85" s="32" t="n">
        <v>9594.950000000001</v>
      </c>
      <c r="I85" s="32" t="n">
        <v>14128</v>
      </c>
      <c r="J85" s="32" t="n">
        <v>6.06</v>
      </c>
      <c r="K85" s="32" t="n">
        <v>0</v>
      </c>
      <c r="L85" s="31" t="n">
        <v>49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66.19</v>
      </c>
      <c r="P85" s="32" t="n">
        <v>35.5</v>
      </c>
      <c r="Q85" s="32" t="inlineStr"/>
      <c r="R85" s="31" t="inlineStr">
        <is>
          <t>Earnings / Momentum Support</t>
        </is>
      </c>
      <c r="S85" s="31" t="inlineStr">
        <is>
          <t>Nifty 50</t>
        </is>
      </c>
      <c r="T85" s="32" t="n">
        <v>-10.93</v>
      </c>
      <c r="U85" s="32" t="n">
        <v>71.06</v>
      </c>
      <c r="V85" s="32" t="n">
        <v>92.06</v>
      </c>
      <c r="W85" s="32" t="n">
        <v>16.65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16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NEOGEN</t>
        </is>
      </c>
      <c r="D86" s="31" t="inlineStr">
        <is>
          <t>Neogen Chemicals Ltd</t>
        </is>
      </c>
      <c r="E86" s="31" t="inlineStr">
        <is>
          <t>chemicals</t>
        </is>
      </c>
      <c r="F86" s="31" t="inlineStr">
        <is>
          <t>Specialty Chemicals</t>
        </is>
      </c>
      <c r="G86" s="31" t="inlineStr">
        <is>
          <t>midcap</t>
        </is>
      </c>
      <c r="H86" s="32" t="n">
        <v>7614.25</v>
      </c>
      <c r="I86" s="32" t="n">
        <v>2534.5</v>
      </c>
      <c r="J86" s="32" t="n">
        <v>6.57</v>
      </c>
      <c r="K86" s="32" t="n">
        <v>0</v>
      </c>
      <c r="L86" s="31" t="n">
        <v>45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65.77</v>
      </c>
      <c r="P86" s="32" t="n">
        <v>59.49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-10.93</v>
      </c>
      <c r="U86" s="32" t="n">
        <v>57.53</v>
      </c>
      <c r="V86" s="32" t="n">
        <v>76.87</v>
      </c>
      <c r="W86" s="32" t="n">
        <v>15.31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16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SOTL</t>
        </is>
      </c>
      <c r="D87" s="31" t="inlineStr">
        <is>
          <t>Savita Oil Technologies Ltd</t>
        </is>
      </c>
      <c r="E87" s="31" t="inlineStr">
        <is>
          <t>energy</t>
        </is>
      </c>
      <c r="F87" s="31" t="inlineStr">
        <is>
          <t>Petrochemicals Others</t>
        </is>
      </c>
      <c r="G87" s="31" t="inlineStr">
        <is>
          <t>midcap</t>
        </is>
      </c>
      <c r="H87" s="32" t="n">
        <v>5355.25</v>
      </c>
      <c r="I87" s="32" t="n">
        <v>781.1</v>
      </c>
      <c r="J87" s="32" t="n">
        <v>2.13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68.43000000000001</v>
      </c>
      <c r="P87" s="32" t="n">
        <v>67.58</v>
      </c>
      <c r="Q87" s="32" t="inlineStr"/>
      <c r="R87" s="31" t="inlineStr">
        <is>
          <t>Earnings / Momentum Support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VHLTD</t>
        </is>
      </c>
      <c r="D88" s="31" t="inlineStr">
        <is>
          <t>Viceroy Hotels Ltd</t>
        </is>
      </c>
      <c r="E88" s="31" t="inlineStr">
        <is>
          <t>services</t>
        </is>
      </c>
      <c r="F88" s="31" t="inlineStr">
        <is>
          <t>Hotels</t>
        </is>
      </c>
      <c r="G88" s="31" t="inlineStr">
        <is>
          <t>smallcap</t>
        </is>
      </c>
      <c r="H88" s="32" t="n">
        <v>1152.04</v>
      </c>
      <c r="I88" s="32" t="n">
        <v>150.04</v>
      </c>
      <c r="J88" s="32" t="n">
        <v>5</v>
      </c>
      <c r="K88" s="32" t="n">
        <v>0</v>
      </c>
      <c r="L88" s="31" t="n">
        <v>17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61.64</v>
      </c>
      <c r="P88" s="32" t="n">
        <v>18.3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-10.93</v>
      </c>
      <c r="U88" s="32" t="n">
        <v>12.79</v>
      </c>
      <c r="V88" s="32" t="n">
        <v>26.63</v>
      </c>
      <c r="W88" s="32" t="n">
        <v>4.96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20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ANTELOPUS</t>
        </is>
      </c>
      <c r="D89" s="31" t="inlineStr">
        <is>
          <t>Antelopus Selan Energy Ltd</t>
        </is>
      </c>
      <c r="E89" s="31" t="inlineStr">
        <is>
          <t>Energy</t>
        </is>
      </c>
      <c r="F89" s="31" t="inlineStr">
        <is>
          <t>Oil Drilling and Exploration</t>
        </is>
      </c>
      <c r="G89" s="31" t="inlineStr">
        <is>
          <t>smallcap</t>
        </is>
      </c>
      <c r="H89" s="32" t="n">
        <v>3913.07</v>
      </c>
      <c r="I89" s="32" t="n">
        <v>1108.9</v>
      </c>
      <c r="J89" s="32" t="n">
        <v>0.67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63.65</v>
      </c>
      <c r="P89" s="32" t="n">
        <v>53.03</v>
      </c>
      <c r="Q89" s="32" t="inlineStr"/>
      <c r="R89" s="31" t="inlineStr">
        <is>
          <t>Earnings / Momentum Support</t>
        </is>
      </c>
      <c r="S89" s="31" t="inlineStr">
        <is>
          <t>Nifty Energy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YASHHV</t>
        </is>
      </c>
      <c r="D90" s="31" t="inlineStr">
        <is>
          <t>Yash Highvoltage Ltd</t>
        </is>
      </c>
      <c r="E90" s="31" t="inlineStr">
        <is>
          <t>Industrials</t>
        </is>
      </c>
      <c r="F90" s="31" t="inlineStr">
        <is>
          <t>Electric Equipment General</t>
        </is>
      </c>
      <c r="G90" s="31" t="inlineStr">
        <is>
          <t>smallcap</t>
        </is>
      </c>
      <c r="H90" s="32" t="n">
        <v>3716.83</v>
      </c>
      <c r="I90" s="32" t="n">
        <v>1243.6</v>
      </c>
      <c r="J90" s="32" t="n">
        <v>4.89</v>
      </c>
      <c r="K90" s="32" t="n">
        <v>0</v>
      </c>
      <c r="L90" s="31" t="n">
        <v>74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78.42</v>
      </c>
      <c r="P90" s="32" t="n">
        <v>63.95</v>
      </c>
      <c r="Q90" s="32" t="inlineStr"/>
      <c r="R90" s="31" t="inlineStr">
        <is>
          <t>Earnings / Momentum Support</t>
        </is>
      </c>
      <c r="S90" s="31" t="inlineStr">
        <is>
          <t>Nifty 50</t>
        </is>
      </c>
      <c r="T90" s="32" t="n">
        <v>-10.93</v>
      </c>
      <c r="U90" s="32" t="n">
        <v>124.23</v>
      </c>
      <c r="V90" s="32" t="n">
        <v>151.76</v>
      </c>
      <c r="W90" s="32" t="n">
        <v>28.32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16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MMWL</t>
        </is>
      </c>
      <c r="D91" s="31" t="inlineStr">
        <is>
          <t>Media Matrix Worldwide Ltd</t>
        </is>
      </c>
      <c r="E91" s="31" t="inlineStr">
        <is>
          <t>Communication Services</t>
        </is>
      </c>
      <c r="F91" s="31" t="inlineStr">
        <is>
          <t>Technology Distribution</t>
        </is>
      </c>
      <c r="G91" s="31" t="inlineStr">
        <is>
          <t>smallcap</t>
        </is>
      </c>
      <c r="H91" s="32" t="n">
        <v>2608.71</v>
      </c>
      <c r="I91" s="32" t="n">
        <v>23.03</v>
      </c>
      <c r="J91" s="32" t="n">
        <v>9.56</v>
      </c>
      <c r="K91" s="32" t="n">
        <v>0</v>
      </c>
      <c r="L91" s="31" t="n">
        <v>74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75.09</v>
      </c>
      <c r="P91" s="32" t="n">
        <v>37.51</v>
      </c>
      <c r="Q91" s="32" t="inlineStr"/>
      <c r="R91" s="31" t="inlineStr">
        <is>
          <t>Earnings / Momentum Support</t>
        </is>
      </c>
      <c r="S91" s="31" t="inlineStr">
        <is>
          <t>Nifty 50</t>
        </is>
      </c>
      <c r="T91" s="32" t="n">
        <v>-10.93</v>
      </c>
      <c r="U91" s="32" t="n">
        <v>94.98999999999999</v>
      </c>
      <c r="V91" s="32" t="n">
        <v>118.93</v>
      </c>
      <c r="W91" s="32" t="n">
        <v>28.86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18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STLTECH</t>
        </is>
      </c>
      <c r="D92" s="31" t="inlineStr">
        <is>
          <t>Sterlite Technologies Ltd</t>
        </is>
      </c>
      <c r="E92" s="31" t="inlineStr">
        <is>
          <t>industrials</t>
        </is>
      </c>
      <c r="F92" s="31" t="inlineStr">
        <is>
          <t>Cables Telecom</t>
        </is>
      </c>
      <c r="G92" s="31" t="inlineStr">
        <is>
          <t>largecap</t>
        </is>
      </c>
      <c r="H92" s="32" t="n">
        <v>52133.13</v>
      </c>
      <c r="I92" s="32" t="n">
        <v>1014.15</v>
      </c>
      <c r="J92" s="32" t="n">
        <v>-0.1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80.01000000000001</v>
      </c>
      <c r="P92" s="32" t="n">
        <v>72.81</v>
      </c>
      <c r="Q92" s="32" t="inlineStr"/>
      <c r="R92" s="31" t="inlineStr">
        <is>
          <t>Earnings / Momentum Support</t>
        </is>
      </c>
      <c r="S92" s="31" t="inlineStr">
        <is>
          <t>Nifty Infra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INOVSYNTH</t>
        </is>
      </c>
      <c r="D93" s="31" t="inlineStr">
        <is>
          <t>Innovassynth Technologies (India) Ltd</t>
        </is>
      </c>
      <c r="E93" s="31" t="inlineStr">
        <is>
          <t>Basic Materials</t>
        </is>
      </c>
      <c r="F93" s="31" t="inlineStr">
        <is>
          <t>Specialty Chemicals</t>
        </is>
      </c>
      <c r="G93" s="31" t="inlineStr">
        <is>
          <t>smallcap</t>
        </is>
      </c>
      <c r="H93" s="32" t="n">
        <v>1610.2</v>
      </c>
      <c r="I93" s="32" t="n">
        <v>173.4</v>
      </c>
      <c r="J93" s="32" t="n">
        <v>2</v>
      </c>
      <c r="K93" s="32" t="n">
        <v>0</v>
      </c>
      <c r="L93" s="31" t="n">
        <v>65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87.69</v>
      </c>
      <c r="P93" s="32" t="n">
        <v>60.74</v>
      </c>
      <c r="Q93" s="32" t="inlineStr"/>
      <c r="R93" s="31" t="inlineStr">
        <is>
          <t>Earnings / Momentum Support</t>
        </is>
      </c>
      <c r="S93" s="31" t="inlineStr">
        <is>
          <t>Nifty 50</t>
        </is>
      </c>
      <c r="T93" s="32" t="n">
        <v>-10.93</v>
      </c>
      <c r="U93" s="32" t="n">
        <v>89.09999999999999</v>
      </c>
      <c r="V93" s="32" t="n">
        <v>112.32</v>
      </c>
      <c r="W93" s="32" t="n">
        <v>23.86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UNITEDPOLY</t>
        </is>
      </c>
      <c r="D94" s="31" t="inlineStr">
        <is>
          <t>United Polyfab Gujarat Ltd</t>
        </is>
      </c>
      <c r="E94" s="31" t="inlineStr">
        <is>
          <t>textiles</t>
        </is>
      </c>
      <c r="F94" s="31" t="inlineStr">
        <is>
          <t>Textiles Others</t>
        </is>
      </c>
      <c r="G94" s="31" t="inlineStr">
        <is>
          <t>smallcap</t>
        </is>
      </c>
      <c r="H94" s="32" t="n">
        <v>1145.74</v>
      </c>
      <c r="I94" s="32" t="n">
        <v>49.92</v>
      </c>
      <c r="J94" s="32" t="n">
        <v>-0.4</v>
      </c>
      <c r="K94" s="32" t="n">
        <v>0</v>
      </c>
      <c r="L94" s="31" t="n">
        <v>57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78.23999999999999</v>
      </c>
      <c r="P94" s="32" t="n">
        <v>32.7</v>
      </c>
      <c r="Q94" s="32" t="inlineStr"/>
      <c r="R94" s="31" t="inlineStr">
        <is>
          <t>Earnings / Momentum Support</t>
        </is>
      </c>
      <c r="S94" s="31" t="inlineStr">
        <is>
          <t>Nifty 50</t>
        </is>
      </c>
      <c r="T94" s="32" t="n">
        <v>-10.93</v>
      </c>
      <c r="U94" s="32" t="n">
        <v>13.04</v>
      </c>
      <c r="V94" s="32" t="n">
        <v>26.91</v>
      </c>
      <c r="W94" s="32" t="n">
        <v>20.75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16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SBC</t>
        </is>
      </c>
      <c r="D95" s="31" t="inlineStr">
        <is>
          <t>SBC Exports Ltd</t>
        </is>
      </c>
      <c r="E95" s="31" t="inlineStr">
        <is>
          <t>textiles</t>
        </is>
      </c>
      <c r="F95" s="31" t="inlineStr">
        <is>
          <t>Textiles Readymade Apparel</t>
        </is>
      </c>
      <c r="G95" s="31" t="inlineStr">
        <is>
          <t>smallcap</t>
        </is>
      </c>
      <c r="H95" s="32" t="n">
        <v>3056.19</v>
      </c>
      <c r="I95" s="32" t="n">
        <v>64.18000000000001</v>
      </c>
      <c r="J95" s="32" t="n">
        <v>2.8</v>
      </c>
      <c r="K95" s="32" t="n">
        <v>0</v>
      </c>
      <c r="L95" s="31" t="n">
        <v>80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86.65000000000001</v>
      </c>
      <c r="P95" s="32" t="n">
        <v>32.67</v>
      </c>
      <c r="Q95" s="32" t="inlineStr"/>
      <c r="R95" s="31" t="inlineStr">
        <is>
          <t>Earnings / Momentum Support</t>
        </is>
      </c>
      <c r="S95" s="31" t="inlineStr">
        <is>
          <t>Nifty 50</t>
        </is>
      </c>
      <c r="T95" s="32" t="n">
        <v>-10.93</v>
      </c>
      <c r="U95" s="32" t="n">
        <v>174.42</v>
      </c>
      <c r="V95" s="32" t="n">
        <v>208.11</v>
      </c>
      <c r="W95" s="32" t="n">
        <v>32.82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  <c r="CF95" s="31" t="inlineStr">
        <is>
          <t>21</t>
        </is>
      </c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UTSSAV</t>
        </is>
      </c>
      <c r="D96" s="31" t="inlineStr">
        <is>
          <t>Utssav CZ Gold Jewels Ltd</t>
        </is>
      </c>
      <c r="E96" s="31" t="inlineStr">
        <is>
          <t>unknown</t>
        </is>
      </c>
      <c r="F96" s="31" t="inlineStr">
        <is>
          <t>Diamond Gems and Jewellery</t>
        </is>
      </c>
      <c r="G96" s="31" t="inlineStr">
        <is>
          <t>smallcap</t>
        </is>
      </c>
      <c r="H96" s="32" t="n">
        <v>2003.32</v>
      </c>
      <c r="I96" s="32" t="n">
        <v>829.6</v>
      </c>
      <c r="J96" s="32" t="n">
        <v>-0.19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SANSERA</t>
        </is>
      </c>
      <c r="D97" s="31" t="inlineStr">
        <is>
          <t>Sansera Engineering Ltd</t>
        </is>
      </c>
      <c r="E97" s="31" t="inlineStr">
        <is>
          <t>unknown</t>
        </is>
      </c>
      <c r="F97" s="31" t="inlineStr">
        <is>
          <t>Diversified Auto Components</t>
        </is>
      </c>
      <c r="G97" s="31" t="inlineStr">
        <is>
          <t>largecap</t>
        </is>
      </c>
      <c r="H97" s="32" t="n">
        <v>26391.48</v>
      </c>
      <c r="I97" s="32" t="n">
        <v>4228.2</v>
      </c>
      <c r="J97" s="32" t="n">
        <v>2.51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2392.81</v>
      </c>
      <c r="I2" s="32" t="n">
        <v>114.27</v>
      </c>
      <c r="J2" s="32" t="n">
        <v>-1.45</v>
      </c>
      <c r="K2" s="32" t="n">
        <v>0</v>
      </c>
      <c r="L2" s="31" t="n">
        <v>68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77.03</v>
      </c>
      <c r="P2" s="32" t="n">
        <v>43.19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-2.39</v>
      </c>
      <c r="U2" s="32" t="n">
        <v>68.94</v>
      </c>
      <c r="V2" s="32" t="n">
        <v>73.08</v>
      </c>
      <c r="W2" s="32" t="n">
        <v>25.38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17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4550.71</v>
      </c>
      <c r="I3" s="32" t="n">
        <v>690.6</v>
      </c>
      <c r="J3" s="32" t="n">
        <v>1.85</v>
      </c>
      <c r="K3" s="32" t="n">
        <v>0</v>
      </c>
      <c r="L3" s="31" t="n">
        <v>43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61.02</v>
      </c>
      <c r="P3" s="32" t="n">
        <v>27.53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-2.39</v>
      </c>
      <c r="U3" s="32" t="n">
        <v>84.18000000000001</v>
      </c>
      <c r="V3" s="32" t="n">
        <v>88.69</v>
      </c>
      <c r="W3" s="32" t="n">
        <v>14.89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7026.61</v>
      </c>
      <c r="I4" s="32" t="n">
        <v>151.77</v>
      </c>
      <c r="J4" s="32" t="n">
        <v>3.21</v>
      </c>
      <c r="K4" s="32" t="n">
        <v>0</v>
      </c>
      <c r="L4" s="31" t="n">
        <v>89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82.67</v>
      </c>
      <c r="P4" s="32" t="n">
        <v>76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-2.39</v>
      </c>
      <c r="U4" s="32" t="n">
        <v>100.16</v>
      </c>
      <c r="V4" s="32" t="n">
        <v>105.06</v>
      </c>
      <c r="W4" s="32" t="n">
        <v>39.3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GCSL</t>
        </is>
      </c>
      <c r="D5" s="31" t="inlineStr">
        <is>
          <t>Gretex Corporate Services Ltd</t>
        </is>
      </c>
      <c r="E5" s="31" t="inlineStr">
        <is>
          <t>financials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1811.51</v>
      </c>
      <c r="I5" s="32" t="n">
        <v>724.45</v>
      </c>
      <c r="J5" s="32" t="n">
        <v>3.32</v>
      </c>
      <c r="K5" s="32" t="n">
        <v>0</v>
      </c>
      <c r="L5" s="31" t="n">
        <v>84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81.81999999999999</v>
      </c>
      <c r="P5" s="32" t="n">
        <v>34.87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-2.39</v>
      </c>
      <c r="U5" s="32" t="n">
        <v>204.08</v>
      </c>
      <c r="V5" s="32" t="n">
        <v>211.52</v>
      </c>
      <c r="W5" s="32" t="n">
        <v>35.57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16</t>
        </is>
      </c>
      <c r="CC5" s="31">
        <f>IF(CB5&gt;20,10,IF(CB5&gt;=10,5,2))</f>
        <v/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2026-10-12T19:53:13Z</dcterms:created>
  <dcterms:modified xmlns:dcterms="http://purl.org/dc/terms/" xmlns:xsi="http://www.w3.org/2001/XMLSchema-instance" xsi:type="dcterms:W3CDTF">2026-10-12T19:55:07Z</dcterms:modified>
</cp:coreProperties>
</file>